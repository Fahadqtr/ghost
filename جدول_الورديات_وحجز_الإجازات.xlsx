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ليمات" sheetId="1" state="visible" r:id="rId1"/>
    <sheet name="الإعدادات والقوائم" sheetId="2" state="visible" r:id="rId2"/>
    <sheet name="الموظفون" sheetId="3" state="visible" r:id="rId3"/>
    <sheet name="حجز الإجازات" sheetId="4" state="visible" r:id="rId4"/>
    <sheet name="جدول الورديات" sheetId="5" state="visible" r:id="rId5"/>
    <sheet name="تقويم الإجازات" sheetId="6" state="visible" r:id="rId6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</fonts>
  <fills count="1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right" vertical="center" wrapText="1"/>
    </xf>
    <xf numFmtId="0" fontId="10" fillId="11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1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8EAADB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A9F3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" t="inlineStr">
        <is>
          <t>نظام جدول الورديات وحجز الإجازات</t>
        </is>
      </c>
    </row>
    <row r="2">
      <c r="B2" s="2" t="inlineStr">
        <is>
          <t>قسم العمليات الجمركية — فريق الوردية</t>
        </is>
      </c>
    </row>
    <row r="3">
      <c r="B3" s="3" t="inlineStr"/>
    </row>
    <row r="4">
      <c r="B4" s="4" t="inlineStr">
        <is>
          <t>محتويات الملف (الأوراق بالأسفل):</t>
        </is>
      </c>
    </row>
    <row r="5">
      <c r="B5" s="3" t="inlineStr">
        <is>
          <t>1) الموظفون: قائمة أفراد الفريق وأرقامهم الوظيفية وبداية دورة العمل لكل فرد.</t>
        </is>
      </c>
    </row>
    <row r="6">
      <c r="B6" s="3" t="inlineStr">
        <is>
          <t>2) جدول الورديات: تقويم يومي يحسب تلقائياً (عمل / راحة) ويُظهر الإجازات المعتمدة بالألوان.</t>
        </is>
      </c>
    </row>
    <row r="7">
      <c r="B7" s="3" t="inlineStr">
        <is>
          <t>3) تقويم الإجازات: عرض واضح للإجازات المعتمدة فقط (موظفون × أيام) مع إجمالي أيام كل موظف.</t>
        </is>
      </c>
    </row>
    <row r="8">
      <c r="B8" s="3" t="inlineStr">
        <is>
          <t>4) حجز الإجازات: تُسجَّل فيه طلبات الإجازة، ويكشف التعارض تلقائياً.</t>
        </is>
      </c>
    </row>
    <row r="9">
      <c r="B9" s="3" t="inlineStr">
        <is>
          <t>5) الإعدادات والقوائم: ضبط بداية الدورة والحد الأدنى للتغطية وأنواع الإجازات.</t>
        </is>
      </c>
    </row>
    <row r="10">
      <c r="B10" s="3" t="inlineStr"/>
    </row>
    <row r="11">
      <c r="B11" s="4" t="inlineStr">
        <is>
          <t>نظام الدوام:</t>
        </is>
      </c>
    </row>
    <row r="12">
      <c r="B12" s="3" t="inlineStr">
        <is>
          <t>• 6 أيام عمل متتالية ثم 4 أيام راحة (دورية) — دورة كل 10 أيام.</t>
        </is>
      </c>
    </row>
    <row r="13">
      <c r="B13" s="3" t="inlineStr">
        <is>
          <t>• ثلاث ورديات (زامات):</t>
        </is>
      </c>
    </row>
    <row r="14">
      <c r="B14" s="3" t="inlineStr">
        <is>
          <t xml:space="preserve">     صباح: 6:00 ص ← 1:00 م   |   عصر: 1:00 م ← 9:00 م   |   ليل: 9:00 م ← 6:00 ص (اليوم التالي).</t>
        </is>
      </c>
    </row>
    <row r="15">
      <c r="B15" s="3" t="inlineStr">
        <is>
          <t>• وردية كل موظف تُحدَّد من عمود «الوردية» في ورقة الموظفين (قابلة للتغيير).</t>
        </is>
      </c>
    </row>
    <row r="16">
      <c r="B16" s="3" t="inlineStr">
        <is>
          <t>• الجدول يعرض اسم وردية الموظف على أيام عمله و«راحة» على أيام راحته — تلقائياً.</t>
        </is>
      </c>
    </row>
    <row r="17">
      <c r="B17" s="3" t="inlineStr"/>
    </row>
    <row r="18">
      <c r="B18" s="4" t="inlineStr">
        <is>
          <t>أنواع الإجازات:</t>
        </is>
      </c>
    </row>
    <row r="19">
      <c r="B19" s="3" t="inlineStr">
        <is>
          <t>سنوية • عارض • دورية • مرضية • مرافق مريض • أخرى</t>
        </is>
      </c>
    </row>
    <row r="20">
      <c r="B20" s="3" t="inlineStr"/>
    </row>
    <row r="21">
      <c r="B21" s="4" t="inlineStr">
        <is>
          <t>كيف أحجز إجازة بدون تعارض؟</t>
        </is>
      </c>
    </row>
    <row r="22">
      <c r="B22" s="3" t="inlineStr">
        <is>
          <t>1) افتح ورقة «حجز الإجازات».</t>
        </is>
      </c>
    </row>
    <row r="23">
      <c r="B23" s="3" t="inlineStr">
        <is>
          <t>2) اختر اسم الموظف ونوع الإجازة من القائمة المنسدلة، وأدخل تاريخ البداية والنهاية.</t>
        </is>
      </c>
    </row>
    <row r="24">
      <c r="B24" s="3" t="inlineStr">
        <is>
          <t>3) عمود «عدد الأيام» يُحسب تلقائياً، وعمود «فحص التعارض» يتحقق فوراً:</t>
        </is>
      </c>
    </row>
    <row r="25">
      <c r="B25" s="3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3" t="inlineStr">
        <is>
          <t>4) عمود «تنبيه التغطية» ينبّه إذا تجاوز عدد المُجازين في نفس اليوم الحد المسموح.</t>
        </is>
      </c>
    </row>
    <row r="27">
      <c r="B27" s="3" t="inlineStr">
        <is>
          <t>5) غيّر «الحالة» إلى «معتمد» لتظهر الإجازة ملوّنة في جدول الورديات.</t>
        </is>
      </c>
    </row>
    <row r="28">
      <c r="B28" s="3" t="inlineStr"/>
    </row>
    <row r="29">
      <c r="B29" s="4" t="inlineStr">
        <is>
          <t>ملاحظات:</t>
        </is>
      </c>
    </row>
    <row r="30">
      <c r="B30" s="3" t="inlineStr">
        <is>
          <t>• الصفوف الحمراء/التنبيهات تعني وجود تعارض — عالجه قبل الاعتماد.</t>
        </is>
      </c>
    </row>
    <row r="31">
      <c r="B31" s="3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3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5" t="inlineStr">
        <is>
          <t>الإعدادات العامة</t>
        </is>
      </c>
      <c r="D1" s="5" t="inlineStr">
        <is>
          <t>أنواع الإجازات</t>
        </is>
      </c>
      <c r="F1" s="5" t="inlineStr">
        <is>
          <t>حالات الطلب</t>
        </is>
      </c>
      <c r="H1" s="6" t="inlineStr">
        <is>
          <t>الوردية</t>
        </is>
      </c>
      <c r="I1" s="6" t="inlineStr">
        <is>
          <t>التوقيت</t>
        </is>
      </c>
    </row>
    <row r="2">
      <c r="A2" s="7" t="inlineStr">
        <is>
          <t>بداية فترة الجدول</t>
        </is>
      </c>
      <c r="B2" s="8" t="n">
        <v>46189</v>
      </c>
      <c r="D2" s="9" t="inlineStr">
        <is>
          <t>سنوية</t>
        </is>
      </c>
      <c r="F2" s="10" t="inlineStr">
        <is>
          <t>معتمد</t>
        </is>
      </c>
      <c r="H2" s="11" t="inlineStr">
        <is>
          <t>صباح</t>
        </is>
      </c>
      <c r="I2" s="12" t="inlineStr">
        <is>
          <t>6:00 ص ← 1:00 م</t>
        </is>
      </c>
    </row>
    <row r="3">
      <c r="A3" s="7" t="inlineStr">
        <is>
          <t>طول دورة العمل (أيام)</t>
        </is>
      </c>
      <c r="B3" s="10" t="n">
        <v>6</v>
      </c>
      <c r="D3" s="13" t="inlineStr">
        <is>
          <t>عارض</t>
        </is>
      </c>
      <c r="F3" s="10" t="inlineStr">
        <is>
          <t>قيد الانتظار</t>
        </is>
      </c>
      <c r="H3" s="14" t="inlineStr">
        <is>
          <t>عصر</t>
        </is>
      </c>
      <c r="I3" s="12" t="inlineStr">
        <is>
          <t>1:00 م ← 9:00 م</t>
        </is>
      </c>
    </row>
    <row r="4">
      <c r="A4" s="7" t="inlineStr">
        <is>
          <t>طول الراحة الدورية (أيام)</t>
        </is>
      </c>
      <c r="B4" s="10" t="n">
        <v>4</v>
      </c>
      <c r="D4" s="15" t="inlineStr">
        <is>
          <t>دورية</t>
        </is>
      </c>
      <c r="F4" s="10" t="inlineStr">
        <is>
          <t>مرفوض</t>
        </is>
      </c>
      <c r="H4" s="16" t="inlineStr">
        <is>
          <t>ليل</t>
        </is>
      </c>
      <c r="I4" s="12" t="inlineStr">
        <is>
          <t>9:00 م ← 6:00 ص (اليوم التالي)</t>
        </is>
      </c>
    </row>
    <row r="5">
      <c r="A5" s="7" t="inlineStr">
        <is>
          <t>الحد الأدنى للعاملين يومياً</t>
        </is>
      </c>
      <c r="B5" s="10" t="n">
        <v>4</v>
      </c>
      <c r="D5" s="17" t="inlineStr">
        <is>
          <t>مرضية</t>
        </is>
      </c>
    </row>
    <row r="6">
      <c r="A6" s="7" t="inlineStr">
        <is>
          <t>أقصى عدد مُجازين في اليوم</t>
        </is>
      </c>
      <c r="B6" s="10" t="n">
        <v>3</v>
      </c>
      <c r="D6" s="18" t="inlineStr">
        <is>
          <t>مرافق مريض</t>
        </is>
      </c>
    </row>
    <row r="7">
      <c r="D7" s="19" t="inlineStr">
        <is>
          <t>أخرى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16" customWidth="1" min="5" max="5"/>
  </cols>
  <sheetData>
    <row r="1">
      <c r="A1" s="6" t="inlineStr">
        <is>
          <t>م</t>
        </is>
      </c>
      <c r="B1" s="6" t="inlineStr">
        <is>
          <t>الاسم</t>
        </is>
      </c>
      <c r="C1" s="6" t="inlineStr">
        <is>
          <t>الرقم الوظيفي</t>
        </is>
      </c>
      <c r="D1" s="6" t="inlineStr">
        <is>
          <t>الوردية</t>
        </is>
      </c>
      <c r="E1" s="6" t="inlineStr">
        <is>
          <t>بداية الدورة</t>
        </is>
      </c>
    </row>
    <row r="2">
      <c r="A2" s="20" t="n">
        <v>1</v>
      </c>
      <c r="B2" s="21" t="inlineStr">
        <is>
          <t>سالم شليويح المري</t>
        </is>
      </c>
      <c r="C2" s="20" t="n">
        <v>392</v>
      </c>
      <c r="D2" s="20" t="inlineStr">
        <is>
          <t>عصر</t>
        </is>
      </c>
      <c r="E2" s="22" t="n">
        <v>46189</v>
      </c>
    </row>
    <row r="3">
      <c r="A3" s="20" t="n">
        <v>2</v>
      </c>
      <c r="B3" s="21" t="inlineStr">
        <is>
          <t>فهد عبدالعزيز عبدالله</t>
        </is>
      </c>
      <c r="C3" s="20" t="n">
        <v>2306</v>
      </c>
      <c r="D3" s="20" t="inlineStr">
        <is>
          <t>عصر</t>
        </is>
      </c>
      <c r="E3" s="22" t="n">
        <v>46189</v>
      </c>
    </row>
    <row r="4">
      <c r="A4" s="20" t="n">
        <v>3</v>
      </c>
      <c r="B4" s="21" t="inlineStr">
        <is>
          <t>محمد ناصر الغانم</t>
        </is>
      </c>
      <c r="C4" s="20" t="n">
        <v>4756</v>
      </c>
      <c r="D4" s="20" t="inlineStr">
        <is>
          <t>عصر</t>
        </is>
      </c>
      <c r="E4" s="22" t="n">
        <v>46189</v>
      </c>
    </row>
    <row r="5">
      <c r="A5" s="20" t="n">
        <v>4</v>
      </c>
      <c r="B5" s="21" t="inlineStr">
        <is>
          <t>راشد عيسى التميمي</t>
        </is>
      </c>
      <c r="C5" s="20" t="n">
        <v>4749</v>
      </c>
      <c r="D5" s="20" t="inlineStr">
        <is>
          <t>عصر</t>
        </is>
      </c>
      <c r="E5" s="22" t="n">
        <v>46189</v>
      </c>
    </row>
    <row r="6">
      <c r="A6" s="20" t="n">
        <v>5</v>
      </c>
      <c r="B6" s="21" t="inlineStr">
        <is>
          <t>طلال زايد المري</t>
        </is>
      </c>
      <c r="C6" s="20" t="n">
        <v>2927</v>
      </c>
      <c r="D6" s="20" t="inlineStr">
        <is>
          <t>عصر</t>
        </is>
      </c>
      <c r="E6" s="22" t="n">
        <v>46189</v>
      </c>
    </row>
    <row r="7">
      <c r="A7" s="20" t="n">
        <v>6</v>
      </c>
      <c r="B7" s="21" t="inlineStr">
        <is>
          <t>منصور مبارك الجابري</t>
        </is>
      </c>
      <c r="C7" s="20" t="n">
        <v>4522</v>
      </c>
      <c r="D7" s="20" t="inlineStr">
        <is>
          <t>عصر</t>
        </is>
      </c>
      <c r="E7" s="22" t="n">
        <v>46189</v>
      </c>
    </row>
    <row r="8">
      <c r="A8" s="20" t="n">
        <v>7</v>
      </c>
      <c r="B8" s="21" t="inlineStr">
        <is>
          <t>محمد حمد الجابر</t>
        </is>
      </c>
      <c r="C8" s="20" t="n">
        <v>3317</v>
      </c>
      <c r="D8" s="20" t="inlineStr">
        <is>
          <t>عصر</t>
        </is>
      </c>
      <c r="E8" s="22" t="n">
        <v>46189</v>
      </c>
    </row>
    <row r="9">
      <c r="A9" s="20" t="n">
        <v>8</v>
      </c>
      <c r="B9" s="21" t="inlineStr">
        <is>
          <t>عبدالله سعد المهندي</t>
        </is>
      </c>
      <c r="C9" s="20" t="n">
        <v>2424</v>
      </c>
      <c r="D9" s="20" t="inlineStr">
        <is>
          <t>عصر</t>
        </is>
      </c>
      <c r="E9" s="22" t="n">
        <v>46189</v>
      </c>
    </row>
  </sheetData>
  <conditionalFormatting sqref="D2:D9">
    <cfRule type="cellIs" priority="1" operator="equal" dxfId="0">
      <formula>"صباح"</formula>
    </cfRule>
    <cfRule type="cellIs" priority="2" operator="equal" dxfId="1">
      <formula>"عصر"</formula>
    </cfRule>
    <cfRule type="cellIs" priority="3" operator="equal" dxfId="2">
      <formula>"ليل"</formula>
    </cfRule>
  </conditionalFormatting>
  <dataValidations count="1">
    <dataValidation sqref="D2:D9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23" t="inlineStr">
        <is>
          <t>حجز الإجازات — قسم العمليات الجمركية</t>
        </is>
      </c>
    </row>
    <row r="2">
      <c r="A2" s="24" t="inlineStr">
        <is>
          <t>سجّل الطلب ثم تأكد من خانتي «فحص التعارض» و«تنبيه التغطية» قبل الاعتماد.</t>
        </is>
      </c>
    </row>
    <row r="4">
      <c r="A4" s="6" t="inlineStr">
        <is>
          <t>رقم الطلب</t>
        </is>
      </c>
      <c r="B4" s="6" t="inlineStr">
        <is>
          <t>اسم الموظف</t>
        </is>
      </c>
      <c r="C4" s="6" t="inlineStr">
        <is>
          <t>نوع الإجازة</t>
        </is>
      </c>
      <c r="D4" s="6" t="inlineStr">
        <is>
          <t>من تاريخ</t>
        </is>
      </c>
      <c r="E4" s="6" t="inlineStr">
        <is>
          <t>إلى تاريخ</t>
        </is>
      </c>
      <c r="F4" s="6" t="inlineStr">
        <is>
          <t>عدد الأيام</t>
        </is>
      </c>
      <c r="G4" s="6" t="inlineStr">
        <is>
          <t>الحالة</t>
        </is>
      </c>
      <c r="H4" s="6" t="inlineStr">
        <is>
          <t>فحص التعارض</t>
        </is>
      </c>
      <c r="I4" s="6" t="inlineStr">
        <is>
          <t>تنبيه التغطية</t>
        </is>
      </c>
      <c r="J4" s="6" t="inlineStr">
        <is>
          <t>ملاحظات</t>
        </is>
      </c>
    </row>
    <row r="5">
      <c r="A5" s="20" t="n">
        <v>1</v>
      </c>
      <c r="B5" s="21" t="inlineStr">
        <is>
          <t>سالم شليويح المري</t>
        </is>
      </c>
      <c r="C5" s="20" t="inlineStr">
        <is>
          <t>دورية</t>
        </is>
      </c>
      <c r="D5" s="25" t="n">
        <v>46190</v>
      </c>
      <c r="E5" s="25" t="n">
        <v>46192</v>
      </c>
      <c r="F5" s="20">
        <f>IF(OR($D5="",$E5=""),"",$E5-$D5+1)</f>
        <v/>
      </c>
      <c r="G5" s="20" t="inlineStr">
        <is>
          <t>معتمد</t>
        </is>
      </c>
      <c r="H5" s="20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20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21" t="n"/>
    </row>
    <row r="6">
      <c r="A6" s="20" t="n">
        <v>2</v>
      </c>
      <c r="B6" s="21" t="inlineStr">
        <is>
          <t>فهد عبدالعزيز عبدالله</t>
        </is>
      </c>
      <c r="C6" s="20" t="inlineStr">
        <is>
          <t>سنوية</t>
        </is>
      </c>
      <c r="D6" s="25" t="n">
        <v>46191</v>
      </c>
      <c r="E6" s="25" t="n">
        <v>46192</v>
      </c>
      <c r="F6" s="20">
        <f>IF(OR($D6="",$E6=""),"",$E6-$D6+1)</f>
        <v/>
      </c>
      <c r="G6" s="20" t="inlineStr">
        <is>
          <t>معتمد</t>
        </is>
      </c>
      <c r="H6" s="20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20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21" t="n"/>
    </row>
    <row r="7">
      <c r="A7" s="20" t="n">
        <v>3</v>
      </c>
      <c r="B7" s="21" t="inlineStr">
        <is>
          <t>محمد ناصر الغانم</t>
        </is>
      </c>
      <c r="C7" s="20" t="inlineStr">
        <is>
          <t>دورية</t>
        </is>
      </c>
      <c r="D7" s="25" t="n">
        <v>46201</v>
      </c>
      <c r="E7" s="25" t="n">
        <v>46205</v>
      </c>
      <c r="F7" s="20">
        <f>IF(OR($D7="",$E7=""),"",$E7-$D7+1)</f>
        <v/>
      </c>
      <c r="G7" s="20" t="inlineStr">
        <is>
          <t>معتمد</t>
        </is>
      </c>
      <c r="H7" s="20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20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21" t="n"/>
    </row>
    <row r="8">
      <c r="A8" s="20" t="n">
        <v>4</v>
      </c>
      <c r="B8" s="21" t="inlineStr">
        <is>
          <t>محمد ناصر الغانم</t>
        </is>
      </c>
      <c r="C8" s="20" t="inlineStr">
        <is>
          <t>دورية</t>
        </is>
      </c>
      <c r="D8" s="25" t="n">
        <v>46208</v>
      </c>
      <c r="E8" s="25" t="n">
        <v>46212</v>
      </c>
      <c r="F8" s="20">
        <f>IF(OR($D8="",$E8=""),"",$E8-$D8+1)</f>
        <v/>
      </c>
      <c r="G8" s="20" t="inlineStr">
        <is>
          <t>معتمد</t>
        </is>
      </c>
      <c r="H8" s="20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20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21" t="n"/>
    </row>
    <row r="9">
      <c r="A9" s="20" t="n">
        <v>5</v>
      </c>
      <c r="B9" s="21" t="inlineStr">
        <is>
          <t>منصور مبارك الجابري</t>
        </is>
      </c>
      <c r="C9" s="20" t="inlineStr">
        <is>
          <t>سنوية</t>
        </is>
      </c>
      <c r="D9" s="25" t="n">
        <v>46207</v>
      </c>
      <c r="E9" s="25" t="n">
        <v>46212</v>
      </c>
      <c r="F9" s="20">
        <f>IF(OR($D9="",$E9=""),"",$E9-$D9+1)</f>
        <v/>
      </c>
      <c r="G9" s="20" t="inlineStr">
        <is>
          <t>معتمد</t>
        </is>
      </c>
      <c r="H9" s="20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20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21" t="n"/>
    </row>
    <row r="10">
      <c r="A10" s="20" t="n">
        <v>6</v>
      </c>
      <c r="B10" s="21" t="inlineStr">
        <is>
          <t>منصور مبارك الجابري</t>
        </is>
      </c>
      <c r="C10" s="20" t="inlineStr">
        <is>
          <t>سنوية</t>
        </is>
      </c>
      <c r="D10" s="25" t="n">
        <v>46191</v>
      </c>
      <c r="E10" s="25" t="n">
        <v>46192</v>
      </c>
      <c r="F10" s="20">
        <f>IF(OR($D10="",$E10=""),"",$E10-$D10+1)</f>
        <v/>
      </c>
      <c r="G10" s="20" t="inlineStr">
        <is>
          <t>معتمد</t>
        </is>
      </c>
      <c r="H10" s="20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20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21" t="n"/>
    </row>
    <row r="11">
      <c r="A11" s="20" t="n">
        <v>7</v>
      </c>
      <c r="B11" s="21" t="inlineStr">
        <is>
          <t>محمد حمد الجابر</t>
        </is>
      </c>
      <c r="C11" s="20" t="inlineStr">
        <is>
          <t>سنوية</t>
        </is>
      </c>
      <c r="D11" s="25" t="n">
        <v>46190</v>
      </c>
      <c r="E11" s="25" t="n">
        <v>46192</v>
      </c>
      <c r="F11" s="20">
        <f>IF(OR($D11="",$E11=""),"",$E11-$D11+1)</f>
        <v/>
      </c>
      <c r="G11" s="20" t="inlineStr">
        <is>
          <t>معتمد</t>
        </is>
      </c>
      <c r="H11" s="20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20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21" t="n"/>
    </row>
    <row r="12">
      <c r="A12" s="20" t="n">
        <v>8</v>
      </c>
      <c r="B12" s="21" t="inlineStr">
        <is>
          <t>عبدالله سعد المهندي</t>
        </is>
      </c>
      <c r="C12" s="20" t="inlineStr">
        <is>
          <t>مرافق مريض</t>
        </is>
      </c>
      <c r="D12" s="25" t="n">
        <v>46190</v>
      </c>
      <c r="E12" s="25" t="n">
        <v>46233</v>
      </c>
      <c r="F12" s="20">
        <f>IF(OR($D12="",$E12=""),"",$E12-$D12+1)</f>
        <v/>
      </c>
      <c r="G12" s="20" t="inlineStr">
        <is>
          <t>معتمد</t>
        </is>
      </c>
      <c r="H12" s="20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20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21" t="n"/>
    </row>
    <row r="13">
      <c r="A13" s="20" t="n">
        <v>9</v>
      </c>
      <c r="B13" s="21" t="inlineStr">
        <is>
          <t>راشد عيسى التميمي</t>
        </is>
      </c>
      <c r="C13" s="20" t="inlineStr">
        <is>
          <t>سنوية</t>
        </is>
      </c>
      <c r="D13" s="25" t="n">
        <v>46207</v>
      </c>
      <c r="E13" s="25" t="n">
        <v>46212</v>
      </c>
      <c r="F13" s="20">
        <f>IF(OR($D13="",$E13=""),"",$E13-$D13+1)</f>
        <v/>
      </c>
      <c r="G13" s="20" t="inlineStr">
        <is>
          <t>معتمد</t>
        </is>
      </c>
      <c r="H13" s="20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20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21" t="n"/>
    </row>
    <row r="14">
      <c r="A14" s="20" t="n">
        <v>10</v>
      </c>
      <c r="B14" s="21" t="inlineStr">
        <is>
          <t>راشد عيسى التميمي</t>
        </is>
      </c>
      <c r="C14" s="20" t="inlineStr">
        <is>
          <t>عارض</t>
        </is>
      </c>
      <c r="D14" s="25" t="n">
        <v>46217</v>
      </c>
      <c r="E14" s="25" t="n">
        <v>46217</v>
      </c>
      <c r="F14" s="20">
        <f>IF(OR($D14="",$E14=""),"",$E14-$D14+1)</f>
        <v/>
      </c>
      <c r="G14" s="20" t="inlineStr">
        <is>
          <t>معتمد</t>
        </is>
      </c>
      <c r="H14" s="20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20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21" t="n"/>
    </row>
    <row r="15">
      <c r="A15" s="20" t="n">
        <v>11</v>
      </c>
      <c r="B15" s="21" t="inlineStr">
        <is>
          <t>راشد عيسى التميمي</t>
        </is>
      </c>
      <c r="C15" s="20" t="inlineStr">
        <is>
          <t>سنوية</t>
        </is>
      </c>
      <c r="D15" s="25" t="n">
        <v>46218</v>
      </c>
      <c r="E15" s="25" t="n">
        <v>46222</v>
      </c>
      <c r="F15" s="20">
        <f>IF(OR($D15="",$E15=""),"",$E15-$D15+1)</f>
        <v/>
      </c>
      <c r="G15" s="20" t="inlineStr">
        <is>
          <t>معتمد</t>
        </is>
      </c>
      <c r="H15" s="20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20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21" t="n"/>
    </row>
    <row r="16">
      <c r="A16" s="20" t="n">
        <v>12</v>
      </c>
      <c r="B16" s="21" t="inlineStr">
        <is>
          <t>راشد عيسى التميمي</t>
        </is>
      </c>
      <c r="C16" s="20" t="inlineStr">
        <is>
          <t>أخرى</t>
        </is>
      </c>
      <c r="D16" s="25" t="n">
        <v>46190</v>
      </c>
      <c r="E16" s="25" t="n">
        <v>46190</v>
      </c>
      <c r="F16" s="20">
        <f>IF(OR($D16="",$E16=""),"",$E16-$D16+1)</f>
        <v/>
      </c>
      <c r="G16" s="20" t="inlineStr">
        <is>
          <t>معتمد</t>
        </is>
      </c>
      <c r="H16" s="20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20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21" t="n"/>
    </row>
    <row r="17">
      <c r="A17" s="20" t="n">
        <v>13</v>
      </c>
      <c r="B17" s="21" t="n"/>
      <c r="C17" s="20" t="n"/>
      <c r="D17" s="25" t="n"/>
      <c r="E17" s="25" t="n"/>
      <c r="F17" s="20">
        <f>IF(OR($D17="",$E17=""),"",$E17-$D17+1)</f>
        <v/>
      </c>
      <c r="G17" s="20" t="n"/>
      <c r="H17" s="20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20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21" t="n"/>
    </row>
    <row r="18">
      <c r="A18" s="20" t="n">
        <v>14</v>
      </c>
      <c r="B18" s="21" t="n"/>
      <c r="C18" s="20" t="n"/>
      <c r="D18" s="25" t="n"/>
      <c r="E18" s="25" t="n"/>
      <c r="F18" s="20">
        <f>IF(OR($D18="",$E18=""),"",$E18-$D18+1)</f>
        <v/>
      </c>
      <c r="G18" s="20" t="n"/>
      <c r="H18" s="20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20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21" t="n"/>
    </row>
    <row r="19">
      <c r="A19" s="20" t="n">
        <v>15</v>
      </c>
      <c r="B19" s="21" t="n"/>
      <c r="C19" s="20" t="n"/>
      <c r="D19" s="25" t="n"/>
      <c r="E19" s="25" t="n"/>
      <c r="F19" s="20">
        <f>IF(OR($D19="",$E19=""),"",$E19-$D19+1)</f>
        <v/>
      </c>
      <c r="G19" s="20" t="n"/>
      <c r="H19" s="20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20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21" t="n"/>
    </row>
    <row r="20">
      <c r="A20" s="20" t="n">
        <v>16</v>
      </c>
      <c r="B20" s="21" t="n"/>
      <c r="C20" s="20" t="n"/>
      <c r="D20" s="25" t="n"/>
      <c r="E20" s="25" t="n"/>
      <c r="F20" s="20">
        <f>IF(OR($D20="",$E20=""),"",$E20-$D20+1)</f>
        <v/>
      </c>
      <c r="G20" s="20" t="n"/>
      <c r="H20" s="20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20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21" t="n"/>
    </row>
    <row r="21">
      <c r="A21" s="20" t="n">
        <v>17</v>
      </c>
      <c r="B21" s="21" t="n"/>
      <c r="C21" s="20" t="n"/>
      <c r="D21" s="25" t="n"/>
      <c r="E21" s="25" t="n"/>
      <c r="F21" s="20">
        <f>IF(OR($D21="",$E21=""),"",$E21-$D21+1)</f>
        <v/>
      </c>
      <c r="G21" s="20" t="n"/>
      <c r="H21" s="20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20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21" t="n"/>
    </row>
    <row r="22">
      <c r="A22" s="20" t="n">
        <v>18</v>
      </c>
      <c r="B22" s="21" t="n"/>
      <c r="C22" s="20" t="n"/>
      <c r="D22" s="25" t="n"/>
      <c r="E22" s="25" t="n"/>
      <c r="F22" s="20">
        <f>IF(OR($D22="",$E22=""),"",$E22-$D22+1)</f>
        <v/>
      </c>
      <c r="G22" s="20" t="n"/>
      <c r="H22" s="20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20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21" t="n"/>
    </row>
    <row r="23">
      <c r="A23" s="20" t="n">
        <v>19</v>
      </c>
      <c r="B23" s="21" t="n"/>
      <c r="C23" s="20" t="n"/>
      <c r="D23" s="25" t="n"/>
      <c r="E23" s="25" t="n"/>
      <c r="F23" s="20">
        <f>IF(OR($D23="",$E23=""),"",$E23-$D23+1)</f>
        <v/>
      </c>
      <c r="G23" s="20" t="n"/>
      <c r="H23" s="20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20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21" t="n"/>
    </row>
    <row r="24">
      <c r="A24" s="20" t="n">
        <v>20</v>
      </c>
      <c r="B24" s="21" t="n"/>
      <c r="C24" s="20" t="n"/>
      <c r="D24" s="25" t="n"/>
      <c r="E24" s="25" t="n"/>
      <c r="F24" s="20">
        <f>IF(OR($D24="",$E24=""),"",$E24-$D24+1)</f>
        <v/>
      </c>
      <c r="G24" s="20" t="n"/>
      <c r="H24" s="20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20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21" t="n"/>
    </row>
    <row r="25">
      <c r="A25" s="20" t="n">
        <v>21</v>
      </c>
      <c r="B25" s="21" t="n"/>
      <c r="C25" s="20" t="n"/>
      <c r="D25" s="25" t="n"/>
      <c r="E25" s="25" t="n"/>
      <c r="F25" s="20">
        <f>IF(OR($D25="",$E25=""),"",$E25-$D25+1)</f>
        <v/>
      </c>
      <c r="G25" s="20" t="n"/>
      <c r="H25" s="20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20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21" t="n"/>
    </row>
    <row r="26">
      <c r="A26" s="20" t="n">
        <v>22</v>
      </c>
      <c r="B26" s="21" t="n"/>
      <c r="C26" s="20" t="n"/>
      <c r="D26" s="25" t="n"/>
      <c r="E26" s="25" t="n"/>
      <c r="F26" s="20">
        <f>IF(OR($D26="",$E26=""),"",$E26-$D26+1)</f>
        <v/>
      </c>
      <c r="G26" s="20" t="n"/>
      <c r="H26" s="20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20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21" t="n"/>
    </row>
    <row r="27">
      <c r="A27" s="20" t="n">
        <v>23</v>
      </c>
      <c r="B27" s="21" t="n"/>
      <c r="C27" s="20" t="n"/>
      <c r="D27" s="25" t="n"/>
      <c r="E27" s="25" t="n"/>
      <c r="F27" s="20">
        <f>IF(OR($D27="",$E27=""),"",$E27-$D27+1)</f>
        <v/>
      </c>
      <c r="G27" s="20" t="n"/>
      <c r="H27" s="20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20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21" t="n"/>
    </row>
    <row r="28">
      <c r="A28" s="20" t="n">
        <v>24</v>
      </c>
      <c r="B28" s="21" t="n"/>
      <c r="C28" s="20" t="n"/>
      <c r="D28" s="25" t="n"/>
      <c r="E28" s="25" t="n"/>
      <c r="F28" s="20">
        <f>IF(OR($D28="",$E28=""),"",$E28-$D28+1)</f>
        <v/>
      </c>
      <c r="G28" s="20" t="n"/>
      <c r="H28" s="20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20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21" t="n"/>
    </row>
    <row r="29">
      <c r="A29" s="20" t="n">
        <v>25</v>
      </c>
      <c r="B29" s="21" t="n"/>
      <c r="C29" s="20" t="n"/>
      <c r="D29" s="25" t="n"/>
      <c r="E29" s="25" t="n"/>
      <c r="F29" s="20">
        <f>IF(OR($D29="",$E29=""),"",$E29-$D29+1)</f>
        <v/>
      </c>
      <c r="G29" s="20" t="n"/>
      <c r="H29" s="20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20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21" t="n"/>
    </row>
    <row r="30">
      <c r="A30" s="20" t="n">
        <v>26</v>
      </c>
      <c r="B30" s="21" t="n"/>
      <c r="C30" s="20" t="n"/>
      <c r="D30" s="25" t="n"/>
      <c r="E30" s="25" t="n"/>
      <c r="F30" s="20">
        <f>IF(OR($D30="",$E30=""),"",$E30-$D30+1)</f>
        <v/>
      </c>
      <c r="G30" s="20" t="n"/>
      <c r="H30" s="20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20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21" t="n"/>
    </row>
    <row r="31">
      <c r="A31" s="20" t="n">
        <v>27</v>
      </c>
      <c r="B31" s="21" t="n"/>
      <c r="C31" s="20" t="n"/>
      <c r="D31" s="25" t="n"/>
      <c r="E31" s="25" t="n"/>
      <c r="F31" s="20">
        <f>IF(OR($D31="",$E31=""),"",$E31-$D31+1)</f>
        <v/>
      </c>
      <c r="G31" s="20" t="n"/>
      <c r="H31" s="20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20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21" t="n"/>
    </row>
    <row r="32">
      <c r="A32" s="20" t="n">
        <v>28</v>
      </c>
      <c r="B32" s="21" t="n"/>
      <c r="C32" s="20" t="n"/>
      <c r="D32" s="25" t="n"/>
      <c r="E32" s="25" t="n"/>
      <c r="F32" s="20">
        <f>IF(OR($D32="",$E32=""),"",$E32-$D32+1)</f>
        <v/>
      </c>
      <c r="G32" s="20" t="n"/>
      <c r="H32" s="20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20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21" t="n"/>
    </row>
    <row r="33">
      <c r="A33" s="20" t="n">
        <v>29</v>
      </c>
      <c r="B33" s="21" t="n"/>
      <c r="C33" s="20" t="n"/>
      <c r="D33" s="25" t="n"/>
      <c r="E33" s="25" t="n"/>
      <c r="F33" s="20">
        <f>IF(OR($D33="",$E33=""),"",$E33-$D33+1)</f>
        <v/>
      </c>
      <c r="G33" s="20" t="n"/>
      <c r="H33" s="20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20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21" t="n"/>
    </row>
    <row r="34">
      <c r="A34" s="20" t="n">
        <v>30</v>
      </c>
      <c r="B34" s="21" t="n"/>
      <c r="C34" s="20" t="n"/>
      <c r="D34" s="25" t="n"/>
      <c r="E34" s="25" t="n"/>
      <c r="F34" s="20">
        <f>IF(OR($D34="",$E34=""),"",$E34-$D34+1)</f>
        <v/>
      </c>
      <c r="G34" s="20" t="n"/>
      <c r="H34" s="20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20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21" t="n"/>
    </row>
    <row r="35">
      <c r="A35" s="20" t="n">
        <v>31</v>
      </c>
      <c r="B35" s="21" t="n"/>
      <c r="C35" s="20" t="n"/>
      <c r="D35" s="25" t="n"/>
      <c r="E35" s="25" t="n"/>
      <c r="F35" s="20">
        <f>IF(OR($D35="",$E35=""),"",$E35-$D35+1)</f>
        <v/>
      </c>
      <c r="G35" s="20" t="n"/>
      <c r="H35" s="20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20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21" t="n"/>
    </row>
    <row r="36">
      <c r="A36" s="20" t="n">
        <v>32</v>
      </c>
      <c r="B36" s="21" t="n"/>
      <c r="C36" s="20" t="n"/>
      <c r="D36" s="25" t="n"/>
      <c r="E36" s="25" t="n"/>
      <c r="F36" s="20">
        <f>IF(OR($D36="",$E36=""),"",$E36-$D36+1)</f>
        <v/>
      </c>
      <c r="G36" s="20" t="n"/>
      <c r="H36" s="20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20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21" t="n"/>
    </row>
    <row r="37">
      <c r="A37" s="20" t="n">
        <v>33</v>
      </c>
      <c r="B37" s="21" t="n"/>
      <c r="C37" s="20" t="n"/>
      <c r="D37" s="25" t="n"/>
      <c r="E37" s="25" t="n"/>
      <c r="F37" s="20">
        <f>IF(OR($D37="",$E37=""),"",$E37-$D37+1)</f>
        <v/>
      </c>
      <c r="G37" s="20" t="n"/>
      <c r="H37" s="20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20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21" t="n"/>
    </row>
    <row r="38">
      <c r="A38" s="20" t="n">
        <v>34</v>
      </c>
      <c r="B38" s="21" t="n"/>
      <c r="C38" s="20" t="n"/>
      <c r="D38" s="25" t="n"/>
      <c r="E38" s="25" t="n"/>
      <c r="F38" s="20">
        <f>IF(OR($D38="",$E38=""),"",$E38-$D38+1)</f>
        <v/>
      </c>
      <c r="G38" s="20" t="n"/>
      <c r="H38" s="20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20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21" t="n"/>
    </row>
    <row r="39">
      <c r="A39" s="20" t="n">
        <v>35</v>
      </c>
      <c r="B39" s="21" t="n"/>
      <c r="C39" s="20" t="n"/>
      <c r="D39" s="25" t="n"/>
      <c r="E39" s="25" t="n"/>
      <c r="F39" s="20">
        <f>IF(OR($D39="",$E39=""),"",$E39-$D39+1)</f>
        <v/>
      </c>
      <c r="G39" s="20" t="n"/>
      <c r="H39" s="20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20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21" t="n"/>
    </row>
    <row r="40">
      <c r="A40" s="20" t="n">
        <v>36</v>
      </c>
      <c r="B40" s="21" t="n"/>
      <c r="C40" s="20" t="n"/>
      <c r="D40" s="25" t="n"/>
      <c r="E40" s="25" t="n"/>
      <c r="F40" s="20">
        <f>IF(OR($D40="",$E40=""),"",$E40-$D40+1)</f>
        <v/>
      </c>
      <c r="G40" s="20" t="n"/>
      <c r="H40" s="20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20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21" t="n"/>
    </row>
    <row r="41">
      <c r="A41" s="20" t="n">
        <v>37</v>
      </c>
      <c r="B41" s="21" t="n"/>
      <c r="C41" s="20" t="n"/>
      <c r="D41" s="25" t="n"/>
      <c r="E41" s="25" t="n"/>
      <c r="F41" s="20">
        <f>IF(OR($D41="",$E41=""),"",$E41-$D41+1)</f>
        <v/>
      </c>
      <c r="G41" s="20" t="n"/>
      <c r="H41" s="20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20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21" t="n"/>
    </row>
    <row r="42">
      <c r="A42" s="20" t="n">
        <v>38</v>
      </c>
      <c r="B42" s="21" t="n"/>
      <c r="C42" s="20" t="n"/>
      <c r="D42" s="25" t="n"/>
      <c r="E42" s="25" t="n"/>
      <c r="F42" s="20">
        <f>IF(OR($D42="",$E42=""),"",$E42-$D42+1)</f>
        <v/>
      </c>
      <c r="G42" s="20" t="n"/>
      <c r="H42" s="20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20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21" t="n"/>
    </row>
    <row r="43">
      <c r="A43" s="20" t="n">
        <v>39</v>
      </c>
      <c r="B43" s="21" t="n"/>
      <c r="C43" s="20" t="n"/>
      <c r="D43" s="25" t="n"/>
      <c r="E43" s="25" t="n"/>
      <c r="F43" s="20">
        <f>IF(OR($D43="",$E43=""),"",$E43-$D43+1)</f>
        <v/>
      </c>
      <c r="G43" s="20" t="n"/>
      <c r="H43" s="20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20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21" t="n"/>
    </row>
    <row r="44">
      <c r="A44" s="20" t="n">
        <v>40</v>
      </c>
      <c r="B44" s="21" t="n"/>
      <c r="C44" s="20" t="n"/>
      <c r="D44" s="25" t="n"/>
      <c r="E44" s="25" t="n"/>
      <c r="F44" s="20">
        <f>IF(OR($D44="",$E44=""),"",$E44-$D44+1)</f>
        <v/>
      </c>
      <c r="G44" s="20" t="n"/>
      <c r="H44" s="20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20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21" t="n"/>
    </row>
    <row r="45">
      <c r="A45" s="20" t="n">
        <v>41</v>
      </c>
      <c r="B45" s="21" t="n"/>
      <c r="C45" s="20" t="n"/>
      <c r="D45" s="25" t="n"/>
      <c r="E45" s="25" t="n"/>
      <c r="F45" s="20">
        <f>IF(OR($D45="",$E45=""),"",$E45-$D45+1)</f>
        <v/>
      </c>
      <c r="G45" s="20" t="n"/>
      <c r="H45" s="20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20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21" t="n"/>
    </row>
    <row r="46">
      <c r="A46" s="20" t="n">
        <v>42</v>
      </c>
      <c r="B46" s="21" t="n"/>
      <c r="C46" s="20" t="n"/>
      <c r="D46" s="25" t="n"/>
      <c r="E46" s="25" t="n"/>
      <c r="F46" s="20">
        <f>IF(OR($D46="",$E46=""),"",$E46-$D46+1)</f>
        <v/>
      </c>
      <c r="G46" s="20" t="n"/>
      <c r="H46" s="20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20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21" t="n"/>
    </row>
    <row r="47">
      <c r="A47" s="20" t="n">
        <v>43</v>
      </c>
      <c r="B47" s="21" t="n"/>
      <c r="C47" s="20" t="n"/>
      <c r="D47" s="25" t="n"/>
      <c r="E47" s="25" t="n"/>
      <c r="F47" s="20">
        <f>IF(OR($D47="",$E47=""),"",$E47-$D47+1)</f>
        <v/>
      </c>
      <c r="G47" s="20" t="n"/>
      <c r="H47" s="20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20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21" t="n"/>
    </row>
    <row r="48">
      <c r="A48" s="20" t="n">
        <v>44</v>
      </c>
      <c r="B48" s="21" t="n"/>
      <c r="C48" s="20" t="n"/>
      <c r="D48" s="25" t="n"/>
      <c r="E48" s="25" t="n"/>
      <c r="F48" s="20">
        <f>IF(OR($D48="",$E48=""),"",$E48-$D48+1)</f>
        <v/>
      </c>
      <c r="G48" s="20" t="n"/>
      <c r="H48" s="20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20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21" t="n"/>
    </row>
    <row r="49">
      <c r="A49" s="20" t="n">
        <v>45</v>
      </c>
      <c r="B49" s="21" t="n"/>
      <c r="C49" s="20" t="n"/>
      <c r="D49" s="25" t="n"/>
      <c r="E49" s="25" t="n"/>
      <c r="F49" s="20">
        <f>IF(OR($D49="",$E49=""),"",$E49-$D49+1)</f>
        <v/>
      </c>
      <c r="G49" s="20" t="n"/>
      <c r="H49" s="20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20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21" t="n"/>
    </row>
    <row r="50">
      <c r="A50" s="20" t="n">
        <v>46</v>
      </c>
      <c r="B50" s="21" t="n"/>
      <c r="C50" s="20" t="n"/>
      <c r="D50" s="25" t="n"/>
      <c r="E50" s="25" t="n"/>
      <c r="F50" s="20">
        <f>IF(OR($D50="",$E50=""),"",$E50-$D50+1)</f>
        <v/>
      </c>
      <c r="G50" s="20" t="n"/>
      <c r="H50" s="20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20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21" t="n"/>
    </row>
    <row r="51">
      <c r="A51" s="20" t="n">
        <v>47</v>
      </c>
      <c r="B51" s="21" t="n"/>
      <c r="C51" s="20" t="n"/>
      <c r="D51" s="25" t="n"/>
      <c r="E51" s="25" t="n"/>
      <c r="F51" s="20">
        <f>IF(OR($D51="",$E51=""),"",$E51-$D51+1)</f>
        <v/>
      </c>
      <c r="G51" s="20" t="n"/>
      <c r="H51" s="20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20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21" t="n"/>
    </row>
    <row r="52">
      <c r="A52" s="20" t="n">
        <v>48</v>
      </c>
      <c r="B52" s="21" t="n"/>
      <c r="C52" s="20" t="n"/>
      <c r="D52" s="25" t="n"/>
      <c r="E52" s="25" t="n"/>
      <c r="F52" s="20">
        <f>IF(OR($D52="",$E52=""),"",$E52-$D52+1)</f>
        <v/>
      </c>
      <c r="G52" s="20" t="n"/>
      <c r="H52" s="20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20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21" t="n"/>
    </row>
    <row r="53">
      <c r="A53" s="20" t="n">
        <v>49</v>
      </c>
      <c r="B53" s="21" t="n"/>
      <c r="C53" s="20" t="n"/>
      <c r="D53" s="25" t="n"/>
      <c r="E53" s="25" t="n"/>
      <c r="F53" s="20">
        <f>IF(OR($D53="",$E53=""),"",$E53-$D53+1)</f>
        <v/>
      </c>
      <c r="G53" s="20" t="n"/>
      <c r="H53" s="20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20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21" t="n"/>
    </row>
    <row r="54">
      <c r="A54" s="20" t="n">
        <v>50</v>
      </c>
      <c r="B54" s="21" t="n"/>
      <c r="C54" s="20" t="n"/>
      <c r="D54" s="25" t="n"/>
      <c r="E54" s="25" t="n"/>
      <c r="F54" s="20">
        <f>IF(OR($D54="",$E54=""),"",$E54-$D54+1)</f>
        <v/>
      </c>
      <c r="G54" s="20" t="n"/>
      <c r="H54" s="20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20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21" t="n"/>
    </row>
    <row r="55">
      <c r="A55" s="20" t="n">
        <v>51</v>
      </c>
      <c r="B55" s="21" t="n"/>
      <c r="C55" s="20" t="n"/>
      <c r="D55" s="25" t="n"/>
      <c r="E55" s="25" t="n"/>
      <c r="F55" s="20">
        <f>IF(OR($D55="",$E55=""),"",$E55-$D55+1)</f>
        <v/>
      </c>
      <c r="G55" s="20" t="n"/>
      <c r="H55" s="20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20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21" t="n"/>
    </row>
    <row r="56">
      <c r="A56" s="20" t="n">
        <v>52</v>
      </c>
      <c r="B56" s="21" t="n"/>
      <c r="C56" s="20" t="n"/>
      <c r="D56" s="25" t="n"/>
      <c r="E56" s="25" t="n"/>
      <c r="F56" s="20">
        <f>IF(OR($D56="",$E56=""),"",$E56-$D56+1)</f>
        <v/>
      </c>
      <c r="G56" s="20" t="n"/>
      <c r="H56" s="20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20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21" t="n"/>
    </row>
    <row r="57">
      <c r="A57" s="20" t="n">
        <v>53</v>
      </c>
      <c r="B57" s="21" t="n"/>
      <c r="C57" s="20" t="n"/>
      <c r="D57" s="25" t="n"/>
      <c r="E57" s="25" t="n"/>
      <c r="F57" s="20">
        <f>IF(OR($D57="",$E57=""),"",$E57-$D57+1)</f>
        <v/>
      </c>
      <c r="G57" s="20" t="n"/>
      <c r="H57" s="20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20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21" t="n"/>
    </row>
    <row r="58">
      <c r="A58" s="20" t="n">
        <v>54</v>
      </c>
      <c r="B58" s="21" t="n"/>
      <c r="C58" s="20" t="n"/>
      <c r="D58" s="25" t="n"/>
      <c r="E58" s="25" t="n"/>
      <c r="F58" s="20">
        <f>IF(OR($D58="",$E58=""),"",$E58-$D58+1)</f>
        <v/>
      </c>
      <c r="G58" s="20" t="n"/>
      <c r="H58" s="20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20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21" t="n"/>
    </row>
    <row r="59">
      <c r="A59" s="20" t="n">
        <v>55</v>
      </c>
      <c r="B59" s="21" t="n"/>
      <c r="C59" s="20" t="n"/>
      <c r="D59" s="25" t="n"/>
      <c r="E59" s="25" t="n"/>
      <c r="F59" s="20">
        <f>IF(OR($D59="",$E59=""),"",$E59-$D59+1)</f>
        <v/>
      </c>
      <c r="G59" s="20" t="n"/>
      <c r="H59" s="20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20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21" t="n"/>
    </row>
    <row r="60">
      <c r="A60" s="20" t="n">
        <v>56</v>
      </c>
      <c r="B60" s="21" t="n"/>
      <c r="C60" s="20" t="n"/>
      <c r="D60" s="25" t="n"/>
      <c r="E60" s="25" t="n"/>
      <c r="F60" s="20">
        <f>IF(OR($D60="",$E60=""),"",$E60-$D60+1)</f>
        <v/>
      </c>
      <c r="G60" s="20" t="n"/>
      <c r="H60" s="20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20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21" t="n"/>
    </row>
    <row r="61">
      <c r="A61" s="20" t="n">
        <v>57</v>
      </c>
      <c r="B61" s="21" t="n"/>
      <c r="C61" s="20" t="n"/>
      <c r="D61" s="25" t="n"/>
      <c r="E61" s="25" t="n"/>
      <c r="F61" s="20">
        <f>IF(OR($D61="",$E61=""),"",$E61-$D61+1)</f>
        <v/>
      </c>
      <c r="G61" s="20" t="n"/>
      <c r="H61" s="20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20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21" t="n"/>
    </row>
    <row r="62">
      <c r="A62" s="20" t="n">
        <v>58</v>
      </c>
      <c r="B62" s="21" t="n"/>
      <c r="C62" s="20" t="n"/>
      <c r="D62" s="25" t="n"/>
      <c r="E62" s="25" t="n"/>
      <c r="F62" s="20">
        <f>IF(OR($D62="",$E62=""),"",$E62-$D62+1)</f>
        <v/>
      </c>
      <c r="G62" s="20" t="n"/>
      <c r="H62" s="20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20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21" t="n"/>
    </row>
    <row r="63">
      <c r="A63" s="20" t="n">
        <v>59</v>
      </c>
      <c r="B63" s="21" t="n"/>
      <c r="C63" s="20" t="n"/>
      <c r="D63" s="25" t="n"/>
      <c r="E63" s="25" t="n"/>
      <c r="F63" s="20">
        <f>IF(OR($D63="",$E63=""),"",$E63-$D63+1)</f>
        <v/>
      </c>
      <c r="G63" s="20" t="n"/>
      <c r="H63" s="20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20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21" t="n"/>
    </row>
    <row r="64">
      <c r="A64" s="20" t="n">
        <v>60</v>
      </c>
      <c r="B64" s="21" t="n"/>
      <c r="C64" s="20" t="n"/>
      <c r="D64" s="25" t="n"/>
      <c r="E64" s="25" t="n"/>
      <c r="F64" s="20">
        <f>IF(OR($D64="",$E64=""),"",$E64-$D64+1)</f>
        <v/>
      </c>
      <c r="G64" s="20" t="n"/>
      <c r="H64" s="20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20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21" t="n"/>
    </row>
    <row r="65">
      <c r="A65" s="20" t="n">
        <v>61</v>
      </c>
      <c r="B65" s="21" t="n"/>
      <c r="C65" s="20" t="n"/>
      <c r="D65" s="25" t="n"/>
      <c r="E65" s="25" t="n"/>
      <c r="F65" s="20">
        <f>IF(OR($D65="",$E65=""),"",$E65-$D65+1)</f>
        <v/>
      </c>
      <c r="G65" s="20" t="n"/>
      <c r="H65" s="20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20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21" t="n"/>
    </row>
    <row r="66">
      <c r="A66" s="20" t="n">
        <v>62</v>
      </c>
      <c r="B66" s="21" t="n"/>
      <c r="C66" s="20" t="n"/>
      <c r="D66" s="25" t="n"/>
      <c r="E66" s="25" t="n"/>
      <c r="F66" s="20">
        <f>IF(OR($D66="",$E66=""),"",$E66-$D66+1)</f>
        <v/>
      </c>
      <c r="G66" s="20" t="n"/>
      <c r="H66" s="20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20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21" t="n"/>
    </row>
    <row r="67">
      <c r="A67" s="20" t="n">
        <v>63</v>
      </c>
      <c r="B67" s="21" t="n"/>
      <c r="C67" s="20" t="n"/>
      <c r="D67" s="25" t="n"/>
      <c r="E67" s="25" t="n"/>
      <c r="F67" s="20">
        <f>IF(OR($D67="",$E67=""),"",$E67-$D67+1)</f>
        <v/>
      </c>
      <c r="G67" s="20" t="n"/>
      <c r="H67" s="20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20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21" t="n"/>
    </row>
    <row r="68">
      <c r="A68" s="20" t="n">
        <v>64</v>
      </c>
      <c r="B68" s="21" t="n"/>
      <c r="C68" s="20" t="n"/>
      <c r="D68" s="25" t="n"/>
      <c r="E68" s="25" t="n"/>
      <c r="F68" s="20">
        <f>IF(OR($D68="",$E68=""),"",$E68-$D68+1)</f>
        <v/>
      </c>
      <c r="G68" s="20" t="n"/>
      <c r="H68" s="20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20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21" t="n"/>
    </row>
    <row r="69">
      <c r="A69" s="20" t="n">
        <v>65</v>
      </c>
      <c r="B69" s="21" t="n"/>
      <c r="C69" s="20" t="n"/>
      <c r="D69" s="25" t="n"/>
      <c r="E69" s="25" t="n"/>
      <c r="F69" s="20">
        <f>IF(OR($D69="",$E69=""),"",$E69-$D69+1)</f>
        <v/>
      </c>
      <c r="G69" s="20" t="n"/>
      <c r="H69" s="20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20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21" t="n"/>
    </row>
    <row r="70">
      <c r="A70" s="20" t="n">
        <v>66</v>
      </c>
      <c r="B70" s="21" t="n"/>
      <c r="C70" s="20" t="n"/>
      <c r="D70" s="25" t="n"/>
      <c r="E70" s="25" t="n"/>
      <c r="F70" s="20">
        <f>IF(OR($D70="",$E70=""),"",$E70-$D70+1)</f>
        <v/>
      </c>
      <c r="G70" s="20" t="n"/>
      <c r="H70" s="20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20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21" t="n"/>
    </row>
    <row r="71">
      <c r="A71" s="20" t="n">
        <v>67</v>
      </c>
      <c r="B71" s="21" t="n"/>
      <c r="C71" s="20" t="n"/>
      <c r="D71" s="25" t="n"/>
      <c r="E71" s="25" t="n"/>
      <c r="F71" s="20">
        <f>IF(OR($D71="",$E71=""),"",$E71-$D71+1)</f>
        <v/>
      </c>
      <c r="G71" s="20" t="n"/>
      <c r="H71" s="20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20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21" t="n"/>
    </row>
    <row r="72">
      <c r="A72" s="20" t="n">
        <v>68</v>
      </c>
      <c r="B72" s="21" t="n"/>
      <c r="C72" s="20" t="n"/>
      <c r="D72" s="25" t="n"/>
      <c r="E72" s="25" t="n"/>
      <c r="F72" s="20">
        <f>IF(OR($D72="",$E72=""),"",$E72-$D72+1)</f>
        <v/>
      </c>
      <c r="G72" s="20" t="n"/>
      <c r="H72" s="20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20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21" t="n"/>
    </row>
    <row r="73">
      <c r="A73" s="20" t="n">
        <v>69</v>
      </c>
      <c r="B73" s="21" t="n"/>
      <c r="C73" s="20" t="n"/>
      <c r="D73" s="25" t="n"/>
      <c r="E73" s="25" t="n"/>
      <c r="F73" s="20">
        <f>IF(OR($D73="",$E73=""),"",$E73-$D73+1)</f>
        <v/>
      </c>
      <c r="G73" s="20" t="n"/>
      <c r="H73" s="20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20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21" t="n"/>
    </row>
    <row r="74">
      <c r="A74" s="20" t="n">
        <v>70</v>
      </c>
      <c r="B74" s="21" t="n"/>
      <c r="C74" s="20" t="n"/>
      <c r="D74" s="25" t="n"/>
      <c r="E74" s="25" t="n"/>
      <c r="F74" s="20">
        <f>IF(OR($D74="",$E74=""),"",$E74-$D74+1)</f>
        <v/>
      </c>
      <c r="G74" s="20" t="n"/>
      <c r="H74" s="20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20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21" t="n"/>
    </row>
    <row r="75">
      <c r="A75" s="20" t="n">
        <v>71</v>
      </c>
      <c r="B75" s="21" t="n"/>
      <c r="C75" s="20" t="n"/>
      <c r="D75" s="25" t="n"/>
      <c r="E75" s="25" t="n"/>
      <c r="F75" s="20">
        <f>IF(OR($D75="",$E75=""),"",$E75-$D75+1)</f>
        <v/>
      </c>
      <c r="G75" s="20" t="n"/>
      <c r="H75" s="20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20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21" t="n"/>
    </row>
    <row r="76">
      <c r="A76" s="20" t="n">
        <v>72</v>
      </c>
      <c r="B76" s="21" t="n"/>
      <c r="C76" s="20" t="n"/>
      <c r="D76" s="25" t="n"/>
      <c r="E76" s="25" t="n"/>
      <c r="F76" s="20">
        <f>IF(OR($D76="",$E76=""),"",$E76-$D76+1)</f>
        <v/>
      </c>
      <c r="G76" s="20" t="n"/>
      <c r="H76" s="20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20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21" t="n"/>
    </row>
    <row r="77">
      <c r="A77" s="20" t="n">
        <v>73</v>
      </c>
      <c r="B77" s="21" t="n"/>
      <c r="C77" s="20" t="n"/>
      <c r="D77" s="25" t="n"/>
      <c r="E77" s="25" t="n"/>
      <c r="F77" s="20">
        <f>IF(OR($D77="",$E77=""),"",$E77-$D77+1)</f>
        <v/>
      </c>
      <c r="G77" s="20" t="n"/>
      <c r="H77" s="20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20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21" t="n"/>
    </row>
    <row r="78">
      <c r="A78" s="20" t="n">
        <v>74</v>
      </c>
      <c r="B78" s="21" t="n"/>
      <c r="C78" s="20" t="n"/>
      <c r="D78" s="25" t="n"/>
      <c r="E78" s="25" t="n"/>
      <c r="F78" s="20">
        <f>IF(OR($D78="",$E78=""),"",$E78-$D78+1)</f>
        <v/>
      </c>
      <c r="G78" s="20" t="n"/>
      <c r="H78" s="20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20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21" t="n"/>
    </row>
    <row r="79">
      <c r="A79" s="20" t="n">
        <v>75</v>
      </c>
      <c r="B79" s="21" t="n"/>
      <c r="C79" s="20" t="n"/>
      <c r="D79" s="25" t="n"/>
      <c r="E79" s="25" t="n"/>
      <c r="F79" s="20">
        <f>IF(OR($D79="",$E79=""),"",$E79-$D79+1)</f>
        <v/>
      </c>
      <c r="G79" s="20" t="n"/>
      <c r="H79" s="20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20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21" t="n"/>
    </row>
    <row r="80">
      <c r="A80" s="20" t="n">
        <v>76</v>
      </c>
      <c r="B80" s="21" t="n"/>
      <c r="C80" s="20" t="n"/>
      <c r="D80" s="25" t="n"/>
      <c r="E80" s="25" t="n"/>
      <c r="F80" s="20">
        <f>IF(OR($D80="",$E80=""),"",$E80-$D80+1)</f>
        <v/>
      </c>
      <c r="G80" s="20" t="n"/>
      <c r="H80" s="20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20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21" t="n"/>
    </row>
    <row r="81">
      <c r="A81" s="20" t="n">
        <v>77</v>
      </c>
      <c r="B81" s="21" t="n"/>
      <c r="C81" s="20" t="n"/>
      <c r="D81" s="25" t="n"/>
      <c r="E81" s="25" t="n"/>
      <c r="F81" s="20">
        <f>IF(OR($D81="",$E81=""),"",$E81-$D81+1)</f>
        <v/>
      </c>
      <c r="G81" s="20" t="n"/>
      <c r="H81" s="20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20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21" t="n"/>
    </row>
    <row r="82">
      <c r="A82" s="20" t="n">
        <v>78</v>
      </c>
      <c r="B82" s="21" t="n"/>
      <c r="C82" s="20" t="n"/>
      <c r="D82" s="25" t="n"/>
      <c r="E82" s="25" t="n"/>
      <c r="F82" s="20">
        <f>IF(OR($D82="",$E82=""),"",$E82-$D82+1)</f>
        <v/>
      </c>
      <c r="G82" s="20" t="n"/>
      <c r="H82" s="20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20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21" t="n"/>
    </row>
    <row r="83">
      <c r="A83" s="20" t="n">
        <v>79</v>
      </c>
      <c r="B83" s="21" t="n"/>
      <c r="C83" s="20" t="n"/>
      <c r="D83" s="25" t="n"/>
      <c r="E83" s="25" t="n"/>
      <c r="F83" s="20">
        <f>IF(OR($D83="",$E83=""),"",$E83-$D83+1)</f>
        <v/>
      </c>
      <c r="G83" s="20" t="n"/>
      <c r="H83" s="20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20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21" t="n"/>
    </row>
    <row r="84">
      <c r="A84" s="20" t="n">
        <v>80</v>
      </c>
      <c r="B84" s="21" t="n"/>
      <c r="C84" s="20" t="n"/>
      <c r="D84" s="25" t="n"/>
      <c r="E84" s="25" t="n"/>
      <c r="F84" s="20">
        <f>IF(OR($D84="",$E84=""),"",$E84-$D84+1)</f>
        <v/>
      </c>
      <c r="G84" s="20" t="n"/>
      <c r="H84" s="20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20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21" t="n"/>
    </row>
    <row r="85">
      <c r="A85" s="20" t="n">
        <v>81</v>
      </c>
      <c r="B85" s="21" t="n"/>
      <c r="C85" s="20" t="n"/>
      <c r="D85" s="25" t="n"/>
      <c r="E85" s="25" t="n"/>
      <c r="F85" s="20">
        <f>IF(OR($D85="",$E85=""),"",$E85-$D85+1)</f>
        <v/>
      </c>
      <c r="G85" s="20" t="n"/>
      <c r="H85" s="20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20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21" t="n"/>
    </row>
    <row r="86">
      <c r="A86" s="20" t="n">
        <v>82</v>
      </c>
      <c r="B86" s="21" t="n"/>
      <c r="C86" s="20" t="n"/>
      <c r="D86" s="25" t="n"/>
      <c r="E86" s="25" t="n"/>
      <c r="F86" s="20">
        <f>IF(OR($D86="",$E86=""),"",$E86-$D86+1)</f>
        <v/>
      </c>
      <c r="G86" s="20" t="n"/>
      <c r="H86" s="20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20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21" t="n"/>
    </row>
    <row r="87">
      <c r="A87" s="20" t="n">
        <v>83</v>
      </c>
      <c r="B87" s="21" t="n"/>
      <c r="C87" s="20" t="n"/>
      <c r="D87" s="25" t="n"/>
      <c r="E87" s="25" t="n"/>
      <c r="F87" s="20">
        <f>IF(OR($D87="",$E87=""),"",$E87-$D87+1)</f>
        <v/>
      </c>
      <c r="G87" s="20" t="n"/>
      <c r="H87" s="20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20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21" t="n"/>
    </row>
    <row r="88">
      <c r="A88" s="20" t="n">
        <v>84</v>
      </c>
      <c r="B88" s="21" t="n"/>
      <c r="C88" s="20" t="n"/>
      <c r="D88" s="25" t="n"/>
      <c r="E88" s="25" t="n"/>
      <c r="F88" s="20">
        <f>IF(OR($D88="",$E88=""),"",$E88-$D88+1)</f>
        <v/>
      </c>
      <c r="G88" s="20" t="n"/>
      <c r="H88" s="20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20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21" t="n"/>
    </row>
    <row r="89">
      <c r="A89" s="20" t="n">
        <v>85</v>
      </c>
      <c r="B89" s="21" t="n"/>
      <c r="C89" s="20" t="n"/>
      <c r="D89" s="25" t="n"/>
      <c r="E89" s="25" t="n"/>
      <c r="F89" s="20">
        <f>IF(OR($D89="",$E89=""),"",$E89-$D89+1)</f>
        <v/>
      </c>
      <c r="G89" s="20" t="n"/>
      <c r="H89" s="20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20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21" t="n"/>
    </row>
    <row r="90">
      <c r="A90" s="20" t="n">
        <v>86</v>
      </c>
      <c r="B90" s="21" t="n"/>
      <c r="C90" s="20" t="n"/>
      <c r="D90" s="25" t="n"/>
      <c r="E90" s="25" t="n"/>
      <c r="F90" s="20">
        <f>IF(OR($D90="",$E90=""),"",$E90-$D90+1)</f>
        <v/>
      </c>
      <c r="G90" s="20" t="n"/>
      <c r="H90" s="20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20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21" t="n"/>
    </row>
    <row r="91">
      <c r="A91" s="20" t="n">
        <v>87</v>
      </c>
      <c r="B91" s="21" t="n"/>
      <c r="C91" s="20" t="n"/>
      <c r="D91" s="25" t="n"/>
      <c r="E91" s="25" t="n"/>
      <c r="F91" s="20">
        <f>IF(OR($D91="",$E91=""),"",$E91-$D91+1)</f>
        <v/>
      </c>
      <c r="G91" s="20" t="n"/>
      <c r="H91" s="20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20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21" t="n"/>
    </row>
    <row r="92">
      <c r="A92" s="20" t="n">
        <v>88</v>
      </c>
      <c r="B92" s="21" t="n"/>
      <c r="C92" s="20" t="n"/>
      <c r="D92" s="25" t="n"/>
      <c r="E92" s="25" t="n"/>
      <c r="F92" s="20">
        <f>IF(OR($D92="",$E92=""),"",$E92-$D92+1)</f>
        <v/>
      </c>
      <c r="G92" s="20" t="n"/>
      <c r="H92" s="20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20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21" t="n"/>
    </row>
    <row r="93">
      <c r="A93" s="20" t="n">
        <v>89</v>
      </c>
      <c r="B93" s="21" t="n"/>
      <c r="C93" s="20" t="n"/>
      <c r="D93" s="25" t="n"/>
      <c r="E93" s="25" t="n"/>
      <c r="F93" s="20">
        <f>IF(OR($D93="",$E93=""),"",$E93-$D93+1)</f>
        <v/>
      </c>
      <c r="G93" s="20" t="n"/>
      <c r="H93" s="20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20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21" t="n"/>
    </row>
    <row r="94">
      <c r="A94" s="20" t="n">
        <v>90</v>
      </c>
      <c r="B94" s="21" t="n"/>
      <c r="C94" s="20" t="n"/>
      <c r="D94" s="25" t="n"/>
      <c r="E94" s="25" t="n"/>
      <c r="F94" s="20">
        <f>IF(OR($D94="",$E94=""),"",$E94-$D94+1)</f>
        <v/>
      </c>
      <c r="G94" s="20" t="n"/>
      <c r="H94" s="20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20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21" t="n"/>
    </row>
    <row r="95">
      <c r="A95" s="20" t="n">
        <v>91</v>
      </c>
      <c r="B95" s="21" t="n"/>
      <c r="C95" s="20" t="n"/>
      <c r="D95" s="25" t="n"/>
      <c r="E95" s="25" t="n"/>
      <c r="F95" s="20">
        <f>IF(OR($D95="",$E95=""),"",$E95-$D95+1)</f>
        <v/>
      </c>
      <c r="G95" s="20" t="n"/>
      <c r="H95" s="20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20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21" t="n"/>
    </row>
    <row r="96">
      <c r="A96" s="20" t="n">
        <v>92</v>
      </c>
      <c r="B96" s="21" t="n"/>
      <c r="C96" s="20" t="n"/>
      <c r="D96" s="25" t="n"/>
      <c r="E96" s="25" t="n"/>
      <c r="F96" s="20">
        <f>IF(OR($D96="",$E96=""),"",$E96-$D96+1)</f>
        <v/>
      </c>
      <c r="G96" s="20" t="n"/>
      <c r="H96" s="20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20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21" t="n"/>
    </row>
    <row r="97">
      <c r="A97" s="20" t="n">
        <v>93</v>
      </c>
      <c r="B97" s="21" t="n"/>
      <c r="C97" s="20" t="n"/>
      <c r="D97" s="25" t="n"/>
      <c r="E97" s="25" t="n"/>
      <c r="F97" s="20">
        <f>IF(OR($D97="",$E97=""),"",$E97-$D97+1)</f>
        <v/>
      </c>
      <c r="G97" s="20" t="n"/>
      <c r="H97" s="20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20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21" t="n"/>
    </row>
    <row r="98">
      <c r="A98" s="20" t="n">
        <v>94</v>
      </c>
      <c r="B98" s="21" t="n"/>
      <c r="C98" s="20" t="n"/>
      <c r="D98" s="25" t="n"/>
      <c r="E98" s="25" t="n"/>
      <c r="F98" s="20">
        <f>IF(OR($D98="",$E98=""),"",$E98-$D98+1)</f>
        <v/>
      </c>
      <c r="G98" s="20" t="n"/>
      <c r="H98" s="20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20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21" t="n"/>
    </row>
    <row r="99">
      <c r="A99" s="20" t="n">
        <v>95</v>
      </c>
      <c r="B99" s="21" t="n"/>
      <c r="C99" s="20" t="n"/>
      <c r="D99" s="25" t="n"/>
      <c r="E99" s="25" t="n"/>
      <c r="F99" s="20">
        <f>IF(OR($D99="",$E99=""),"",$E99-$D99+1)</f>
        <v/>
      </c>
      <c r="G99" s="20" t="n"/>
      <c r="H99" s="20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20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21" t="n"/>
    </row>
    <row r="100">
      <c r="A100" s="20" t="n">
        <v>96</v>
      </c>
      <c r="B100" s="21" t="n"/>
      <c r="C100" s="20" t="n"/>
      <c r="D100" s="25" t="n"/>
      <c r="E100" s="25" t="n"/>
      <c r="F100" s="20">
        <f>IF(OR($D100="",$E100=""),"",$E100-$D100+1)</f>
        <v/>
      </c>
      <c r="G100" s="20" t="n"/>
      <c r="H100" s="20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20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21" t="n"/>
    </row>
    <row r="101">
      <c r="A101" s="20" t="n">
        <v>97</v>
      </c>
      <c r="B101" s="21" t="n"/>
      <c r="C101" s="20" t="n"/>
      <c r="D101" s="25" t="n"/>
      <c r="E101" s="25" t="n"/>
      <c r="F101" s="20">
        <f>IF(OR($D101="",$E101=""),"",$E101-$D101+1)</f>
        <v/>
      </c>
      <c r="G101" s="20" t="n"/>
      <c r="H101" s="20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20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21" t="n"/>
    </row>
    <row r="102">
      <c r="A102" s="20" t="n">
        <v>98</v>
      </c>
      <c r="B102" s="21" t="n"/>
      <c r="C102" s="20" t="n"/>
      <c r="D102" s="25" t="n"/>
      <c r="E102" s="25" t="n"/>
      <c r="F102" s="20">
        <f>IF(OR($D102="",$E102=""),"",$E102-$D102+1)</f>
        <v/>
      </c>
      <c r="G102" s="20" t="n"/>
      <c r="H102" s="20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20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21" t="n"/>
    </row>
    <row r="103">
      <c r="A103" s="20" t="n">
        <v>99</v>
      </c>
      <c r="B103" s="21" t="n"/>
      <c r="C103" s="20" t="n"/>
      <c r="D103" s="25" t="n"/>
      <c r="E103" s="25" t="n"/>
      <c r="F103" s="20">
        <f>IF(OR($D103="",$E103=""),"",$E103-$D103+1)</f>
        <v/>
      </c>
      <c r="G103" s="20" t="n"/>
      <c r="H103" s="20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20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21" t="n"/>
    </row>
    <row r="104">
      <c r="A104" s="20" t="n">
        <v>100</v>
      </c>
      <c r="B104" s="21" t="n"/>
      <c r="C104" s="20" t="n"/>
      <c r="D104" s="25" t="n"/>
      <c r="E104" s="25" t="n"/>
      <c r="F104" s="20">
        <f>IF(OR($D104="",$E104=""),"",$E104-$D104+1)</f>
        <v/>
      </c>
      <c r="G104" s="20" t="n"/>
      <c r="H104" s="20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20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21" t="n"/>
    </row>
  </sheetData>
  <conditionalFormatting sqref="H5:H104">
    <cfRule type="cellIs" priority="1" operator="equal" dxfId="3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</cols>
  <sheetData>
    <row r="1">
      <c r="A1" s="23" t="inlineStr">
        <is>
          <t>جدول الورديات — 6 عمل / 4 راحة — صباح (6ص-1م) / عصر (1م-9م) / ليل (9م-6ص)</t>
        </is>
      </c>
    </row>
    <row r="2">
      <c r="B2" s="26" t="inlineStr">
        <is>
          <t>التاريخ ←</t>
        </is>
      </c>
      <c r="D2" s="27" t="inlineStr">
        <is>
          <t>الثلاثاء</t>
        </is>
      </c>
      <c r="E2" s="27" t="inlineStr">
        <is>
          <t>الأربعاء</t>
        </is>
      </c>
      <c r="F2" s="27" t="inlineStr">
        <is>
          <t>الخميس</t>
        </is>
      </c>
      <c r="G2" s="27" t="inlineStr">
        <is>
          <t>الجمعة</t>
        </is>
      </c>
      <c r="H2" s="27" t="inlineStr">
        <is>
          <t>السبت</t>
        </is>
      </c>
      <c r="I2" s="27" t="inlineStr">
        <is>
          <t>الأحد</t>
        </is>
      </c>
      <c r="J2" s="27" t="inlineStr">
        <is>
          <t>الإثنين</t>
        </is>
      </c>
      <c r="K2" s="27" t="inlineStr">
        <is>
          <t>الثلاثاء</t>
        </is>
      </c>
      <c r="L2" s="27" t="inlineStr">
        <is>
          <t>الأربعاء</t>
        </is>
      </c>
      <c r="M2" s="27" t="inlineStr">
        <is>
          <t>الخميس</t>
        </is>
      </c>
      <c r="N2" s="27" t="inlineStr">
        <is>
          <t>الجمعة</t>
        </is>
      </c>
      <c r="O2" s="27" t="inlineStr">
        <is>
          <t>السبت</t>
        </is>
      </c>
      <c r="P2" s="27" t="inlineStr">
        <is>
          <t>الأحد</t>
        </is>
      </c>
      <c r="Q2" s="27" t="inlineStr">
        <is>
          <t>الإثنين</t>
        </is>
      </c>
      <c r="R2" s="27" t="inlineStr">
        <is>
          <t>الثلاثاء</t>
        </is>
      </c>
      <c r="S2" s="27" t="inlineStr">
        <is>
          <t>الأربعاء</t>
        </is>
      </c>
      <c r="T2" s="27" t="inlineStr">
        <is>
          <t>الخميس</t>
        </is>
      </c>
      <c r="U2" s="27" t="inlineStr">
        <is>
          <t>الجمعة</t>
        </is>
      </c>
      <c r="V2" s="27" t="inlineStr">
        <is>
          <t>السبت</t>
        </is>
      </c>
      <c r="W2" s="27" t="inlineStr">
        <is>
          <t>الأحد</t>
        </is>
      </c>
      <c r="X2" s="27" t="inlineStr">
        <is>
          <t>الإثنين</t>
        </is>
      </c>
      <c r="Y2" s="27" t="inlineStr">
        <is>
          <t>الثلاثاء</t>
        </is>
      </c>
      <c r="Z2" s="27" t="inlineStr">
        <is>
          <t>الأربعاء</t>
        </is>
      </c>
      <c r="AA2" s="27" t="inlineStr">
        <is>
          <t>الخميس</t>
        </is>
      </c>
      <c r="AB2" s="27" t="inlineStr">
        <is>
          <t>الجمعة</t>
        </is>
      </c>
      <c r="AC2" s="27" t="inlineStr">
        <is>
          <t>السبت</t>
        </is>
      </c>
      <c r="AD2" s="27" t="inlineStr">
        <is>
          <t>الأحد</t>
        </is>
      </c>
      <c r="AE2" s="27" t="inlineStr">
        <is>
          <t>الإثنين</t>
        </is>
      </c>
      <c r="AF2" s="27" t="inlineStr">
        <is>
          <t>الثلاثاء</t>
        </is>
      </c>
      <c r="AG2" s="27" t="inlineStr">
        <is>
          <t>الأربعاء</t>
        </is>
      </c>
      <c r="AH2" s="27" t="inlineStr">
        <is>
          <t>الخميس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8" t="n">
        <v>46189</v>
      </c>
      <c r="E3" s="28" t="n">
        <v>46190</v>
      </c>
      <c r="F3" s="28" t="n">
        <v>46191</v>
      </c>
      <c r="G3" s="29" t="n">
        <v>46192</v>
      </c>
      <c r="H3" s="28" t="n">
        <v>46193</v>
      </c>
      <c r="I3" s="28" t="n">
        <v>46194</v>
      </c>
      <c r="J3" s="28" t="n">
        <v>46195</v>
      </c>
      <c r="K3" s="28" t="n">
        <v>46196</v>
      </c>
      <c r="L3" s="28" t="n">
        <v>46197</v>
      </c>
      <c r="M3" s="28" t="n">
        <v>46198</v>
      </c>
      <c r="N3" s="29" t="n">
        <v>46199</v>
      </c>
      <c r="O3" s="28" t="n">
        <v>46200</v>
      </c>
      <c r="P3" s="28" t="n">
        <v>46201</v>
      </c>
      <c r="Q3" s="28" t="n">
        <v>46202</v>
      </c>
      <c r="R3" s="28" t="n">
        <v>46203</v>
      </c>
      <c r="S3" s="28" t="n">
        <v>46204</v>
      </c>
      <c r="T3" s="28" t="n">
        <v>46205</v>
      </c>
      <c r="U3" s="29" t="n">
        <v>46206</v>
      </c>
      <c r="V3" s="28" t="n">
        <v>46207</v>
      </c>
      <c r="W3" s="28" t="n">
        <v>46208</v>
      </c>
      <c r="X3" s="28" t="n">
        <v>46209</v>
      </c>
      <c r="Y3" s="28" t="n">
        <v>46210</v>
      </c>
      <c r="Z3" s="28" t="n">
        <v>46211</v>
      </c>
      <c r="AA3" s="28" t="n">
        <v>46212</v>
      </c>
      <c r="AB3" s="29" t="n">
        <v>46213</v>
      </c>
      <c r="AC3" s="28" t="n">
        <v>46214</v>
      </c>
      <c r="AD3" s="28" t="n">
        <v>46215</v>
      </c>
      <c r="AE3" s="28" t="n">
        <v>46216</v>
      </c>
      <c r="AF3" s="28" t="n">
        <v>46217</v>
      </c>
      <c r="AG3" s="28" t="n">
        <v>46218</v>
      </c>
      <c r="AH3" s="28" t="n">
        <v>46219</v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الإجازات'!$B$5:$B$104))=0,IF(D$3&lt;'الموظفون'!$E$2,"",IF(MOD(D$3-'الموظفون'!$E$2,CycleWork+CycleRest)&lt;CycleWork,'الموظفون'!$D$2,"راحة")),INDEX('حجز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الإجازات'!$B$5:$B$104))=0,IF(E$3&lt;'الموظفون'!$E$2,"",IF(MOD(E$3-'الموظفون'!$E$2,CycleWork+CycleRest)&lt;CycleWork,'الموظفون'!$D$2,"راحة")),INDEX('حجز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الإجازات'!$B$5:$B$104))=0,IF(F$3&lt;'الموظفون'!$E$2,"",IF(MOD(F$3-'الموظفون'!$E$2,CycleWork+CycleRest)&lt;CycleWork,'الموظفون'!$D$2,"راحة")),INDEX('حجز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الإجازات'!$B$5:$B$104))=0,IF(G$3&lt;'الموظفون'!$E$2,"",IF(MOD(G$3-'الموظفون'!$E$2,CycleWork+CycleRest)&lt;CycleWork,'الموظفون'!$D$2,"راحة")),INDEX('حجز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الإجازات'!$B$5:$B$104))=0,IF(H$3&lt;'الموظفون'!$E$2,"",IF(MOD(H$3-'الموظفون'!$E$2,CycleWork+CycleRest)&lt;CycleWork,'الموظفون'!$D$2,"راحة")),INDEX('حجز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الإجازات'!$B$5:$B$104))=0,IF(I$3&lt;'الموظفون'!$E$2,"",IF(MOD(I$3-'الموظفون'!$E$2,CycleWork+CycleRest)&lt;CycleWork,'الموظفون'!$D$2,"راحة")),INDEX('حجز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الإجازات'!$B$5:$B$104))=0,IF(J$3&lt;'الموظفون'!$E$2,"",IF(MOD(J$3-'الموظفون'!$E$2,CycleWork+CycleRest)&lt;CycleWork,'الموظفون'!$D$2,"راحة")),INDEX('حجز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الإجازات'!$B$5:$B$104))=0,IF(K$3&lt;'الموظفون'!$E$2,"",IF(MOD(K$3-'الموظفون'!$E$2,CycleWork+CycleRest)&lt;CycleWork,'الموظفون'!$D$2,"راحة")),INDEX('حجز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الإجازات'!$B$5:$B$104))=0,IF(L$3&lt;'الموظفون'!$E$2,"",IF(MOD(L$3-'الموظفون'!$E$2,CycleWork+CycleRest)&lt;CycleWork,'الموظفون'!$D$2,"راحة")),INDEX('حجز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الإجازات'!$B$5:$B$104))=0,IF(M$3&lt;'الموظفون'!$E$2,"",IF(MOD(M$3-'الموظفون'!$E$2,CycleWork+CycleRest)&lt;CycleWork,'الموظفون'!$D$2,"راحة")),INDEX('حجز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الإجازات'!$B$5:$B$104))=0,IF(N$3&lt;'الموظفون'!$E$2,"",IF(MOD(N$3-'الموظفون'!$E$2,CycleWork+CycleRest)&lt;CycleWork,'الموظفون'!$D$2,"راحة")),INDEX('حجز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الإجازات'!$B$5:$B$104))=0,IF(O$3&lt;'الموظفون'!$E$2,"",IF(MOD(O$3-'الموظفون'!$E$2,CycleWork+CycleRest)&lt;CycleWork,'الموظفون'!$D$2,"راحة")),INDEX('حجز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الإجازات'!$B$5:$B$104))=0,IF(P$3&lt;'الموظفون'!$E$2,"",IF(MOD(P$3-'الموظفون'!$E$2,CycleWork+CycleRest)&lt;CycleWork,'الموظفون'!$D$2,"راحة")),INDEX('حجز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الإجازات'!$B$5:$B$104))=0,IF(Q$3&lt;'الموظفون'!$E$2,"",IF(MOD(Q$3-'الموظفون'!$E$2,CycleWork+CycleRest)&lt;CycleWork,'الموظفون'!$D$2,"راحة")),INDEX('حجز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الإجازات'!$B$5:$B$104))=0,IF(R$3&lt;'الموظفون'!$E$2,"",IF(MOD(R$3-'الموظفون'!$E$2,CycleWork+CycleRest)&lt;CycleWork,'الموظفون'!$D$2,"راحة")),INDEX('حجز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الإجازات'!$B$5:$B$104))=0,IF(S$3&lt;'الموظفون'!$E$2,"",IF(MOD(S$3-'الموظفون'!$E$2,CycleWork+CycleRest)&lt;CycleWork,'الموظفون'!$D$2,"راحة")),INDEX('حجز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الإجازات'!$B$5:$B$104))=0,IF(T$3&lt;'الموظفون'!$E$2,"",IF(MOD(T$3-'الموظفون'!$E$2,CycleWork+CycleRest)&lt;CycleWork,'الموظفون'!$D$2,"راحة")),INDEX('حجز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الإجازات'!$B$5:$B$104))=0,IF(U$3&lt;'الموظفون'!$E$2,"",IF(MOD(U$3-'الموظفون'!$E$2,CycleWork+CycleRest)&lt;CycleWork,'الموظفون'!$D$2,"راحة")),INDEX('حجز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الإجازات'!$B$5:$B$104))=0,IF(V$3&lt;'الموظفون'!$E$2,"",IF(MOD(V$3-'الموظفون'!$E$2,CycleWork+CycleRest)&lt;CycleWork,'الموظفون'!$D$2,"راحة")),INDEX('حجز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الإجازات'!$B$5:$B$104))=0,IF(W$3&lt;'الموظفون'!$E$2,"",IF(MOD(W$3-'الموظفون'!$E$2,CycleWork+CycleRest)&lt;CycleWork,'الموظفون'!$D$2,"راحة")),INDEX('حجز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الإجازات'!$B$5:$B$104))=0,IF(X$3&lt;'الموظفون'!$E$2,"",IF(MOD(X$3-'الموظفون'!$E$2,CycleWork+CycleRest)&lt;CycleWork,'الموظفون'!$D$2,"راحة")),INDEX('حجز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الإجازات'!$B$5:$B$104))=0,IF(Y$3&lt;'الموظفون'!$E$2,"",IF(MOD(Y$3-'الموظفون'!$E$2,CycleWork+CycleRest)&lt;CycleWork,'الموظفون'!$D$2,"راحة")),INDEX('حجز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الإجازات'!$B$5:$B$104))=0,IF(Z$3&lt;'الموظفون'!$E$2,"",IF(MOD(Z$3-'الموظفون'!$E$2,CycleWork+CycleRest)&lt;CycleWork,'الموظفون'!$D$2,"راحة")),INDEX('حجز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الإجازات'!$B$5:$B$104))=0,IF(AA$3&lt;'الموظفون'!$E$2,"",IF(MOD(AA$3-'الموظفون'!$E$2,CycleWork+CycleRest)&lt;CycleWork,'الموظفون'!$D$2,"راحة")),INDEX('حجز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الإجازات'!$B$5:$B$104))=0,IF(AB$3&lt;'الموظفون'!$E$2,"",IF(MOD(AB$3-'الموظفون'!$E$2,CycleWork+CycleRest)&lt;CycleWork,'الموظفون'!$D$2,"راحة")),INDEX('حجز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الإجازات'!$B$5:$B$104))=0,IF(AC$3&lt;'الموظفون'!$E$2,"",IF(MOD(AC$3-'الموظفون'!$E$2,CycleWork+CycleRest)&lt;CycleWork,'الموظفون'!$D$2,"راحة")),INDEX('حجز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الإجازات'!$B$5:$B$104))=0,IF(AD$3&lt;'الموظفون'!$E$2,"",IF(MOD(AD$3-'الموظفون'!$E$2,CycleWork+CycleRest)&lt;CycleWork,'الموظفون'!$D$2,"راحة")),INDEX('حجز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الإجازات'!$B$5:$B$104))=0,IF(AE$3&lt;'الموظفون'!$E$2,"",IF(MOD(AE$3-'الموظفون'!$E$2,CycleWork+CycleRest)&lt;CycleWork,'الموظفون'!$D$2,"راحة")),INDEX('حجز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الإجازات'!$B$5:$B$104))=0,IF(AF$3&lt;'الموظفون'!$E$2,"",IF(MOD(AF$3-'الموظفون'!$E$2,CycleWork+CycleRest)&lt;CycleWork,'الموظفون'!$D$2,"راحة")),INDEX('حجز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الإجازات'!$B$5:$B$104))=0,IF(AG$3&lt;'الموظفون'!$E$2,"",IF(MOD(AG$3-'الموظفون'!$E$2,CycleWork+CycleRest)&lt;CycleWork,'الموظفون'!$D$2,"راحة")),INDEX('حجز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الإجازات'!$B$5:$B$104))=0,IF(AH$3&lt;'الموظفون'!$E$2,"",IF(MOD(AH$3-'الموظفون'!$E$2,CycleWork+CycleRest)&lt;CycleWork,'الموظفون'!$D$2,"راحة")),INDEX('حجز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الإجازات'!$B$5:$B$104))=0,IF(D$3&lt;'الموظفون'!$E$3,"",IF(MOD(D$3-'الموظفون'!$E$3,CycleWork+CycleRest)&lt;CycleWork,'الموظفون'!$D$3,"راحة")),INDEX('حجز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الإجازات'!$B$5:$B$104))=0,IF(E$3&lt;'الموظفون'!$E$3,"",IF(MOD(E$3-'الموظفون'!$E$3,CycleWork+CycleRest)&lt;CycleWork,'الموظفون'!$D$3,"راحة")),INDEX('حجز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الإجازات'!$B$5:$B$104))=0,IF(F$3&lt;'الموظفون'!$E$3,"",IF(MOD(F$3-'الموظفون'!$E$3,CycleWork+CycleRest)&lt;CycleWork,'الموظفون'!$D$3,"راحة")),INDEX('حجز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الإجازات'!$B$5:$B$104))=0,IF(G$3&lt;'الموظفون'!$E$3,"",IF(MOD(G$3-'الموظفون'!$E$3,CycleWork+CycleRest)&lt;CycleWork,'الموظفون'!$D$3,"راحة")),INDEX('حجز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الإجازات'!$B$5:$B$104))=0,IF(H$3&lt;'الموظفون'!$E$3,"",IF(MOD(H$3-'الموظفون'!$E$3,CycleWork+CycleRest)&lt;CycleWork,'الموظفون'!$D$3,"راحة")),INDEX('حجز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الإجازات'!$B$5:$B$104))=0,IF(I$3&lt;'الموظفون'!$E$3,"",IF(MOD(I$3-'الموظفون'!$E$3,CycleWork+CycleRest)&lt;CycleWork,'الموظفون'!$D$3,"راحة")),INDEX('حجز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الإجازات'!$B$5:$B$104))=0,IF(J$3&lt;'الموظفون'!$E$3,"",IF(MOD(J$3-'الموظفون'!$E$3,CycleWork+CycleRest)&lt;CycleWork,'الموظفون'!$D$3,"راحة")),INDEX('حجز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الإجازات'!$B$5:$B$104))=0,IF(K$3&lt;'الموظفون'!$E$3,"",IF(MOD(K$3-'الموظفون'!$E$3,CycleWork+CycleRest)&lt;CycleWork,'الموظفون'!$D$3,"راحة")),INDEX('حجز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الإجازات'!$B$5:$B$104))=0,IF(L$3&lt;'الموظفون'!$E$3,"",IF(MOD(L$3-'الموظفون'!$E$3,CycleWork+CycleRest)&lt;CycleWork,'الموظفون'!$D$3,"راحة")),INDEX('حجز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الإجازات'!$B$5:$B$104))=0,IF(M$3&lt;'الموظفون'!$E$3,"",IF(MOD(M$3-'الموظفون'!$E$3,CycleWork+CycleRest)&lt;CycleWork,'الموظفون'!$D$3,"راحة")),INDEX('حجز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الإجازات'!$B$5:$B$104))=0,IF(N$3&lt;'الموظفون'!$E$3,"",IF(MOD(N$3-'الموظفون'!$E$3,CycleWork+CycleRest)&lt;CycleWork,'الموظفون'!$D$3,"راحة")),INDEX('حجز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الإجازات'!$B$5:$B$104))=0,IF(O$3&lt;'الموظفون'!$E$3,"",IF(MOD(O$3-'الموظفون'!$E$3,CycleWork+CycleRest)&lt;CycleWork,'الموظفون'!$D$3,"راحة")),INDEX('حجز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الإجازات'!$B$5:$B$104))=0,IF(P$3&lt;'الموظفون'!$E$3,"",IF(MOD(P$3-'الموظفون'!$E$3,CycleWork+CycleRest)&lt;CycleWork,'الموظفون'!$D$3,"راحة")),INDEX('حجز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الإجازات'!$B$5:$B$104))=0,IF(Q$3&lt;'الموظفون'!$E$3,"",IF(MOD(Q$3-'الموظفون'!$E$3,CycleWork+CycleRest)&lt;CycleWork,'الموظفون'!$D$3,"راحة")),INDEX('حجز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الإجازات'!$B$5:$B$104))=0,IF(R$3&lt;'الموظفون'!$E$3,"",IF(MOD(R$3-'الموظفون'!$E$3,CycleWork+CycleRest)&lt;CycleWork,'الموظفون'!$D$3,"راحة")),INDEX('حجز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الإجازات'!$B$5:$B$104))=0,IF(S$3&lt;'الموظفون'!$E$3,"",IF(MOD(S$3-'الموظفون'!$E$3,CycleWork+CycleRest)&lt;CycleWork,'الموظفون'!$D$3,"راحة")),INDEX('حجز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الإجازات'!$B$5:$B$104))=0,IF(T$3&lt;'الموظفون'!$E$3,"",IF(MOD(T$3-'الموظفون'!$E$3,CycleWork+CycleRest)&lt;CycleWork,'الموظفون'!$D$3,"راحة")),INDEX('حجز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الإجازات'!$B$5:$B$104))=0,IF(U$3&lt;'الموظفون'!$E$3,"",IF(MOD(U$3-'الموظفون'!$E$3,CycleWork+CycleRest)&lt;CycleWork,'الموظفون'!$D$3,"راحة")),INDEX('حجز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الإجازات'!$B$5:$B$104))=0,IF(V$3&lt;'الموظفون'!$E$3,"",IF(MOD(V$3-'الموظفون'!$E$3,CycleWork+CycleRest)&lt;CycleWork,'الموظفون'!$D$3,"راحة")),INDEX('حجز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الإجازات'!$B$5:$B$104))=0,IF(W$3&lt;'الموظفون'!$E$3,"",IF(MOD(W$3-'الموظفون'!$E$3,CycleWork+CycleRest)&lt;CycleWork,'الموظفون'!$D$3,"راحة")),INDEX('حجز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الإجازات'!$B$5:$B$104))=0,IF(X$3&lt;'الموظفون'!$E$3,"",IF(MOD(X$3-'الموظفون'!$E$3,CycleWork+CycleRest)&lt;CycleWork,'الموظفون'!$D$3,"راحة")),INDEX('حجز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الإجازات'!$B$5:$B$104))=0,IF(Y$3&lt;'الموظفون'!$E$3,"",IF(MOD(Y$3-'الموظفون'!$E$3,CycleWork+CycleRest)&lt;CycleWork,'الموظفون'!$D$3,"راحة")),INDEX('حجز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الإجازات'!$B$5:$B$104))=0,IF(Z$3&lt;'الموظفون'!$E$3,"",IF(MOD(Z$3-'الموظفون'!$E$3,CycleWork+CycleRest)&lt;CycleWork,'الموظفون'!$D$3,"راحة")),INDEX('حجز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الإجازات'!$B$5:$B$104))=0,IF(AA$3&lt;'الموظفون'!$E$3,"",IF(MOD(AA$3-'الموظفون'!$E$3,CycleWork+CycleRest)&lt;CycleWork,'الموظفون'!$D$3,"راحة")),INDEX('حجز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الإجازات'!$B$5:$B$104))=0,IF(AB$3&lt;'الموظفون'!$E$3,"",IF(MOD(AB$3-'الموظفون'!$E$3,CycleWork+CycleRest)&lt;CycleWork,'الموظفون'!$D$3,"راحة")),INDEX('حجز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الإجازات'!$B$5:$B$104))=0,IF(AC$3&lt;'الموظفون'!$E$3,"",IF(MOD(AC$3-'الموظفون'!$E$3,CycleWork+CycleRest)&lt;CycleWork,'الموظفون'!$D$3,"راحة")),INDEX('حجز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الإجازات'!$B$5:$B$104))=0,IF(AD$3&lt;'الموظفون'!$E$3,"",IF(MOD(AD$3-'الموظفون'!$E$3,CycleWork+CycleRest)&lt;CycleWork,'الموظفون'!$D$3,"راحة")),INDEX('حجز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الإجازات'!$B$5:$B$104))=0,IF(AE$3&lt;'الموظفون'!$E$3,"",IF(MOD(AE$3-'الموظفون'!$E$3,CycleWork+CycleRest)&lt;CycleWork,'الموظفون'!$D$3,"راحة")),INDEX('حجز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الإجازات'!$B$5:$B$104))=0,IF(AF$3&lt;'الموظفون'!$E$3,"",IF(MOD(AF$3-'الموظفون'!$E$3,CycleWork+CycleRest)&lt;CycleWork,'الموظفون'!$D$3,"راحة")),INDEX('حجز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الإجازات'!$B$5:$B$104))=0,IF(AG$3&lt;'الموظفون'!$E$3,"",IF(MOD(AG$3-'الموظفون'!$E$3,CycleWork+CycleRest)&lt;CycleWork,'الموظفون'!$D$3,"راحة")),INDEX('حجز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الإجازات'!$B$5:$B$104))=0,IF(AH$3&lt;'الموظفون'!$E$3,"",IF(MOD(AH$3-'الموظفون'!$E$3,CycleWork+CycleRest)&lt;CycleWork,'الموظفون'!$D$3,"راحة")),INDEX('حجز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الإجازات'!$B$5:$B$104))=0,IF(D$3&lt;'الموظفون'!$E$4,"",IF(MOD(D$3-'الموظفون'!$E$4,CycleWork+CycleRest)&lt;CycleWork,'الموظفون'!$D$4,"راحة")),INDEX('حجز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الإجازات'!$B$5:$B$104))=0,IF(E$3&lt;'الموظفون'!$E$4,"",IF(MOD(E$3-'الموظفون'!$E$4,CycleWork+CycleRest)&lt;CycleWork,'الموظفون'!$D$4,"راحة")),INDEX('حجز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الإجازات'!$B$5:$B$104))=0,IF(F$3&lt;'الموظفون'!$E$4,"",IF(MOD(F$3-'الموظفون'!$E$4,CycleWork+CycleRest)&lt;CycleWork,'الموظفون'!$D$4,"راحة")),INDEX('حجز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الإجازات'!$B$5:$B$104))=0,IF(G$3&lt;'الموظفون'!$E$4,"",IF(MOD(G$3-'الموظفون'!$E$4,CycleWork+CycleRest)&lt;CycleWork,'الموظفون'!$D$4,"راحة")),INDEX('حجز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الإجازات'!$B$5:$B$104))=0,IF(H$3&lt;'الموظفون'!$E$4,"",IF(MOD(H$3-'الموظفون'!$E$4,CycleWork+CycleRest)&lt;CycleWork,'الموظفون'!$D$4,"راحة")),INDEX('حجز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الإجازات'!$B$5:$B$104))=0,IF(I$3&lt;'الموظفون'!$E$4,"",IF(MOD(I$3-'الموظفون'!$E$4,CycleWork+CycleRest)&lt;CycleWork,'الموظفون'!$D$4,"راحة")),INDEX('حجز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الإجازات'!$B$5:$B$104))=0,IF(J$3&lt;'الموظفون'!$E$4,"",IF(MOD(J$3-'الموظفون'!$E$4,CycleWork+CycleRest)&lt;CycleWork,'الموظفون'!$D$4,"راحة")),INDEX('حجز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الإجازات'!$B$5:$B$104))=0,IF(K$3&lt;'الموظفون'!$E$4,"",IF(MOD(K$3-'الموظفون'!$E$4,CycleWork+CycleRest)&lt;CycleWork,'الموظفون'!$D$4,"راحة")),INDEX('حجز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الإجازات'!$B$5:$B$104))=0,IF(L$3&lt;'الموظفون'!$E$4,"",IF(MOD(L$3-'الموظفون'!$E$4,CycleWork+CycleRest)&lt;CycleWork,'الموظفون'!$D$4,"راحة")),INDEX('حجز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الإجازات'!$B$5:$B$104))=0,IF(M$3&lt;'الموظفون'!$E$4,"",IF(MOD(M$3-'الموظفون'!$E$4,CycleWork+CycleRest)&lt;CycleWork,'الموظفون'!$D$4,"راحة")),INDEX('حجز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الإجازات'!$B$5:$B$104))=0,IF(N$3&lt;'الموظفون'!$E$4,"",IF(MOD(N$3-'الموظفون'!$E$4,CycleWork+CycleRest)&lt;CycleWork,'الموظفون'!$D$4,"راحة")),INDEX('حجز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الإجازات'!$B$5:$B$104))=0,IF(O$3&lt;'الموظفون'!$E$4,"",IF(MOD(O$3-'الموظفون'!$E$4,CycleWork+CycleRest)&lt;CycleWork,'الموظفون'!$D$4,"راحة")),INDEX('حجز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الإجازات'!$B$5:$B$104))=0,IF(P$3&lt;'الموظفون'!$E$4,"",IF(MOD(P$3-'الموظفون'!$E$4,CycleWork+CycleRest)&lt;CycleWork,'الموظفون'!$D$4,"راحة")),INDEX('حجز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الإجازات'!$B$5:$B$104))=0,IF(Q$3&lt;'الموظفون'!$E$4,"",IF(MOD(Q$3-'الموظفون'!$E$4,CycleWork+CycleRest)&lt;CycleWork,'الموظفون'!$D$4,"راحة")),INDEX('حجز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الإجازات'!$B$5:$B$104))=0,IF(R$3&lt;'الموظفون'!$E$4,"",IF(MOD(R$3-'الموظفون'!$E$4,CycleWork+CycleRest)&lt;CycleWork,'الموظفون'!$D$4,"راحة")),INDEX('حجز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الإجازات'!$B$5:$B$104))=0,IF(S$3&lt;'الموظفون'!$E$4,"",IF(MOD(S$3-'الموظفون'!$E$4,CycleWork+CycleRest)&lt;CycleWork,'الموظفون'!$D$4,"راحة")),INDEX('حجز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الإجازات'!$B$5:$B$104))=0,IF(T$3&lt;'الموظفون'!$E$4,"",IF(MOD(T$3-'الموظفون'!$E$4,CycleWork+CycleRest)&lt;CycleWork,'الموظفون'!$D$4,"راحة")),INDEX('حجز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الإجازات'!$B$5:$B$104))=0,IF(U$3&lt;'الموظفون'!$E$4,"",IF(MOD(U$3-'الموظفون'!$E$4,CycleWork+CycleRest)&lt;CycleWork,'الموظفون'!$D$4,"راحة")),INDEX('حجز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الإجازات'!$B$5:$B$104))=0,IF(V$3&lt;'الموظفون'!$E$4,"",IF(MOD(V$3-'الموظفون'!$E$4,CycleWork+CycleRest)&lt;CycleWork,'الموظفون'!$D$4,"راحة")),INDEX('حجز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الإجازات'!$B$5:$B$104))=0,IF(W$3&lt;'الموظفون'!$E$4,"",IF(MOD(W$3-'الموظفون'!$E$4,CycleWork+CycleRest)&lt;CycleWork,'الموظفون'!$D$4,"راحة")),INDEX('حجز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الإجازات'!$B$5:$B$104))=0,IF(X$3&lt;'الموظفون'!$E$4,"",IF(MOD(X$3-'الموظفون'!$E$4,CycleWork+CycleRest)&lt;CycleWork,'الموظفون'!$D$4,"راحة")),INDEX('حجز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الإجازات'!$B$5:$B$104))=0,IF(Y$3&lt;'الموظفون'!$E$4,"",IF(MOD(Y$3-'الموظفون'!$E$4,CycleWork+CycleRest)&lt;CycleWork,'الموظفون'!$D$4,"راحة")),INDEX('حجز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الإجازات'!$B$5:$B$104))=0,IF(Z$3&lt;'الموظفون'!$E$4,"",IF(MOD(Z$3-'الموظفون'!$E$4,CycleWork+CycleRest)&lt;CycleWork,'الموظفون'!$D$4,"راحة")),INDEX('حجز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الإجازات'!$B$5:$B$104))=0,IF(AA$3&lt;'الموظفون'!$E$4,"",IF(MOD(AA$3-'الموظفون'!$E$4,CycleWork+CycleRest)&lt;CycleWork,'الموظفون'!$D$4,"راحة")),INDEX('حجز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الإجازات'!$B$5:$B$104))=0,IF(AB$3&lt;'الموظفون'!$E$4,"",IF(MOD(AB$3-'الموظفون'!$E$4,CycleWork+CycleRest)&lt;CycleWork,'الموظفون'!$D$4,"راحة")),INDEX('حجز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الإجازات'!$B$5:$B$104))=0,IF(AC$3&lt;'الموظفون'!$E$4,"",IF(MOD(AC$3-'الموظفون'!$E$4,CycleWork+CycleRest)&lt;CycleWork,'الموظفون'!$D$4,"راحة")),INDEX('حجز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الإجازات'!$B$5:$B$104))=0,IF(AD$3&lt;'الموظفون'!$E$4,"",IF(MOD(AD$3-'الموظفون'!$E$4,CycleWork+CycleRest)&lt;CycleWork,'الموظفون'!$D$4,"راحة")),INDEX('حجز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الإجازات'!$B$5:$B$104))=0,IF(AE$3&lt;'الموظفون'!$E$4,"",IF(MOD(AE$3-'الموظفون'!$E$4,CycleWork+CycleRest)&lt;CycleWork,'الموظفون'!$D$4,"راحة")),INDEX('حجز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الإجازات'!$B$5:$B$104))=0,IF(AF$3&lt;'الموظفون'!$E$4,"",IF(MOD(AF$3-'الموظفون'!$E$4,CycleWork+CycleRest)&lt;CycleWork,'الموظفون'!$D$4,"راحة")),INDEX('حجز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الإجازات'!$B$5:$B$104))=0,IF(AG$3&lt;'الموظفون'!$E$4,"",IF(MOD(AG$3-'الموظفون'!$E$4,CycleWork+CycleRest)&lt;CycleWork,'الموظفون'!$D$4,"راحة")),INDEX('حجز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الإجازات'!$B$5:$B$104))=0,IF(AH$3&lt;'الموظفون'!$E$4,"",IF(MOD(AH$3-'الموظفون'!$E$4,CycleWork+CycleRest)&lt;CycleWork,'الموظفون'!$D$4,"راحة")),INDEX('حجز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الإجازات'!$B$5:$B$104))=0,IF(D$3&lt;'الموظفون'!$E$5,"",IF(MOD(D$3-'الموظفون'!$E$5,CycleWork+CycleRest)&lt;CycleWork,'الموظفون'!$D$5,"راحة")),INDEX('حجز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الإجازات'!$B$5:$B$104))=0,IF(E$3&lt;'الموظفون'!$E$5,"",IF(MOD(E$3-'الموظفون'!$E$5,CycleWork+CycleRest)&lt;CycleWork,'الموظفون'!$D$5,"راحة")),INDEX('حجز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الإجازات'!$B$5:$B$104))=0,IF(F$3&lt;'الموظفون'!$E$5,"",IF(MOD(F$3-'الموظفون'!$E$5,CycleWork+CycleRest)&lt;CycleWork,'الموظفون'!$D$5,"راحة")),INDEX('حجز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الإجازات'!$B$5:$B$104))=0,IF(G$3&lt;'الموظفون'!$E$5,"",IF(MOD(G$3-'الموظفون'!$E$5,CycleWork+CycleRest)&lt;CycleWork,'الموظفون'!$D$5,"راحة")),INDEX('حجز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الإجازات'!$B$5:$B$104))=0,IF(H$3&lt;'الموظفون'!$E$5,"",IF(MOD(H$3-'الموظفون'!$E$5,CycleWork+CycleRest)&lt;CycleWork,'الموظفون'!$D$5,"راحة")),INDEX('حجز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الإجازات'!$B$5:$B$104))=0,IF(I$3&lt;'الموظفون'!$E$5,"",IF(MOD(I$3-'الموظفون'!$E$5,CycleWork+CycleRest)&lt;CycleWork,'الموظفون'!$D$5,"راحة")),INDEX('حجز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الإجازات'!$B$5:$B$104))=0,IF(J$3&lt;'الموظفون'!$E$5,"",IF(MOD(J$3-'الموظفون'!$E$5,CycleWork+CycleRest)&lt;CycleWork,'الموظفون'!$D$5,"راحة")),INDEX('حجز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الإجازات'!$B$5:$B$104))=0,IF(K$3&lt;'الموظفون'!$E$5,"",IF(MOD(K$3-'الموظفون'!$E$5,CycleWork+CycleRest)&lt;CycleWork,'الموظفون'!$D$5,"راحة")),INDEX('حجز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الإجازات'!$B$5:$B$104))=0,IF(L$3&lt;'الموظفون'!$E$5,"",IF(MOD(L$3-'الموظفون'!$E$5,CycleWork+CycleRest)&lt;CycleWork,'الموظفون'!$D$5,"راحة")),INDEX('حجز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الإجازات'!$B$5:$B$104))=0,IF(M$3&lt;'الموظفون'!$E$5,"",IF(MOD(M$3-'الموظفون'!$E$5,CycleWork+CycleRest)&lt;CycleWork,'الموظفون'!$D$5,"راحة")),INDEX('حجز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الإجازات'!$B$5:$B$104))=0,IF(N$3&lt;'الموظفون'!$E$5,"",IF(MOD(N$3-'الموظفون'!$E$5,CycleWork+CycleRest)&lt;CycleWork,'الموظفون'!$D$5,"راحة")),INDEX('حجز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الإجازات'!$B$5:$B$104))=0,IF(O$3&lt;'الموظفون'!$E$5,"",IF(MOD(O$3-'الموظفون'!$E$5,CycleWork+CycleRest)&lt;CycleWork,'الموظفون'!$D$5,"راحة")),INDEX('حجز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الإجازات'!$B$5:$B$104))=0,IF(P$3&lt;'الموظفون'!$E$5,"",IF(MOD(P$3-'الموظفون'!$E$5,CycleWork+CycleRest)&lt;CycleWork,'الموظفون'!$D$5,"راحة")),INDEX('حجز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الإجازات'!$B$5:$B$104))=0,IF(Q$3&lt;'الموظفون'!$E$5,"",IF(MOD(Q$3-'الموظفون'!$E$5,CycleWork+CycleRest)&lt;CycleWork,'الموظفون'!$D$5,"راحة")),INDEX('حجز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الإجازات'!$B$5:$B$104))=0,IF(R$3&lt;'الموظفون'!$E$5,"",IF(MOD(R$3-'الموظفون'!$E$5,CycleWork+CycleRest)&lt;CycleWork,'الموظفون'!$D$5,"راحة")),INDEX('حجز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الإجازات'!$B$5:$B$104))=0,IF(S$3&lt;'الموظفون'!$E$5,"",IF(MOD(S$3-'الموظفون'!$E$5,CycleWork+CycleRest)&lt;CycleWork,'الموظفون'!$D$5,"راحة")),INDEX('حجز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الإجازات'!$B$5:$B$104))=0,IF(T$3&lt;'الموظفون'!$E$5,"",IF(MOD(T$3-'الموظفون'!$E$5,CycleWork+CycleRest)&lt;CycleWork,'الموظفون'!$D$5,"راحة")),INDEX('حجز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الإجازات'!$B$5:$B$104))=0,IF(U$3&lt;'الموظفون'!$E$5,"",IF(MOD(U$3-'الموظفون'!$E$5,CycleWork+CycleRest)&lt;CycleWork,'الموظفون'!$D$5,"راحة")),INDEX('حجز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الإجازات'!$B$5:$B$104))=0,IF(V$3&lt;'الموظفون'!$E$5,"",IF(MOD(V$3-'الموظفون'!$E$5,CycleWork+CycleRest)&lt;CycleWork,'الموظفون'!$D$5,"راحة")),INDEX('حجز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الإجازات'!$B$5:$B$104))=0,IF(W$3&lt;'الموظفون'!$E$5,"",IF(MOD(W$3-'الموظفون'!$E$5,CycleWork+CycleRest)&lt;CycleWork,'الموظفون'!$D$5,"راحة")),INDEX('حجز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الإجازات'!$B$5:$B$104))=0,IF(X$3&lt;'الموظفون'!$E$5,"",IF(MOD(X$3-'الموظفون'!$E$5,CycleWork+CycleRest)&lt;CycleWork,'الموظفون'!$D$5,"راحة")),INDEX('حجز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الإجازات'!$B$5:$B$104))=0,IF(Y$3&lt;'الموظفون'!$E$5,"",IF(MOD(Y$3-'الموظفون'!$E$5,CycleWork+CycleRest)&lt;CycleWork,'الموظفون'!$D$5,"راحة")),INDEX('حجز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الإجازات'!$B$5:$B$104))=0,IF(Z$3&lt;'الموظفون'!$E$5,"",IF(MOD(Z$3-'الموظفون'!$E$5,CycleWork+CycleRest)&lt;CycleWork,'الموظفون'!$D$5,"راحة")),INDEX('حجز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الإجازات'!$B$5:$B$104))=0,IF(AA$3&lt;'الموظفون'!$E$5,"",IF(MOD(AA$3-'الموظفون'!$E$5,CycleWork+CycleRest)&lt;CycleWork,'الموظفون'!$D$5,"راحة")),INDEX('حجز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الإجازات'!$B$5:$B$104))=0,IF(AB$3&lt;'الموظفون'!$E$5,"",IF(MOD(AB$3-'الموظفون'!$E$5,CycleWork+CycleRest)&lt;CycleWork,'الموظفون'!$D$5,"راحة")),INDEX('حجز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الإجازات'!$B$5:$B$104))=0,IF(AC$3&lt;'الموظفون'!$E$5,"",IF(MOD(AC$3-'الموظفون'!$E$5,CycleWork+CycleRest)&lt;CycleWork,'الموظفون'!$D$5,"راحة")),INDEX('حجز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الإجازات'!$B$5:$B$104))=0,IF(AD$3&lt;'الموظفون'!$E$5,"",IF(MOD(AD$3-'الموظفون'!$E$5,CycleWork+CycleRest)&lt;CycleWork,'الموظفون'!$D$5,"راحة")),INDEX('حجز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الإجازات'!$B$5:$B$104))=0,IF(AE$3&lt;'الموظفون'!$E$5,"",IF(MOD(AE$3-'الموظفون'!$E$5,CycleWork+CycleRest)&lt;CycleWork,'الموظفون'!$D$5,"راحة")),INDEX('حجز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الإجازات'!$B$5:$B$104))=0,IF(AF$3&lt;'الموظفون'!$E$5,"",IF(MOD(AF$3-'الموظفون'!$E$5,CycleWork+CycleRest)&lt;CycleWork,'الموظفون'!$D$5,"راحة")),INDEX('حجز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الإجازات'!$B$5:$B$104))=0,IF(AG$3&lt;'الموظفون'!$E$5,"",IF(MOD(AG$3-'الموظفون'!$E$5,CycleWork+CycleRest)&lt;CycleWork,'الموظفون'!$D$5,"راحة")),INDEX('حجز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الإجازات'!$B$5:$B$104))=0,IF(AH$3&lt;'الموظفون'!$E$5,"",IF(MOD(AH$3-'الموظفون'!$E$5,CycleWork+CycleRest)&lt;CycleWork,'الموظفون'!$D$5,"راحة")),INDEX('حجز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الإجازات'!$B$5:$B$104))=0,IF(D$3&lt;'الموظفون'!$E$6,"",IF(MOD(D$3-'الموظفون'!$E$6,CycleWork+CycleRest)&lt;CycleWork,'الموظفون'!$D$6,"راحة")),INDEX('حجز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الإجازات'!$B$5:$B$104))=0,IF(E$3&lt;'الموظفون'!$E$6,"",IF(MOD(E$3-'الموظفون'!$E$6,CycleWork+CycleRest)&lt;CycleWork,'الموظفون'!$D$6,"راحة")),INDEX('حجز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الإجازات'!$B$5:$B$104))=0,IF(F$3&lt;'الموظفون'!$E$6,"",IF(MOD(F$3-'الموظفون'!$E$6,CycleWork+CycleRest)&lt;CycleWork,'الموظفون'!$D$6,"راحة")),INDEX('حجز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الإجازات'!$B$5:$B$104))=0,IF(G$3&lt;'الموظفون'!$E$6,"",IF(MOD(G$3-'الموظفون'!$E$6,CycleWork+CycleRest)&lt;CycleWork,'الموظفون'!$D$6,"راحة")),INDEX('حجز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الإجازات'!$B$5:$B$104))=0,IF(H$3&lt;'الموظفون'!$E$6,"",IF(MOD(H$3-'الموظفون'!$E$6,CycleWork+CycleRest)&lt;CycleWork,'الموظفون'!$D$6,"راحة")),INDEX('حجز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الإجازات'!$B$5:$B$104))=0,IF(I$3&lt;'الموظفون'!$E$6,"",IF(MOD(I$3-'الموظفون'!$E$6,CycleWork+CycleRest)&lt;CycleWork,'الموظفون'!$D$6,"راحة")),INDEX('حجز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الإجازات'!$B$5:$B$104))=0,IF(J$3&lt;'الموظفون'!$E$6,"",IF(MOD(J$3-'الموظفون'!$E$6,CycleWork+CycleRest)&lt;CycleWork,'الموظفون'!$D$6,"راحة")),INDEX('حجز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الإجازات'!$B$5:$B$104))=0,IF(K$3&lt;'الموظفون'!$E$6,"",IF(MOD(K$3-'الموظفون'!$E$6,CycleWork+CycleRest)&lt;CycleWork,'الموظفون'!$D$6,"راحة")),INDEX('حجز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الإجازات'!$B$5:$B$104))=0,IF(L$3&lt;'الموظفون'!$E$6,"",IF(MOD(L$3-'الموظفون'!$E$6,CycleWork+CycleRest)&lt;CycleWork,'الموظفون'!$D$6,"راحة")),INDEX('حجز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الإجازات'!$B$5:$B$104))=0,IF(M$3&lt;'الموظفون'!$E$6,"",IF(MOD(M$3-'الموظفون'!$E$6,CycleWork+CycleRest)&lt;CycleWork,'الموظفون'!$D$6,"راحة")),INDEX('حجز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الإجازات'!$B$5:$B$104))=0,IF(N$3&lt;'الموظفون'!$E$6,"",IF(MOD(N$3-'الموظفون'!$E$6,CycleWork+CycleRest)&lt;CycleWork,'الموظفون'!$D$6,"راحة")),INDEX('حجز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الإجازات'!$B$5:$B$104))=0,IF(O$3&lt;'الموظفون'!$E$6,"",IF(MOD(O$3-'الموظفون'!$E$6,CycleWork+CycleRest)&lt;CycleWork,'الموظفون'!$D$6,"راحة")),INDEX('حجز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الإجازات'!$B$5:$B$104))=0,IF(P$3&lt;'الموظفون'!$E$6,"",IF(MOD(P$3-'الموظفون'!$E$6,CycleWork+CycleRest)&lt;CycleWork,'الموظفون'!$D$6,"راحة")),INDEX('حجز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الإجازات'!$B$5:$B$104))=0,IF(Q$3&lt;'الموظفون'!$E$6,"",IF(MOD(Q$3-'الموظفون'!$E$6,CycleWork+CycleRest)&lt;CycleWork,'الموظفون'!$D$6,"راحة")),INDEX('حجز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الإجازات'!$B$5:$B$104))=0,IF(R$3&lt;'الموظفون'!$E$6,"",IF(MOD(R$3-'الموظفون'!$E$6,CycleWork+CycleRest)&lt;CycleWork,'الموظفون'!$D$6,"راحة")),INDEX('حجز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الإجازات'!$B$5:$B$104))=0,IF(S$3&lt;'الموظفون'!$E$6,"",IF(MOD(S$3-'الموظفون'!$E$6,CycleWork+CycleRest)&lt;CycleWork,'الموظفون'!$D$6,"راحة")),INDEX('حجز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الإجازات'!$B$5:$B$104))=0,IF(T$3&lt;'الموظفون'!$E$6,"",IF(MOD(T$3-'الموظفون'!$E$6,CycleWork+CycleRest)&lt;CycleWork,'الموظفون'!$D$6,"راحة")),INDEX('حجز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الإجازات'!$B$5:$B$104))=0,IF(U$3&lt;'الموظفون'!$E$6,"",IF(MOD(U$3-'الموظفون'!$E$6,CycleWork+CycleRest)&lt;CycleWork,'الموظفون'!$D$6,"راحة")),INDEX('حجز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الإجازات'!$B$5:$B$104))=0,IF(V$3&lt;'الموظفون'!$E$6,"",IF(MOD(V$3-'الموظفون'!$E$6,CycleWork+CycleRest)&lt;CycleWork,'الموظفون'!$D$6,"راحة")),INDEX('حجز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الإجازات'!$B$5:$B$104))=0,IF(W$3&lt;'الموظفون'!$E$6,"",IF(MOD(W$3-'الموظفون'!$E$6,CycleWork+CycleRest)&lt;CycleWork,'الموظفون'!$D$6,"راحة")),INDEX('حجز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الإجازات'!$B$5:$B$104))=0,IF(X$3&lt;'الموظفون'!$E$6,"",IF(MOD(X$3-'الموظفون'!$E$6,CycleWork+CycleRest)&lt;CycleWork,'الموظفون'!$D$6,"راحة")),INDEX('حجز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الإجازات'!$B$5:$B$104))=0,IF(Y$3&lt;'الموظفون'!$E$6,"",IF(MOD(Y$3-'الموظفون'!$E$6,CycleWork+CycleRest)&lt;CycleWork,'الموظفون'!$D$6,"راحة")),INDEX('حجز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الإجازات'!$B$5:$B$104))=0,IF(Z$3&lt;'الموظفون'!$E$6,"",IF(MOD(Z$3-'الموظفون'!$E$6,CycleWork+CycleRest)&lt;CycleWork,'الموظفون'!$D$6,"راحة")),INDEX('حجز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الإجازات'!$B$5:$B$104))=0,IF(AA$3&lt;'الموظفون'!$E$6,"",IF(MOD(AA$3-'الموظفون'!$E$6,CycleWork+CycleRest)&lt;CycleWork,'الموظفون'!$D$6,"راحة")),INDEX('حجز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الإجازات'!$B$5:$B$104))=0,IF(AB$3&lt;'الموظفون'!$E$6,"",IF(MOD(AB$3-'الموظفون'!$E$6,CycleWork+CycleRest)&lt;CycleWork,'الموظفون'!$D$6,"راحة")),INDEX('حجز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الإجازات'!$B$5:$B$104))=0,IF(AC$3&lt;'الموظفون'!$E$6,"",IF(MOD(AC$3-'الموظفون'!$E$6,CycleWork+CycleRest)&lt;CycleWork,'الموظفون'!$D$6,"راحة")),INDEX('حجز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الإجازات'!$B$5:$B$104))=0,IF(AD$3&lt;'الموظفون'!$E$6,"",IF(MOD(AD$3-'الموظفون'!$E$6,CycleWork+CycleRest)&lt;CycleWork,'الموظفون'!$D$6,"راحة")),INDEX('حجز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الإجازات'!$B$5:$B$104))=0,IF(AE$3&lt;'الموظفون'!$E$6,"",IF(MOD(AE$3-'الموظفون'!$E$6,CycleWork+CycleRest)&lt;CycleWork,'الموظفون'!$D$6,"راحة")),INDEX('حجز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الإجازات'!$B$5:$B$104))=0,IF(AF$3&lt;'الموظفون'!$E$6,"",IF(MOD(AF$3-'الموظفون'!$E$6,CycleWork+CycleRest)&lt;CycleWork,'الموظفون'!$D$6,"راحة")),INDEX('حجز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الإجازات'!$B$5:$B$104))=0,IF(AG$3&lt;'الموظفون'!$E$6,"",IF(MOD(AG$3-'الموظفون'!$E$6,CycleWork+CycleRest)&lt;CycleWork,'الموظفون'!$D$6,"راحة")),INDEX('حجز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الإجازات'!$B$5:$B$104))=0,IF(AH$3&lt;'الموظفون'!$E$6,"",IF(MOD(AH$3-'الموظفون'!$E$6,CycleWork+CycleRest)&lt;CycleWork,'الموظفون'!$D$6,"راحة")),INDEX('حجز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الإجازات'!$B$5:$B$104))=0,IF(D$3&lt;'الموظفون'!$E$7,"",IF(MOD(D$3-'الموظفون'!$E$7,CycleWork+CycleRest)&lt;CycleWork,'الموظفون'!$D$7,"راحة")),INDEX('حجز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الإجازات'!$B$5:$B$104))=0,IF(E$3&lt;'الموظفون'!$E$7,"",IF(MOD(E$3-'الموظفون'!$E$7,CycleWork+CycleRest)&lt;CycleWork,'الموظفون'!$D$7,"راحة")),INDEX('حجز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الإجازات'!$B$5:$B$104))=0,IF(F$3&lt;'الموظفون'!$E$7,"",IF(MOD(F$3-'الموظفون'!$E$7,CycleWork+CycleRest)&lt;CycleWork,'الموظفون'!$D$7,"راحة")),INDEX('حجز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الإجازات'!$B$5:$B$104))=0,IF(G$3&lt;'الموظفون'!$E$7,"",IF(MOD(G$3-'الموظفون'!$E$7,CycleWork+CycleRest)&lt;CycleWork,'الموظفون'!$D$7,"راحة")),INDEX('حجز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الإجازات'!$B$5:$B$104))=0,IF(H$3&lt;'الموظفون'!$E$7,"",IF(MOD(H$3-'الموظفون'!$E$7,CycleWork+CycleRest)&lt;CycleWork,'الموظفون'!$D$7,"راحة")),INDEX('حجز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الإجازات'!$B$5:$B$104))=0,IF(I$3&lt;'الموظفون'!$E$7,"",IF(MOD(I$3-'الموظفون'!$E$7,CycleWork+CycleRest)&lt;CycleWork,'الموظفون'!$D$7,"راحة")),INDEX('حجز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الإجازات'!$B$5:$B$104))=0,IF(J$3&lt;'الموظفون'!$E$7,"",IF(MOD(J$3-'الموظفون'!$E$7,CycleWork+CycleRest)&lt;CycleWork,'الموظفون'!$D$7,"راحة")),INDEX('حجز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الإجازات'!$B$5:$B$104))=0,IF(K$3&lt;'الموظفون'!$E$7,"",IF(MOD(K$3-'الموظفون'!$E$7,CycleWork+CycleRest)&lt;CycleWork,'الموظفون'!$D$7,"راحة")),INDEX('حجز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الإجازات'!$B$5:$B$104))=0,IF(L$3&lt;'الموظفون'!$E$7,"",IF(MOD(L$3-'الموظفون'!$E$7,CycleWork+CycleRest)&lt;CycleWork,'الموظفون'!$D$7,"راحة")),INDEX('حجز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الإجازات'!$B$5:$B$104))=0,IF(M$3&lt;'الموظفون'!$E$7,"",IF(MOD(M$3-'الموظفون'!$E$7,CycleWork+CycleRest)&lt;CycleWork,'الموظفون'!$D$7,"راحة")),INDEX('حجز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الإجازات'!$B$5:$B$104))=0,IF(N$3&lt;'الموظفون'!$E$7,"",IF(MOD(N$3-'الموظفون'!$E$7,CycleWork+CycleRest)&lt;CycleWork,'الموظفون'!$D$7,"راحة")),INDEX('حجز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الإجازات'!$B$5:$B$104))=0,IF(O$3&lt;'الموظفون'!$E$7,"",IF(MOD(O$3-'الموظفون'!$E$7,CycleWork+CycleRest)&lt;CycleWork,'الموظفون'!$D$7,"راحة")),INDEX('حجز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الإجازات'!$B$5:$B$104))=0,IF(P$3&lt;'الموظفون'!$E$7,"",IF(MOD(P$3-'الموظفون'!$E$7,CycleWork+CycleRest)&lt;CycleWork,'الموظفون'!$D$7,"راحة")),INDEX('حجز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الإجازات'!$B$5:$B$104))=0,IF(Q$3&lt;'الموظفون'!$E$7,"",IF(MOD(Q$3-'الموظفون'!$E$7,CycleWork+CycleRest)&lt;CycleWork,'الموظفون'!$D$7,"راحة")),INDEX('حجز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الإجازات'!$B$5:$B$104))=0,IF(R$3&lt;'الموظفون'!$E$7,"",IF(MOD(R$3-'الموظفون'!$E$7,CycleWork+CycleRest)&lt;CycleWork,'الموظفون'!$D$7,"راحة")),INDEX('حجز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الإجازات'!$B$5:$B$104))=0,IF(S$3&lt;'الموظفون'!$E$7,"",IF(MOD(S$3-'الموظفون'!$E$7,CycleWork+CycleRest)&lt;CycleWork,'الموظفون'!$D$7,"راحة")),INDEX('حجز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الإجازات'!$B$5:$B$104))=0,IF(T$3&lt;'الموظفون'!$E$7,"",IF(MOD(T$3-'الموظفون'!$E$7,CycleWork+CycleRest)&lt;CycleWork,'الموظفون'!$D$7,"راحة")),INDEX('حجز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الإجازات'!$B$5:$B$104))=0,IF(U$3&lt;'الموظفون'!$E$7,"",IF(MOD(U$3-'الموظفون'!$E$7,CycleWork+CycleRest)&lt;CycleWork,'الموظفون'!$D$7,"راحة")),INDEX('حجز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الإجازات'!$B$5:$B$104))=0,IF(V$3&lt;'الموظفون'!$E$7,"",IF(MOD(V$3-'الموظفون'!$E$7,CycleWork+CycleRest)&lt;CycleWork,'الموظفون'!$D$7,"راحة")),INDEX('حجز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الإجازات'!$B$5:$B$104))=0,IF(W$3&lt;'الموظفون'!$E$7,"",IF(MOD(W$3-'الموظفون'!$E$7,CycleWork+CycleRest)&lt;CycleWork,'الموظفون'!$D$7,"راحة")),INDEX('حجز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الإجازات'!$B$5:$B$104))=0,IF(X$3&lt;'الموظفون'!$E$7,"",IF(MOD(X$3-'الموظفون'!$E$7,CycleWork+CycleRest)&lt;CycleWork,'الموظفون'!$D$7,"راحة")),INDEX('حجز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الإجازات'!$B$5:$B$104))=0,IF(Y$3&lt;'الموظفون'!$E$7,"",IF(MOD(Y$3-'الموظفون'!$E$7,CycleWork+CycleRest)&lt;CycleWork,'الموظفون'!$D$7,"راحة")),INDEX('حجز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الإجازات'!$B$5:$B$104))=0,IF(Z$3&lt;'الموظفون'!$E$7,"",IF(MOD(Z$3-'الموظفون'!$E$7,CycleWork+CycleRest)&lt;CycleWork,'الموظفون'!$D$7,"راحة")),INDEX('حجز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الإجازات'!$B$5:$B$104))=0,IF(AA$3&lt;'الموظفون'!$E$7,"",IF(MOD(AA$3-'الموظفون'!$E$7,CycleWork+CycleRest)&lt;CycleWork,'الموظفون'!$D$7,"راحة")),INDEX('حجز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الإجازات'!$B$5:$B$104))=0,IF(AB$3&lt;'الموظفون'!$E$7,"",IF(MOD(AB$3-'الموظفون'!$E$7,CycleWork+CycleRest)&lt;CycleWork,'الموظفون'!$D$7,"راحة")),INDEX('حجز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الإجازات'!$B$5:$B$104))=0,IF(AC$3&lt;'الموظفون'!$E$7,"",IF(MOD(AC$3-'الموظفون'!$E$7,CycleWork+CycleRest)&lt;CycleWork,'الموظفون'!$D$7,"راحة")),INDEX('حجز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الإجازات'!$B$5:$B$104))=0,IF(AD$3&lt;'الموظفون'!$E$7,"",IF(MOD(AD$3-'الموظفون'!$E$7,CycleWork+CycleRest)&lt;CycleWork,'الموظفون'!$D$7,"راحة")),INDEX('حجز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الإجازات'!$B$5:$B$104))=0,IF(AE$3&lt;'الموظفون'!$E$7,"",IF(MOD(AE$3-'الموظفون'!$E$7,CycleWork+CycleRest)&lt;CycleWork,'الموظفون'!$D$7,"راحة")),INDEX('حجز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الإجازات'!$B$5:$B$104))=0,IF(AF$3&lt;'الموظفون'!$E$7,"",IF(MOD(AF$3-'الموظفون'!$E$7,CycleWork+CycleRest)&lt;CycleWork,'الموظفون'!$D$7,"راحة")),INDEX('حجز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الإجازات'!$B$5:$B$104))=0,IF(AG$3&lt;'الموظفون'!$E$7,"",IF(MOD(AG$3-'الموظفون'!$E$7,CycleWork+CycleRest)&lt;CycleWork,'الموظفون'!$D$7,"راحة")),INDEX('حجز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الإجازات'!$B$5:$B$104))=0,IF(AH$3&lt;'الموظفون'!$E$7,"",IF(MOD(AH$3-'الموظفون'!$E$7,CycleWork+CycleRest)&lt;CycleWork,'الموظفون'!$D$7,"راحة")),INDEX('حجز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الإجازات'!$B$5:$B$104))=0,IF(D$3&lt;'الموظفون'!$E$8,"",IF(MOD(D$3-'الموظفون'!$E$8,CycleWork+CycleRest)&lt;CycleWork,'الموظفون'!$D$8,"راحة")),INDEX('حجز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الإجازات'!$B$5:$B$104))=0,IF(E$3&lt;'الموظفون'!$E$8,"",IF(MOD(E$3-'الموظفون'!$E$8,CycleWork+CycleRest)&lt;CycleWork,'الموظفون'!$D$8,"راحة")),INDEX('حجز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الإجازات'!$B$5:$B$104))=0,IF(F$3&lt;'الموظفون'!$E$8,"",IF(MOD(F$3-'الموظفون'!$E$8,CycleWork+CycleRest)&lt;CycleWork,'الموظفون'!$D$8,"راحة")),INDEX('حجز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الإجازات'!$B$5:$B$104))=0,IF(G$3&lt;'الموظفون'!$E$8,"",IF(MOD(G$3-'الموظفون'!$E$8,CycleWork+CycleRest)&lt;CycleWork,'الموظفون'!$D$8,"راحة")),INDEX('حجز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الإجازات'!$B$5:$B$104))=0,IF(H$3&lt;'الموظفون'!$E$8,"",IF(MOD(H$3-'الموظفون'!$E$8,CycleWork+CycleRest)&lt;CycleWork,'الموظفون'!$D$8,"راحة")),INDEX('حجز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الإجازات'!$B$5:$B$104))=0,IF(I$3&lt;'الموظفون'!$E$8,"",IF(MOD(I$3-'الموظفون'!$E$8,CycleWork+CycleRest)&lt;CycleWork,'الموظفون'!$D$8,"راحة")),INDEX('حجز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الإجازات'!$B$5:$B$104))=0,IF(J$3&lt;'الموظفون'!$E$8,"",IF(MOD(J$3-'الموظفون'!$E$8,CycleWork+CycleRest)&lt;CycleWork,'الموظفون'!$D$8,"راحة")),INDEX('حجز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الإجازات'!$B$5:$B$104))=0,IF(K$3&lt;'الموظفون'!$E$8,"",IF(MOD(K$3-'الموظفون'!$E$8,CycleWork+CycleRest)&lt;CycleWork,'الموظفون'!$D$8,"راحة")),INDEX('حجز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الإجازات'!$B$5:$B$104))=0,IF(L$3&lt;'الموظفون'!$E$8,"",IF(MOD(L$3-'الموظفون'!$E$8,CycleWork+CycleRest)&lt;CycleWork,'الموظفون'!$D$8,"راحة")),INDEX('حجز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الإجازات'!$B$5:$B$104))=0,IF(M$3&lt;'الموظفون'!$E$8,"",IF(MOD(M$3-'الموظفون'!$E$8,CycleWork+CycleRest)&lt;CycleWork,'الموظفون'!$D$8,"راحة")),INDEX('حجز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الإجازات'!$B$5:$B$104))=0,IF(N$3&lt;'الموظفون'!$E$8,"",IF(MOD(N$3-'الموظفون'!$E$8,CycleWork+CycleRest)&lt;CycleWork,'الموظفون'!$D$8,"راحة")),INDEX('حجز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الإجازات'!$B$5:$B$104))=0,IF(O$3&lt;'الموظفون'!$E$8,"",IF(MOD(O$3-'الموظفون'!$E$8,CycleWork+CycleRest)&lt;CycleWork,'الموظفون'!$D$8,"راحة")),INDEX('حجز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الإجازات'!$B$5:$B$104))=0,IF(P$3&lt;'الموظفون'!$E$8,"",IF(MOD(P$3-'الموظفون'!$E$8,CycleWork+CycleRest)&lt;CycleWork,'الموظفون'!$D$8,"راحة")),INDEX('حجز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الإجازات'!$B$5:$B$104))=0,IF(Q$3&lt;'الموظفون'!$E$8,"",IF(MOD(Q$3-'الموظفون'!$E$8,CycleWork+CycleRest)&lt;CycleWork,'الموظفون'!$D$8,"راحة")),INDEX('حجز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الإجازات'!$B$5:$B$104))=0,IF(R$3&lt;'الموظفون'!$E$8,"",IF(MOD(R$3-'الموظفون'!$E$8,CycleWork+CycleRest)&lt;CycleWork,'الموظفون'!$D$8,"راحة")),INDEX('حجز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الإجازات'!$B$5:$B$104))=0,IF(S$3&lt;'الموظفون'!$E$8,"",IF(MOD(S$3-'الموظفون'!$E$8,CycleWork+CycleRest)&lt;CycleWork,'الموظفون'!$D$8,"راحة")),INDEX('حجز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الإجازات'!$B$5:$B$104))=0,IF(T$3&lt;'الموظفون'!$E$8,"",IF(MOD(T$3-'الموظفون'!$E$8,CycleWork+CycleRest)&lt;CycleWork,'الموظفون'!$D$8,"راحة")),INDEX('حجز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الإجازات'!$B$5:$B$104))=0,IF(U$3&lt;'الموظفون'!$E$8,"",IF(MOD(U$3-'الموظفون'!$E$8,CycleWork+CycleRest)&lt;CycleWork,'الموظفون'!$D$8,"راحة")),INDEX('حجز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الإجازات'!$B$5:$B$104))=0,IF(V$3&lt;'الموظفون'!$E$8,"",IF(MOD(V$3-'الموظفون'!$E$8,CycleWork+CycleRest)&lt;CycleWork,'الموظفون'!$D$8,"راحة")),INDEX('حجز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الإجازات'!$B$5:$B$104))=0,IF(W$3&lt;'الموظفون'!$E$8,"",IF(MOD(W$3-'الموظفون'!$E$8,CycleWork+CycleRest)&lt;CycleWork,'الموظفون'!$D$8,"راحة")),INDEX('حجز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الإجازات'!$B$5:$B$104))=0,IF(X$3&lt;'الموظفون'!$E$8,"",IF(MOD(X$3-'الموظفون'!$E$8,CycleWork+CycleRest)&lt;CycleWork,'الموظفون'!$D$8,"راحة")),INDEX('حجز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الإجازات'!$B$5:$B$104))=0,IF(Y$3&lt;'الموظفون'!$E$8,"",IF(MOD(Y$3-'الموظفون'!$E$8,CycleWork+CycleRest)&lt;CycleWork,'الموظفون'!$D$8,"راحة")),INDEX('حجز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الإجازات'!$B$5:$B$104))=0,IF(Z$3&lt;'الموظفون'!$E$8,"",IF(MOD(Z$3-'الموظفون'!$E$8,CycleWork+CycleRest)&lt;CycleWork,'الموظفون'!$D$8,"راحة")),INDEX('حجز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الإجازات'!$B$5:$B$104))=0,IF(AA$3&lt;'الموظفون'!$E$8,"",IF(MOD(AA$3-'الموظفون'!$E$8,CycleWork+CycleRest)&lt;CycleWork,'الموظفون'!$D$8,"راحة")),INDEX('حجز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الإجازات'!$B$5:$B$104))=0,IF(AB$3&lt;'الموظفون'!$E$8,"",IF(MOD(AB$3-'الموظفون'!$E$8,CycleWork+CycleRest)&lt;CycleWork,'الموظفون'!$D$8,"راحة")),INDEX('حجز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الإجازات'!$B$5:$B$104))=0,IF(AC$3&lt;'الموظفون'!$E$8,"",IF(MOD(AC$3-'الموظفون'!$E$8,CycleWork+CycleRest)&lt;CycleWork,'الموظفون'!$D$8,"راحة")),INDEX('حجز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الإجازات'!$B$5:$B$104))=0,IF(AD$3&lt;'الموظفون'!$E$8,"",IF(MOD(AD$3-'الموظفون'!$E$8,CycleWork+CycleRest)&lt;CycleWork,'الموظفون'!$D$8,"راحة")),INDEX('حجز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الإجازات'!$B$5:$B$104))=0,IF(AE$3&lt;'الموظفون'!$E$8,"",IF(MOD(AE$3-'الموظفون'!$E$8,CycleWork+CycleRest)&lt;CycleWork,'الموظفون'!$D$8,"راحة")),INDEX('حجز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الإجازات'!$B$5:$B$104))=0,IF(AF$3&lt;'الموظفون'!$E$8,"",IF(MOD(AF$3-'الموظفون'!$E$8,CycleWork+CycleRest)&lt;CycleWork,'الموظفون'!$D$8,"راحة")),INDEX('حجز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الإجازات'!$B$5:$B$104))=0,IF(AG$3&lt;'الموظفون'!$E$8,"",IF(MOD(AG$3-'الموظفون'!$E$8,CycleWork+CycleRest)&lt;CycleWork,'الموظفون'!$D$8,"راحة")),INDEX('حجز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الإجازات'!$B$5:$B$104))=0,IF(AH$3&lt;'الموظفون'!$E$8,"",IF(MOD(AH$3-'الموظفون'!$E$8,CycleWork+CycleRest)&lt;CycleWork,'الموظفون'!$D$8,"راحة")),INDEX('حجز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الإجازات'!$B$5:$B$104))=0,IF(D$3&lt;'الموظفون'!$E$9,"",IF(MOD(D$3-'الموظفون'!$E$9,CycleWork+CycleRest)&lt;CycleWork,'الموظفون'!$D$9,"راحة")),INDEX('حجز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الإجازات'!$B$5:$B$104))=0,IF(E$3&lt;'الموظفون'!$E$9,"",IF(MOD(E$3-'الموظفون'!$E$9,CycleWork+CycleRest)&lt;CycleWork,'الموظفون'!$D$9,"راحة")),INDEX('حجز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الإجازات'!$B$5:$B$104))=0,IF(F$3&lt;'الموظفون'!$E$9,"",IF(MOD(F$3-'الموظفون'!$E$9,CycleWork+CycleRest)&lt;CycleWork,'الموظفون'!$D$9,"راحة")),INDEX('حجز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الإجازات'!$B$5:$B$104))=0,IF(G$3&lt;'الموظفون'!$E$9,"",IF(MOD(G$3-'الموظفون'!$E$9,CycleWork+CycleRest)&lt;CycleWork,'الموظفون'!$D$9,"راحة")),INDEX('حجز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الإجازات'!$B$5:$B$104))=0,IF(H$3&lt;'الموظفون'!$E$9,"",IF(MOD(H$3-'الموظفون'!$E$9,CycleWork+CycleRest)&lt;CycleWork,'الموظفون'!$D$9,"راحة")),INDEX('حجز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الإجازات'!$B$5:$B$104))=0,IF(I$3&lt;'الموظفون'!$E$9,"",IF(MOD(I$3-'الموظفون'!$E$9,CycleWork+CycleRest)&lt;CycleWork,'الموظفون'!$D$9,"راحة")),INDEX('حجز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الإجازات'!$B$5:$B$104))=0,IF(J$3&lt;'الموظفون'!$E$9,"",IF(MOD(J$3-'الموظفون'!$E$9,CycleWork+CycleRest)&lt;CycleWork,'الموظفون'!$D$9,"راحة")),INDEX('حجز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الإجازات'!$B$5:$B$104))=0,IF(K$3&lt;'الموظفون'!$E$9,"",IF(MOD(K$3-'الموظفون'!$E$9,CycleWork+CycleRest)&lt;CycleWork,'الموظفون'!$D$9,"راحة")),INDEX('حجز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الإجازات'!$B$5:$B$104))=0,IF(L$3&lt;'الموظفون'!$E$9,"",IF(MOD(L$3-'الموظفون'!$E$9,CycleWork+CycleRest)&lt;CycleWork,'الموظفون'!$D$9,"راحة")),INDEX('حجز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الإجازات'!$B$5:$B$104))=0,IF(M$3&lt;'الموظفون'!$E$9,"",IF(MOD(M$3-'الموظفون'!$E$9,CycleWork+CycleRest)&lt;CycleWork,'الموظفون'!$D$9,"راحة")),INDEX('حجز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الإجازات'!$B$5:$B$104))=0,IF(N$3&lt;'الموظفون'!$E$9,"",IF(MOD(N$3-'الموظفون'!$E$9,CycleWork+CycleRest)&lt;CycleWork,'الموظفون'!$D$9,"راحة")),INDEX('حجز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الإجازات'!$B$5:$B$104))=0,IF(O$3&lt;'الموظفون'!$E$9,"",IF(MOD(O$3-'الموظفون'!$E$9,CycleWork+CycleRest)&lt;CycleWork,'الموظفون'!$D$9,"راحة")),INDEX('حجز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الإجازات'!$B$5:$B$104))=0,IF(P$3&lt;'الموظفون'!$E$9,"",IF(MOD(P$3-'الموظفون'!$E$9,CycleWork+CycleRest)&lt;CycleWork,'الموظفون'!$D$9,"راحة")),INDEX('حجز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الإجازات'!$B$5:$B$104))=0,IF(Q$3&lt;'الموظفون'!$E$9,"",IF(MOD(Q$3-'الموظفون'!$E$9,CycleWork+CycleRest)&lt;CycleWork,'الموظفون'!$D$9,"راحة")),INDEX('حجز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الإجازات'!$B$5:$B$104))=0,IF(R$3&lt;'الموظفون'!$E$9,"",IF(MOD(R$3-'الموظفون'!$E$9,CycleWork+CycleRest)&lt;CycleWork,'الموظفون'!$D$9,"راحة")),INDEX('حجز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الإجازات'!$B$5:$B$104))=0,IF(S$3&lt;'الموظفون'!$E$9,"",IF(MOD(S$3-'الموظفون'!$E$9,CycleWork+CycleRest)&lt;CycleWork,'الموظفون'!$D$9,"راحة")),INDEX('حجز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الإجازات'!$B$5:$B$104))=0,IF(T$3&lt;'الموظفون'!$E$9,"",IF(MOD(T$3-'الموظفون'!$E$9,CycleWork+CycleRest)&lt;CycleWork,'الموظفون'!$D$9,"راحة")),INDEX('حجز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الإجازات'!$B$5:$B$104))=0,IF(U$3&lt;'الموظفون'!$E$9,"",IF(MOD(U$3-'الموظفون'!$E$9,CycleWork+CycleRest)&lt;CycleWork,'الموظفون'!$D$9,"راحة")),INDEX('حجز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الإجازات'!$B$5:$B$104))=0,IF(V$3&lt;'الموظفون'!$E$9,"",IF(MOD(V$3-'الموظفون'!$E$9,CycleWork+CycleRest)&lt;CycleWork,'الموظفون'!$D$9,"راحة")),INDEX('حجز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الإجازات'!$B$5:$B$104))=0,IF(W$3&lt;'الموظفون'!$E$9,"",IF(MOD(W$3-'الموظفون'!$E$9,CycleWork+CycleRest)&lt;CycleWork,'الموظفون'!$D$9,"راحة")),INDEX('حجز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الإجازات'!$B$5:$B$104))=0,IF(X$3&lt;'الموظفون'!$E$9,"",IF(MOD(X$3-'الموظفون'!$E$9,CycleWork+CycleRest)&lt;CycleWork,'الموظفون'!$D$9,"راحة")),INDEX('حجز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الإجازات'!$B$5:$B$104))=0,IF(Y$3&lt;'الموظفون'!$E$9,"",IF(MOD(Y$3-'الموظفون'!$E$9,CycleWork+CycleRest)&lt;CycleWork,'الموظفون'!$D$9,"راحة")),INDEX('حجز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الإجازات'!$B$5:$B$104))=0,IF(Z$3&lt;'الموظفون'!$E$9,"",IF(MOD(Z$3-'الموظفون'!$E$9,CycleWork+CycleRest)&lt;CycleWork,'الموظفون'!$D$9,"راحة")),INDEX('حجز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الإجازات'!$B$5:$B$104))=0,IF(AA$3&lt;'الموظفون'!$E$9,"",IF(MOD(AA$3-'الموظفون'!$E$9,CycleWork+CycleRest)&lt;CycleWork,'الموظفون'!$D$9,"راحة")),INDEX('حجز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الإجازات'!$B$5:$B$104))=0,IF(AB$3&lt;'الموظفون'!$E$9,"",IF(MOD(AB$3-'الموظفون'!$E$9,CycleWork+CycleRest)&lt;CycleWork,'الموظفون'!$D$9,"راحة")),INDEX('حجز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الإجازات'!$B$5:$B$104))=0,IF(AC$3&lt;'الموظفون'!$E$9,"",IF(MOD(AC$3-'الموظفون'!$E$9,CycleWork+CycleRest)&lt;CycleWork,'الموظفون'!$D$9,"راحة")),INDEX('حجز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الإجازات'!$B$5:$B$104))=0,IF(AD$3&lt;'الموظفون'!$E$9,"",IF(MOD(AD$3-'الموظفون'!$E$9,CycleWork+CycleRest)&lt;CycleWork,'الموظفون'!$D$9,"راحة")),INDEX('حجز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الإجازات'!$B$5:$B$104))=0,IF(AE$3&lt;'الموظفون'!$E$9,"",IF(MOD(AE$3-'الموظفون'!$E$9,CycleWork+CycleRest)&lt;CycleWork,'الموظفون'!$D$9,"راحة")),INDEX('حجز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الإجازات'!$B$5:$B$104))=0,IF(AF$3&lt;'الموظفون'!$E$9,"",IF(MOD(AF$3-'الموظفون'!$E$9,CycleWork+CycleRest)&lt;CycleWork,'الموظفون'!$D$9,"راحة")),INDEX('حجز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الإجازات'!$B$5:$B$104))=0,IF(AG$3&lt;'الموظفون'!$E$9,"",IF(MOD(AG$3-'الموظفون'!$E$9,CycleWork+CycleRest)&lt;CycleWork,'الموظفون'!$D$9,"راحة")),INDEX('حجز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الإجازات'!$B$5:$B$104))=0,IF(AH$3&lt;'الموظفون'!$E$9,"",IF(MOD(AH$3-'الموظفون'!$E$9,CycleWork+CycleRest)&lt;CycleWork,'الموظفون'!$D$9,"راحة")),INDEX('حجز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</row>
    <row r="12">
      <c r="B12" s="31" t="inlineStr">
        <is>
          <t>صباح</t>
        </is>
      </c>
      <c r="D12" s="32">
        <f>COUNTIF(D4:D11,"صباح")</f>
        <v/>
      </c>
      <c r="E12" s="32">
        <f>COUNTIF(E4:E11,"صباح")</f>
        <v/>
      </c>
      <c r="F12" s="32">
        <f>COUNTIF(F4:F11,"صباح")</f>
        <v/>
      </c>
      <c r="G12" s="32">
        <f>COUNTIF(G4:G11,"صباح")</f>
        <v/>
      </c>
      <c r="H12" s="32">
        <f>COUNTIF(H4:H11,"صباح")</f>
        <v/>
      </c>
      <c r="I12" s="32">
        <f>COUNTIF(I4:I11,"صباح")</f>
        <v/>
      </c>
      <c r="J12" s="32">
        <f>COUNTIF(J4:J11,"صباح")</f>
        <v/>
      </c>
      <c r="K12" s="32">
        <f>COUNTIF(K4:K11,"صباح")</f>
        <v/>
      </c>
      <c r="L12" s="32">
        <f>COUNTIF(L4:L11,"صباح")</f>
        <v/>
      </c>
      <c r="M12" s="32">
        <f>COUNTIF(M4:M11,"صباح")</f>
        <v/>
      </c>
      <c r="N12" s="32">
        <f>COUNTIF(N4:N11,"صباح")</f>
        <v/>
      </c>
      <c r="O12" s="32">
        <f>COUNTIF(O4:O11,"صباح")</f>
        <v/>
      </c>
      <c r="P12" s="32">
        <f>COUNTIF(P4:P11,"صباح")</f>
        <v/>
      </c>
      <c r="Q12" s="32">
        <f>COUNTIF(Q4:Q11,"صباح")</f>
        <v/>
      </c>
      <c r="R12" s="32">
        <f>COUNTIF(R4:R11,"صباح")</f>
        <v/>
      </c>
      <c r="S12" s="32">
        <f>COUNTIF(S4:S11,"صباح")</f>
        <v/>
      </c>
      <c r="T12" s="32">
        <f>COUNTIF(T4:T11,"صباح")</f>
        <v/>
      </c>
      <c r="U12" s="32">
        <f>COUNTIF(U4:U11,"صباح")</f>
        <v/>
      </c>
      <c r="V12" s="32">
        <f>COUNTIF(V4:V11,"صباح")</f>
        <v/>
      </c>
      <c r="W12" s="32">
        <f>COUNTIF(W4:W11,"صباح")</f>
        <v/>
      </c>
      <c r="X12" s="32">
        <f>COUNTIF(X4:X11,"صباح")</f>
        <v/>
      </c>
      <c r="Y12" s="32">
        <f>COUNTIF(Y4:Y11,"صباح")</f>
        <v/>
      </c>
      <c r="Z12" s="32">
        <f>COUNTIF(Z4:Z11,"صباح")</f>
        <v/>
      </c>
      <c r="AA12" s="32">
        <f>COUNTIF(AA4:AA11,"صباح")</f>
        <v/>
      </c>
      <c r="AB12" s="32">
        <f>COUNTIF(AB4:AB11,"صباح")</f>
        <v/>
      </c>
      <c r="AC12" s="32">
        <f>COUNTIF(AC4:AC11,"صباح")</f>
        <v/>
      </c>
      <c r="AD12" s="32">
        <f>COUNTIF(AD4:AD11,"صباح")</f>
        <v/>
      </c>
      <c r="AE12" s="32">
        <f>COUNTIF(AE4:AE11,"صباح")</f>
        <v/>
      </c>
      <c r="AF12" s="32">
        <f>COUNTIF(AF4:AF11,"صباح")</f>
        <v/>
      </c>
      <c r="AG12" s="32">
        <f>COUNTIF(AG4:AG11,"صباح")</f>
        <v/>
      </c>
      <c r="AH12" s="32">
        <f>COUNTIF(AH4:AH11,"صباح")</f>
        <v/>
      </c>
    </row>
    <row r="13">
      <c r="B13" s="33" t="inlineStr">
        <is>
          <t>عصر</t>
        </is>
      </c>
      <c r="D13" s="32">
        <f>COUNTIF(D4:D11,"عصر")</f>
        <v/>
      </c>
      <c r="E13" s="32">
        <f>COUNTIF(E4:E11,"عصر")</f>
        <v/>
      </c>
      <c r="F13" s="32">
        <f>COUNTIF(F4:F11,"عصر")</f>
        <v/>
      </c>
      <c r="G13" s="32">
        <f>COUNTIF(G4:G11,"عصر")</f>
        <v/>
      </c>
      <c r="H13" s="32">
        <f>COUNTIF(H4:H11,"عصر")</f>
        <v/>
      </c>
      <c r="I13" s="32">
        <f>COUNTIF(I4:I11,"عصر")</f>
        <v/>
      </c>
      <c r="J13" s="32">
        <f>COUNTIF(J4:J11,"عصر")</f>
        <v/>
      </c>
      <c r="K13" s="32">
        <f>COUNTIF(K4:K11,"عصر")</f>
        <v/>
      </c>
      <c r="L13" s="32">
        <f>COUNTIF(L4:L11,"عصر")</f>
        <v/>
      </c>
      <c r="M13" s="32">
        <f>COUNTIF(M4:M11,"عصر")</f>
        <v/>
      </c>
      <c r="N13" s="32">
        <f>COUNTIF(N4:N11,"عصر")</f>
        <v/>
      </c>
      <c r="O13" s="32">
        <f>COUNTIF(O4:O11,"عصر")</f>
        <v/>
      </c>
      <c r="P13" s="32">
        <f>COUNTIF(P4:P11,"عصر")</f>
        <v/>
      </c>
      <c r="Q13" s="32">
        <f>COUNTIF(Q4:Q11,"عصر")</f>
        <v/>
      </c>
      <c r="R13" s="32">
        <f>COUNTIF(R4:R11,"عصر")</f>
        <v/>
      </c>
      <c r="S13" s="32">
        <f>COUNTIF(S4:S11,"عصر")</f>
        <v/>
      </c>
      <c r="T13" s="32">
        <f>COUNTIF(T4:T11,"عصر")</f>
        <v/>
      </c>
      <c r="U13" s="32">
        <f>COUNTIF(U4:U11,"عصر")</f>
        <v/>
      </c>
      <c r="V13" s="32">
        <f>COUNTIF(V4:V11,"عصر")</f>
        <v/>
      </c>
      <c r="W13" s="32">
        <f>COUNTIF(W4:W11,"عصر")</f>
        <v/>
      </c>
      <c r="X13" s="32">
        <f>COUNTIF(X4:X11,"عصر")</f>
        <v/>
      </c>
      <c r="Y13" s="32">
        <f>COUNTIF(Y4:Y11,"عصر")</f>
        <v/>
      </c>
      <c r="Z13" s="32">
        <f>COUNTIF(Z4:Z11,"عصر")</f>
        <v/>
      </c>
      <c r="AA13" s="32">
        <f>COUNTIF(AA4:AA11,"عصر")</f>
        <v/>
      </c>
      <c r="AB13" s="32">
        <f>COUNTIF(AB4:AB11,"عصر")</f>
        <v/>
      </c>
      <c r="AC13" s="32">
        <f>COUNTIF(AC4:AC11,"عصر")</f>
        <v/>
      </c>
      <c r="AD13" s="32">
        <f>COUNTIF(AD4:AD11,"عصر")</f>
        <v/>
      </c>
      <c r="AE13" s="32">
        <f>COUNTIF(AE4:AE11,"عصر")</f>
        <v/>
      </c>
      <c r="AF13" s="32">
        <f>COUNTIF(AF4:AF11,"عصر")</f>
        <v/>
      </c>
      <c r="AG13" s="32">
        <f>COUNTIF(AG4:AG11,"عصر")</f>
        <v/>
      </c>
      <c r="AH13" s="32">
        <f>COUNTIF(AH4:AH11,"عصر")</f>
        <v/>
      </c>
    </row>
    <row r="14">
      <c r="B14" s="34" t="inlineStr">
        <is>
          <t>ليل</t>
        </is>
      </c>
      <c r="D14" s="32">
        <f>COUNTIF(D4:D11,"ليل")</f>
        <v/>
      </c>
      <c r="E14" s="32">
        <f>COUNTIF(E4:E11,"ليل")</f>
        <v/>
      </c>
      <c r="F14" s="32">
        <f>COUNTIF(F4:F11,"ليل")</f>
        <v/>
      </c>
      <c r="G14" s="32">
        <f>COUNTIF(G4:G11,"ليل")</f>
        <v/>
      </c>
      <c r="H14" s="32">
        <f>COUNTIF(H4:H11,"ليل")</f>
        <v/>
      </c>
      <c r="I14" s="32">
        <f>COUNTIF(I4:I11,"ليل")</f>
        <v/>
      </c>
      <c r="J14" s="32">
        <f>COUNTIF(J4:J11,"ليل")</f>
        <v/>
      </c>
      <c r="K14" s="32">
        <f>COUNTIF(K4:K11,"ليل")</f>
        <v/>
      </c>
      <c r="L14" s="32">
        <f>COUNTIF(L4:L11,"ليل")</f>
        <v/>
      </c>
      <c r="M14" s="32">
        <f>COUNTIF(M4:M11,"ليل")</f>
        <v/>
      </c>
      <c r="N14" s="32">
        <f>COUNTIF(N4:N11,"ليل")</f>
        <v/>
      </c>
      <c r="O14" s="32">
        <f>COUNTIF(O4:O11,"ليل")</f>
        <v/>
      </c>
      <c r="P14" s="32">
        <f>COUNTIF(P4:P11,"ليل")</f>
        <v/>
      </c>
      <c r="Q14" s="32">
        <f>COUNTIF(Q4:Q11,"ليل")</f>
        <v/>
      </c>
      <c r="R14" s="32">
        <f>COUNTIF(R4:R11,"ليل")</f>
        <v/>
      </c>
      <c r="S14" s="32">
        <f>COUNTIF(S4:S11,"ليل")</f>
        <v/>
      </c>
      <c r="T14" s="32">
        <f>COUNTIF(T4:T11,"ليل")</f>
        <v/>
      </c>
      <c r="U14" s="32">
        <f>COUNTIF(U4:U11,"ليل")</f>
        <v/>
      </c>
      <c r="V14" s="32">
        <f>COUNTIF(V4:V11,"ليل")</f>
        <v/>
      </c>
      <c r="W14" s="32">
        <f>COUNTIF(W4:W11,"ليل")</f>
        <v/>
      </c>
      <c r="X14" s="32">
        <f>COUNTIF(X4:X11,"ليل")</f>
        <v/>
      </c>
      <c r="Y14" s="32">
        <f>COUNTIF(Y4:Y11,"ليل")</f>
        <v/>
      </c>
      <c r="Z14" s="32">
        <f>COUNTIF(Z4:Z11,"ليل")</f>
        <v/>
      </c>
      <c r="AA14" s="32">
        <f>COUNTIF(AA4:AA11,"ليل")</f>
        <v/>
      </c>
      <c r="AB14" s="32">
        <f>COUNTIF(AB4:AB11,"ليل")</f>
        <v/>
      </c>
      <c r="AC14" s="32">
        <f>COUNTIF(AC4:AC11,"ليل")</f>
        <v/>
      </c>
      <c r="AD14" s="32">
        <f>COUNTIF(AD4:AD11,"ليل")</f>
        <v/>
      </c>
      <c r="AE14" s="32">
        <f>COUNTIF(AE4:AE11,"ليل")</f>
        <v/>
      </c>
      <c r="AF14" s="32">
        <f>COUNTIF(AF4:AF11,"ليل")</f>
        <v/>
      </c>
      <c r="AG14" s="32">
        <f>COUNTIF(AG4:AG11,"ليل")</f>
        <v/>
      </c>
      <c r="AH14" s="32">
        <f>COUNTIF(AH4:AH11,"ليل")</f>
        <v/>
      </c>
    </row>
    <row r="15">
      <c r="B15" s="35" t="inlineStr">
        <is>
          <t>إجمالي العاملين</t>
        </is>
      </c>
      <c r="D15" s="32">
        <f>COUNTIF(D4:D11,"صباح")+COUNTIF(D4:D11,"عصر")+COUNTIF(D4:D11,"ليل")</f>
        <v/>
      </c>
      <c r="E15" s="32">
        <f>COUNTIF(E4:E11,"صباح")+COUNTIF(E4:E11,"عصر")+COUNTIF(E4:E11,"ليل")</f>
        <v/>
      </c>
      <c r="F15" s="32">
        <f>COUNTIF(F4:F11,"صباح")+COUNTIF(F4:F11,"عصر")+COUNTIF(F4:F11,"ليل")</f>
        <v/>
      </c>
      <c r="G15" s="32">
        <f>COUNTIF(G4:G11,"صباح")+COUNTIF(G4:G11,"عصر")+COUNTIF(G4:G11,"ليل")</f>
        <v/>
      </c>
      <c r="H15" s="32">
        <f>COUNTIF(H4:H11,"صباح")+COUNTIF(H4:H11,"عصر")+COUNTIF(H4:H11,"ليل")</f>
        <v/>
      </c>
      <c r="I15" s="32">
        <f>COUNTIF(I4:I11,"صباح")+COUNTIF(I4:I11,"عصر")+COUNTIF(I4:I11,"ليل")</f>
        <v/>
      </c>
      <c r="J15" s="32">
        <f>COUNTIF(J4:J11,"صباح")+COUNTIF(J4:J11,"عصر")+COUNTIF(J4:J11,"ليل")</f>
        <v/>
      </c>
      <c r="K15" s="32">
        <f>COUNTIF(K4:K11,"صباح")+COUNTIF(K4:K11,"عصر")+COUNTIF(K4:K11,"ليل")</f>
        <v/>
      </c>
      <c r="L15" s="32">
        <f>COUNTIF(L4:L11,"صباح")+COUNTIF(L4:L11,"عصر")+COUNTIF(L4:L11,"ليل")</f>
        <v/>
      </c>
      <c r="M15" s="32">
        <f>COUNTIF(M4:M11,"صباح")+COUNTIF(M4:M11,"عصر")+COUNTIF(M4:M11,"ليل")</f>
        <v/>
      </c>
      <c r="N15" s="32">
        <f>COUNTIF(N4:N11,"صباح")+COUNTIF(N4:N11,"عصر")+COUNTIF(N4:N11,"ليل")</f>
        <v/>
      </c>
      <c r="O15" s="32">
        <f>COUNTIF(O4:O11,"صباح")+COUNTIF(O4:O11,"عصر")+COUNTIF(O4:O11,"ليل")</f>
        <v/>
      </c>
      <c r="P15" s="32">
        <f>COUNTIF(P4:P11,"صباح")+COUNTIF(P4:P11,"عصر")+COUNTIF(P4:P11,"ليل")</f>
        <v/>
      </c>
      <c r="Q15" s="32">
        <f>COUNTIF(Q4:Q11,"صباح")+COUNTIF(Q4:Q11,"عصر")+COUNTIF(Q4:Q11,"ليل")</f>
        <v/>
      </c>
      <c r="R15" s="32">
        <f>COUNTIF(R4:R11,"صباح")+COUNTIF(R4:R11,"عصر")+COUNTIF(R4:R11,"ليل")</f>
        <v/>
      </c>
      <c r="S15" s="32">
        <f>COUNTIF(S4:S11,"صباح")+COUNTIF(S4:S11,"عصر")+COUNTIF(S4:S11,"ليل")</f>
        <v/>
      </c>
      <c r="T15" s="32">
        <f>COUNTIF(T4:T11,"صباح")+COUNTIF(T4:T11,"عصر")+COUNTIF(T4:T11,"ليل")</f>
        <v/>
      </c>
      <c r="U15" s="32">
        <f>COUNTIF(U4:U11,"صباح")+COUNTIF(U4:U11,"عصر")+COUNTIF(U4:U11,"ليل")</f>
        <v/>
      </c>
      <c r="V15" s="32">
        <f>COUNTIF(V4:V11,"صباح")+COUNTIF(V4:V11,"عصر")+COUNTIF(V4:V11,"ليل")</f>
        <v/>
      </c>
      <c r="W15" s="32">
        <f>COUNTIF(W4:W11,"صباح")+COUNTIF(W4:W11,"عصر")+COUNTIF(W4:W11,"ليل")</f>
        <v/>
      </c>
      <c r="X15" s="32">
        <f>COUNTIF(X4:X11,"صباح")+COUNTIF(X4:X11,"عصر")+COUNTIF(X4:X11,"ليل")</f>
        <v/>
      </c>
      <c r="Y15" s="32">
        <f>COUNTIF(Y4:Y11,"صباح")+COUNTIF(Y4:Y11,"عصر")+COUNTIF(Y4:Y11,"ليل")</f>
        <v/>
      </c>
      <c r="Z15" s="32">
        <f>COUNTIF(Z4:Z11,"صباح")+COUNTIF(Z4:Z11,"عصر")+COUNTIF(Z4:Z11,"ليل")</f>
        <v/>
      </c>
      <c r="AA15" s="32">
        <f>COUNTIF(AA4:AA11,"صباح")+COUNTIF(AA4:AA11,"عصر")+COUNTIF(AA4:AA11,"ليل")</f>
        <v/>
      </c>
      <c r="AB15" s="32">
        <f>COUNTIF(AB4:AB11,"صباح")+COUNTIF(AB4:AB11,"عصر")+COUNTIF(AB4:AB11,"ليل")</f>
        <v/>
      </c>
      <c r="AC15" s="32">
        <f>COUNTIF(AC4:AC11,"صباح")+COUNTIF(AC4:AC11,"عصر")+COUNTIF(AC4:AC11,"ليل")</f>
        <v/>
      </c>
      <c r="AD15" s="32">
        <f>COUNTIF(AD4:AD11,"صباح")+COUNTIF(AD4:AD11,"عصر")+COUNTIF(AD4:AD11,"ليل")</f>
        <v/>
      </c>
      <c r="AE15" s="32">
        <f>COUNTIF(AE4:AE11,"صباح")+COUNTIF(AE4:AE11,"عصر")+COUNTIF(AE4:AE11,"ليل")</f>
        <v/>
      </c>
      <c r="AF15" s="32">
        <f>COUNTIF(AF4:AF11,"صباح")+COUNTIF(AF4:AF11,"عصر")+COUNTIF(AF4:AF11,"ليل")</f>
        <v/>
      </c>
      <c r="AG15" s="32">
        <f>COUNTIF(AG4:AG11,"صباح")+COUNTIF(AG4:AG11,"عصر")+COUNTIF(AG4:AG11,"ليل")</f>
        <v/>
      </c>
      <c r="AH15" s="32">
        <f>COUNTIF(AH4:AH11,"صباح")+COUNTIF(AH4:AH11,"عصر")+COUNTIF(AH4:AH11,"ليل")</f>
        <v/>
      </c>
    </row>
    <row r="16">
      <c r="B16" s="35" t="inlineStr">
        <is>
          <t>عدد المُجازين</t>
        </is>
      </c>
      <c r="D16" s="32">
        <f>SUMPRODUCT((D4:D11&lt;&gt;"")*(D4:D11&lt;&gt;"صباح")*(D4:D11&lt;&gt;"عصر")*(D4:D11&lt;&gt;"ليل")*(D4:D11&lt;&gt;"راحة"))</f>
        <v/>
      </c>
      <c r="E16" s="32">
        <f>SUMPRODUCT((E4:E11&lt;&gt;"")*(E4:E11&lt;&gt;"صباح")*(E4:E11&lt;&gt;"عصر")*(E4:E11&lt;&gt;"ليل")*(E4:E11&lt;&gt;"راحة"))</f>
        <v/>
      </c>
      <c r="F16" s="32">
        <f>SUMPRODUCT((F4:F11&lt;&gt;"")*(F4:F11&lt;&gt;"صباح")*(F4:F11&lt;&gt;"عصر")*(F4:F11&lt;&gt;"ليل")*(F4:F11&lt;&gt;"راحة"))</f>
        <v/>
      </c>
      <c r="G16" s="32">
        <f>SUMPRODUCT((G4:G11&lt;&gt;"")*(G4:G11&lt;&gt;"صباح")*(G4:G11&lt;&gt;"عصر")*(G4:G11&lt;&gt;"ليل")*(G4:G11&lt;&gt;"راحة"))</f>
        <v/>
      </c>
      <c r="H16" s="32">
        <f>SUMPRODUCT((H4:H11&lt;&gt;"")*(H4:H11&lt;&gt;"صباح")*(H4:H11&lt;&gt;"عصر")*(H4:H11&lt;&gt;"ليل")*(H4:H11&lt;&gt;"راحة"))</f>
        <v/>
      </c>
      <c r="I16" s="32">
        <f>SUMPRODUCT((I4:I11&lt;&gt;"")*(I4:I11&lt;&gt;"صباح")*(I4:I11&lt;&gt;"عصر")*(I4:I11&lt;&gt;"ليل")*(I4:I11&lt;&gt;"راحة"))</f>
        <v/>
      </c>
      <c r="J16" s="32">
        <f>SUMPRODUCT((J4:J11&lt;&gt;"")*(J4:J11&lt;&gt;"صباح")*(J4:J11&lt;&gt;"عصر")*(J4:J11&lt;&gt;"ليل")*(J4:J11&lt;&gt;"راحة"))</f>
        <v/>
      </c>
      <c r="K16" s="32">
        <f>SUMPRODUCT((K4:K11&lt;&gt;"")*(K4:K11&lt;&gt;"صباح")*(K4:K11&lt;&gt;"عصر")*(K4:K11&lt;&gt;"ليل")*(K4:K11&lt;&gt;"راحة"))</f>
        <v/>
      </c>
      <c r="L16" s="32">
        <f>SUMPRODUCT((L4:L11&lt;&gt;"")*(L4:L11&lt;&gt;"صباح")*(L4:L11&lt;&gt;"عصر")*(L4:L11&lt;&gt;"ليل")*(L4:L11&lt;&gt;"راحة"))</f>
        <v/>
      </c>
      <c r="M16" s="32">
        <f>SUMPRODUCT((M4:M11&lt;&gt;"")*(M4:M11&lt;&gt;"صباح")*(M4:M11&lt;&gt;"عصر")*(M4:M11&lt;&gt;"ليل")*(M4:M11&lt;&gt;"راحة"))</f>
        <v/>
      </c>
      <c r="N16" s="32">
        <f>SUMPRODUCT((N4:N11&lt;&gt;"")*(N4:N11&lt;&gt;"صباح")*(N4:N11&lt;&gt;"عصر")*(N4:N11&lt;&gt;"ليل")*(N4:N11&lt;&gt;"راحة"))</f>
        <v/>
      </c>
      <c r="O16" s="32">
        <f>SUMPRODUCT((O4:O11&lt;&gt;"")*(O4:O11&lt;&gt;"صباح")*(O4:O11&lt;&gt;"عصر")*(O4:O11&lt;&gt;"ليل")*(O4:O11&lt;&gt;"راحة"))</f>
        <v/>
      </c>
      <c r="P16" s="32">
        <f>SUMPRODUCT((P4:P11&lt;&gt;"")*(P4:P11&lt;&gt;"صباح")*(P4:P11&lt;&gt;"عصر")*(P4:P11&lt;&gt;"ليل")*(P4:P11&lt;&gt;"راحة"))</f>
        <v/>
      </c>
      <c r="Q16" s="32">
        <f>SUMPRODUCT((Q4:Q11&lt;&gt;"")*(Q4:Q11&lt;&gt;"صباح")*(Q4:Q11&lt;&gt;"عصر")*(Q4:Q11&lt;&gt;"ليل")*(Q4:Q11&lt;&gt;"راحة"))</f>
        <v/>
      </c>
      <c r="R16" s="32">
        <f>SUMPRODUCT((R4:R11&lt;&gt;"")*(R4:R11&lt;&gt;"صباح")*(R4:R11&lt;&gt;"عصر")*(R4:R11&lt;&gt;"ليل")*(R4:R11&lt;&gt;"راحة"))</f>
        <v/>
      </c>
      <c r="S16" s="32">
        <f>SUMPRODUCT((S4:S11&lt;&gt;"")*(S4:S11&lt;&gt;"صباح")*(S4:S11&lt;&gt;"عصر")*(S4:S11&lt;&gt;"ليل")*(S4:S11&lt;&gt;"راحة"))</f>
        <v/>
      </c>
      <c r="T16" s="32">
        <f>SUMPRODUCT((T4:T11&lt;&gt;"")*(T4:T11&lt;&gt;"صباح")*(T4:T11&lt;&gt;"عصر")*(T4:T11&lt;&gt;"ليل")*(T4:T11&lt;&gt;"راحة"))</f>
        <v/>
      </c>
      <c r="U16" s="32">
        <f>SUMPRODUCT((U4:U11&lt;&gt;"")*(U4:U11&lt;&gt;"صباح")*(U4:U11&lt;&gt;"عصر")*(U4:U11&lt;&gt;"ليل")*(U4:U11&lt;&gt;"راحة"))</f>
        <v/>
      </c>
      <c r="V16" s="32">
        <f>SUMPRODUCT((V4:V11&lt;&gt;"")*(V4:V11&lt;&gt;"صباح")*(V4:V11&lt;&gt;"عصر")*(V4:V11&lt;&gt;"ليل")*(V4:V11&lt;&gt;"راحة"))</f>
        <v/>
      </c>
      <c r="W16" s="32">
        <f>SUMPRODUCT((W4:W11&lt;&gt;"")*(W4:W11&lt;&gt;"صباح")*(W4:W11&lt;&gt;"عصر")*(W4:W11&lt;&gt;"ليل")*(W4:W11&lt;&gt;"راحة"))</f>
        <v/>
      </c>
      <c r="X16" s="32">
        <f>SUMPRODUCT((X4:X11&lt;&gt;"")*(X4:X11&lt;&gt;"صباح")*(X4:X11&lt;&gt;"عصر")*(X4:X11&lt;&gt;"ليل")*(X4:X11&lt;&gt;"راحة"))</f>
        <v/>
      </c>
      <c r="Y16" s="32">
        <f>SUMPRODUCT((Y4:Y11&lt;&gt;"")*(Y4:Y11&lt;&gt;"صباح")*(Y4:Y11&lt;&gt;"عصر")*(Y4:Y11&lt;&gt;"ليل")*(Y4:Y11&lt;&gt;"راحة"))</f>
        <v/>
      </c>
      <c r="Z16" s="32">
        <f>SUMPRODUCT((Z4:Z11&lt;&gt;"")*(Z4:Z11&lt;&gt;"صباح")*(Z4:Z11&lt;&gt;"عصر")*(Z4:Z11&lt;&gt;"ليل")*(Z4:Z11&lt;&gt;"راحة"))</f>
        <v/>
      </c>
      <c r="AA16" s="32">
        <f>SUMPRODUCT((AA4:AA11&lt;&gt;"")*(AA4:AA11&lt;&gt;"صباح")*(AA4:AA11&lt;&gt;"عصر")*(AA4:AA11&lt;&gt;"ليل")*(AA4:AA11&lt;&gt;"راحة"))</f>
        <v/>
      </c>
      <c r="AB16" s="32">
        <f>SUMPRODUCT((AB4:AB11&lt;&gt;"")*(AB4:AB11&lt;&gt;"صباح")*(AB4:AB11&lt;&gt;"عصر")*(AB4:AB11&lt;&gt;"ليل")*(AB4:AB11&lt;&gt;"راحة"))</f>
        <v/>
      </c>
      <c r="AC16" s="32">
        <f>SUMPRODUCT((AC4:AC11&lt;&gt;"")*(AC4:AC11&lt;&gt;"صباح")*(AC4:AC11&lt;&gt;"عصر")*(AC4:AC11&lt;&gt;"ليل")*(AC4:AC11&lt;&gt;"راحة"))</f>
        <v/>
      </c>
      <c r="AD16" s="32">
        <f>SUMPRODUCT((AD4:AD11&lt;&gt;"")*(AD4:AD11&lt;&gt;"صباح")*(AD4:AD11&lt;&gt;"عصر")*(AD4:AD11&lt;&gt;"ليل")*(AD4:AD11&lt;&gt;"راحة"))</f>
        <v/>
      </c>
      <c r="AE16" s="32">
        <f>SUMPRODUCT((AE4:AE11&lt;&gt;"")*(AE4:AE11&lt;&gt;"صباح")*(AE4:AE11&lt;&gt;"عصر")*(AE4:AE11&lt;&gt;"ليل")*(AE4:AE11&lt;&gt;"راحة"))</f>
        <v/>
      </c>
      <c r="AF16" s="32">
        <f>SUMPRODUCT((AF4:AF11&lt;&gt;"")*(AF4:AF11&lt;&gt;"صباح")*(AF4:AF11&lt;&gt;"عصر")*(AF4:AF11&lt;&gt;"ليل")*(AF4:AF11&lt;&gt;"راحة"))</f>
        <v/>
      </c>
      <c r="AG16" s="32">
        <f>SUMPRODUCT((AG4:AG11&lt;&gt;"")*(AG4:AG11&lt;&gt;"صباح")*(AG4:AG11&lt;&gt;"عصر")*(AG4:AG11&lt;&gt;"ليل")*(AG4:AG11&lt;&gt;"راحة"))</f>
        <v/>
      </c>
      <c r="AH16" s="32">
        <f>SUMPRODUCT((AH4:AH11&lt;&gt;"")*(AH4:AH11&lt;&gt;"صباح")*(AH4:AH11&lt;&gt;"عصر")*(AH4:AH11&lt;&gt;"ليل")*(AH4:AH11&lt;&gt;"راحة"))</f>
        <v/>
      </c>
    </row>
    <row r="18">
      <c r="B18" s="36" t="inlineStr">
        <is>
          <t>مفتاح الألوان:</t>
        </is>
      </c>
    </row>
    <row r="19">
      <c r="B19" s="37" t="inlineStr">
        <is>
          <t>صباح</t>
        </is>
      </c>
    </row>
    <row r="20">
      <c r="B20" s="38" t="inlineStr">
        <is>
          <t>عصر</t>
        </is>
      </c>
    </row>
    <row r="21">
      <c r="B21" s="39" t="inlineStr">
        <is>
          <t>ليل</t>
        </is>
      </c>
    </row>
    <row r="22">
      <c r="B22" s="40" t="inlineStr">
        <is>
          <t>راحة</t>
        </is>
      </c>
    </row>
    <row r="23">
      <c r="B23" s="41" t="inlineStr">
        <is>
          <t>سنوية</t>
        </is>
      </c>
    </row>
    <row r="24">
      <c r="B24" s="42" t="inlineStr">
        <is>
          <t>عارض</t>
        </is>
      </c>
    </row>
    <row r="25">
      <c r="B25" s="43" t="inlineStr">
        <is>
          <t>دورية</t>
        </is>
      </c>
    </row>
    <row r="26">
      <c r="B26" s="44" t="inlineStr">
        <is>
          <t>مرضية</t>
        </is>
      </c>
    </row>
    <row r="27">
      <c r="B27" s="45" t="inlineStr">
        <is>
          <t>مرافق مريض</t>
        </is>
      </c>
    </row>
    <row r="28">
      <c r="B28" s="46" t="inlineStr">
        <is>
          <t>أخرى</t>
        </is>
      </c>
    </row>
  </sheetData>
  <conditionalFormatting sqref="D15">
    <cfRule type="cellIs" priority="1" operator="lessThan" dxfId="3">
      <formula>MinStaff</formula>
    </cfRule>
  </conditionalFormatting>
  <conditionalFormatting sqref="E15">
    <cfRule type="cellIs" priority="2" operator="lessThan" dxfId="3">
      <formula>MinStaff</formula>
    </cfRule>
  </conditionalFormatting>
  <conditionalFormatting sqref="F15">
    <cfRule type="cellIs" priority="3" operator="lessThan" dxfId="3">
      <formula>MinStaff</formula>
    </cfRule>
  </conditionalFormatting>
  <conditionalFormatting sqref="G15">
    <cfRule type="cellIs" priority="4" operator="lessThan" dxfId="3">
      <formula>MinStaff</formula>
    </cfRule>
  </conditionalFormatting>
  <conditionalFormatting sqref="H15">
    <cfRule type="cellIs" priority="5" operator="lessThan" dxfId="3">
      <formula>MinStaff</formula>
    </cfRule>
  </conditionalFormatting>
  <conditionalFormatting sqref="I15">
    <cfRule type="cellIs" priority="6" operator="lessThan" dxfId="3">
      <formula>MinStaff</formula>
    </cfRule>
  </conditionalFormatting>
  <conditionalFormatting sqref="J15">
    <cfRule type="cellIs" priority="7" operator="lessThan" dxfId="3">
      <formula>MinStaff</formula>
    </cfRule>
  </conditionalFormatting>
  <conditionalFormatting sqref="K15">
    <cfRule type="cellIs" priority="8" operator="lessThan" dxfId="3">
      <formula>MinStaff</formula>
    </cfRule>
  </conditionalFormatting>
  <conditionalFormatting sqref="L15">
    <cfRule type="cellIs" priority="9" operator="lessThan" dxfId="3">
      <formula>MinStaff</formula>
    </cfRule>
  </conditionalFormatting>
  <conditionalFormatting sqref="M15">
    <cfRule type="cellIs" priority="10" operator="lessThan" dxfId="3">
      <formula>MinStaff</formula>
    </cfRule>
  </conditionalFormatting>
  <conditionalFormatting sqref="N15">
    <cfRule type="cellIs" priority="11" operator="lessThan" dxfId="3">
      <formula>MinStaff</formula>
    </cfRule>
  </conditionalFormatting>
  <conditionalFormatting sqref="O15">
    <cfRule type="cellIs" priority="12" operator="lessThan" dxfId="3">
      <formula>MinStaff</formula>
    </cfRule>
  </conditionalFormatting>
  <conditionalFormatting sqref="P15">
    <cfRule type="cellIs" priority="13" operator="lessThan" dxfId="3">
      <formula>MinStaff</formula>
    </cfRule>
  </conditionalFormatting>
  <conditionalFormatting sqref="Q15">
    <cfRule type="cellIs" priority="14" operator="lessThan" dxfId="3">
      <formula>MinStaff</formula>
    </cfRule>
  </conditionalFormatting>
  <conditionalFormatting sqref="R15">
    <cfRule type="cellIs" priority="15" operator="lessThan" dxfId="3">
      <formula>MinStaff</formula>
    </cfRule>
  </conditionalFormatting>
  <conditionalFormatting sqref="S15">
    <cfRule type="cellIs" priority="16" operator="lessThan" dxfId="3">
      <formula>MinStaff</formula>
    </cfRule>
  </conditionalFormatting>
  <conditionalFormatting sqref="T15">
    <cfRule type="cellIs" priority="17" operator="lessThan" dxfId="3">
      <formula>MinStaff</formula>
    </cfRule>
  </conditionalFormatting>
  <conditionalFormatting sqref="U15">
    <cfRule type="cellIs" priority="18" operator="lessThan" dxfId="3">
      <formula>MinStaff</formula>
    </cfRule>
  </conditionalFormatting>
  <conditionalFormatting sqref="V15">
    <cfRule type="cellIs" priority="19" operator="lessThan" dxfId="3">
      <formula>MinStaff</formula>
    </cfRule>
  </conditionalFormatting>
  <conditionalFormatting sqref="W15">
    <cfRule type="cellIs" priority="20" operator="lessThan" dxfId="3">
      <formula>MinStaff</formula>
    </cfRule>
  </conditionalFormatting>
  <conditionalFormatting sqref="X15">
    <cfRule type="cellIs" priority="21" operator="lessThan" dxfId="3">
      <formula>MinStaff</formula>
    </cfRule>
  </conditionalFormatting>
  <conditionalFormatting sqref="Y15">
    <cfRule type="cellIs" priority="22" operator="lessThan" dxfId="3">
      <formula>MinStaff</formula>
    </cfRule>
  </conditionalFormatting>
  <conditionalFormatting sqref="Z15">
    <cfRule type="cellIs" priority="23" operator="lessThan" dxfId="3">
      <formula>MinStaff</formula>
    </cfRule>
  </conditionalFormatting>
  <conditionalFormatting sqref="AA15">
    <cfRule type="cellIs" priority="24" operator="lessThan" dxfId="3">
      <formula>MinStaff</formula>
    </cfRule>
  </conditionalFormatting>
  <conditionalFormatting sqref="AB15">
    <cfRule type="cellIs" priority="25" operator="lessThan" dxfId="3">
      <formula>MinStaff</formula>
    </cfRule>
  </conditionalFormatting>
  <conditionalFormatting sqref="AC15">
    <cfRule type="cellIs" priority="26" operator="lessThan" dxfId="3">
      <formula>MinStaff</formula>
    </cfRule>
  </conditionalFormatting>
  <conditionalFormatting sqref="AD15">
    <cfRule type="cellIs" priority="27" operator="lessThan" dxfId="3">
      <formula>MinStaff</formula>
    </cfRule>
  </conditionalFormatting>
  <conditionalFormatting sqref="AE15">
    <cfRule type="cellIs" priority="28" operator="lessThan" dxfId="3">
      <formula>MinStaff</formula>
    </cfRule>
  </conditionalFormatting>
  <conditionalFormatting sqref="AF15">
    <cfRule type="cellIs" priority="29" operator="lessThan" dxfId="3">
      <formula>MinStaff</formula>
    </cfRule>
  </conditionalFormatting>
  <conditionalFormatting sqref="AG15">
    <cfRule type="cellIs" priority="30" operator="lessThan" dxfId="3">
      <formula>MinStaff</formula>
    </cfRule>
  </conditionalFormatting>
  <conditionalFormatting sqref="AH15">
    <cfRule type="cellIs" priority="31" operator="lessThan" dxfId="3">
      <formula>MinStaff</formula>
    </cfRule>
  </conditionalFormatting>
  <conditionalFormatting sqref="D4:AH11">
    <cfRule type="cellIs" priority="32" operator="equal" dxfId="0">
      <formula>"صباح"</formula>
    </cfRule>
    <cfRule type="cellIs" priority="33" operator="equal" dxfId="1">
      <formula>"عصر"</formula>
    </cfRule>
    <cfRule type="cellIs" priority="34" operator="equal" dxfId="2">
      <formula>"ليل"</formula>
    </cfRule>
    <cfRule type="cellIs" priority="35" operator="equal" dxfId="12">
      <formula>"راحة"</formula>
    </cfRule>
    <cfRule type="cellIs" priority="36" operator="equal" dxfId="6">
      <formula>"سنوية"</formula>
    </cfRule>
    <cfRule type="cellIs" priority="37" operator="equal" dxfId="7">
      <formula>"عارض"</formula>
    </cfRule>
    <cfRule type="cellIs" priority="38" operator="equal" dxfId="8">
      <formula>"دورية"</formula>
    </cfRule>
    <cfRule type="cellIs" priority="39" operator="equal" dxfId="9">
      <formula>"مرضية"</formula>
    </cfRule>
    <cfRule type="cellIs" priority="40" operator="equal" dxfId="10">
      <formula>"مرافق مريض"</formula>
    </cfRule>
    <cfRule type="cellIs" priority="41" operator="equal" dxfId="11">
      <formula>"أخرى"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11" customWidth="1" min="35" max="35"/>
  </cols>
  <sheetData>
    <row r="1">
      <c r="A1" s="23" t="inlineStr">
        <is>
          <t>تقويم الإجازات — يعرض الإجازات المعتمدة فقط بألوانها</t>
        </is>
      </c>
    </row>
    <row r="2">
      <c r="A2" s="47" t="inlineStr">
        <is>
          <t>كل خلية ملوّنة = إجازة معتمدة لذلك اليوم. الخلايا الفارغة = لا توجد إجازة.</t>
        </is>
      </c>
      <c r="D2" s="27" t="inlineStr">
        <is>
          <t>الثلاثاء</t>
        </is>
      </c>
      <c r="E2" s="27" t="inlineStr">
        <is>
          <t>الأربعاء</t>
        </is>
      </c>
      <c r="F2" s="27" t="inlineStr">
        <is>
          <t>الخميس</t>
        </is>
      </c>
      <c r="G2" s="27" t="inlineStr">
        <is>
          <t>الجمعة</t>
        </is>
      </c>
      <c r="H2" s="27" t="inlineStr">
        <is>
          <t>السبت</t>
        </is>
      </c>
      <c r="I2" s="27" t="inlineStr">
        <is>
          <t>الأحد</t>
        </is>
      </c>
      <c r="J2" s="27" t="inlineStr">
        <is>
          <t>الإثنين</t>
        </is>
      </c>
      <c r="K2" s="27" t="inlineStr">
        <is>
          <t>الثلاثاء</t>
        </is>
      </c>
      <c r="L2" s="27" t="inlineStr">
        <is>
          <t>الأربعاء</t>
        </is>
      </c>
      <c r="M2" s="27" t="inlineStr">
        <is>
          <t>الخميس</t>
        </is>
      </c>
      <c r="N2" s="27" t="inlineStr">
        <is>
          <t>الجمعة</t>
        </is>
      </c>
      <c r="O2" s="27" t="inlineStr">
        <is>
          <t>السبت</t>
        </is>
      </c>
      <c r="P2" s="27" t="inlineStr">
        <is>
          <t>الأحد</t>
        </is>
      </c>
      <c r="Q2" s="27" t="inlineStr">
        <is>
          <t>الإثنين</t>
        </is>
      </c>
      <c r="R2" s="27" t="inlineStr">
        <is>
          <t>الثلاثاء</t>
        </is>
      </c>
      <c r="S2" s="27" t="inlineStr">
        <is>
          <t>الأربعاء</t>
        </is>
      </c>
      <c r="T2" s="27" t="inlineStr">
        <is>
          <t>الخميس</t>
        </is>
      </c>
      <c r="U2" s="27" t="inlineStr">
        <is>
          <t>الجمعة</t>
        </is>
      </c>
      <c r="V2" s="27" t="inlineStr">
        <is>
          <t>السبت</t>
        </is>
      </c>
      <c r="W2" s="27" t="inlineStr">
        <is>
          <t>الأحد</t>
        </is>
      </c>
      <c r="X2" s="27" t="inlineStr">
        <is>
          <t>الإثنين</t>
        </is>
      </c>
      <c r="Y2" s="27" t="inlineStr">
        <is>
          <t>الثلاثاء</t>
        </is>
      </c>
      <c r="Z2" s="27" t="inlineStr">
        <is>
          <t>الأربعاء</t>
        </is>
      </c>
      <c r="AA2" s="27" t="inlineStr">
        <is>
          <t>الخميس</t>
        </is>
      </c>
      <c r="AB2" s="27" t="inlineStr">
        <is>
          <t>الجمعة</t>
        </is>
      </c>
      <c r="AC2" s="27" t="inlineStr">
        <is>
          <t>السبت</t>
        </is>
      </c>
      <c r="AD2" s="27" t="inlineStr">
        <is>
          <t>الأحد</t>
        </is>
      </c>
      <c r="AE2" s="27" t="inlineStr">
        <is>
          <t>الإثنين</t>
        </is>
      </c>
      <c r="AF2" s="27" t="inlineStr">
        <is>
          <t>الثلاثاء</t>
        </is>
      </c>
      <c r="AG2" s="27" t="inlineStr">
        <is>
          <t>الأربعاء</t>
        </is>
      </c>
      <c r="AH2" s="27" t="inlineStr">
        <is>
          <t>الخميس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8" t="n">
        <v>46189</v>
      </c>
      <c r="E3" s="28" t="n">
        <v>46190</v>
      </c>
      <c r="F3" s="28" t="n">
        <v>46191</v>
      </c>
      <c r="G3" s="29" t="n">
        <v>46192</v>
      </c>
      <c r="H3" s="28" t="n">
        <v>46193</v>
      </c>
      <c r="I3" s="28" t="n">
        <v>46194</v>
      </c>
      <c r="J3" s="28" t="n">
        <v>46195</v>
      </c>
      <c r="K3" s="28" t="n">
        <v>46196</v>
      </c>
      <c r="L3" s="28" t="n">
        <v>46197</v>
      </c>
      <c r="M3" s="28" t="n">
        <v>46198</v>
      </c>
      <c r="N3" s="29" t="n">
        <v>46199</v>
      </c>
      <c r="O3" s="28" t="n">
        <v>46200</v>
      </c>
      <c r="P3" s="28" t="n">
        <v>46201</v>
      </c>
      <c r="Q3" s="28" t="n">
        <v>46202</v>
      </c>
      <c r="R3" s="28" t="n">
        <v>46203</v>
      </c>
      <c r="S3" s="28" t="n">
        <v>46204</v>
      </c>
      <c r="T3" s="28" t="n">
        <v>46205</v>
      </c>
      <c r="U3" s="29" t="n">
        <v>46206</v>
      </c>
      <c r="V3" s="28" t="n">
        <v>46207</v>
      </c>
      <c r="W3" s="28" t="n">
        <v>46208</v>
      </c>
      <c r="X3" s="28" t="n">
        <v>46209</v>
      </c>
      <c r="Y3" s="28" t="n">
        <v>46210</v>
      </c>
      <c r="Z3" s="28" t="n">
        <v>46211</v>
      </c>
      <c r="AA3" s="28" t="n">
        <v>46212</v>
      </c>
      <c r="AB3" s="29" t="n">
        <v>46213</v>
      </c>
      <c r="AC3" s="28" t="n">
        <v>46214</v>
      </c>
      <c r="AD3" s="28" t="n">
        <v>46215</v>
      </c>
      <c r="AE3" s="28" t="n">
        <v>46216</v>
      </c>
      <c r="AF3" s="28" t="n">
        <v>46217</v>
      </c>
      <c r="AG3" s="28" t="n">
        <v>46218</v>
      </c>
      <c r="AH3" s="28" t="n">
        <v>46219</v>
      </c>
      <c r="AI3" s="6" t="inlineStr">
        <is>
          <t>إجمالي الأيام</t>
        </is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8">
        <f>SUMPRODUCT(--(D4:AH4&lt;&gt;""))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8">
        <f>SUMPRODUCT(--(D5:AH5&lt;&gt;""))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8">
        <f>SUMPRODUCT(--(D6:AH6&lt;&gt;""))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8">
        <f>SUMPRODUCT(--(D7:AH7&lt;&gt;""))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8">
        <f>SUMPRODUCT(--(D8:AH8&lt;&gt;""))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8">
        <f>SUMPRODUCT(--(D9:AH9&lt;&gt;""))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8">
        <f>SUMPRODUCT(--(D10:AH10&lt;&gt;""))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8">
        <f>SUMPRODUCT(--(D11:AH11&lt;&gt;""))</f>
        <v/>
      </c>
    </row>
    <row r="12">
      <c r="B12" s="35" t="inlineStr">
        <is>
          <t>عدد المُجازين</t>
        </is>
      </c>
      <c r="D12" s="32">
        <f>SUMPRODUCT(--(D4:D11&lt;&gt;""))</f>
        <v/>
      </c>
      <c r="E12" s="32">
        <f>SUMPRODUCT(--(E4:E11&lt;&gt;""))</f>
        <v/>
      </c>
      <c r="F12" s="32">
        <f>SUMPRODUCT(--(F4:F11&lt;&gt;""))</f>
        <v/>
      </c>
      <c r="G12" s="32">
        <f>SUMPRODUCT(--(G4:G11&lt;&gt;""))</f>
        <v/>
      </c>
      <c r="H12" s="32">
        <f>SUMPRODUCT(--(H4:H11&lt;&gt;""))</f>
        <v/>
      </c>
      <c r="I12" s="32">
        <f>SUMPRODUCT(--(I4:I11&lt;&gt;""))</f>
        <v/>
      </c>
      <c r="J12" s="32">
        <f>SUMPRODUCT(--(J4:J11&lt;&gt;""))</f>
        <v/>
      </c>
      <c r="K12" s="32">
        <f>SUMPRODUCT(--(K4:K11&lt;&gt;""))</f>
        <v/>
      </c>
      <c r="L12" s="32">
        <f>SUMPRODUCT(--(L4:L11&lt;&gt;""))</f>
        <v/>
      </c>
      <c r="M12" s="32">
        <f>SUMPRODUCT(--(M4:M11&lt;&gt;""))</f>
        <v/>
      </c>
      <c r="N12" s="32">
        <f>SUMPRODUCT(--(N4:N11&lt;&gt;""))</f>
        <v/>
      </c>
      <c r="O12" s="32">
        <f>SUMPRODUCT(--(O4:O11&lt;&gt;""))</f>
        <v/>
      </c>
      <c r="P12" s="32">
        <f>SUMPRODUCT(--(P4:P11&lt;&gt;""))</f>
        <v/>
      </c>
      <c r="Q12" s="32">
        <f>SUMPRODUCT(--(Q4:Q11&lt;&gt;""))</f>
        <v/>
      </c>
      <c r="R12" s="32">
        <f>SUMPRODUCT(--(R4:R11&lt;&gt;""))</f>
        <v/>
      </c>
      <c r="S12" s="32">
        <f>SUMPRODUCT(--(S4:S11&lt;&gt;""))</f>
        <v/>
      </c>
      <c r="T12" s="32">
        <f>SUMPRODUCT(--(T4:T11&lt;&gt;""))</f>
        <v/>
      </c>
      <c r="U12" s="32">
        <f>SUMPRODUCT(--(U4:U11&lt;&gt;""))</f>
        <v/>
      </c>
      <c r="V12" s="32">
        <f>SUMPRODUCT(--(V4:V11&lt;&gt;""))</f>
        <v/>
      </c>
      <c r="W12" s="32">
        <f>SUMPRODUCT(--(W4:W11&lt;&gt;""))</f>
        <v/>
      </c>
      <c r="X12" s="32">
        <f>SUMPRODUCT(--(X4:X11&lt;&gt;""))</f>
        <v/>
      </c>
      <c r="Y12" s="32">
        <f>SUMPRODUCT(--(Y4:Y11&lt;&gt;""))</f>
        <v/>
      </c>
      <c r="Z12" s="32">
        <f>SUMPRODUCT(--(Z4:Z11&lt;&gt;""))</f>
        <v/>
      </c>
      <c r="AA12" s="32">
        <f>SUMPRODUCT(--(AA4:AA11&lt;&gt;""))</f>
        <v/>
      </c>
      <c r="AB12" s="32">
        <f>SUMPRODUCT(--(AB4:AB11&lt;&gt;""))</f>
        <v/>
      </c>
      <c r="AC12" s="32">
        <f>SUMPRODUCT(--(AC4:AC11&lt;&gt;""))</f>
        <v/>
      </c>
      <c r="AD12" s="32">
        <f>SUMPRODUCT(--(AD4:AD11&lt;&gt;""))</f>
        <v/>
      </c>
      <c r="AE12" s="32">
        <f>SUMPRODUCT(--(AE4:AE11&lt;&gt;""))</f>
        <v/>
      </c>
      <c r="AF12" s="32">
        <f>SUMPRODUCT(--(AF4:AF11&lt;&gt;""))</f>
        <v/>
      </c>
      <c r="AG12" s="32">
        <f>SUMPRODUCT(--(AG4:AG11&lt;&gt;""))</f>
        <v/>
      </c>
      <c r="AH12" s="32">
        <f>SUMPRODUCT(--(AH4:AH11&lt;&gt;""))</f>
        <v/>
      </c>
    </row>
    <row r="14">
      <c r="B14" s="36" t="inlineStr">
        <is>
          <t>مفتاح ألوان الإجازات:</t>
        </is>
      </c>
    </row>
    <row r="15">
      <c r="B15" s="41" t="inlineStr">
        <is>
          <t>سنوية</t>
        </is>
      </c>
    </row>
    <row r="16">
      <c r="B16" s="42" t="inlineStr">
        <is>
          <t>عارض</t>
        </is>
      </c>
    </row>
    <row r="17">
      <c r="B17" s="43" t="inlineStr">
        <is>
          <t>دورية</t>
        </is>
      </c>
    </row>
    <row r="18">
      <c r="B18" s="44" t="inlineStr">
        <is>
          <t>مرضية</t>
        </is>
      </c>
    </row>
    <row r="19">
      <c r="B19" s="45" t="inlineStr">
        <is>
          <t>مرافق مريض</t>
        </is>
      </c>
    </row>
    <row r="20">
      <c r="B20" s="46" t="inlineStr">
        <is>
          <t>أخرى</t>
        </is>
      </c>
    </row>
  </sheetData>
  <conditionalFormatting sqref="D12">
    <cfRule type="cellIs" priority="1" operator="greaterThan" dxfId="3">
      <formula>MaxLeave</formula>
    </cfRule>
  </conditionalFormatting>
  <conditionalFormatting sqref="E12">
    <cfRule type="cellIs" priority="2" operator="greaterThan" dxfId="3">
      <formula>MaxLeave</formula>
    </cfRule>
  </conditionalFormatting>
  <conditionalFormatting sqref="F12">
    <cfRule type="cellIs" priority="3" operator="greaterThan" dxfId="3">
      <formula>MaxLeave</formula>
    </cfRule>
  </conditionalFormatting>
  <conditionalFormatting sqref="G12">
    <cfRule type="cellIs" priority="4" operator="greaterThan" dxfId="3">
      <formula>MaxLeave</formula>
    </cfRule>
  </conditionalFormatting>
  <conditionalFormatting sqref="H12">
    <cfRule type="cellIs" priority="5" operator="greaterThan" dxfId="3">
      <formula>MaxLeave</formula>
    </cfRule>
  </conditionalFormatting>
  <conditionalFormatting sqref="I12">
    <cfRule type="cellIs" priority="6" operator="greaterThan" dxfId="3">
      <formula>MaxLeave</formula>
    </cfRule>
  </conditionalFormatting>
  <conditionalFormatting sqref="J12">
    <cfRule type="cellIs" priority="7" operator="greaterThan" dxfId="3">
      <formula>MaxLeave</formula>
    </cfRule>
  </conditionalFormatting>
  <conditionalFormatting sqref="K12">
    <cfRule type="cellIs" priority="8" operator="greaterThan" dxfId="3">
      <formula>MaxLeave</formula>
    </cfRule>
  </conditionalFormatting>
  <conditionalFormatting sqref="L12">
    <cfRule type="cellIs" priority="9" operator="greaterThan" dxfId="3">
      <formula>MaxLeave</formula>
    </cfRule>
  </conditionalFormatting>
  <conditionalFormatting sqref="M12">
    <cfRule type="cellIs" priority="10" operator="greaterThan" dxfId="3">
      <formula>MaxLeave</formula>
    </cfRule>
  </conditionalFormatting>
  <conditionalFormatting sqref="N12">
    <cfRule type="cellIs" priority="11" operator="greaterThan" dxfId="3">
      <formula>MaxLeave</formula>
    </cfRule>
  </conditionalFormatting>
  <conditionalFormatting sqref="O12">
    <cfRule type="cellIs" priority="12" operator="greaterThan" dxfId="3">
      <formula>MaxLeave</formula>
    </cfRule>
  </conditionalFormatting>
  <conditionalFormatting sqref="P12">
    <cfRule type="cellIs" priority="13" operator="greaterThan" dxfId="3">
      <formula>MaxLeave</formula>
    </cfRule>
  </conditionalFormatting>
  <conditionalFormatting sqref="Q12">
    <cfRule type="cellIs" priority="14" operator="greaterThan" dxfId="3">
      <formula>MaxLeave</formula>
    </cfRule>
  </conditionalFormatting>
  <conditionalFormatting sqref="R12">
    <cfRule type="cellIs" priority="15" operator="greaterThan" dxfId="3">
      <formula>MaxLeave</formula>
    </cfRule>
  </conditionalFormatting>
  <conditionalFormatting sqref="S12">
    <cfRule type="cellIs" priority="16" operator="greaterThan" dxfId="3">
      <formula>MaxLeave</formula>
    </cfRule>
  </conditionalFormatting>
  <conditionalFormatting sqref="T12">
    <cfRule type="cellIs" priority="17" operator="greaterThan" dxfId="3">
      <formula>MaxLeave</formula>
    </cfRule>
  </conditionalFormatting>
  <conditionalFormatting sqref="U12">
    <cfRule type="cellIs" priority="18" operator="greaterThan" dxfId="3">
      <formula>MaxLeave</formula>
    </cfRule>
  </conditionalFormatting>
  <conditionalFormatting sqref="V12">
    <cfRule type="cellIs" priority="19" operator="greaterThan" dxfId="3">
      <formula>MaxLeave</formula>
    </cfRule>
  </conditionalFormatting>
  <conditionalFormatting sqref="W12">
    <cfRule type="cellIs" priority="20" operator="greaterThan" dxfId="3">
      <formula>MaxLeave</formula>
    </cfRule>
  </conditionalFormatting>
  <conditionalFormatting sqref="X12">
    <cfRule type="cellIs" priority="21" operator="greaterThan" dxfId="3">
      <formula>MaxLeave</formula>
    </cfRule>
  </conditionalFormatting>
  <conditionalFormatting sqref="Y12">
    <cfRule type="cellIs" priority="22" operator="greaterThan" dxfId="3">
      <formula>MaxLeave</formula>
    </cfRule>
  </conditionalFormatting>
  <conditionalFormatting sqref="Z12">
    <cfRule type="cellIs" priority="23" operator="greaterThan" dxfId="3">
      <formula>MaxLeave</formula>
    </cfRule>
  </conditionalFormatting>
  <conditionalFormatting sqref="AA12">
    <cfRule type="cellIs" priority="24" operator="greaterThan" dxfId="3">
      <formula>MaxLeave</formula>
    </cfRule>
  </conditionalFormatting>
  <conditionalFormatting sqref="AB12">
    <cfRule type="cellIs" priority="25" operator="greaterThan" dxfId="3">
      <formula>MaxLeave</formula>
    </cfRule>
  </conditionalFormatting>
  <conditionalFormatting sqref="AC12">
    <cfRule type="cellIs" priority="26" operator="greaterThan" dxfId="3">
      <formula>MaxLeave</formula>
    </cfRule>
  </conditionalFormatting>
  <conditionalFormatting sqref="AD12">
    <cfRule type="cellIs" priority="27" operator="greaterThan" dxfId="3">
      <formula>MaxLeave</formula>
    </cfRule>
  </conditionalFormatting>
  <conditionalFormatting sqref="AE12">
    <cfRule type="cellIs" priority="28" operator="greaterThan" dxfId="3">
      <formula>MaxLeave</formula>
    </cfRule>
  </conditionalFormatting>
  <conditionalFormatting sqref="AF12">
    <cfRule type="cellIs" priority="29" operator="greaterThan" dxfId="3">
      <formula>MaxLeave</formula>
    </cfRule>
  </conditionalFormatting>
  <conditionalFormatting sqref="AG12">
    <cfRule type="cellIs" priority="30" operator="greaterThan" dxfId="3">
      <formula>MaxLeave</formula>
    </cfRule>
  </conditionalFormatting>
  <conditionalFormatting sqref="AH12">
    <cfRule type="cellIs" priority="31" operator="greaterThan" dxfId="3">
      <formula>MaxLeave</formula>
    </cfRule>
  </conditionalFormatting>
  <conditionalFormatting sqref="D4:AH11">
    <cfRule type="cellIs" priority="32" operator="equal" dxfId="6">
      <formula>"سنوية"</formula>
    </cfRule>
    <cfRule type="cellIs" priority="33" operator="equal" dxfId="7">
      <formula>"عارض"</formula>
    </cfRule>
    <cfRule type="cellIs" priority="34" operator="equal" dxfId="8">
      <formula>"دورية"</formula>
    </cfRule>
    <cfRule type="cellIs" priority="35" operator="equal" dxfId="9">
      <formula>"مرضية"</formula>
    </cfRule>
    <cfRule type="cellIs" priority="36" operator="equal" dxfId="10">
      <formula>"مرافق مريض"</formula>
    </cfRule>
    <cfRule type="cellIs" priority="37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2026-06-17T12:38:51Z</dcterms:created>
  <dcterms:modified xsi:type="dcterms:W3CDTF">2026-06-17T12:38:51Z</dcterms:modified>
</cp:coreProperties>
</file>