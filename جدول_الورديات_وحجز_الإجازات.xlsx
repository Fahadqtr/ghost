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وحة المعلومات" sheetId="1" state="visible" r:id="rId1"/>
    <sheet name="تعليمات" sheetId="2" state="visible" r:id="rId2"/>
    <sheet name="الإعدادات والقوائم" sheetId="3" state="visible" r:id="rId3"/>
    <sheet name="الموظفون" sheetId="4" state="visible" r:id="rId4"/>
    <sheet name="حجز الإجازات" sheetId="5" state="visible" r:id="rId5"/>
    <sheet name="جدول الورديات" sheetId="6" state="visible" r:id="rId6"/>
    <sheet name="تقويم الإجازات" sheetId="7" state="visible" r:id="rId7"/>
    <sheet name="كشف يومي" sheetId="8" state="visible" r:id="rId8"/>
    <sheet name="متابعة الإجازات" sheetId="9" state="visible" r:id="rId9"/>
    <sheet name="التوزيع العادل" sheetId="10" state="visible" r:id="rId10"/>
  </sheets>
  <definedNames>
    <definedName name="CycleWork">'الإعدادات والقوائم'!$B$3</definedName>
    <definedName name="CycleRest">'الإعدادات والقوائم'!$B$4</definedName>
    <definedName name="MinStaff">'الإعدادات والقوائم'!$B$5</definedName>
    <definedName name="MaxLeave">'الإعدادات والقوائم'!$B$6</definedName>
    <definedName name="StartShift">'الإعدادات والقوائم'!$B$7</definedName>
    <definedName name="LeaveTypes">'الإعدادات والقوائم'!$D$2:$D$7</definedName>
    <definedName name="ReqStatus">'الإعدادات والقوائم'!$F$2:$F$4</definedName>
    <definedName name="Holidays">'الإعدادات والقوائم'!$K$2:$K$21</definedName>
    <definedName name="EmpNames">'الموظفون'!$B$2:$B$9</definedName>
    <definedName name="_xlnm.Print_Area" localSheetId="7">'كشف يومي'!$A$1:$F$16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3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44546A"/>
      <sz val="12"/>
    </font>
    <font>
      <name val="Arial"/>
      <sz val="11"/>
    </font>
    <font>
      <name val="Arial"/>
      <b val="1"/>
      <color rgb="00C00000"/>
      <sz val="12"/>
    </font>
    <font>
      <name val="Arial"/>
      <b val="1"/>
      <sz val="11"/>
    </font>
    <font>
      <name val="Arial"/>
      <b val="1"/>
      <color rgb="00FFFFFF"/>
      <sz val="11"/>
    </font>
    <font>
      <name val="Arial"/>
      <i val="1"/>
      <color rgb="00C00000"/>
      <sz val="10"/>
    </font>
    <font>
      <name val="Arial"/>
      <b val="1"/>
      <color rgb="002E75B6"/>
      <sz val="10"/>
      <u val="single"/>
    </font>
    <font>
      <b val="1"/>
      <color rgb="00FFFFFF"/>
      <sz val="10"/>
    </font>
    <font>
      <b val="1"/>
      <sz val="10"/>
    </font>
    <font>
      <i val="1"/>
      <color rgb="0044546A"/>
      <sz val="8"/>
    </font>
    <font>
      <name val="Arial"/>
      <b val="1"/>
      <color rgb="001F3864"/>
      <sz val="8"/>
    </font>
    <font>
      <name val="Arial"/>
      <b val="1"/>
      <color rgb="001F3864"/>
      <sz val="10"/>
    </font>
    <font>
      <name val="Arial"/>
      <sz val="8"/>
    </font>
    <font>
      <name val="Arial"/>
      <b val="1"/>
      <sz val="10"/>
    </font>
    <font>
      <name val="Arial"/>
      <b val="1"/>
      <sz val="9"/>
    </font>
    <font>
      <name val="Arial"/>
      <i val="1"/>
      <color rgb="0044546A"/>
      <sz val="10"/>
    </font>
    <font>
      <name val="Arial"/>
      <b val="1"/>
      <color rgb="00FFFFFF"/>
      <sz val="20"/>
    </font>
    <font>
      <name val="Arial"/>
      <b val="1"/>
      <color rgb="0044546A"/>
      <sz val="11"/>
    </font>
    <font>
      <name val="Arial"/>
      <b val="1"/>
      <color rgb="00FFFFFF"/>
      <sz val="10"/>
    </font>
    <font>
      <name val="Arial"/>
      <b val="1"/>
      <color rgb="001F3864"/>
      <sz val="24"/>
    </font>
    <font>
      <b val="1"/>
      <color rgb="00FFFFFF"/>
      <sz val="12"/>
    </font>
    <font>
      <b val="1"/>
      <color rgb="001F3864"/>
      <sz val="22"/>
    </font>
    <font>
      <b val="1"/>
      <color rgb="00FFFFFF"/>
      <sz val="15"/>
      <u val="single"/>
    </font>
    <font>
      <b val="1"/>
      <color rgb="001F3864"/>
      <sz val="12"/>
    </font>
    <font>
      <b val="1"/>
      <color rgb="00FFFFFF"/>
      <sz val="16"/>
    </font>
    <font>
      <b val="1"/>
      <sz val="12"/>
    </font>
    <font>
      <b val="1"/>
    </font>
    <font>
      <i val="1"/>
      <color rgb="0044546A"/>
      <sz val="9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E2A9F3"/>
      </patternFill>
    </fill>
    <fill>
      <patternFill patternType="solid">
        <fgColor rgb="00FCE4D6"/>
      </patternFill>
    </fill>
    <fill>
      <patternFill patternType="solid">
        <fgColor rgb="0044546A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8EAADB"/>
      </patternFill>
    </fill>
    <fill>
      <patternFill patternType="solid">
        <fgColor rgb="00F4B084"/>
      </patternFill>
    </fill>
    <fill>
      <patternFill patternType="solid">
        <fgColor rgb="00548235"/>
      </patternFill>
    </fill>
    <fill>
      <patternFill patternType="solid">
        <fgColor rgb="008EA9DB"/>
      </patternFill>
    </fill>
    <fill>
      <patternFill patternType="solid">
        <fgColor rgb="00C00000"/>
      </patternFill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9BB0C4"/>
      </left>
      <right style="thin">
        <color rgb="009BB0C4"/>
      </right>
      <top style="thin">
        <color rgb="009BB0C4"/>
      </top>
      <bottom style="thin">
        <color rgb="009BB0C4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8" fillId="17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18" borderId="1" applyAlignment="1" pivotButton="0" quotePrefix="0" xfId="0">
      <alignment horizontal="center" vertical="center" wrapText="1"/>
    </xf>
    <xf numFmtId="0" fontId="21" fillId="19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center" vertical="center" wrapText="1"/>
    </xf>
    <xf numFmtId="0" fontId="22" fillId="21" borderId="1" applyAlignment="1" pivotButton="0" quotePrefix="0" xfId="0">
      <alignment horizontal="center" vertical="center" wrapText="1"/>
    </xf>
    <xf numFmtId="0" fontId="24" fillId="1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3" fillId="18" borderId="1" applyAlignment="1" pivotButton="0" quotePrefix="0" xfId="0">
      <alignment horizontal="center" vertical="center" wrapText="1"/>
    </xf>
    <xf numFmtId="0" fontId="25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10" borderId="1" applyAlignment="1" pivotButton="0" quotePrefix="0" xfId="0">
      <alignment horizontal="right" vertical="center" wrapText="1"/>
    </xf>
    <xf numFmtId="0" fontId="3" fillId="22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2" fillId="0" borderId="0" pivotButton="0" quotePrefix="0" xfId="0"/>
    <xf numFmtId="0" fontId="5" fillId="0" borderId="1" applyAlignment="1" pivotButton="0" quotePrefix="0" xfId="0">
      <alignment horizontal="right" vertical="center" wrapText="1"/>
    </xf>
    <xf numFmtId="165" fontId="0" fillId="0" borderId="1" applyAlignment="1" applyProtection="1" pivotButton="0" quotePrefix="0" xfId="0">
      <alignment horizontal="center" vertical="center" wrapText="1"/>
      <protection locked="0" hidden="0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165" fontId="0" fillId="12" borderId="1" applyAlignment="1" applyProtection="1" pivotButton="0" quotePrefix="0" xfId="0">
      <alignment horizontal="center" vertical="center" wrapText="1"/>
      <protection locked="0" hidden="0"/>
    </xf>
    <xf numFmtId="0" fontId="3" fillId="0" borderId="1" applyAlignment="1" applyProtection="1" pivotButton="0" quotePrefix="0" xfId="0">
      <alignment horizontal="right" vertical="center" wrapText="1"/>
      <protection locked="0" hidden="0"/>
    </xf>
    <xf numFmtId="0" fontId="0" fillId="0" borderId="1" applyAlignment="1" applyProtection="1" pivotButton="0" quotePrefix="0" xfId="0">
      <alignment horizontal="center" vertical="center" wrapText="1"/>
      <protection locked="0" hidden="0"/>
    </xf>
    <xf numFmtId="0" fontId="0" fillId="3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165" fontId="3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right" vertical="center" wrapText="1"/>
    </xf>
    <xf numFmtId="0" fontId="0" fillId="9" borderId="1" applyAlignment="1" applyProtection="1" pivotButton="0" quotePrefix="0" xfId="0">
      <alignment horizontal="center" vertical="center" wrapText="1"/>
      <protection locked="0" hidden="0"/>
    </xf>
    <xf numFmtId="165" fontId="3" fillId="0" borderId="1" applyProtection="1" pivotButton="0" quotePrefix="0" xfId="0">
      <protection locked="0" hidden="0"/>
    </xf>
    <xf numFmtId="165" fontId="0" fillId="9" borderId="1" applyAlignment="1" applyProtection="1" pivotButton="0" quotePrefix="0" xfId="0">
      <alignment horizontal="center" vertical="center" wrapText="1"/>
      <protection locked="0" hidden="0"/>
    </xf>
    <xf numFmtId="0" fontId="11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166" fontId="6" fillId="1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right" vertical="center" wrapText="1"/>
    </xf>
    <xf numFmtId="0" fontId="15" fillId="11" borderId="1" applyAlignment="1" pivotButton="0" quotePrefix="0" xfId="0">
      <alignment horizontal="right" vertical="center" wrapText="1"/>
    </xf>
    <xf numFmtId="0" fontId="15" fillId="0" borderId="1" applyAlignment="1" pivotButton="0" quotePrefix="0" xfId="0">
      <alignment horizontal="right" vertical="center" wrapText="1"/>
    </xf>
    <xf numFmtId="0" fontId="10" fillId="0" borderId="0" pivotButton="0" quotePrefix="0" xfId="0"/>
    <xf numFmtId="0" fontId="3" fillId="9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3" fillId="16" borderId="1" applyAlignment="1" pivotButton="0" quotePrefix="0" xfId="0">
      <alignment horizontal="right" vertical="center" wrapText="1"/>
    </xf>
    <xf numFmtId="0" fontId="3" fillId="12" borderId="1" applyAlignment="1" pivotButton="0" quotePrefix="0" xfId="0">
      <alignment horizontal="right" vertical="center" wrapText="1"/>
    </xf>
    <xf numFmtId="0" fontId="17" fillId="0" borderId="0" pivotButton="0" quotePrefix="0" xfId="0"/>
    <xf numFmtId="0" fontId="15" fillId="0" borderId="1" applyAlignment="1" pivotButton="0" quotePrefix="0" xfId="0">
      <alignment horizontal="center" vertical="center" wrapText="1"/>
    </xf>
    <xf numFmtId="0" fontId="26" fillId="17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right" vertical="center" wrapText="1"/>
    </xf>
    <xf numFmtId="165" fontId="25" fillId="9" borderId="1" applyAlignment="1" applyProtection="1" pivotButton="0" quotePrefix="0" xfId="0">
      <alignment horizontal="center" vertical="center" wrapText="1"/>
      <protection locked="0" hidden="0"/>
    </xf>
    <xf numFmtId="0" fontId="28" fillId="0" borderId="0" applyAlignment="1" pivotButton="0" quotePrefix="0" xfId="0">
      <alignment horizontal="right" vertical="center" wrapText="1"/>
    </xf>
    <xf numFmtId="0" fontId="28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0" borderId="1" applyProtection="1" pivotButton="0" quotePrefix="0" xfId="0">
      <protection locked="0" hidden="0"/>
    </xf>
    <xf numFmtId="0" fontId="25" fillId="0" borderId="0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right" vertical="center" wrapText="1"/>
    </xf>
    <xf numFmtId="0" fontId="25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6">
    <dxf>
      <font>
        <b val="1"/>
        <color rgb="009C0006"/>
        <sz val="24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8EAADB"/>
          <bgColor rgb="008EAADB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BDD7EE"/>
          <bgColor rgb="00BDD7E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2A9F3"/>
          <bgColor rgb="00E2A9F3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E2EFDA"/>
          <b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أيام الإجازة حسب النوع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'لوحة المعلومات'!D15</f>
            </strRef>
          </tx>
          <spPr>
            <a:ln>
              <a:prstDash val="solid"/>
            </a:ln>
          </spPr>
          <cat>
            <numRef>
              <f>'لوحة المعلومات'!$B$16:$B$21</f>
            </numRef>
          </cat>
          <val>
            <numRef>
              <f>'لوحة المعلومات'!$D$16:$D$21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إجمالي أيام الإجازة لكل موظف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'لوحة المعلومات'!D32</f>
            </strRef>
          </tx>
          <spPr>
            <a:ln>
              <a:prstDash val="solid"/>
            </a:ln>
          </spPr>
          <cat>
            <numRef>
              <f>'لوحة المعلومات'!$B$33:$B$40</f>
            </numRef>
          </cat>
          <val>
            <numRef>
              <f>'لوحة المعلومات'!$D$33:$D$40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توزيع الطلبات حسب الحالة</a:t>
            </a:r>
          </a:p>
        </rich>
      </tx>
    </title>
    <plotArea>
      <pieChart>
        <varyColors val="1"/>
        <ser>
          <idx val="0"/>
          <order val="0"/>
          <tx>
            <strRef>
              <f>'لوحة المعلومات'!C48</f>
            </strRef>
          </tx>
          <spPr>
            <a:ln>
              <a:prstDash val="solid"/>
            </a:ln>
          </spPr>
          <cat>
            <numRef>
              <f>'لوحة المعلومات'!$B$49:$B$51</f>
            </numRef>
          </cat>
          <val>
            <numRef>
              <f>'لوحة المعلومات'!$C$49:$C$51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إجمالي أيام الإجازة لكل موظف (للعدالة)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'التوزيع العادل'!E7</f>
            </strRef>
          </tx>
          <spPr>
            <a:ln>
              <a:prstDash val="solid"/>
            </a:ln>
          </spPr>
          <cat>
            <numRef>
              <f>'التوزيع العادل'!$C$8:$C$15</f>
            </numRef>
          </cat>
          <val>
            <numRef>
              <f>'التوزيع العادل'!$E$8:$E$15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30</row>
      <rowOff>0</rowOff>
    </from>
    <ext cx="43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46</row>
      <rowOff>0</rowOff>
    </from>
    <ext cx="36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جدول_الإجازات" displayName="جدول_الإجازات" ref="A4:J104" headerRowCount="1">
  <autoFilter ref="A4:J104"/>
  <tableColumns count="10">
    <tableColumn id="1" name="رقم الطلب"/>
    <tableColumn id="2" name="اسم الموظف"/>
    <tableColumn id="3" name="نوع الإجازة"/>
    <tableColumn id="4" name="من تاريخ"/>
    <tableColumn id="5" name="إلى تاريخ"/>
    <tableColumn id="6" name="عدد الأيام"/>
    <tableColumn id="7" name="الحالة"/>
    <tableColumn id="8" name="فحص التعارض"/>
    <tableColumn id="9" name="تنبيه التغطية"/>
    <tableColumn id="10" name="ملاحظا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51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2" customWidth="1" min="5" max="5"/>
    <col width="9" customWidth="1" min="6" max="6"/>
    <col width="9" customWidth="1" min="7" max="7"/>
    <col width="9" customWidth="1" min="8" max="8"/>
    <col width="2" customWidth="1" min="9" max="9"/>
    <col width="9" customWidth="1" min="10" max="10"/>
    <col width="9" customWidth="1" min="11" max="11"/>
    <col width="9" customWidth="1" min="12" max="12"/>
    <col width="2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B1" s="1" t="inlineStr">
        <is>
          <t>لوحة المعلومات — جدول الورديات وحجز الإجازات</t>
        </is>
      </c>
    </row>
    <row r="2"/>
    <row r="3">
      <c r="B3" s="2">
        <f>"قسم العمليات الجمركية     •     آخر تحديث: "&amp;TEXT(TODAY(),"DD/MM/YYYY")</f>
        <v/>
      </c>
    </row>
    <row r="5">
      <c r="B5" s="3" t="inlineStr">
        <is>
          <t>عدد الموظفين</t>
        </is>
      </c>
      <c r="F5" s="3" t="inlineStr">
        <is>
          <t>إجمالي الطلبات</t>
        </is>
      </c>
      <c r="J5" s="3" t="inlineStr">
        <is>
          <t>الطلبات المعتمدة</t>
        </is>
      </c>
      <c r="N5" s="3" t="inlineStr">
        <is>
          <t>طلبات فيها تعارض</t>
        </is>
      </c>
    </row>
    <row r="6" ht="34" customHeight="1">
      <c r="B6" s="4">
        <f>COUNTA(EmpNames)</f>
        <v/>
      </c>
      <c r="F6" s="4">
        <f>COUNTA('حجز الإجازات'!$B$5:$B$104)</f>
        <v/>
      </c>
      <c r="J6" s="5">
        <f>COUNTIF('حجز الإجازات'!$G$5:$G$104,"معتمد")</f>
        <v/>
      </c>
      <c r="N6" s="6">
        <f>COUNTIF('حجز الإجازات'!$H$5:$H$104,"*تعارض*")</f>
        <v/>
      </c>
    </row>
    <row r="8">
      <c r="B8" s="3" t="inlineStr">
        <is>
          <t>قيد الانتظار</t>
        </is>
      </c>
      <c r="F8" s="3" t="inlineStr">
        <is>
          <t>الطلبات المرفوضة</t>
        </is>
      </c>
      <c r="J8" s="3" t="inlineStr">
        <is>
          <t>إجمالي أيام الإجازات</t>
        </is>
      </c>
      <c r="N8" s="3" t="inlineStr">
        <is>
          <t>مُجازون اليوم</t>
        </is>
      </c>
    </row>
    <row r="9" ht="34" customHeight="1">
      <c r="B9" s="7">
        <f>COUNTIF('حجز الإجازات'!$G$5:$G$104,"قيد الانتظار")</f>
        <v/>
      </c>
      <c r="F9" s="8">
        <f>COUNTIF('حجز الإجازات'!$G$5:$G$104,"مرفوض")</f>
        <v/>
      </c>
      <c r="J9" s="5">
        <f>SUMIFS('حجز الإجازات'!$F$5:$F$104,'حجز الإجازات'!$G$5:$G$104,"معتمد")</f>
        <v/>
      </c>
      <c r="N9" s="4">
        <f>SUMPRODUCT(('حجز الإجازات'!$G$5:$G$104="معتمد")*('حجز الإجازات'!$D$5:$D$104&lt;=TODAY())*('حجز الإجازات'!$E$5:$E$104&gt;=TODAY()))</f>
        <v/>
      </c>
    </row>
    <row r="11">
      <c r="B11" s="9" t="inlineStr">
        <is>
          <t>وردية الفريق اليوم</t>
        </is>
      </c>
      <c r="J11" s="10" t="inlineStr">
        <is>
          <t>➕  تسجيل إجازة جديدة  (اضغط هنا)</t>
        </is>
      </c>
      <c r="K11" s="11" t="n"/>
      <c r="L11" s="11" t="n"/>
      <c r="M11" s="11" t="n"/>
      <c r="N11" s="11" t="n"/>
      <c r="O11" s="11" t="n"/>
      <c r="P11" s="11" t="n"/>
    </row>
    <row r="12" ht="36" customHeight="1">
      <c r="B12" s="12">
        <f>IF(TODAY()&lt;'الإعدادات والقوائم'!$B$2,"-",IF(MOD(TODAY()-'الإعدادات والقوائم'!$B$2,CycleWork+CycleRest)&gt;=CycleWork,"راحة",INDEX('الإعدادات والقوائم'!$H$2:$H$4,MOD(INT(MOD(TODAY()-'الإعدادات والقوائم'!$B$2,CycleWork+CycleRest)*3/CycleWork)+MATCH(StartShift,'الإعدادات والقوائم'!$H$2:$H$4,0)-1,3)+1)))</f>
        <v/>
      </c>
      <c r="J12" s="11" t="n"/>
      <c r="K12" s="11" t="n"/>
      <c r="L12" s="11" t="n"/>
      <c r="M12" s="11" t="n"/>
      <c r="N12" s="11" t="n"/>
      <c r="O12" s="11" t="n"/>
      <c r="P12" s="11" t="n"/>
    </row>
    <row r="14">
      <c r="B14" s="13" t="inlineStr">
        <is>
          <t>📊 الإجازات حسب النوع</t>
        </is>
      </c>
    </row>
    <row r="15">
      <c r="B15" s="14" t="inlineStr">
        <is>
          <t>النوع</t>
        </is>
      </c>
      <c r="C15" s="14" t="inlineStr">
        <is>
          <t>عدد الطلبات</t>
        </is>
      </c>
      <c r="D15" s="14" t="inlineStr">
        <is>
          <t>إجمالي الأيام</t>
        </is>
      </c>
    </row>
    <row r="16">
      <c r="B16" s="15" t="inlineStr">
        <is>
          <t>سنوية</t>
        </is>
      </c>
      <c r="C16" s="16">
        <f>COUNTIF('حجز الإجازات'!$C$5:$C$104,"سنوية")</f>
        <v/>
      </c>
      <c r="D16" s="16">
        <f>SUMIF('حجز الإجازات'!$C$5:$C$104,"سنوية",'حجز الإجازات'!$F$5:$F$104)</f>
        <v/>
      </c>
    </row>
    <row r="17">
      <c r="B17" s="17" t="inlineStr">
        <is>
          <t>عارض</t>
        </is>
      </c>
      <c r="C17" s="16">
        <f>COUNTIF('حجز الإجازات'!$C$5:$C$104,"عارض")</f>
        <v/>
      </c>
      <c r="D17" s="16">
        <f>SUMIF('حجز الإجازات'!$C$5:$C$104,"عارض",'حجز الإجازات'!$F$5:$F$104)</f>
        <v/>
      </c>
    </row>
    <row r="18">
      <c r="B18" s="18" t="inlineStr">
        <is>
          <t>دورية</t>
        </is>
      </c>
      <c r="C18" s="16">
        <f>COUNTIF('حجز الإجازات'!$C$5:$C$104,"دورية")</f>
        <v/>
      </c>
      <c r="D18" s="16">
        <f>SUMIF('حجز الإجازات'!$C$5:$C$104,"دورية",'حجز الإجازات'!$F$5:$F$104)</f>
        <v/>
      </c>
    </row>
    <row r="19">
      <c r="B19" s="19" t="inlineStr">
        <is>
          <t>مرضية</t>
        </is>
      </c>
      <c r="C19" s="16">
        <f>COUNTIF('حجز الإجازات'!$C$5:$C$104,"مرضية")</f>
        <v/>
      </c>
      <c r="D19" s="16">
        <f>SUMIF('حجز الإجازات'!$C$5:$C$104,"مرضية",'حجز الإجازات'!$F$5:$F$104)</f>
        <v/>
      </c>
    </row>
    <row r="20">
      <c r="B20" s="20" t="inlineStr">
        <is>
          <t>مرافق مريض</t>
        </is>
      </c>
      <c r="C20" s="16">
        <f>COUNTIF('حجز الإجازات'!$C$5:$C$104,"مرافق مريض")</f>
        <v/>
      </c>
      <c r="D20" s="16">
        <f>SUMIF('حجز الإجازات'!$C$5:$C$104,"مرافق مريض",'حجز الإجازات'!$F$5:$F$104)</f>
        <v/>
      </c>
    </row>
    <row r="21">
      <c r="B21" s="21" t="inlineStr">
        <is>
          <t>أخرى</t>
        </is>
      </c>
      <c r="C21" s="16">
        <f>COUNTIF('حجز الإجازات'!$C$5:$C$104,"أخرى")</f>
        <v/>
      </c>
      <c r="D21" s="16">
        <f>SUMIF('حجز الإجازات'!$C$5:$C$104,"أخرى",'حجز الإجازات'!$F$5:$F$104)</f>
        <v/>
      </c>
    </row>
    <row r="31">
      <c r="B31" s="13" t="inlineStr">
        <is>
          <t>📊 إجمالي أيام الإجازة لكل موظف</t>
        </is>
      </c>
    </row>
    <row r="32">
      <c r="B32" s="14" t="inlineStr">
        <is>
          <t>الموظف</t>
        </is>
      </c>
      <c r="C32" s="14" t="inlineStr">
        <is>
          <t>عدد الطلبات</t>
        </is>
      </c>
      <c r="D32" s="14" t="inlineStr">
        <is>
          <t>إجمالي الأيام</t>
        </is>
      </c>
    </row>
    <row r="33">
      <c r="B33" s="22">
        <f>'الموظفون'!B2</f>
        <v/>
      </c>
      <c r="C33" s="16">
        <f>COUNTIFS('حجز الإجازات'!$B$5:$B$104,'الموظفون'!B2,'حجز الإجازات'!$G$5:$G$104,"&lt;&gt;مرفوض")</f>
        <v/>
      </c>
      <c r="D33" s="16">
        <f>SUMIFS('حجز الإجازات'!$F$5:$F$104,'حجز الإجازات'!$B$5:$B$104,'الموظفون'!B2,'حجز الإجازات'!$G$5:$G$104,"&lt;&gt;مرفوض")</f>
        <v/>
      </c>
    </row>
    <row r="34">
      <c r="B34" s="22">
        <f>'الموظفون'!B3</f>
        <v/>
      </c>
      <c r="C34" s="16">
        <f>COUNTIFS('حجز الإجازات'!$B$5:$B$104,'الموظفون'!B3,'حجز الإجازات'!$G$5:$G$104,"&lt;&gt;مرفوض")</f>
        <v/>
      </c>
      <c r="D34" s="16">
        <f>SUMIFS('حجز الإجازات'!$F$5:$F$104,'حجز الإجازات'!$B$5:$B$104,'الموظفون'!B3,'حجز الإجازات'!$G$5:$G$104,"&lt;&gt;مرفوض")</f>
        <v/>
      </c>
    </row>
    <row r="35">
      <c r="B35" s="22">
        <f>'الموظفون'!B4</f>
        <v/>
      </c>
      <c r="C35" s="16">
        <f>COUNTIFS('حجز الإجازات'!$B$5:$B$104,'الموظفون'!B4,'حجز الإجازات'!$G$5:$G$104,"&lt;&gt;مرفوض")</f>
        <v/>
      </c>
      <c r="D35" s="16">
        <f>SUMIFS('حجز الإجازات'!$F$5:$F$104,'حجز الإجازات'!$B$5:$B$104,'الموظفون'!B4,'حجز الإجازات'!$G$5:$G$104,"&lt;&gt;مرفوض")</f>
        <v/>
      </c>
    </row>
    <row r="36">
      <c r="B36" s="22">
        <f>'الموظفون'!B5</f>
        <v/>
      </c>
      <c r="C36" s="16">
        <f>COUNTIFS('حجز الإجازات'!$B$5:$B$104,'الموظفون'!B5,'حجز الإجازات'!$G$5:$G$104,"&lt;&gt;مرفوض")</f>
        <v/>
      </c>
      <c r="D36" s="16">
        <f>SUMIFS('حجز الإجازات'!$F$5:$F$104,'حجز الإجازات'!$B$5:$B$104,'الموظفون'!B5,'حجز الإجازات'!$G$5:$G$104,"&lt;&gt;مرفوض")</f>
        <v/>
      </c>
    </row>
    <row r="37">
      <c r="B37" s="22">
        <f>'الموظفون'!B6</f>
        <v/>
      </c>
      <c r="C37" s="16">
        <f>COUNTIFS('حجز الإجازات'!$B$5:$B$104,'الموظفون'!B6,'حجز الإجازات'!$G$5:$G$104,"&lt;&gt;مرفوض")</f>
        <v/>
      </c>
      <c r="D37" s="16">
        <f>SUMIFS('حجز الإجازات'!$F$5:$F$104,'حجز الإجازات'!$B$5:$B$104,'الموظفون'!B6,'حجز الإجازات'!$G$5:$G$104,"&lt;&gt;مرفوض")</f>
        <v/>
      </c>
    </row>
    <row r="38">
      <c r="B38" s="22">
        <f>'الموظفون'!B7</f>
        <v/>
      </c>
      <c r="C38" s="16">
        <f>COUNTIFS('حجز الإجازات'!$B$5:$B$104,'الموظفون'!B7,'حجز الإجازات'!$G$5:$G$104,"&lt;&gt;مرفوض")</f>
        <v/>
      </c>
      <c r="D38" s="16">
        <f>SUMIFS('حجز الإجازات'!$F$5:$F$104,'حجز الإجازات'!$B$5:$B$104,'الموظفون'!B7,'حجز الإجازات'!$G$5:$G$104,"&lt;&gt;مرفوض")</f>
        <v/>
      </c>
    </row>
    <row r="39">
      <c r="B39" s="22">
        <f>'الموظفون'!B8</f>
        <v/>
      </c>
      <c r="C39" s="16">
        <f>COUNTIFS('حجز الإجازات'!$B$5:$B$104,'الموظفون'!B8,'حجز الإجازات'!$G$5:$G$104,"&lt;&gt;مرفوض")</f>
        <v/>
      </c>
      <c r="D39" s="16">
        <f>SUMIFS('حجز الإجازات'!$F$5:$F$104,'حجز الإجازات'!$B$5:$B$104,'الموظفون'!B8,'حجز الإجازات'!$G$5:$G$104,"&lt;&gt;مرفوض")</f>
        <v/>
      </c>
    </row>
    <row r="40">
      <c r="B40" s="22">
        <f>'الموظفون'!B9</f>
        <v/>
      </c>
      <c r="C40" s="16">
        <f>COUNTIFS('حجز الإجازات'!$B$5:$B$104,'الموظفون'!B9,'حجز الإجازات'!$G$5:$G$104,"&lt;&gt;مرفوض")</f>
        <v/>
      </c>
      <c r="D40" s="16">
        <f>SUMIFS('حجز الإجازات'!$F$5:$F$104,'حجز الإجازات'!$B$5:$B$104,'الموظفون'!B9,'حجز الإجازات'!$G$5:$G$104,"&lt;&gt;مرفوض")</f>
        <v/>
      </c>
    </row>
    <row r="47">
      <c r="B47" s="13" t="inlineStr">
        <is>
          <t>🥧 توزيع الطلبات حسب الحالة</t>
        </is>
      </c>
    </row>
    <row r="48">
      <c r="B48" s="14" t="inlineStr">
        <is>
          <t>الحالة</t>
        </is>
      </c>
      <c r="C48" s="14" t="inlineStr">
        <is>
          <t>عدد الطلبات</t>
        </is>
      </c>
    </row>
    <row r="49">
      <c r="B49" s="23" t="inlineStr">
        <is>
          <t>معتمد</t>
        </is>
      </c>
      <c r="C49" s="16">
        <f>COUNTIF('حجز الإجازات'!$G$5:$G$104,"معتمد")</f>
        <v/>
      </c>
    </row>
    <row r="50">
      <c r="B50" s="24" t="inlineStr">
        <is>
          <t>قيد الانتظار</t>
        </is>
      </c>
      <c r="C50" s="16">
        <f>COUNTIF('حجز الإجازات'!$G$5:$G$104,"قيد الانتظار")</f>
        <v/>
      </c>
    </row>
    <row r="51">
      <c r="B51" s="19" t="inlineStr">
        <is>
          <t>مرفوض</t>
        </is>
      </c>
      <c r="C51" s="16">
        <f>COUNTIF('حجز الإجازات'!$G$5:$G$104,"مرفوض")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1">
    <mergeCell ref="J6:L6"/>
    <mergeCell ref="F5:H5"/>
    <mergeCell ref="B8:D8"/>
    <mergeCell ref="N5:P5"/>
    <mergeCell ref="F8:H8"/>
    <mergeCell ref="N8:P8"/>
    <mergeCell ref="J11:P12"/>
    <mergeCell ref="B9:D9"/>
    <mergeCell ref="N9:P9"/>
    <mergeCell ref="F9:H9"/>
    <mergeCell ref="B6:D6"/>
    <mergeCell ref="N6:P6"/>
    <mergeCell ref="B5:D5"/>
    <mergeCell ref="J8:L8"/>
    <mergeCell ref="J5:L5"/>
    <mergeCell ref="F6:H6"/>
    <mergeCell ref="B1:P2"/>
    <mergeCell ref="B3:P3"/>
    <mergeCell ref="B12:G12"/>
    <mergeCell ref="J9:L9"/>
    <mergeCell ref="B11:G11"/>
  </mergeCells>
  <conditionalFormatting sqref="N6:P6">
    <cfRule type="cellIs" priority="1" operator="greaterThan" dxfId="0">
      <formula>0</formula>
    </cfRule>
  </conditionalFormatting>
  <hyperlinks>
    <hyperlink ref="J11" location="'حجز الإجازات'!B5" display="تسجيل إجازة جديدة"/>
  </hyperlink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32"/>
  <sheetViews>
    <sheetView rightToLeft="1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 ht="26" customHeight="1">
      <c r="B1" s="25" t="inlineStr">
        <is>
          <t>نظام جدول الورديات وحجز الإجازات</t>
        </is>
      </c>
    </row>
    <row r="2">
      <c r="B2" s="26" t="inlineStr">
        <is>
          <t>قسم العمليات الجمركية — فريق الوردية</t>
        </is>
      </c>
    </row>
    <row r="3">
      <c r="B3" s="27" t="inlineStr"/>
    </row>
    <row r="4">
      <c r="B4" s="28" t="inlineStr">
        <is>
          <t>محتويات الملف (الأوراق بالأسفل):</t>
        </is>
      </c>
    </row>
    <row r="5">
      <c r="B5" s="27" t="inlineStr">
        <is>
          <t>1) الموظفون: قائمة أفراد الفريق وأرقامهم الوظيفية وبداية دورة العمل لكل فرد.</t>
        </is>
      </c>
    </row>
    <row r="6">
      <c r="B6" s="27" t="inlineStr">
        <is>
          <t>2) جدول الورديات: تقويم يومي يحسب تلقائياً (عمل / راحة) ويُظهر الإجازات المعتمدة بالألوان.</t>
        </is>
      </c>
    </row>
    <row r="7">
      <c r="B7" s="27" t="inlineStr">
        <is>
          <t>3) تقويم الإجازات: عرض واضح للإجازات المعتمدة فقط (موظفون × أيام) مع إجمالي أيام كل موظف.</t>
        </is>
      </c>
    </row>
    <row r="8">
      <c r="B8" s="27" t="inlineStr">
        <is>
          <t>4) حجز الإجازات: تُسجَّل فيه طلبات الإجازة، ويكشف التعارض تلقائياً.</t>
        </is>
      </c>
    </row>
    <row r="9">
      <c r="B9" s="27" t="inlineStr">
        <is>
          <t>5) الإعدادات والقوائم: ضبط بداية الدورة والحد الأدنى للتغطية وأنواع الإجازات.</t>
        </is>
      </c>
    </row>
    <row r="10">
      <c r="B10" s="27" t="inlineStr"/>
    </row>
    <row r="11">
      <c r="B11" s="28" t="inlineStr">
        <is>
          <t>نظام الدوام:</t>
        </is>
      </c>
    </row>
    <row r="12">
      <c r="B12" s="27" t="inlineStr">
        <is>
          <t>• 6 أيام عمل متتالية ثم 4 أيام راحة (دورية) — دورة كل 10 أيام.</t>
        </is>
      </c>
    </row>
    <row r="13">
      <c r="B13" s="27" t="inlineStr">
        <is>
          <t>• ثلاث ورديات (زامات): صباح ← عصر ← ليل.</t>
        </is>
      </c>
    </row>
    <row r="14">
      <c r="B14" s="27" t="inlineStr">
        <is>
          <t xml:space="preserve">     صباح: 6:00 ص ← 1:00 م   |   عصر: 1:00 م ← 9:00 م   |   ليل: 9:00 م ← 6:00 ص (اليوم التالي).</t>
        </is>
      </c>
    </row>
    <row r="15">
      <c r="B15" s="27" t="inlineStr">
        <is>
          <t>• داخل كل دورة عمل (6 أيام): يومان صباح + يومان عصر + يومان ليل، ثم 4 أيام راحة — ويتكرر النمط.</t>
        </is>
      </c>
    </row>
    <row r="16">
      <c r="B16" s="27" t="inlineStr">
        <is>
          <t>• «وردية بداية الفريق» في ورقة الإعدادات تحدّد أول وردية في الدورة — غيّرها لإزاحة الترتيب.</t>
        </is>
      </c>
    </row>
    <row r="17">
      <c r="B17" s="27" t="inlineStr"/>
    </row>
    <row r="18">
      <c r="B18" s="28" t="inlineStr">
        <is>
          <t>أنواع الإجازات:</t>
        </is>
      </c>
    </row>
    <row r="19">
      <c r="B19" s="27" t="inlineStr">
        <is>
          <t>سنوية • عارض • دورية • مرضية • مرافق مريض • أخرى</t>
        </is>
      </c>
    </row>
    <row r="20">
      <c r="B20" s="27" t="inlineStr"/>
    </row>
    <row r="21">
      <c r="B21" s="28" t="inlineStr">
        <is>
          <t>كيف أحجز إجازة بدون تعارض؟</t>
        </is>
      </c>
    </row>
    <row r="22">
      <c r="B22" s="27" t="inlineStr">
        <is>
          <t>1) افتح ورقة «حجز الإجازات».</t>
        </is>
      </c>
    </row>
    <row r="23">
      <c r="B23" s="27" t="inlineStr">
        <is>
          <t>2) اختر اسم الموظف ونوع الإجازة من القائمة المنسدلة، وأدخل تاريخ البداية والنهاية.</t>
        </is>
      </c>
    </row>
    <row r="24">
      <c r="B24" s="27" t="inlineStr">
        <is>
          <t>3) عمود «عدد الأيام» يُحسب تلقائياً، وعمود «فحص التعارض» يتحقق فوراً:</t>
        </is>
      </c>
    </row>
    <row r="25">
      <c r="B25" s="27" t="inlineStr">
        <is>
          <t xml:space="preserve">     ✓ سليم = لا يوجد تعارض   |   ⚠ تعارض = للموظف إجازة أخرى متداخلة بنفس الفترة.</t>
        </is>
      </c>
    </row>
    <row r="26">
      <c r="B26" s="27" t="inlineStr">
        <is>
          <t>4) عمود «تنبيه التغطية» ينبّه إذا تجاوز عدد المُجازين في نفس اليوم الحد المسموح.</t>
        </is>
      </c>
    </row>
    <row r="27">
      <c r="B27" s="27" t="inlineStr">
        <is>
          <t>5) غيّر «الحالة» إلى «معتمد» لتظهر الإجازة ملوّنة في جدول الورديات.</t>
        </is>
      </c>
    </row>
    <row r="28">
      <c r="B28" s="27" t="inlineStr"/>
    </row>
    <row r="29">
      <c r="B29" s="28" t="inlineStr">
        <is>
          <t>ملاحظات:</t>
        </is>
      </c>
    </row>
    <row r="30">
      <c r="B30" s="27" t="inlineStr">
        <is>
          <t>• الصفوف الحمراء/التنبيهات تعني وجود تعارض — عالجه قبل الاعتماد.</t>
        </is>
      </c>
    </row>
    <row r="31">
      <c r="B31" s="27" t="inlineStr">
        <is>
          <t>• في «جدول الورديات» يظهر أسفل كل يوم: عدد العاملين وعدد المُجازين؛ ويتلوّن بالأحمر عند نقص التغطية.</t>
        </is>
      </c>
    </row>
    <row r="32">
      <c r="B32" s="27" t="inlineStr">
        <is>
          <t>• كل التواريخ بصيغة يوم/شهر/سنة. عدّل «بداية الفترة» وعدد الموظفين بحرية.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4" max="4"/>
    <col width="18" customWidth="1" min="6" max="6"/>
    <col width="12" customWidth="1" min="8" max="8"/>
    <col width="30" customWidth="1" min="9" max="9"/>
    <col width="16" customWidth="1" min="11" max="11"/>
    <col width="26" customWidth="1" min="12" max="12"/>
  </cols>
  <sheetData>
    <row r="1">
      <c r="A1" s="29" t="inlineStr">
        <is>
          <t>الإعدادات العامة</t>
        </is>
      </c>
      <c r="D1" s="29" t="inlineStr">
        <is>
          <t>أنواع الإجازات</t>
        </is>
      </c>
      <c r="F1" s="29" t="inlineStr">
        <is>
          <t>حالات الطلب</t>
        </is>
      </c>
      <c r="H1" s="14" t="inlineStr">
        <is>
          <t>الوردية</t>
        </is>
      </c>
      <c r="I1" s="14" t="inlineStr">
        <is>
          <t>التوقيت</t>
        </is>
      </c>
      <c r="K1" s="14" t="inlineStr">
        <is>
          <t>تاريخ العطلة</t>
        </is>
      </c>
      <c r="L1" s="14" t="inlineStr">
        <is>
          <t>المناسبة</t>
        </is>
      </c>
    </row>
    <row r="2">
      <c r="A2" s="30" t="inlineStr">
        <is>
          <t>بداية فترة الجدول</t>
        </is>
      </c>
      <c r="B2" s="31" t="n">
        <v>46187</v>
      </c>
      <c r="D2" s="32" t="inlineStr">
        <is>
          <t>سنوية</t>
        </is>
      </c>
      <c r="F2" s="33" t="inlineStr">
        <is>
          <t>معتمد</t>
        </is>
      </c>
      <c r="H2" s="34" t="inlineStr">
        <is>
          <t>صباح</t>
        </is>
      </c>
      <c r="I2" s="35" t="inlineStr">
        <is>
          <t>6:00 ص ← 1:00 م</t>
        </is>
      </c>
      <c r="K2" s="36" t="n">
        <v>46374</v>
      </c>
      <c r="L2" s="37" t="inlineStr">
        <is>
          <t>اليوم الوطني</t>
        </is>
      </c>
    </row>
    <row r="3">
      <c r="A3" s="30" t="inlineStr">
        <is>
          <t>طول دورة العمل (أيام)</t>
        </is>
      </c>
      <c r="B3" s="38" t="n">
        <v>6</v>
      </c>
      <c r="D3" s="39" t="inlineStr">
        <is>
          <t>عارض</t>
        </is>
      </c>
      <c r="F3" s="33" t="inlineStr">
        <is>
          <t>قيد الانتظار</t>
        </is>
      </c>
      <c r="H3" s="40" t="inlineStr">
        <is>
          <t>عصر</t>
        </is>
      </c>
      <c r="I3" s="35" t="inlineStr">
        <is>
          <t>1:00 م ← 9:00 م</t>
        </is>
      </c>
      <c r="K3" s="36" t="n">
        <v>46427</v>
      </c>
      <c r="L3" s="37" t="inlineStr">
        <is>
          <t>اليوم الرياضي للدولة</t>
        </is>
      </c>
    </row>
    <row r="4">
      <c r="A4" s="30" t="inlineStr">
        <is>
          <t>طول الراحة الدورية (أيام)</t>
        </is>
      </c>
      <c r="B4" s="38" t="n">
        <v>4</v>
      </c>
      <c r="D4" s="41" t="inlineStr">
        <is>
          <t>دورية</t>
        </is>
      </c>
      <c r="F4" s="33" t="inlineStr">
        <is>
          <t>مرفوض</t>
        </is>
      </c>
      <c r="H4" s="42" t="inlineStr">
        <is>
          <t>ليل</t>
        </is>
      </c>
      <c r="I4" s="35" t="inlineStr">
        <is>
          <t>9:00 م ← 6:00 ص (اليوم التالي)</t>
        </is>
      </c>
      <c r="K4" s="31" t="n"/>
      <c r="L4" s="37" t="n"/>
    </row>
    <row r="5">
      <c r="A5" s="30" t="inlineStr">
        <is>
          <t>الحد الأدنى للعاملين يومياً</t>
        </is>
      </c>
      <c r="B5" s="38" t="n">
        <v>4</v>
      </c>
      <c r="D5" s="43" t="inlineStr">
        <is>
          <t>مرضية</t>
        </is>
      </c>
      <c r="K5" s="31" t="n"/>
      <c r="L5" s="37" t="n"/>
    </row>
    <row r="6">
      <c r="A6" s="30" t="inlineStr">
        <is>
          <t>أقصى عدد مُجازين في اليوم</t>
        </is>
      </c>
      <c r="B6" s="38" t="n">
        <v>3</v>
      </c>
      <c r="D6" s="44" t="inlineStr">
        <is>
          <t>مرافق مريض</t>
        </is>
      </c>
      <c r="K6" s="31" t="n"/>
      <c r="L6" s="37" t="n"/>
    </row>
    <row r="7">
      <c r="A7" s="30" t="inlineStr">
        <is>
          <t>وردية بداية الفريق</t>
        </is>
      </c>
      <c r="B7" s="38" t="inlineStr">
        <is>
          <t>صباح</t>
        </is>
      </c>
      <c r="D7" s="45" t="inlineStr">
        <is>
          <t>أخرى</t>
        </is>
      </c>
      <c r="K7" s="31" t="n"/>
      <c r="L7" s="37" t="n"/>
    </row>
    <row r="8">
      <c r="K8" s="31" t="n"/>
      <c r="L8" s="37" t="n"/>
    </row>
    <row r="9">
      <c r="K9" s="31" t="n"/>
      <c r="L9" s="37" t="n"/>
    </row>
    <row r="10">
      <c r="K10" s="31" t="n"/>
      <c r="L10" s="37" t="n"/>
    </row>
    <row r="11">
      <c r="K11" s="31" t="n"/>
      <c r="L11" s="37" t="n"/>
    </row>
    <row r="12">
      <c r="K12" s="31" t="n"/>
      <c r="L12" s="37" t="n"/>
    </row>
    <row r="13">
      <c r="K13" s="31" t="n"/>
      <c r="L13" s="37" t="n"/>
    </row>
    <row r="14">
      <c r="K14" s="31" t="n"/>
      <c r="L14" s="37" t="n"/>
    </row>
    <row r="15">
      <c r="K15" s="31" t="n"/>
      <c r="L15" s="37" t="n"/>
    </row>
    <row r="16">
      <c r="K16" s="31" t="n"/>
      <c r="L16" s="37" t="n"/>
    </row>
    <row r="17">
      <c r="K17" s="31" t="n"/>
      <c r="L17" s="37" t="n"/>
    </row>
    <row r="18">
      <c r="K18" s="31" t="n"/>
      <c r="L18" s="37" t="n"/>
    </row>
    <row r="19">
      <c r="K19" s="31" t="n"/>
      <c r="L19" s="37" t="n"/>
    </row>
    <row r="20">
      <c r="K20" s="31" t="n"/>
      <c r="L20" s="37" t="n"/>
    </row>
    <row r="21">
      <c r="K21" s="31" t="n"/>
      <c r="L21" s="37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conditionalFormatting sqref="B7">
    <cfRule type="cellIs" priority="1" operator="equal" dxfId="1">
      <formula>"صباح"</formula>
    </cfRule>
    <cfRule type="cellIs" priority="2" operator="equal" dxfId="2">
      <formula>"عصر"</formula>
    </cfRule>
    <cfRule type="cellIs" priority="3" operator="equal" dxfId="3">
      <formula>"ليل"</formula>
    </cfRule>
  </conditionalFormatting>
  <dataValidations count="1">
    <dataValidation sqref="B7" showDropDown="0" showInputMessage="0" showErrorMessage="0" allowBlank="1" type="list">
      <formula1>='الإعدادات والقوائم'!$H$2:$H$4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16" customWidth="1" min="4" max="4"/>
  </cols>
  <sheetData>
    <row r="1">
      <c r="A1" s="14" t="inlineStr">
        <is>
          <t>م</t>
        </is>
      </c>
      <c r="B1" s="14" t="inlineStr">
        <is>
          <t>الاسم</t>
        </is>
      </c>
      <c r="C1" s="14" t="inlineStr">
        <is>
          <t>الرقم الوظيفي</t>
        </is>
      </c>
      <c r="D1" s="14" t="inlineStr">
        <is>
          <t>بداية الدورة</t>
        </is>
      </c>
    </row>
    <row r="2">
      <c r="A2" s="16" t="n">
        <v>1</v>
      </c>
      <c r="B2" s="37" t="inlineStr">
        <is>
          <t>سالم شليويح المري</t>
        </is>
      </c>
      <c r="C2" s="46" t="n">
        <v>392</v>
      </c>
      <c r="D2" s="47" t="n">
        <v>46187</v>
      </c>
    </row>
    <row r="3">
      <c r="A3" s="16" t="n">
        <v>2</v>
      </c>
      <c r="B3" s="37" t="inlineStr">
        <is>
          <t>فهد عبدالعزيز عبدالله</t>
        </is>
      </c>
      <c r="C3" s="46" t="n">
        <v>2306</v>
      </c>
      <c r="D3" s="47" t="n">
        <v>46187</v>
      </c>
    </row>
    <row r="4">
      <c r="A4" s="16" t="n">
        <v>3</v>
      </c>
      <c r="B4" s="37" t="inlineStr">
        <is>
          <t>محمد ناصر الغانم</t>
        </is>
      </c>
      <c r="C4" s="46" t="n">
        <v>4756</v>
      </c>
      <c r="D4" s="47" t="n">
        <v>46187</v>
      </c>
    </row>
    <row r="5">
      <c r="A5" s="16" t="n">
        <v>4</v>
      </c>
      <c r="B5" s="37" t="inlineStr">
        <is>
          <t>راشد عيسى التميمي</t>
        </is>
      </c>
      <c r="C5" s="46" t="n">
        <v>4749</v>
      </c>
      <c r="D5" s="47" t="n">
        <v>46187</v>
      </c>
    </row>
    <row r="6">
      <c r="A6" s="16" t="n">
        <v>5</v>
      </c>
      <c r="B6" s="37" t="inlineStr">
        <is>
          <t>طلال زايد المري</t>
        </is>
      </c>
      <c r="C6" s="46" t="n">
        <v>2927</v>
      </c>
      <c r="D6" s="47" t="n">
        <v>46187</v>
      </c>
    </row>
    <row r="7">
      <c r="A7" s="16" t="n">
        <v>6</v>
      </c>
      <c r="B7" s="37" t="inlineStr">
        <is>
          <t>منصور مبارك الجابري</t>
        </is>
      </c>
      <c r="C7" s="46" t="n">
        <v>4522</v>
      </c>
      <c r="D7" s="47" t="n">
        <v>46187</v>
      </c>
    </row>
    <row r="8">
      <c r="A8" s="16" t="n">
        <v>7</v>
      </c>
      <c r="B8" s="37" t="inlineStr">
        <is>
          <t>محمد حمد الجابر</t>
        </is>
      </c>
      <c r="C8" s="46" t="n">
        <v>3317</v>
      </c>
      <c r="D8" s="47" t="n">
        <v>46187</v>
      </c>
    </row>
    <row r="9">
      <c r="A9" s="16" t="n">
        <v>8</v>
      </c>
      <c r="B9" s="37" t="inlineStr">
        <is>
          <t>عبدالله سعد المهندي</t>
        </is>
      </c>
      <c r="C9" s="46" t="n">
        <v>2424</v>
      </c>
      <c r="D9" s="47" t="n">
        <v>46187</v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3" customWidth="1" min="4" max="4"/>
    <col width="13" customWidth="1" min="5" max="5"/>
    <col width="10" customWidth="1" min="6" max="6"/>
    <col width="14" customWidth="1" min="7" max="7"/>
    <col width="16" customWidth="1" min="8" max="8"/>
    <col width="18" customWidth="1" min="9" max="9"/>
    <col width="26" customWidth="1" min="10" max="10"/>
    <col width="14" customWidth="1" min="12" max="12"/>
    <col width="20" customWidth="1" min="13" max="13"/>
  </cols>
  <sheetData>
    <row r="1">
      <c r="A1" s="48" t="inlineStr">
        <is>
          <t>حجز الإجازات — قسم العمليات الجمركية</t>
        </is>
      </c>
    </row>
    <row r="2">
      <c r="A2" s="49" t="inlineStr">
        <is>
          <t>سجّل الطلب ثم تأكد من خانتي «فحص التعارض» و«تنبيه التغطية» قبل الاعتماد.</t>
        </is>
      </c>
      <c r="H2" s="50" t="inlineStr">
        <is>
          <t>↩ الرجوع للوحة المعلومات</t>
        </is>
      </c>
      <c r="L2" s="51" t="inlineStr">
        <is>
          <t>⚡ إدخال سريع (لزر الماكرو)</t>
        </is>
      </c>
    </row>
    <row r="3">
      <c r="L3" s="52" t="inlineStr">
        <is>
          <t>الاسم</t>
        </is>
      </c>
      <c r="M3" s="53" t="n"/>
    </row>
    <row r="4">
      <c r="A4" s="14" t="inlineStr">
        <is>
          <t>رقم الطلب</t>
        </is>
      </c>
      <c r="B4" s="14" t="inlineStr">
        <is>
          <t>اسم الموظف</t>
        </is>
      </c>
      <c r="C4" s="14" t="inlineStr">
        <is>
          <t>نوع الإجازة</t>
        </is>
      </c>
      <c r="D4" s="14" t="inlineStr">
        <is>
          <t>من تاريخ</t>
        </is>
      </c>
      <c r="E4" s="14" t="inlineStr">
        <is>
          <t>إلى تاريخ</t>
        </is>
      </c>
      <c r="F4" s="14" t="inlineStr">
        <is>
          <t>عدد الأيام</t>
        </is>
      </c>
      <c r="G4" s="14" t="inlineStr">
        <is>
          <t>الحالة</t>
        </is>
      </c>
      <c r="H4" s="14" t="inlineStr">
        <is>
          <t>فحص التعارض</t>
        </is>
      </c>
      <c r="I4" s="14" t="inlineStr">
        <is>
          <t>تنبيه التغطية</t>
        </is>
      </c>
      <c r="J4" s="14" t="inlineStr">
        <is>
          <t>ملاحظات</t>
        </is>
      </c>
      <c r="L4" s="52" t="inlineStr">
        <is>
          <t>النوع</t>
        </is>
      </c>
      <c r="M4" s="53" t="n"/>
    </row>
    <row r="5">
      <c r="A5" s="16" t="n">
        <v>1</v>
      </c>
      <c r="B5" s="37" t="inlineStr">
        <is>
          <t>سالم شليويح المري</t>
        </is>
      </c>
      <c r="C5" s="46" t="inlineStr">
        <is>
          <t>دورية</t>
        </is>
      </c>
      <c r="D5" s="54" t="n">
        <v>46190</v>
      </c>
      <c r="E5" s="54" t="n">
        <v>46192</v>
      </c>
      <c r="F5" s="16">
        <f>IF(OR($D5="",$E5=""),"",$E5-$D5+1-SUMPRODUCT((Holidays&gt;=$D5)*(Holidays&lt;=$E5)))</f>
        <v/>
      </c>
      <c r="G5" s="46" t="inlineStr">
        <is>
          <t>معتمد</t>
        </is>
      </c>
      <c r="H5" s="16">
        <f>IF(OR($B5="",$D5="",$E5=""),"",IF(SUMPRODUCT(('حجز الإجازات'!$B$5:$B$104=$B5)*('حجز الإجازات'!$G$5:$G$104&lt;&gt;"مرفوض")*('حجز الإجازات'!$D$5:$D$104&lt;=$E5)*($D5&lt;=('حجز الإجازات'!$E$5:$E$104)))-(($B5&lt;&gt;"")*($G5&lt;&gt;"مرفوض"))&gt;0,"⚠ تعارض","✓ سليم"))</f>
        <v/>
      </c>
      <c r="I5" s="16">
        <f>IF($D5="","",IF(SUMPRODUCT(('حجز الإجازات'!$G$5:$G$104&lt;&gt;"مرفوض")*('حجز الإجازات'!$D$5:$D$104&lt;=$D5)*($D5&lt;=('حجز الإجازات'!$E$5:$E$104)))&gt;MaxLeave,"⚠ مجازين "&amp;SUMPRODUCT(('حجز الإجازات'!$G$5:$G$104&lt;&gt;"مرفوض")*('حجز الإجازات'!$D$5:$D$104&lt;=$D5)*($D5&lt;=('حجز الإجازات'!$E$5:$E$104)))&amp;" / الحد "&amp;MaxLeave,"✓ مجازين "&amp;SUMPRODUCT(('حجز الإجازات'!$G$5:$G$104&lt;&gt;"مرفوض")*('حجز الإجازات'!$D$5:$D$104&lt;=$D5)*($D5&lt;=('حجز الإجازات'!$E$5:$E$104)))&amp;" / الحد "&amp;MaxLeave))</f>
        <v/>
      </c>
      <c r="J5" s="37" t="n"/>
      <c r="L5" s="52" t="inlineStr">
        <is>
          <t>من تاريخ</t>
        </is>
      </c>
      <c r="M5" s="55" t="n"/>
    </row>
    <row r="6">
      <c r="A6" s="16" t="n">
        <v>2</v>
      </c>
      <c r="B6" s="37" t="inlineStr">
        <is>
          <t>فهد عبدالعزيز عبدالله</t>
        </is>
      </c>
      <c r="C6" s="46" t="inlineStr">
        <is>
          <t>سنوية</t>
        </is>
      </c>
      <c r="D6" s="54" t="n">
        <v>46191</v>
      </c>
      <c r="E6" s="54" t="n">
        <v>46192</v>
      </c>
      <c r="F6" s="16">
        <f>IF(OR($D6="",$E6=""),"",$E6-$D6+1-SUMPRODUCT((Holidays&gt;=$D6)*(Holidays&lt;=$E6)))</f>
        <v/>
      </c>
      <c r="G6" s="46" t="inlineStr">
        <is>
          <t>معتمد</t>
        </is>
      </c>
      <c r="H6" s="16">
        <f>IF(OR($B6="",$D6="",$E6=""),"",IF(SUMPRODUCT(('حجز الإجازات'!$B$5:$B$104=$B6)*('حجز الإجازات'!$G$5:$G$104&lt;&gt;"مرفوض")*('حجز الإجازات'!$D$5:$D$104&lt;=$E6)*($D6&lt;=('حجز الإجازات'!$E$5:$E$104)))-(($B6&lt;&gt;"")*($G6&lt;&gt;"مرفوض"))&gt;0,"⚠ تعارض","✓ سليم"))</f>
        <v/>
      </c>
      <c r="I6" s="16">
        <f>IF($D6="","",IF(SUMPRODUCT(('حجز الإجازات'!$G$5:$G$104&lt;&gt;"مرفوض")*('حجز الإجازات'!$D$5:$D$104&lt;=$D6)*($D6&lt;=('حجز الإجازات'!$E$5:$E$104)))&gt;MaxLeave,"⚠ مجازين "&amp;SUMPRODUCT(('حجز الإجازات'!$G$5:$G$104&lt;&gt;"مرفوض")*('حجز الإجازات'!$D$5:$D$104&lt;=$D6)*($D6&lt;=('حجز الإجازات'!$E$5:$E$104)))&amp;" / الحد "&amp;MaxLeave,"✓ مجازين "&amp;SUMPRODUCT(('حجز الإجازات'!$G$5:$G$104&lt;&gt;"مرفوض")*('حجز الإجازات'!$D$5:$D$104&lt;=$D6)*($D6&lt;=('حجز الإجازات'!$E$5:$E$104)))&amp;" / الحد "&amp;MaxLeave))</f>
        <v/>
      </c>
      <c r="J6" s="37" t="n"/>
      <c r="L6" s="52" t="inlineStr">
        <is>
          <t>إلى تاريخ</t>
        </is>
      </c>
      <c r="M6" s="55" t="n"/>
    </row>
    <row r="7">
      <c r="A7" s="16" t="n">
        <v>3</v>
      </c>
      <c r="B7" s="37" t="inlineStr">
        <is>
          <t>محمد ناصر الغانم</t>
        </is>
      </c>
      <c r="C7" s="46" t="inlineStr">
        <is>
          <t>دورية</t>
        </is>
      </c>
      <c r="D7" s="54" t="n">
        <v>46201</v>
      </c>
      <c r="E7" s="54" t="n">
        <v>46205</v>
      </c>
      <c r="F7" s="16">
        <f>IF(OR($D7="",$E7=""),"",$E7-$D7+1-SUMPRODUCT((Holidays&gt;=$D7)*(Holidays&lt;=$E7)))</f>
        <v/>
      </c>
      <c r="G7" s="46" t="inlineStr">
        <is>
          <t>معتمد</t>
        </is>
      </c>
      <c r="H7" s="16">
        <f>IF(OR($B7="",$D7="",$E7=""),"",IF(SUMPRODUCT(('حجز الإجازات'!$B$5:$B$104=$B7)*('حجز الإجازات'!$G$5:$G$104&lt;&gt;"مرفوض")*('حجز الإجازات'!$D$5:$D$104&lt;=$E7)*($D7&lt;=('حجز الإجازات'!$E$5:$E$104)))-(($B7&lt;&gt;"")*($G7&lt;&gt;"مرفوض"))&gt;0,"⚠ تعارض","✓ سليم"))</f>
        <v/>
      </c>
      <c r="I7" s="16">
        <f>IF($D7="","",IF(SUMPRODUCT(('حجز الإجازات'!$G$5:$G$104&lt;&gt;"مرفوض")*('حجز الإجازات'!$D$5:$D$104&lt;=$D7)*($D7&lt;=('حجز الإجازات'!$E$5:$E$104)))&gt;MaxLeave,"⚠ مجازين "&amp;SUMPRODUCT(('حجز الإجازات'!$G$5:$G$104&lt;&gt;"مرفوض")*('حجز الإجازات'!$D$5:$D$104&lt;=$D7)*($D7&lt;=('حجز الإجازات'!$E$5:$E$104)))&amp;" / الحد "&amp;MaxLeave,"✓ مجازين "&amp;SUMPRODUCT(('حجز الإجازات'!$G$5:$G$104&lt;&gt;"مرفوض")*('حجز الإجازات'!$D$5:$D$104&lt;=$D7)*($D7&lt;=('حجز الإجازات'!$E$5:$E$104)))&amp;" / الحد "&amp;MaxLeave))</f>
        <v/>
      </c>
      <c r="J7" s="37" t="n"/>
      <c r="L7" s="52" t="inlineStr">
        <is>
          <t>الحالة</t>
        </is>
      </c>
      <c r="M7" s="53" t="n"/>
    </row>
    <row r="8">
      <c r="A8" s="16" t="n">
        <v>4</v>
      </c>
      <c r="B8" s="37" t="inlineStr">
        <is>
          <t>محمد ناصر الغانم</t>
        </is>
      </c>
      <c r="C8" s="46" t="inlineStr">
        <is>
          <t>دورية</t>
        </is>
      </c>
      <c r="D8" s="54" t="n">
        <v>46208</v>
      </c>
      <c r="E8" s="54" t="n">
        <v>46212</v>
      </c>
      <c r="F8" s="16">
        <f>IF(OR($D8="",$E8=""),"",$E8-$D8+1-SUMPRODUCT((Holidays&gt;=$D8)*(Holidays&lt;=$E8)))</f>
        <v/>
      </c>
      <c r="G8" s="46" t="inlineStr">
        <is>
          <t>معتمد</t>
        </is>
      </c>
      <c r="H8" s="16">
        <f>IF(OR($B8="",$D8="",$E8=""),"",IF(SUMPRODUCT(('حجز الإجازات'!$B$5:$B$104=$B8)*('حجز الإجازات'!$G$5:$G$104&lt;&gt;"مرفوض")*('حجز الإجازات'!$D$5:$D$104&lt;=$E8)*($D8&lt;=('حجز الإجازات'!$E$5:$E$104)))-(($B8&lt;&gt;"")*($G8&lt;&gt;"مرفوض"))&gt;0,"⚠ تعارض","✓ سليم"))</f>
        <v/>
      </c>
      <c r="I8" s="16">
        <f>IF($D8="","",IF(SUMPRODUCT(('حجز الإجازات'!$G$5:$G$104&lt;&gt;"مرفوض")*('حجز الإجازات'!$D$5:$D$104&lt;=$D8)*($D8&lt;=('حجز الإجازات'!$E$5:$E$104)))&gt;MaxLeave,"⚠ مجازين "&amp;SUMPRODUCT(('حجز الإجازات'!$G$5:$G$104&lt;&gt;"مرفوض")*('حجز الإجازات'!$D$5:$D$104&lt;=$D8)*($D8&lt;=('حجز الإجازات'!$E$5:$E$104)))&amp;" / الحد "&amp;MaxLeave,"✓ مجازين "&amp;SUMPRODUCT(('حجز الإجازات'!$G$5:$G$104&lt;&gt;"مرفوض")*('حجز الإجازات'!$D$5:$D$104&lt;=$D8)*($D8&lt;=('حجز الإجازات'!$E$5:$E$104)))&amp;" / الحد "&amp;MaxLeave))</f>
        <v/>
      </c>
      <c r="J8" s="37" t="n"/>
      <c r="L8" s="56" t="inlineStr">
        <is>
          <t>املأ ثم اضغط زر «حفظ الإجازة»</t>
        </is>
      </c>
    </row>
    <row r="9">
      <c r="A9" s="16" t="n">
        <v>5</v>
      </c>
      <c r="B9" s="37" t="inlineStr">
        <is>
          <t>منصور مبارك الجابري</t>
        </is>
      </c>
      <c r="C9" s="46" t="inlineStr">
        <is>
          <t>سنوية</t>
        </is>
      </c>
      <c r="D9" s="54" t="n">
        <v>46207</v>
      </c>
      <c r="E9" s="54" t="n">
        <v>46212</v>
      </c>
      <c r="F9" s="16">
        <f>IF(OR($D9="",$E9=""),"",$E9-$D9+1-SUMPRODUCT((Holidays&gt;=$D9)*(Holidays&lt;=$E9)))</f>
        <v/>
      </c>
      <c r="G9" s="46" t="inlineStr">
        <is>
          <t>معتمد</t>
        </is>
      </c>
      <c r="H9" s="16">
        <f>IF(OR($B9="",$D9="",$E9=""),"",IF(SUMPRODUCT(('حجز الإجازات'!$B$5:$B$104=$B9)*('حجز الإجازات'!$G$5:$G$104&lt;&gt;"مرفوض")*('حجز الإجازات'!$D$5:$D$104&lt;=$E9)*($D9&lt;=('حجز الإجازات'!$E$5:$E$104)))-(($B9&lt;&gt;"")*($G9&lt;&gt;"مرفوض"))&gt;0,"⚠ تعارض","✓ سليم"))</f>
        <v/>
      </c>
      <c r="I9" s="16">
        <f>IF($D9="","",IF(SUMPRODUCT(('حجز الإجازات'!$G$5:$G$104&lt;&gt;"مرفوض")*('حجز الإجازات'!$D$5:$D$104&lt;=$D9)*($D9&lt;=('حجز الإجازات'!$E$5:$E$104)))&gt;MaxLeave,"⚠ مجازين "&amp;SUMPRODUCT(('حجز الإجازات'!$G$5:$G$104&lt;&gt;"مرفوض")*('حجز الإجازات'!$D$5:$D$104&lt;=$D9)*($D9&lt;=('حجز الإجازات'!$E$5:$E$104)))&amp;" / الحد "&amp;MaxLeave,"✓ مجازين "&amp;SUMPRODUCT(('حجز الإجازات'!$G$5:$G$104&lt;&gt;"مرفوض")*('حجز الإجازات'!$D$5:$D$104&lt;=$D9)*($D9&lt;=('حجز الإجازات'!$E$5:$E$104)))&amp;" / الحد "&amp;MaxLeave))</f>
        <v/>
      </c>
      <c r="J9" s="37" t="n"/>
    </row>
    <row r="10">
      <c r="A10" s="16" t="n">
        <v>6</v>
      </c>
      <c r="B10" s="37" t="inlineStr">
        <is>
          <t>منصور مبارك الجابري</t>
        </is>
      </c>
      <c r="C10" s="46" t="inlineStr">
        <is>
          <t>سنوية</t>
        </is>
      </c>
      <c r="D10" s="54" t="n">
        <v>46191</v>
      </c>
      <c r="E10" s="54" t="n">
        <v>46192</v>
      </c>
      <c r="F10" s="16">
        <f>IF(OR($D10="",$E10=""),"",$E10-$D10+1-SUMPRODUCT((Holidays&gt;=$D10)*(Holidays&lt;=$E10)))</f>
        <v/>
      </c>
      <c r="G10" s="46" t="inlineStr">
        <is>
          <t>معتمد</t>
        </is>
      </c>
      <c r="H10" s="16">
        <f>IF(OR($B10="",$D10="",$E10=""),"",IF(SUMPRODUCT(('حجز الإجازات'!$B$5:$B$104=$B10)*('حجز الإجازات'!$G$5:$G$104&lt;&gt;"مرفوض")*('حجز الإجازات'!$D$5:$D$104&lt;=$E10)*($D10&lt;=('حجز الإجازات'!$E$5:$E$104)))-(($B10&lt;&gt;"")*($G10&lt;&gt;"مرفوض"))&gt;0,"⚠ تعارض","✓ سليم"))</f>
        <v/>
      </c>
      <c r="I10" s="16">
        <f>IF($D10="","",IF(SUMPRODUCT(('حجز الإجازات'!$G$5:$G$104&lt;&gt;"مرفوض")*('حجز الإجازات'!$D$5:$D$104&lt;=$D10)*($D10&lt;=('حجز الإجازات'!$E$5:$E$104)))&gt;MaxLeave,"⚠ مجازين "&amp;SUMPRODUCT(('حجز الإجازات'!$G$5:$G$104&lt;&gt;"مرفوض")*('حجز الإجازات'!$D$5:$D$104&lt;=$D10)*($D10&lt;=('حجز الإجازات'!$E$5:$E$104)))&amp;" / الحد "&amp;MaxLeave,"✓ مجازين "&amp;SUMPRODUCT(('حجز الإجازات'!$G$5:$G$104&lt;&gt;"مرفوض")*('حجز الإجازات'!$D$5:$D$104&lt;=$D10)*($D10&lt;=('حجز الإجازات'!$E$5:$E$104)))&amp;" / الحد "&amp;MaxLeave))</f>
        <v/>
      </c>
      <c r="J10" s="37" t="n"/>
    </row>
    <row r="11">
      <c r="A11" s="16" t="n">
        <v>7</v>
      </c>
      <c r="B11" s="37" t="inlineStr">
        <is>
          <t>محمد حمد الجابر</t>
        </is>
      </c>
      <c r="C11" s="46" t="inlineStr">
        <is>
          <t>سنوية</t>
        </is>
      </c>
      <c r="D11" s="54" t="n">
        <v>46190</v>
      </c>
      <c r="E11" s="54" t="n">
        <v>46192</v>
      </c>
      <c r="F11" s="16">
        <f>IF(OR($D11="",$E11=""),"",$E11-$D11+1-SUMPRODUCT((Holidays&gt;=$D11)*(Holidays&lt;=$E11)))</f>
        <v/>
      </c>
      <c r="G11" s="46" t="inlineStr">
        <is>
          <t>معتمد</t>
        </is>
      </c>
      <c r="H11" s="16">
        <f>IF(OR($B11="",$D11="",$E11=""),"",IF(SUMPRODUCT(('حجز الإجازات'!$B$5:$B$104=$B11)*('حجز الإجازات'!$G$5:$G$104&lt;&gt;"مرفوض")*('حجز الإجازات'!$D$5:$D$104&lt;=$E11)*($D11&lt;=('حجز الإجازات'!$E$5:$E$104)))-(($B11&lt;&gt;"")*($G11&lt;&gt;"مرفوض"))&gt;0,"⚠ تعارض","✓ سليم"))</f>
        <v/>
      </c>
      <c r="I11" s="16">
        <f>IF($D11="","",IF(SUMPRODUCT(('حجز الإجازات'!$G$5:$G$104&lt;&gt;"مرفوض")*('حجز الإجازات'!$D$5:$D$104&lt;=$D11)*($D11&lt;=('حجز الإجازات'!$E$5:$E$104)))&gt;MaxLeave,"⚠ مجازين "&amp;SUMPRODUCT(('حجز الإجازات'!$G$5:$G$104&lt;&gt;"مرفوض")*('حجز الإجازات'!$D$5:$D$104&lt;=$D11)*($D11&lt;=('حجز الإجازات'!$E$5:$E$104)))&amp;" / الحد "&amp;MaxLeave,"✓ مجازين "&amp;SUMPRODUCT(('حجز الإجازات'!$G$5:$G$104&lt;&gt;"مرفوض")*('حجز الإجازات'!$D$5:$D$104&lt;=$D11)*($D11&lt;=('حجز الإجازات'!$E$5:$E$104)))&amp;" / الحد "&amp;MaxLeave))</f>
        <v/>
      </c>
      <c r="J11" s="37" t="n"/>
    </row>
    <row r="12">
      <c r="A12" s="16" t="n">
        <v>8</v>
      </c>
      <c r="B12" s="37" t="inlineStr">
        <is>
          <t>عبدالله سعد المهندي</t>
        </is>
      </c>
      <c r="C12" s="46" t="inlineStr">
        <is>
          <t>مرافق مريض</t>
        </is>
      </c>
      <c r="D12" s="54" t="n">
        <v>46190</v>
      </c>
      <c r="E12" s="54" t="n">
        <v>46233</v>
      </c>
      <c r="F12" s="16">
        <f>IF(OR($D12="",$E12=""),"",$E12-$D12+1-SUMPRODUCT((Holidays&gt;=$D12)*(Holidays&lt;=$E12)))</f>
        <v/>
      </c>
      <c r="G12" s="46" t="inlineStr">
        <is>
          <t>معتمد</t>
        </is>
      </c>
      <c r="H12" s="16">
        <f>IF(OR($B12="",$D12="",$E12=""),"",IF(SUMPRODUCT(('حجز الإجازات'!$B$5:$B$104=$B12)*('حجز الإجازات'!$G$5:$G$104&lt;&gt;"مرفوض")*('حجز الإجازات'!$D$5:$D$104&lt;=$E12)*($D12&lt;=('حجز الإجازات'!$E$5:$E$104)))-(($B12&lt;&gt;"")*($G12&lt;&gt;"مرفوض"))&gt;0,"⚠ تعارض","✓ سليم"))</f>
        <v/>
      </c>
      <c r="I12" s="16">
        <f>IF($D12="","",IF(SUMPRODUCT(('حجز الإجازات'!$G$5:$G$104&lt;&gt;"مرفوض")*('حجز الإجازات'!$D$5:$D$104&lt;=$D12)*($D12&lt;=('حجز الإجازات'!$E$5:$E$104)))&gt;MaxLeave,"⚠ مجازين "&amp;SUMPRODUCT(('حجز الإجازات'!$G$5:$G$104&lt;&gt;"مرفوض")*('حجز الإجازات'!$D$5:$D$104&lt;=$D12)*($D12&lt;=('حجز الإجازات'!$E$5:$E$104)))&amp;" / الحد "&amp;MaxLeave,"✓ مجازين "&amp;SUMPRODUCT(('حجز الإجازات'!$G$5:$G$104&lt;&gt;"مرفوض")*('حجز الإجازات'!$D$5:$D$104&lt;=$D12)*($D12&lt;=('حجز الإجازات'!$E$5:$E$104)))&amp;" / الحد "&amp;MaxLeave))</f>
        <v/>
      </c>
      <c r="J12" s="37" t="n"/>
    </row>
    <row r="13">
      <c r="A13" s="16" t="n">
        <v>9</v>
      </c>
      <c r="B13" s="37" t="inlineStr">
        <is>
          <t>راشد عيسى التميمي</t>
        </is>
      </c>
      <c r="C13" s="46" t="inlineStr">
        <is>
          <t>سنوية</t>
        </is>
      </c>
      <c r="D13" s="54" t="n">
        <v>46207</v>
      </c>
      <c r="E13" s="54" t="n">
        <v>46212</v>
      </c>
      <c r="F13" s="16">
        <f>IF(OR($D13="",$E13=""),"",$E13-$D13+1-SUMPRODUCT((Holidays&gt;=$D13)*(Holidays&lt;=$E13)))</f>
        <v/>
      </c>
      <c r="G13" s="46" t="inlineStr">
        <is>
          <t>معتمد</t>
        </is>
      </c>
      <c r="H13" s="16">
        <f>IF(OR($B13="",$D13="",$E13=""),"",IF(SUMPRODUCT(('حجز الإجازات'!$B$5:$B$104=$B13)*('حجز الإجازات'!$G$5:$G$104&lt;&gt;"مرفوض")*('حجز الإجازات'!$D$5:$D$104&lt;=$E13)*($D13&lt;=('حجز الإجازات'!$E$5:$E$104)))-(($B13&lt;&gt;"")*($G13&lt;&gt;"مرفوض"))&gt;0,"⚠ تعارض","✓ سليم"))</f>
        <v/>
      </c>
      <c r="I13" s="16">
        <f>IF($D13="","",IF(SUMPRODUCT(('حجز الإجازات'!$G$5:$G$104&lt;&gt;"مرفوض")*('حجز الإجازات'!$D$5:$D$104&lt;=$D13)*($D13&lt;=('حجز الإجازات'!$E$5:$E$104)))&gt;MaxLeave,"⚠ مجازين "&amp;SUMPRODUCT(('حجز الإجازات'!$G$5:$G$104&lt;&gt;"مرفوض")*('حجز الإجازات'!$D$5:$D$104&lt;=$D13)*($D13&lt;=('حجز الإجازات'!$E$5:$E$104)))&amp;" / الحد "&amp;MaxLeave,"✓ مجازين "&amp;SUMPRODUCT(('حجز الإجازات'!$G$5:$G$104&lt;&gt;"مرفوض")*('حجز الإجازات'!$D$5:$D$104&lt;=$D13)*($D13&lt;=('حجز الإجازات'!$E$5:$E$104)))&amp;" / الحد "&amp;MaxLeave))</f>
        <v/>
      </c>
      <c r="J13" s="37" t="n"/>
    </row>
    <row r="14">
      <c r="A14" s="16" t="n">
        <v>10</v>
      </c>
      <c r="B14" s="37" t="inlineStr">
        <is>
          <t>راشد عيسى التميمي</t>
        </is>
      </c>
      <c r="C14" s="46" t="inlineStr">
        <is>
          <t>عارض</t>
        </is>
      </c>
      <c r="D14" s="54" t="n">
        <v>46217</v>
      </c>
      <c r="E14" s="54" t="n">
        <v>46217</v>
      </c>
      <c r="F14" s="16">
        <f>IF(OR($D14="",$E14=""),"",$E14-$D14+1-SUMPRODUCT((Holidays&gt;=$D14)*(Holidays&lt;=$E14)))</f>
        <v/>
      </c>
      <c r="G14" s="46" t="inlineStr">
        <is>
          <t>معتمد</t>
        </is>
      </c>
      <c r="H14" s="16">
        <f>IF(OR($B14="",$D14="",$E14=""),"",IF(SUMPRODUCT(('حجز الإجازات'!$B$5:$B$104=$B14)*('حجز الإجازات'!$G$5:$G$104&lt;&gt;"مرفوض")*('حجز الإجازات'!$D$5:$D$104&lt;=$E14)*($D14&lt;=('حجز الإجازات'!$E$5:$E$104)))-(($B14&lt;&gt;"")*($G14&lt;&gt;"مرفوض"))&gt;0,"⚠ تعارض","✓ سليم"))</f>
        <v/>
      </c>
      <c r="I14" s="16">
        <f>IF($D14="","",IF(SUMPRODUCT(('حجز الإجازات'!$G$5:$G$104&lt;&gt;"مرفوض")*('حجز الإجازات'!$D$5:$D$104&lt;=$D14)*($D14&lt;=('حجز الإجازات'!$E$5:$E$104)))&gt;MaxLeave,"⚠ مجازين "&amp;SUMPRODUCT(('حجز الإجازات'!$G$5:$G$104&lt;&gt;"مرفوض")*('حجز الإجازات'!$D$5:$D$104&lt;=$D14)*($D14&lt;=('حجز الإجازات'!$E$5:$E$104)))&amp;" / الحد "&amp;MaxLeave,"✓ مجازين "&amp;SUMPRODUCT(('حجز الإجازات'!$G$5:$G$104&lt;&gt;"مرفوض")*('حجز الإجازات'!$D$5:$D$104&lt;=$D14)*($D14&lt;=('حجز الإجازات'!$E$5:$E$104)))&amp;" / الحد "&amp;MaxLeave))</f>
        <v/>
      </c>
      <c r="J14" s="37" t="n"/>
    </row>
    <row r="15">
      <c r="A15" s="16" t="n">
        <v>11</v>
      </c>
      <c r="B15" s="37" t="inlineStr">
        <is>
          <t>راشد عيسى التميمي</t>
        </is>
      </c>
      <c r="C15" s="46" t="inlineStr">
        <is>
          <t>سنوية</t>
        </is>
      </c>
      <c r="D15" s="54" t="n">
        <v>46218</v>
      </c>
      <c r="E15" s="54" t="n">
        <v>46222</v>
      </c>
      <c r="F15" s="16">
        <f>IF(OR($D15="",$E15=""),"",$E15-$D15+1-SUMPRODUCT((Holidays&gt;=$D15)*(Holidays&lt;=$E15)))</f>
        <v/>
      </c>
      <c r="G15" s="46" t="inlineStr">
        <is>
          <t>معتمد</t>
        </is>
      </c>
      <c r="H15" s="16">
        <f>IF(OR($B15="",$D15="",$E15=""),"",IF(SUMPRODUCT(('حجز الإجازات'!$B$5:$B$104=$B15)*('حجز الإجازات'!$G$5:$G$104&lt;&gt;"مرفوض")*('حجز الإجازات'!$D$5:$D$104&lt;=$E15)*($D15&lt;=('حجز الإجازات'!$E$5:$E$104)))-(($B15&lt;&gt;"")*($G15&lt;&gt;"مرفوض"))&gt;0,"⚠ تعارض","✓ سليم"))</f>
        <v/>
      </c>
      <c r="I15" s="16">
        <f>IF($D15="","",IF(SUMPRODUCT(('حجز الإجازات'!$G$5:$G$104&lt;&gt;"مرفوض")*('حجز الإجازات'!$D$5:$D$104&lt;=$D15)*($D15&lt;=('حجز الإجازات'!$E$5:$E$104)))&gt;MaxLeave,"⚠ مجازين "&amp;SUMPRODUCT(('حجز الإجازات'!$G$5:$G$104&lt;&gt;"مرفوض")*('حجز الإجازات'!$D$5:$D$104&lt;=$D15)*($D15&lt;=('حجز الإجازات'!$E$5:$E$104)))&amp;" / الحد "&amp;MaxLeave,"✓ مجازين "&amp;SUMPRODUCT(('حجز الإجازات'!$G$5:$G$104&lt;&gt;"مرفوض")*('حجز الإجازات'!$D$5:$D$104&lt;=$D15)*($D15&lt;=('حجز الإجازات'!$E$5:$E$104)))&amp;" / الحد "&amp;MaxLeave))</f>
        <v/>
      </c>
      <c r="J15" s="37" t="n"/>
    </row>
    <row r="16">
      <c r="A16" s="16" t="n">
        <v>12</v>
      </c>
      <c r="B16" s="37" t="inlineStr">
        <is>
          <t>راشد عيسى التميمي</t>
        </is>
      </c>
      <c r="C16" s="46" t="inlineStr">
        <is>
          <t>أخرى</t>
        </is>
      </c>
      <c r="D16" s="54" t="n">
        <v>46190</v>
      </c>
      <c r="E16" s="54" t="n">
        <v>46190</v>
      </c>
      <c r="F16" s="16">
        <f>IF(OR($D16="",$E16=""),"",$E16-$D16+1-SUMPRODUCT((Holidays&gt;=$D16)*(Holidays&lt;=$E16)))</f>
        <v/>
      </c>
      <c r="G16" s="46" t="inlineStr">
        <is>
          <t>معتمد</t>
        </is>
      </c>
      <c r="H16" s="16">
        <f>IF(OR($B16="",$D16="",$E16=""),"",IF(SUMPRODUCT(('حجز الإجازات'!$B$5:$B$104=$B16)*('حجز الإجازات'!$G$5:$G$104&lt;&gt;"مرفوض")*('حجز الإجازات'!$D$5:$D$104&lt;=$E16)*($D16&lt;=('حجز الإجازات'!$E$5:$E$104)))-(($B16&lt;&gt;"")*($G16&lt;&gt;"مرفوض"))&gt;0,"⚠ تعارض","✓ سليم"))</f>
        <v/>
      </c>
      <c r="I16" s="16">
        <f>IF($D16="","",IF(SUMPRODUCT(('حجز الإجازات'!$G$5:$G$104&lt;&gt;"مرفوض")*('حجز الإجازات'!$D$5:$D$104&lt;=$D16)*($D16&lt;=('حجز الإجازات'!$E$5:$E$104)))&gt;MaxLeave,"⚠ مجازين "&amp;SUMPRODUCT(('حجز الإجازات'!$G$5:$G$104&lt;&gt;"مرفوض")*('حجز الإجازات'!$D$5:$D$104&lt;=$D16)*($D16&lt;=('حجز الإجازات'!$E$5:$E$104)))&amp;" / الحد "&amp;MaxLeave,"✓ مجازين "&amp;SUMPRODUCT(('حجز الإجازات'!$G$5:$G$104&lt;&gt;"مرفوض")*('حجز الإجازات'!$D$5:$D$104&lt;=$D16)*($D16&lt;=('حجز الإجازات'!$E$5:$E$104)))&amp;" / الحد "&amp;MaxLeave))</f>
        <v/>
      </c>
      <c r="J16" s="37" t="n"/>
    </row>
    <row r="17">
      <c r="A17" s="16" t="n">
        <v>13</v>
      </c>
      <c r="B17" s="37" t="n"/>
      <c r="C17" s="46" t="n"/>
      <c r="D17" s="54" t="n"/>
      <c r="E17" s="54" t="n"/>
      <c r="F17" s="16">
        <f>IF(OR($D17="",$E17=""),"",$E17-$D17+1-SUMPRODUCT((Holidays&gt;=$D17)*(Holidays&lt;=$E17)))</f>
        <v/>
      </c>
      <c r="G17" s="46" t="n"/>
      <c r="H17" s="16">
        <f>IF(OR($B17="",$D17="",$E17=""),"",IF(SUMPRODUCT(('حجز الإجازات'!$B$5:$B$104=$B17)*('حجز الإجازات'!$G$5:$G$104&lt;&gt;"مرفوض")*('حجز الإجازات'!$D$5:$D$104&lt;=$E17)*($D17&lt;=('حجز الإجازات'!$E$5:$E$104)))-(($B17&lt;&gt;"")*($G17&lt;&gt;"مرفوض"))&gt;0,"⚠ تعارض","✓ سليم"))</f>
        <v/>
      </c>
      <c r="I17" s="16">
        <f>IF($D17="","",IF(SUMPRODUCT(('حجز الإجازات'!$G$5:$G$104&lt;&gt;"مرفوض")*('حجز الإجازات'!$D$5:$D$104&lt;=$D17)*($D17&lt;=('حجز الإجازات'!$E$5:$E$104)))&gt;MaxLeave,"⚠ مجازين "&amp;SUMPRODUCT(('حجز الإجازات'!$G$5:$G$104&lt;&gt;"مرفوض")*('حجز الإجازات'!$D$5:$D$104&lt;=$D17)*($D17&lt;=('حجز الإجازات'!$E$5:$E$104)))&amp;" / الحد "&amp;MaxLeave,"✓ مجازين "&amp;SUMPRODUCT(('حجز الإجازات'!$G$5:$G$104&lt;&gt;"مرفوض")*('حجز الإجازات'!$D$5:$D$104&lt;=$D17)*($D17&lt;=('حجز الإجازات'!$E$5:$E$104)))&amp;" / الحد "&amp;MaxLeave))</f>
        <v/>
      </c>
      <c r="J17" s="37" t="n"/>
    </row>
    <row r="18">
      <c r="A18" s="16" t="n">
        <v>14</v>
      </c>
      <c r="B18" s="37" t="n"/>
      <c r="C18" s="46" t="n"/>
      <c r="D18" s="54" t="n"/>
      <c r="E18" s="54" t="n"/>
      <c r="F18" s="16">
        <f>IF(OR($D18="",$E18=""),"",$E18-$D18+1-SUMPRODUCT((Holidays&gt;=$D18)*(Holidays&lt;=$E18)))</f>
        <v/>
      </c>
      <c r="G18" s="46" t="n"/>
      <c r="H18" s="16">
        <f>IF(OR($B18="",$D18="",$E18=""),"",IF(SUMPRODUCT(('حجز الإجازات'!$B$5:$B$104=$B18)*('حجز الإجازات'!$G$5:$G$104&lt;&gt;"مرفوض")*('حجز الإجازات'!$D$5:$D$104&lt;=$E18)*($D18&lt;=('حجز الإجازات'!$E$5:$E$104)))-(($B18&lt;&gt;"")*($G18&lt;&gt;"مرفوض"))&gt;0,"⚠ تعارض","✓ سليم"))</f>
        <v/>
      </c>
      <c r="I18" s="16">
        <f>IF($D18="","",IF(SUMPRODUCT(('حجز الإجازات'!$G$5:$G$104&lt;&gt;"مرفوض")*('حجز الإجازات'!$D$5:$D$104&lt;=$D18)*($D18&lt;=('حجز الإجازات'!$E$5:$E$104)))&gt;MaxLeave,"⚠ مجازين "&amp;SUMPRODUCT(('حجز الإجازات'!$G$5:$G$104&lt;&gt;"مرفوض")*('حجز الإجازات'!$D$5:$D$104&lt;=$D18)*($D18&lt;=('حجز الإجازات'!$E$5:$E$104)))&amp;" / الحد "&amp;MaxLeave,"✓ مجازين "&amp;SUMPRODUCT(('حجز الإجازات'!$G$5:$G$104&lt;&gt;"مرفوض")*('حجز الإجازات'!$D$5:$D$104&lt;=$D18)*($D18&lt;=('حجز الإجازات'!$E$5:$E$104)))&amp;" / الحد "&amp;MaxLeave))</f>
        <v/>
      </c>
      <c r="J18" s="37" t="n"/>
    </row>
    <row r="19">
      <c r="A19" s="16" t="n">
        <v>15</v>
      </c>
      <c r="B19" s="37" t="n"/>
      <c r="C19" s="46" t="n"/>
      <c r="D19" s="54" t="n"/>
      <c r="E19" s="54" t="n"/>
      <c r="F19" s="16">
        <f>IF(OR($D19="",$E19=""),"",$E19-$D19+1-SUMPRODUCT((Holidays&gt;=$D19)*(Holidays&lt;=$E19)))</f>
        <v/>
      </c>
      <c r="G19" s="46" t="n"/>
      <c r="H19" s="16">
        <f>IF(OR($B19="",$D19="",$E19=""),"",IF(SUMPRODUCT(('حجز الإجازات'!$B$5:$B$104=$B19)*('حجز الإجازات'!$G$5:$G$104&lt;&gt;"مرفوض")*('حجز الإجازات'!$D$5:$D$104&lt;=$E19)*($D19&lt;=('حجز الإجازات'!$E$5:$E$104)))-(($B19&lt;&gt;"")*($G19&lt;&gt;"مرفوض"))&gt;0,"⚠ تعارض","✓ سليم"))</f>
        <v/>
      </c>
      <c r="I19" s="16">
        <f>IF($D19="","",IF(SUMPRODUCT(('حجز الإجازات'!$G$5:$G$104&lt;&gt;"مرفوض")*('حجز الإجازات'!$D$5:$D$104&lt;=$D19)*($D19&lt;=('حجز الإجازات'!$E$5:$E$104)))&gt;MaxLeave,"⚠ مجازين "&amp;SUMPRODUCT(('حجز الإجازات'!$G$5:$G$104&lt;&gt;"مرفوض")*('حجز الإجازات'!$D$5:$D$104&lt;=$D19)*($D19&lt;=('حجز الإجازات'!$E$5:$E$104)))&amp;" / الحد "&amp;MaxLeave,"✓ مجازين "&amp;SUMPRODUCT(('حجز الإجازات'!$G$5:$G$104&lt;&gt;"مرفوض")*('حجز الإجازات'!$D$5:$D$104&lt;=$D19)*($D19&lt;=('حجز الإجازات'!$E$5:$E$104)))&amp;" / الحد "&amp;MaxLeave))</f>
        <v/>
      </c>
      <c r="J19" s="37" t="n"/>
    </row>
    <row r="20">
      <c r="A20" s="16" t="n">
        <v>16</v>
      </c>
      <c r="B20" s="37" t="n"/>
      <c r="C20" s="46" t="n"/>
      <c r="D20" s="54" t="n"/>
      <c r="E20" s="54" t="n"/>
      <c r="F20" s="16">
        <f>IF(OR($D20="",$E20=""),"",$E20-$D20+1-SUMPRODUCT((Holidays&gt;=$D20)*(Holidays&lt;=$E20)))</f>
        <v/>
      </c>
      <c r="G20" s="46" t="n"/>
      <c r="H20" s="16">
        <f>IF(OR($B20="",$D20="",$E20=""),"",IF(SUMPRODUCT(('حجز الإجازات'!$B$5:$B$104=$B20)*('حجز الإجازات'!$G$5:$G$104&lt;&gt;"مرفوض")*('حجز الإجازات'!$D$5:$D$104&lt;=$E20)*($D20&lt;=('حجز الإجازات'!$E$5:$E$104)))-(($B20&lt;&gt;"")*($G20&lt;&gt;"مرفوض"))&gt;0,"⚠ تعارض","✓ سليم"))</f>
        <v/>
      </c>
      <c r="I20" s="16">
        <f>IF($D20="","",IF(SUMPRODUCT(('حجز الإجازات'!$G$5:$G$104&lt;&gt;"مرفوض")*('حجز الإجازات'!$D$5:$D$104&lt;=$D20)*($D20&lt;=('حجز الإجازات'!$E$5:$E$104)))&gt;MaxLeave,"⚠ مجازين "&amp;SUMPRODUCT(('حجز الإجازات'!$G$5:$G$104&lt;&gt;"مرفوض")*('حجز الإجازات'!$D$5:$D$104&lt;=$D20)*($D20&lt;=('حجز الإجازات'!$E$5:$E$104)))&amp;" / الحد "&amp;MaxLeave,"✓ مجازين "&amp;SUMPRODUCT(('حجز الإجازات'!$G$5:$G$104&lt;&gt;"مرفوض")*('حجز الإجازات'!$D$5:$D$104&lt;=$D20)*($D20&lt;=('حجز الإجازات'!$E$5:$E$104)))&amp;" / الحد "&amp;MaxLeave))</f>
        <v/>
      </c>
      <c r="J20" s="37" t="n"/>
    </row>
    <row r="21">
      <c r="A21" s="16" t="n">
        <v>17</v>
      </c>
      <c r="B21" s="37" t="n"/>
      <c r="C21" s="46" t="n"/>
      <c r="D21" s="54" t="n"/>
      <c r="E21" s="54" t="n"/>
      <c r="F21" s="16">
        <f>IF(OR($D21="",$E21=""),"",$E21-$D21+1-SUMPRODUCT((Holidays&gt;=$D21)*(Holidays&lt;=$E21)))</f>
        <v/>
      </c>
      <c r="G21" s="46" t="n"/>
      <c r="H21" s="16">
        <f>IF(OR($B21="",$D21="",$E21=""),"",IF(SUMPRODUCT(('حجز الإجازات'!$B$5:$B$104=$B21)*('حجز الإجازات'!$G$5:$G$104&lt;&gt;"مرفوض")*('حجز الإجازات'!$D$5:$D$104&lt;=$E21)*($D21&lt;=('حجز الإجازات'!$E$5:$E$104)))-(($B21&lt;&gt;"")*($G21&lt;&gt;"مرفوض"))&gt;0,"⚠ تعارض","✓ سليم"))</f>
        <v/>
      </c>
      <c r="I21" s="16">
        <f>IF($D21="","",IF(SUMPRODUCT(('حجز الإجازات'!$G$5:$G$104&lt;&gt;"مرفوض")*('حجز الإجازات'!$D$5:$D$104&lt;=$D21)*($D21&lt;=('حجز الإجازات'!$E$5:$E$104)))&gt;MaxLeave,"⚠ مجازين "&amp;SUMPRODUCT(('حجز الإجازات'!$G$5:$G$104&lt;&gt;"مرفوض")*('حجز الإجازات'!$D$5:$D$104&lt;=$D21)*($D21&lt;=('حجز الإجازات'!$E$5:$E$104)))&amp;" / الحد "&amp;MaxLeave,"✓ مجازين "&amp;SUMPRODUCT(('حجز الإجازات'!$G$5:$G$104&lt;&gt;"مرفوض")*('حجز الإجازات'!$D$5:$D$104&lt;=$D21)*($D21&lt;=('حجز الإجازات'!$E$5:$E$104)))&amp;" / الحد "&amp;MaxLeave))</f>
        <v/>
      </c>
      <c r="J21" s="37" t="n"/>
    </row>
    <row r="22">
      <c r="A22" s="16" t="n">
        <v>18</v>
      </c>
      <c r="B22" s="37" t="n"/>
      <c r="C22" s="46" t="n"/>
      <c r="D22" s="54" t="n"/>
      <c r="E22" s="54" t="n"/>
      <c r="F22" s="16">
        <f>IF(OR($D22="",$E22=""),"",$E22-$D22+1-SUMPRODUCT((Holidays&gt;=$D22)*(Holidays&lt;=$E22)))</f>
        <v/>
      </c>
      <c r="G22" s="46" t="n"/>
      <c r="H22" s="16">
        <f>IF(OR($B22="",$D22="",$E22=""),"",IF(SUMPRODUCT(('حجز الإجازات'!$B$5:$B$104=$B22)*('حجز الإجازات'!$G$5:$G$104&lt;&gt;"مرفوض")*('حجز الإجازات'!$D$5:$D$104&lt;=$E22)*($D22&lt;=('حجز الإجازات'!$E$5:$E$104)))-(($B22&lt;&gt;"")*($G22&lt;&gt;"مرفوض"))&gt;0,"⚠ تعارض","✓ سليم"))</f>
        <v/>
      </c>
      <c r="I22" s="16">
        <f>IF($D22="","",IF(SUMPRODUCT(('حجز الإجازات'!$G$5:$G$104&lt;&gt;"مرفوض")*('حجز الإجازات'!$D$5:$D$104&lt;=$D22)*($D22&lt;=('حجز الإجازات'!$E$5:$E$104)))&gt;MaxLeave,"⚠ مجازين "&amp;SUMPRODUCT(('حجز الإجازات'!$G$5:$G$104&lt;&gt;"مرفوض")*('حجز الإجازات'!$D$5:$D$104&lt;=$D22)*($D22&lt;=('حجز الإجازات'!$E$5:$E$104)))&amp;" / الحد "&amp;MaxLeave,"✓ مجازين "&amp;SUMPRODUCT(('حجز الإجازات'!$G$5:$G$104&lt;&gt;"مرفوض")*('حجز الإجازات'!$D$5:$D$104&lt;=$D22)*($D22&lt;=('حجز الإجازات'!$E$5:$E$104)))&amp;" / الحد "&amp;MaxLeave))</f>
        <v/>
      </c>
      <c r="J22" s="37" t="n"/>
    </row>
    <row r="23">
      <c r="A23" s="16" t="n">
        <v>19</v>
      </c>
      <c r="B23" s="37" t="n"/>
      <c r="C23" s="46" t="n"/>
      <c r="D23" s="54" t="n"/>
      <c r="E23" s="54" t="n"/>
      <c r="F23" s="16">
        <f>IF(OR($D23="",$E23=""),"",$E23-$D23+1-SUMPRODUCT((Holidays&gt;=$D23)*(Holidays&lt;=$E23)))</f>
        <v/>
      </c>
      <c r="G23" s="46" t="n"/>
      <c r="H23" s="16">
        <f>IF(OR($B23="",$D23="",$E23=""),"",IF(SUMPRODUCT(('حجز الإجازات'!$B$5:$B$104=$B23)*('حجز الإجازات'!$G$5:$G$104&lt;&gt;"مرفوض")*('حجز الإجازات'!$D$5:$D$104&lt;=$E23)*($D23&lt;=('حجز الإجازات'!$E$5:$E$104)))-(($B23&lt;&gt;"")*($G23&lt;&gt;"مرفوض"))&gt;0,"⚠ تعارض","✓ سليم"))</f>
        <v/>
      </c>
      <c r="I23" s="16">
        <f>IF($D23="","",IF(SUMPRODUCT(('حجز الإجازات'!$G$5:$G$104&lt;&gt;"مرفوض")*('حجز الإجازات'!$D$5:$D$104&lt;=$D23)*($D23&lt;=('حجز الإجازات'!$E$5:$E$104)))&gt;MaxLeave,"⚠ مجازين "&amp;SUMPRODUCT(('حجز الإجازات'!$G$5:$G$104&lt;&gt;"مرفوض")*('حجز الإجازات'!$D$5:$D$104&lt;=$D23)*($D23&lt;=('حجز الإجازات'!$E$5:$E$104)))&amp;" / الحد "&amp;MaxLeave,"✓ مجازين "&amp;SUMPRODUCT(('حجز الإجازات'!$G$5:$G$104&lt;&gt;"مرفوض")*('حجز الإجازات'!$D$5:$D$104&lt;=$D23)*($D23&lt;=('حجز الإجازات'!$E$5:$E$104)))&amp;" / الحد "&amp;MaxLeave))</f>
        <v/>
      </c>
      <c r="J23" s="37" t="n"/>
    </row>
    <row r="24">
      <c r="A24" s="16" t="n">
        <v>20</v>
      </c>
      <c r="B24" s="37" t="n"/>
      <c r="C24" s="46" t="n"/>
      <c r="D24" s="54" t="n"/>
      <c r="E24" s="54" t="n"/>
      <c r="F24" s="16">
        <f>IF(OR($D24="",$E24=""),"",$E24-$D24+1-SUMPRODUCT((Holidays&gt;=$D24)*(Holidays&lt;=$E24)))</f>
        <v/>
      </c>
      <c r="G24" s="46" t="n"/>
      <c r="H24" s="16">
        <f>IF(OR($B24="",$D24="",$E24=""),"",IF(SUMPRODUCT(('حجز الإجازات'!$B$5:$B$104=$B24)*('حجز الإجازات'!$G$5:$G$104&lt;&gt;"مرفوض")*('حجز الإجازات'!$D$5:$D$104&lt;=$E24)*($D24&lt;=('حجز الإجازات'!$E$5:$E$104)))-(($B24&lt;&gt;"")*($G24&lt;&gt;"مرفوض"))&gt;0,"⚠ تعارض","✓ سليم"))</f>
        <v/>
      </c>
      <c r="I24" s="16">
        <f>IF($D24="","",IF(SUMPRODUCT(('حجز الإجازات'!$G$5:$G$104&lt;&gt;"مرفوض")*('حجز الإجازات'!$D$5:$D$104&lt;=$D24)*($D24&lt;=('حجز الإجازات'!$E$5:$E$104)))&gt;MaxLeave,"⚠ مجازين "&amp;SUMPRODUCT(('حجز الإجازات'!$G$5:$G$104&lt;&gt;"مرفوض")*('حجز الإجازات'!$D$5:$D$104&lt;=$D24)*($D24&lt;=('حجز الإجازات'!$E$5:$E$104)))&amp;" / الحد "&amp;MaxLeave,"✓ مجازين "&amp;SUMPRODUCT(('حجز الإجازات'!$G$5:$G$104&lt;&gt;"مرفوض")*('حجز الإجازات'!$D$5:$D$104&lt;=$D24)*($D24&lt;=('حجز الإجازات'!$E$5:$E$104)))&amp;" / الحد "&amp;MaxLeave))</f>
        <v/>
      </c>
      <c r="J24" s="37" t="n"/>
    </row>
    <row r="25">
      <c r="A25" s="16" t="n">
        <v>21</v>
      </c>
      <c r="B25" s="37" t="n"/>
      <c r="C25" s="46" t="n"/>
      <c r="D25" s="54" t="n"/>
      <c r="E25" s="54" t="n"/>
      <c r="F25" s="16">
        <f>IF(OR($D25="",$E25=""),"",$E25-$D25+1-SUMPRODUCT((Holidays&gt;=$D25)*(Holidays&lt;=$E25)))</f>
        <v/>
      </c>
      <c r="G25" s="46" t="n"/>
      <c r="H25" s="16">
        <f>IF(OR($B25="",$D25="",$E25=""),"",IF(SUMPRODUCT(('حجز الإجازات'!$B$5:$B$104=$B25)*('حجز الإجازات'!$G$5:$G$104&lt;&gt;"مرفوض")*('حجز الإجازات'!$D$5:$D$104&lt;=$E25)*($D25&lt;=('حجز الإجازات'!$E$5:$E$104)))-(($B25&lt;&gt;"")*($G25&lt;&gt;"مرفوض"))&gt;0,"⚠ تعارض","✓ سليم"))</f>
        <v/>
      </c>
      <c r="I25" s="16">
        <f>IF($D25="","",IF(SUMPRODUCT(('حجز الإجازات'!$G$5:$G$104&lt;&gt;"مرفوض")*('حجز الإجازات'!$D$5:$D$104&lt;=$D25)*($D25&lt;=('حجز الإجازات'!$E$5:$E$104)))&gt;MaxLeave,"⚠ مجازين "&amp;SUMPRODUCT(('حجز الإجازات'!$G$5:$G$104&lt;&gt;"مرفوض")*('حجز الإجازات'!$D$5:$D$104&lt;=$D25)*($D25&lt;=('حجز الإجازات'!$E$5:$E$104)))&amp;" / الحد "&amp;MaxLeave,"✓ مجازين "&amp;SUMPRODUCT(('حجز الإجازات'!$G$5:$G$104&lt;&gt;"مرفوض")*('حجز الإجازات'!$D$5:$D$104&lt;=$D25)*($D25&lt;=('حجز الإجازات'!$E$5:$E$104)))&amp;" / الحد "&amp;MaxLeave))</f>
        <v/>
      </c>
      <c r="J25" s="37" t="n"/>
    </row>
    <row r="26">
      <c r="A26" s="16" t="n">
        <v>22</v>
      </c>
      <c r="B26" s="37" t="n"/>
      <c r="C26" s="46" t="n"/>
      <c r="D26" s="54" t="n"/>
      <c r="E26" s="54" t="n"/>
      <c r="F26" s="16">
        <f>IF(OR($D26="",$E26=""),"",$E26-$D26+1-SUMPRODUCT((Holidays&gt;=$D26)*(Holidays&lt;=$E26)))</f>
        <v/>
      </c>
      <c r="G26" s="46" t="n"/>
      <c r="H26" s="16">
        <f>IF(OR($B26="",$D26="",$E26=""),"",IF(SUMPRODUCT(('حجز الإجازات'!$B$5:$B$104=$B26)*('حجز الإجازات'!$G$5:$G$104&lt;&gt;"مرفوض")*('حجز الإجازات'!$D$5:$D$104&lt;=$E26)*($D26&lt;=('حجز الإجازات'!$E$5:$E$104)))-(($B26&lt;&gt;"")*($G26&lt;&gt;"مرفوض"))&gt;0,"⚠ تعارض","✓ سليم"))</f>
        <v/>
      </c>
      <c r="I26" s="16">
        <f>IF($D26="","",IF(SUMPRODUCT(('حجز الإجازات'!$G$5:$G$104&lt;&gt;"مرفوض")*('حجز الإجازات'!$D$5:$D$104&lt;=$D26)*($D26&lt;=('حجز الإجازات'!$E$5:$E$104)))&gt;MaxLeave,"⚠ مجازين "&amp;SUMPRODUCT(('حجز الإجازات'!$G$5:$G$104&lt;&gt;"مرفوض")*('حجز الإجازات'!$D$5:$D$104&lt;=$D26)*($D26&lt;=('حجز الإجازات'!$E$5:$E$104)))&amp;" / الحد "&amp;MaxLeave,"✓ مجازين "&amp;SUMPRODUCT(('حجز الإجازات'!$G$5:$G$104&lt;&gt;"مرفوض")*('حجز الإجازات'!$D$5:$D$104&lt;=$D26)*($D26&lt;=('حجز الإجازات'!$E$5:$E$104)))&amp;" / الحد "&amp;MaxLeave))</f>
        <v/>
      </c>
      <c r="J26" s="37" t="n"/>
    </row>
    <row r="27">
      <c r="A27" s="16" t="n">
        <v>23</v>
      </c>
      <c r="B27" s="37" t="n"/>
      <c r="C27" s="46" t="n"/>
      <c r="D27" s="54" t="n"/>
      <c r="E27" s="54" t="n"/>
      <c r="F27" s="16">
        <f>IF(OR($D27="",$E27=""),"",$E27-$D27+1-SUMPRODUCT((Holidays&gt;=$D27)*(Holidays&lt;=$E27)))</f>
        <v/>
      </c>
      <c r="G27" s="46" t="n"/>
      <c r="H27" s="16">
        <f>IF(OR($B27="",$D27="",$E27=""),"",IF(SUMPRODUCT(('حجز الإجازات'!$B$5:$B$104=$B27)*('حجز الإجازات'!$G$5:$G$104&lt;&gt;"مرفوض")*('حجز الإجازات'!$D$5:$D$104&lt;=$E27)*($D27&lt;=('حجز الإجازات'!$E$5:$E$104)))-(($B27&lt;&gt;"")*($G27&lt;&gt;"مرفوض"))&gt;0,"⚠ تعارض","✓ سليم"))</f>
        <v/>
      </c>
      <c r="I27" s="16">
        <f>IF($D27="","",IF(SUMPRODUCT(('حجز الإجازات'!$G$5:$G$104&lt;&gt;"مرفوض")*('حجز الإجازات'!$D$5:$D$104&lt;=$D27)*($D27&lt;=('حجز الإجازات'!$E$5:$E$104)))&gt;MaxLeave,"⚠ مجازين "&amp;SUMPRODUCT(('حجز الإجازات'!$G$5:$G$104&lt;&gt;"مرفوض")*('حجز الإجازات'!$D$5:$D$104&lt;=$D27)*($D27&lt;=('حجز الإجازات'!$E$5:$E$104)))&amp;" / الحد "&amp;MaxLeave,"✓ مجازين "&amp;SUMPRODUCT(('حجز الإجازات'!$G$5:$G$104&lt;&gt;"مرفوض")*('حجز الإجازات'!$D$5:$D$104&lt;=$D27)*($D27&lt;=('حجز الإجازات'!$E$5:$E$104)))&amp;" / الحد "&amp;MaxLeave))</f>
        <v/>
      </c>
      <c r="J27" s="37" t="n"/>
    </row>
    <row r="28">
      <c r="A28" s="16" t="n">
        <v>24</v>
      </c>
      <c r="B28" s="37" t="n"/>
      <c r="C28" s="46" t="n"/>
      <c r="D28" s="54" t="n"/>
      <c r="E28" s="54" t="n"/>
      <c r="F28" s="16">
        <f>IF(OR($D28="",$E28=""),"",$E28-$D28+1-SUMPRODUCT((Holidays&gt;=$D28)*(Holidays&lt;=$E28)))</f>
        <v/>
      </c>
      <c r="G28" s="46" t="n"/>
      <c r="H28" s="16">
        <f>IF(OR($B28="",$D28="",$E28=""),"",IF(SUMPRODUCT(('حجز الإجازات'!$B$5:$B$104=$B28)*('حجز الإجازات'!$G$5:$G$104&lt;&gt;"مرفوض")*('حجز الإجازات'!$D$5:$D$104&lt;=$E28)*($D28&lt;=('حجز الإجازات'!$E$5:$E$104)))-(($B28&lt;&gt;"")*($G28&lt;&gt;"مرفوض"))&gt;0,"⚠ تعارض","✓ سليم"))</f>
        <v/>
      </c>
      <c r="I28" s="16">
        <f>IF($D28="","",IF(SUMPRODUCT(('حجز الإجازات'!$G$5:$G$104&lt;&gt;"مرفوض")*('حجز الإجازات'!$D$5:$D$104&lt;=$D28)*($D28&lt;=('حجز الإجازات'!$E$5:$E$104)))&gt;MaxLeave,"⚠ مجازين "&amp;SUMPRODUCT(('حجز الإجازات'!$G$5:$G$104&lt;&gt;"مرفوض")*('حجز الإجازات'!$D$5:$D$104&lt;=$D28)*($D28&lt;=('حجز الإجازات'!$E$5:$E$104)))&amp;" / الحد "&amp;MaxLeave,"✓ مجازين "&amp;SUMPRODUCT(('حجز الإجازات'!$G$5:$G$104&lt;&gt;"مرفوض")*('حجز الإجازات'!$D$5:$D$104&lt;=$D28)*($D28&lt;=('حجز الإجازات'!$E$5:$E$104)))&amp;" / الحد "&amp;MaxLeave))</f>
        <v/>
      </c>
      <c r="J28" s="37" t="n"/>
    </row>
    <row r="29">
      <c r="A29" s="16" t="n">
        <v>25</v>
      </c>
      <c r="B29" s="37" t="n"/>
      <c r="C29" s="46" t="n"/>
      <c r="D29" s="54" t="n"/>
      <c r="E29" s="54" t="n"/>
      <c r="F29" s="16">
        <f>IF(OR($D29="",$E29=""),"",$E29-$D29+1-SUMPRODUCT((Holidays&gt;=$D29)*(Holidays&lt;=$E29)))</f>
        <v/>
      </c>
      <c r="G29" s="46" t="n"/>
      <c r="H29" s="16">
        <f>IF(OR($B29="",$D29="",$E29=""),"",IF(SUMPRODUCT(('حجز الإجازات'!$B$5:$B$104=$B29)*('حجز الإجازات'!$G$5:$G$104&lt;&gt;"مرفوض")*('حجز الإجازات'!$D$5:$D$104&lt;=$E29)*($D29&lt;=('حجز الإجازات'!$E$5:$E$104)))-(($B29&lt;&gt;"")*($G29&lt;&gt;"مرفوض"))&gt;0,"⚠ تعارض","✓ سليم"))</f>
        <v/>
      </c>
      <c r="I29" s="16">
        <f>IF($D29="","",IF(SUMPRODUCT(('حجز الإجازات'!$G$5:$G$104&lt;&gt;"مرفوض")*('حجز الإجازات'!$D$5:$D$104&lt;=$D29)*($D29&lt;=('حجز الإجازات'!$E$5:$E$104)))&gt;MaxLeave,"⚠ مجازين "&amp;SUMPRODUCT(('حجز الإجازات'!$G$5:$G$104&lt;&gt;"مرفوض")*('حجز الإجازات'!$D$5:$D$104&lt;=$D29)*($D29&lt;=('حجز الإجازات'!$E$5:$E$104)))&amp;" / الحد "&amp;MaxLeave,"✓ مجازين "&amp;SUMPRODUCT(('حجز الإجازات'!$G$5:$G$104&lt;&gt;"مرفوض")*('حجز الإجازات'!$D$5:$D$104&lt;=$D29)*($D29&lt;=('حجز الإجازات'!$E$5:$E$104)))&amp;" / الحد "&amp;MaxLeave))</f>
        <v/>
      </c>
      <c r="J29" s="37" t="n"/>
    </row>
    <row r="30">
      <c r="A30" s="16" t="n">
        <v>26</v>
      </c>
      <c r="B30" s="37" t="n"/>
      <c r="C30" s="46" t="n"/>
      <c r="D30" s="54" t="n"/>
      <c r="E30" s="54" t="n"/>
      <c r="F30" s="16">
        <f>IF(OR($D30="",$E30=""),"",$E30-$D30+1-SUMPRODUCT((Holidays&gt;=$D30)*(Holidays&lt;=$E30)))</f>
        <v/>
      </c>
      <c r="G30" s="46" t="n"/>
      <c r="H30" s="16">
        <f>IF(OR($B30="",$D30="",$E30=""),"",IF(SUMPRODUCT(('حجز الإجازات'!$B$5:$B$104=$B30)*('حجز الإجازات'!$G$5:$G$104&lt;&gt;"مرفوض")*('حجز الإجازات'!$D$5:$D$104&lt;=$E30)*($D30&lt;=('حجز الإجازات'!$E$5:$E$104)))-(($B30&lt;&gt;"")*($G30&lt;&gt;"مرفوض"))&gt;0,"⚠ تعارض","✓ سليم"))</f>
        <v/>
      </c>
      <c r="I30" s="16">
        <f>IF($D30="","",IF(SUMPRODUCT(('حجز الإجازات'!$G$5:$G$104&lt;&gt;"مرفوض")*('حجز الإجازات'!$D$5:$D$104&lt;=$D30)*($D30&lt;=('حجز الإجازات'!$E$5:$E$104)))&gt;MaxLeave,"⚠ مجازين "&amp;SUMPRODUCT(('حجز الإجازات'!$G$5:$G$104&lt;&gt;"مرفوض")*('حجز الإجازات'!$D$5:$D$104&lt;=$D30)*($D30&lt;=('حجز الإجازات'!$E$5:$E$104)))&amp;" / الحد "&amp;MaxLeave,"✓ مجازين "&amp;SUMPRODUCT(('حجز الإجازات'!$G$5:$G$104&lt;&gt;"مرفوض")*('حجز الإجازات'!$D$5:$D$104&lt;=$D30)*($D30&lt;=('حجز الإجازات'!$E$5:$E$104)))&amp;" / الحد "&amp;MaxLeave))</f>
        <v/>
      </c>
      <c r="J30" s="37" t="n"/>
    </row>
    <row r="31">
      <c r="A31" s="16" t="n">
        <v>27</v>
      </c>
      <c r="B31" s="37" t="n"/>
      <c r="C31" s="46" t="n"/>
      <c r="D31" s="54" t="n"/>
      <c r="E31" s="54" t="n"/>
      <c r="F31" s="16">
        <f>IF(OR($D31="",$E31=""),"",$E31-$D31+1-SUMPRODUCT((Holidays&gt;=$D31)*(Holidays&lt;=$E31)))</f>
        <v/>
      </c>
      <c r="G31" s="46" t="n"/>
      <c r="H31" s="16">
        <f>IF(OR($B31="",$D31="",$E31=""),"",IF(SUMPRODUCT(('حجز الإجازات'!$B$5:$B$104=$B31)*('حجز الإجازات'!$G$5:$G$104&lt;&gt;"مرفوض")*('حجز الإجازات'!$D$5:$D$104&lt;=$E31)*($D31&lt;=('حجز الإجازات'!$E$5:$E$104)))-(($B31&lt;&gt;"")*($G31&lt;&gt;"مرفوض"))&gt;0,"⚠ تعارض","✓ سليم"))</f>
        <v/>
      </c>
      <c r="I31" s="16">
        <f>IF($D31="","",IF(SUMPRODUCT(('حجز الإجازات'!$G$5:$G$104&lt;&gt;"مرفوض")*('حجز الإجازات'!$D$5:$D$104&lt;=$D31)*($D31&lt;=('حجز الإجازات'!$E$5:$E$104)))&gt;MaxLeave,"⚠ مجازين "&amp;SUMPRODUCT(('حجز الإجازات'!$G$5:$G$104&lt;&gt;"مرفوض")*('حجز الإجازات'!$D$5:$D$104&lt;=$D31)*($D31&lt;=('حجز الإجازات'!$E$5:$E$104)))&amp;" / الحد "&amp;MaxLeave,"✓ مجازين "&amp;SUMPRODUCT(('حجز الإجازات'!$G$5:$G$104&lt;&gt;"مرفوض")*('حجز الإجازات'!$D$5:$D$104&lt;=$D31)*($D31&lt;=('حجز الإجازات'!$E$5:$E$104)))&amp;" / الحد "&amp;MaxLeave))</f>
        <v/>
      </c>
      <c r="J31" s="37" t="n"/>
    </row>
    <row r="32">
      <c r="A32" s="16" t="n">
        <v>28</v>
      </c>
      <c r="B32" s="37" t="n"/>
      <c r="C32" s="46" t="n"/>
      <c r="D32" s="54" t="n"/>
      <c r="E32" s="54" t="n"/>
      <c r="F32" s="16">
        <f>IF(OR($D32="",$E32=""),"",$E32-$D32+1-SUMPRODUCT((Holidays&gt;=$D32)*(Holidays&lt;=$E32)))</f>
        <v/>
      </c>
      <c r="G32" s="46" t="n"/>
      <c r="H32" s="16">
        <f>IF(OR($B32="",$D32="",$E32=""),"",IF(SUMPRODUCT(('حجز الإجازات'!$B$5:$B$104=$B32)*('حجز الإجازات'!$G$5:$G$104&lt;&gt;"مرفوض")*('حجز الإجازات'!$D$5:$D$104&lt;=$E32)*($D32&lt;=('حجز الإجازات'!$E$5:$E$104)))-(($B32&lt;&gt;"")*($G32&lt;&gt;"مرفوض"))&gt;0,"⚠ تعارض","✓ سليم"))</f>
        <v/>
      </c>
      <c r="I32" s="16">
        <f>IF($D32="","",IF(SUMPRODUCT(('حجز الإجازات'!$G$5:$G$104&lt;&gt;"مرفوض")*('حجز الإجازات'!$D$5:$D$104&lt;=$D32)*($D32&lt;=('حجز الإجازات'!$E$5:$E$104)))&gt;MaxLeave,"⚠ مجازين "&amp;SUMPRODUCT(('حجز الإجازات'!$G$5:$G$104&lt;&gt;"مرفوض")*('حجز الإجازات'!$D$5:$D$104&lt;=$D32)*($D32&lt;=('حجز الإجازات'!$E$5:$E$104)))&amp;" / الحد "&amp;MaxLeave,"✓ مجازين "&amp;SUMPRODUCT(('حجز الإجازات'!$G$5:$G$104&lt;&gt;"مرفوض")*('حجز الإجازات'!$D$5:$D$104&lt;=$D32)*($D32&lt;=('حجز الإجازات'!$E$5:$E$104)))&amp;" / الحد "&amp;MaxLeave))</f>
        <v/>
      </c>
      <c r="J32" s="37" t="n"/>
    </row>
    <row r="33">
      <c r="A33" s="16" t="n">
        <v>29</v>
      </c>
      <c r="B33" s="37" t="n"/>
      <c r="C33" s="46" t="n"/>
      <c r="D33" s="54" t="n"/>
      <c r="E33" s="54" t="n"/>
      <c r="F33" s="16">
        <f>IF(OR($D33="",$E33=""),"",$E33-$D33+1-SUMPRODUCT((Holidays&gt;=$D33)*(Holidays&lt;=$E33)))</f>
        <v/>
      </c>
      <c r="G33" s="46" t="n"/>
      <c r="H33" s="16">
        <f>IF(OR($B33="",$D33="",$E33=""),"",IF(SUMPRODUCT(('حجز الإجازات'!$B$5:$B$104=$B33)*('حجز الإجازات'!$G$5:$G$104&lt;&gt;"مرفوض")*('حجز الإجازات'!$D$5:$D$104&lt;=$E33)*($D33&lt;=('حجز الإجازات'!$E$5:$E$104)))-(($B33&lt;&gt;"")*($G33&lt;&gt;"مرفوض"))&gt;0,"⚠ تعارض","✓ سليم"))</f>
        <v/>
      </c>
      <c r="I33" s="16">
        <f>IF($D33="","",IF(SUMPRODUCT(('حجز الإجازات'!$G$5:$G$104&lt;&gt;"مرفوض")*('حجز الإجازات'!$D$5:$D$104&lt;=$D33)*($D33&lt;=('حجز الإجازات'!$E$5:$E$104)))&gt;MaxLeave,"⚠ مجازين "&amp;SUMPRODUCT(('حجز الإجازات'!$G$5:$G$104&lt;&gt;"مرفوض")*('حجز الإجازات'!$D$5:$D$104&lt;=$D33)*($D33&lt;=('حجز الإجازات'!$E$5:$E$104)))&amp;" / الحد "&amp;MaxLeave,"✓ مجازين "&amp;SUMPRODUCT(('حجز الإجازات'!$G$5:$G$104&lt;&gt;"مرفوض")*('حجز الإجازات'!$D$5:$D$104&lt;=$D33)*($D33&lt;=('حجز الإجازات'!$E$5:$E$104)))&amp;" / الحد "&amp;MaxLeave))</f>
        <v/>
      </c>
      <c r="J33" s="37" t="n"/>
    </row>
    <row r="34">
      <c r="A34" s="16" t="n">
        <v>30</v>
      </c>
      <c r="B34" s="37" t="n"/>
      <c r="C34" s="46" t="n"/>
      <c r="D34" s="54" t="n"/>
      <c r="E34" s="54" t="n"/>
      <c r="F34" s="16">
        <f>IF(OR($D34="",$E34=""),"",$E34-$D34+1-SUMPRODUCT((Holidays&gt;=$D34)*(Holidays&lt;=$E34)))</f>
        <v/>
      </c>
      <c r="G34" s="46" t="n"/>
      <c r="H34" s="16">
        <f>IF(OR($B34="",$D34="",$E34=""),"",IF(SUMPRODUCT(('حجز الإجازات'!$B$5:$B$104=$B34)*('حجز الإجازات'!$G$5:$G$104&lt;&gt;"مرفوض")*('حجز الإجازات'!$D$5:$D$104&lt;=$E34)*($D34&lt;=('حجز الإجازات'!$E$5:$E$104)))-(($B34&lt;&gt;"")*($G34&lt;&gt;"مرفوض"))&gt;0,"⚠ تعارض","✓ سليم"))</f>
        <v/>
      </c>
      <c r="I34" s="16">
        <f>IF($D34="","",IF(SUMPRODUCT(('حجز الإجازات'!$G$5:$G$104&lt;&gt;"مرفوض")*('حجز الإجازات'!$D$5:$D$104&lt;=$D34)*($D34&lt;=('حجز الإجازات'!$E$5:$E$104)))&gt;MaxLeave,"⚠ مجازين "&amp;SUMPRODUCT(('حجز الإجازات'!$G$5:$G$104&lt;&gt;"مرفوض")*('حجز الإجازات'!$D$5:$D$104&lt;=$D34)*($D34&lt;=('حجز الإجازات'!$E$5:$E$104)))&amp;" / الحد "&amp;MaxLeave,"✓ مجازين "&amp;SUMPRODUCT(('حجز الإجازات'!$G$5:$G$104&lt;&gt;"مرفوض")*('حجز الإجازات'!$D$5:$D$104&lt;=$D34)*($D34&lt;=('حجز الإجازات'!$E$5:$E$104)))&amp;" / الحد "&amp;MaxLeave))</f>
        <v/>
      </c>
      <c r="J34" s="37" t="n"/>
    </row>
    <row r="35">
      <c r="A35" s="16" t="n">
        <v>31</v>
      </c>
      <c r="B35" s="37" t="n"/>
      <c r="C35" s="46" t="n"/>
      <c r="D35" s="54" t="n"/>
      <c r="E35" s="54" t="n"/>
      <c r="F35" s="16">
        <f>IF(OR($D35="",$E35=""),"",$E35-$D35+1-SUMPRODUCT((Holidays&gt;=$D35)*(Holidays&lt;=$E35)))</f>
        <v/>
      </c>
      <c r="G35" s="46" t="n"/>
      <c r="H35" s="16">
        <f>IF(OR($B35="",$D35="",$E35=""),"",IF(SUMPRODUCT(('حجز الإجازات'!$B$5:$B$104=$B35)*('حجز الإجازات'!$G$5:$G$104&lt;&gt;"مرفوض")*('حجز الإجازات'!$D$5:$D$104&lt;=$E35)*($D35&lt;=('حجز الإجازات'!$E$5:$E$104)))-(($B35&lt;&gt;"")*($G35&lt;&gt;"مرفوض"))&gt;0,"⚠ تعارض","✓ سليم"))</f>
        <v/>
      </c>
      <c r="I35" s="16">
        <f>IF($D35="","",IF(SUMPRODUCT(('حجز الإجازات'!$G$5:$G$104&lt;&gt;"مرفوض")*('حجز الإجازات'!$D$5:$D$104&lt;=$D35)*($D35&lt;=('حجز الإجازات'!$E$5:$E$104)))&gt;MaxLeave,"⚠ مجازين "&amp;SUMPRODUCT(('حجز الإجازات'!$G$5:$G$104&lt;&gt;"مرفوض")*('حجز الإجازات'!$D$5:$D$104&lt;=$D35)*($D35&lt;=('حجز الإجازات'!$E$5:$E$104)))&amp;" / الحد "&amp;MaxLeave,"✓ مجازين "&amp;SUMPRODUCT(('حجز الإجازات'!$G$5:$G$104&lt;&gt;"مرفوض")*('حجز الإجازات'!$D$5:$D$104&lt;=$D35)*($D35&lt;=('حجز الإجازات'!$E$5:$E$104)))&amp;" / الحد "&amp;MaxLeave))</f>
        <v/>
      </c>
      <c r="J35" s="37" t="n"/>
    </row>
    <row r="36">
      <c r="A36" s="16" t="n">
        <v>32</v>
      </c>
      <c r="B36" s="37" t="n"/>
      <c r="C36" s="46" t="n"/>
      <c r="D36" s="54" t="n"/>
      <c r="E36" s="54" t="n"/>
      <c r="F36" s="16">
        <f>IF(OR($D36="",$E36=""),"",$E36-$D36+1-SUMPRODUCT((Holidays&gt;=$D36)*(Holidays&lt;=$E36)))</f>
        <v/>
      </c>
      <c r="G36" s="46" t="n"/>
      <c r="H36" s="16">
        <f>IF(OR($B36="",$D36="",$E36=""),"",IF(SUMPRODUCT(('حجز الإجازات'!$B$5:$B$104=$B36)*('حجز الإجازات'!$G$5:$G$104&lt;&gt;"مرفوض")*('حجز الإجازات'!$D$5:$D$104&lt;=$E36)*($D36&lt;=('حجز الإجازات'!$E$5:$E$104)))-(($B36&lt;&gt;"")*($G36&lt;&gt;"مرفوض"))&gt;0,"⚠ تعارض","✓ سليم"))</f>
        <v/>
      </c>
      <c r="I36" s="16">
        <f>IF($D36="","",IF(SUMPRODUCT(('حجز الإجازات'!$G$5:$G$104&lt;&gt;"مرفوض")*('حجز الإجازات'!$D$5:$D$104&lt;=$D36)*($D36&lt;=('حجز الإجازات'!$E$5:$E$104)))&gt;MaxLeave,"⚠ مجازين "&amp;SUMPRODUCT(('حجز الإجازات'!$G$5:$G$104&lt;&gt;"مرفوض")*('حجز الإجازات'!$D$5:$D$104&lt;=$D36)*($D36&lt;=('حجز الإجازات'!$E$5:$E$104)))&amp;" / الحد "&amp;MaxLeave,"✓ مجازين "&amp;SUMPRODUCT(('حجز الإجازات'!$G$5:$G$104&lt;&gt;"مرفوض")*('حجز الإجازات'!$D$5:$D$104&lt;=$D36)*($D36&lt;=('حجز الإجازات'!$E$5:$E$104)))&amp;" / الحد "&amp;MaxLeave))</f>
        <v/>
      </c>
      <c r="J36" s="37" t="n"/>
    </row>
    <row r="37">
      <c r="A37" s="16" t="n">
        <v>33</v>
      </c>
      <c r="B37" s="37" t="n"/>
      <c r="C37" s="46" t="n"/>
      <c r="D37" s="54" t="n"/>
      <c r="E37" s="54" t="n"/>
      <c r="F37" s="16">
        <f>IF(OR($D37="",$E37=""),"",$E37-$D37+1-SUMPRODUCT((Holidays&gt;=$D37)*(Holidays&lt;=$E37)))</f>
        <v/>
      </c>
      <c r="G37" s="46" t="n"/>
      <c r="H37" s="16">
        <f>IF(OR($B37="",$D37="",$E37=""),"",IF(SUMPRODUCT(('حجز الإجازات'!$B$5:$B$104=$B37)*('حجز الإجازات'!$G$5:$G$104&lt;&gt;"مرفوض")*('حجز الإجازات'!$D$5:$D$104&lt;=$E37)*($D37&lt;=('حجز الإجازات'!$E$5:$E$104)))-(($B37&lt;&gt;"")*($G37&lt;&gt;"مرفوض"))&gt;0,"⚠ تعارض","✓ سليم"))</f>
        <v/>
      </c>
      <c r="I37" s="16">
        <f>IF($D37="","",IF(SUMPRODUCT(('حجز الإجازات'!$G$5:$G$104&lt;&gt;"مرفوض")*('حجز الإجازات'!$D$5:$D$104&lt;=$D37)*($D37&lt;=('حجز الإجازات'!$E$5:$E$104)))&gt;MaxLeave,"⚠ مجازين "&amp;SUMPRODUCT(('حجز الإجازات'!$G$5:$G$104&lt;&gt;"مرفوض")*('حجز الإجازات'!$D$5:$D$104&lt;=$D37)*($D37&lt;=('حجز الإجازات'!$E$5:$E$104)))&amp;" / الحد "&amp;MaxLeave,"✓ مجازين "&amp;SUMPRODUCT(('حجز الإجازات'!$G$5:$G$104&lt;&gt;"مرفوض")*('حجز الإجازات'!$D$5:$D$104&lt;=$D37)*($D37&lt;=('حجز الإجازات'!$E$5:$E$104)))&amp;" / الحد "&amp;MaxLeave))</f>
        <v/>
      </c>
      <c r="J37" s="37" t="n"/>
    </row>
    <row r="38">
      <c r="A38" s="16" t="n">
        <v>34</v>
      </c>
      <c r="B38" s="37" t="n"/>
      <c r="C38" s="46" t="n"/>
      <c r="D38" s="54" t="n"/>
      <c r="E38" s="54" t="n"/>
      <c r="F38" s="16">
        <f>IF(OR($D38="",$E38=""),"",$E38-$D38+1-SUMPRODUCT((Holidays&gt;=$D38)*(Holidays&lt;=$E38)))</f>
        <v/>
      </c>
      <c r="G38" s="46" t="n"/>
      <c r="H38" s="16">
        <f>IF(OR($B38="",$D38="",$E38=""),"",IF(SUMPRODUCT(('حجز الإجازات'!$B$5:$B$104=$B38)*('حجز الإجازات'!$G$5:$G$104&lt;&gt;"مرفوض")*('حجز الإجازات'!$D$5:$D$104&lt;=$E38)*($D38&lt;=('حجز الإجازات'!$E$5:$E$104)))-(($B38&lt;&gt;"")*($G38&lt;&gt;"مرفوض"))&gt;0,"⚠ تعارض","✓ سليم"))</f>
        <v/>
      </c>
      <c r="I38" s="16">
        <f>IF($D38="","",IF(SUMPRODUCT(('حجز الإجازات'!$G$5:$G$104&lt;&gt;"مرفوض")*('حجز الإجازات'!$D$5:$D$104&lt;=$D38)*($D38&lt;=('حجز الإجازات'!$E$5:$E$104)))&gt;MaxLeave,"⚠ مجازين "&amp;SUMPRODUCT(('حجز الإجازات'!$G$5:$G$104&lt;&gt;"مرفوض")*('حجز الإجازات'!$D$5:$D$104&lt;=$D38)*($D38&lt;=('حجز الإجازات'!$E$5:$E$104)))&amp;" / الحد "&amp;MaxLeave,"✓ مجازين "&amp;SUMPRODUCT(('حجز الإجازات'!$G$5:$G$104&lt;&gt;"مرفوض")*('حجز الإجازات'!$D$5:$D$104&lt;=$D38)*($D38&lt;=('حجز الإجازات'!$E$5:$E$104)))&amp;" / الحد "&amp;MaxLeave))</f>
        <v/>
      </c>
      <c r="J38" s="37" t="n"/>
    </row>
    <row r="39">
      <c r="A39" s="16" t="n">
        <v>35</v>
      </c>
      <c r="B39" s="37" t="n"/>
      <c r="C39" s="46" t="n"/>
      <c r="D39" s="54" t="n"/>
      <c r="E39" s="54" t="n"/>
      <c r="F39" s="16">
        <f>IF(OR($D39="",$E39=""),"",$E39-$D39+1-SUMPRODUCT((Holidays&gt;=$D39)*(Holidays&lt;=$E39)))</f>
        <v/>
      </c>
      <c r="G39" s="46" t="n"/>
      <c r="H39" s="16">
        <f>IF(OR($B39="",$D39="",$E39=""),"",IF(SUMPRODUCT(('حجز الإجازات'!$B$5:$B$104=$B39)*('حجز الإجازات'!$G$5:$G$104&lt;&gt;"مرفوض")*('حجز الإجازات'!$D$5:$D$104&lt;=$E39)*($D39&lt;=('حجز الإجازات'!$E$5:$E$104)))-(($B39&lt;&gt;"")*($G39&lt;&gt;"مرفوض"))&gt;0,"⚠ تعارض","✓ سليم"))</f>
        <v/>
      </c>
      <c r="I39" s="16">
        <f>IF($D39="","",IF(SUMPRODUCT(('حجز الإجازات'!$G$5:$G$104&lt;&gt;"مرفوض")*('حجز الإجازات'!$D$5:$D$104&lt;=$D39)*($D39&lt;=('حجز الإجازات'!$E$5:$E$104)))&gt;MaxLeave,"⚠ مجازين "&amp;SUMPRODUCT(('حجز الإجازات'!$G$5:$G$104&lt;&gt;"مرفوض")*('حجز الإجازات'!$D$5:$D$104&lt;=$D39)*($D39&lt;=('حجز الإجازات'!$E$5:$E$104)))&amp;" / الحد "&amp;MaxLeave,"✓ مجازين "&amp;SUMPRODUCT(('حجز الإجازات'!$G$5:$G$104&lt;&gt;"مرفوض")*('حجز الإجازات'!$D$5:$D$104&lt;=$D39)*($D39&lt;=('حجز الإجازات'!$E$5:$E$104)))&amp;" / الحد "&amp;MaxLeave))</f>
        <v/>
      </c>
      <c r="J39" s="37" t="n"/>
    </row>
    <row r="40">
      <c r="A40" s="16" t="n">
        <v>36</v>
      </c>
      <c r="B40" s="37" t="n"/>
      <c r="C40" s="46" t="n"/>
      <c r="D40" s="54" t="n"/>
      <c r="E40" s="54" t="n"/>
      <c r="F40" s="16">
        <f>IF(OR($D40="",$E40=""),"",$E40-$D40+1-SUMPRODUCT((Holidays&gt;=$D40)*(Holidays&lt;=$E40)))</f>
        <v/>
      </c>
      <c r="G40" s="46" t="n"/>
      <c r="H40" s="16">
        <f>IF(OR($B40="",$D40="",$E40=""),"",IF(SUMPRODUCT(('حجز الإجازات'!$B$5:$B$104=$B40)*('حجز الإجازات'!$G$5:$G$104&lt;&gt;"مرفوض")*('حجز الإجازات'!$D$5:$D$104&lt;=$E40)*($D40&lt;=('حجز الإجازات'!$E$5:$E$104)))-(($B40&lt;&gt;"")*($G40&lt;&gt;"مرفوض"))&gt;0,"⚠ تعارض","✓ سليم"))</f>
        <v/>
      </c>
      <c r="I40" s="16">
        <f>IF($D40="","",IF(SUMPRODUCT(('حجز الإجازات'!$G$5:$G$104&lt;&gt;"مرفوض")*('حجز الإجازات'!$D$5:$D$104&lt;=$D40)*($D40&lt;=('حجز الإجازات'!$E$5:$E$104)))&gt;MaxLeave,"⚠ مجازين "&amp;SUMPRODUCT(('حجز الإجازات'!$G$5:$G$104&lt;&gt;"مرفوض")*('حجز الإجازات'!$D$5:$D$104&lt;=$D40)*($D40&lt;=('حجز الإجازات'!$E$5:$E$104)))&amp;" / الحد "&amp;MaxLeave,"✓ مجازين "&amp;SUMPRODUCT(('حجز الإجازات'!$G$5:$G$104&lt;&gt;"مرفوض")*('حجز الإجازات'!$D$5:$D$104&lt;=$D40)*($D40&lt;=('حجز الإجازات'!$E$5:$E$104)))&amp;" / الحد "&amp;MaxLeave))</f>
        <v/>
      </c>
      <c r="J40" s="37" t="n"/>
    </row>
    <row r="41">
      <c r="A41" s="16" t="n">
        <v>37</v>
      </c>
      <c r="B41" s="37" t="n"/>
      <c r="C41" s="46" t="n"/>
      <c r="D41" s="54" t="n"/>
      <c r="E41" s="54" t="n"/>
      <c r="F41" s="16">
        <f>IF(OR($D41="",$E41=""),"",$E41-$D41+1-SUMPRODUCT((Holidays&gt;=$D41)*(Holidays&lt;=$E41)))</f>
        <v/>
      </c>
      <c r="G41" s="46" t="n"/>
      <c r="H41" s="16">
        <f>IF(OR($B41="",$D41="",$E41=""),"",IF(SUMPRODUCT(('حجز الإجازات'!$B$5:$B$104=$B41)*('حجز الإجازات'!$G$5:$G$104&lt;&gt;"مرفوض")*('حجز الإجازات'!$D$5:$D$104&lt;=$E41)*($D41&lt;=('حجز الإجازات'!$E$5:$E$104)))-(($B41&lt;&gt;"")*($G41&lt;&gt;"مرفوض"))&gt;0,"⚠ تعارض","✓ سليم"))</f>
        <v/>
      </c>
      <c r="I41" s="16">
        <f>IF($D41="","",IF(SUMPRODUCT(('حجز الإجازات'!$G$5:$G$104&lt;&gt;"مرفوض")*('حجز الإجازات'!$D$5:$D$104&lt;=$D41)*($D41&lt;=('حجز الإجازات'!$E$5:$E$104)))&gt;MaxLeave,"⚠ مجازين "&amp;SUMPRODUCT(('حجز الإجازات'!$G$5:$G$104&lt;&gt;"مرفوض")*('حجز الإجازات'!$D$5:$D$104&lt;=$D41)*($D41&lt;=('حجز الإجازات'!$E$5:$E$104)))&amp;" / الحد "&amp;MaxLeave,"✓ مجازين "&amp;SUMPRODUCT(('حجز الإجازات'!$G$5:$G$104&lt;&gt;"مرفوض")*('حجز الإجازات'!$D$5:$D$104&lt;=$D41)*($D41&lt;=('حجز الإجازات'!$E$5:$E$104)))&amp;" / الحد "&amp;MaxLeave))</f>
        <v/>
      </c>
      <c r="J41" s="37" t="n"/>
    </row>
    <row r="42">
      <c r="A42" s="16" t="n">
        <v>38</v>
      </c>
      <c r="B42" s="37" t="n"/>
      <c r="C42" s="46" t="n"/>
      <c r="D42" s="54" t="n"/>
      <c r="E42" s="54" t="n"/>
      <c r="F42" s="16">
        <f>IF(OR($D42="",$E42=""),"",$E42-$D42+1-SUMPRODUCT((Holidays&gt;=$D42)*(Holidays&lt;=$E42)))</f>
        <v/>
      </c>
      <c r="G42" s="46" t="n"/>
      <c r="H42" s="16">
        <f>IF(OR($B42="",$D42="",$E42=""),"",IF(SUMPRODUCT(('حجز الإجازات'!$B$5:$B$104=$B42)*('حجز الإجازات'!$G$5:$G$104&lt;&gt;"مرفوض")*('حجز الإجازات'!$D$5:$D$104&lt;=$E42)*($D42&lt;=('حجز الإجازات'!$E$5:$E$104)))-(($B42&lt;&gt;"")*($G42&lt;&gt;"مرفوض"))&gt;0,"⚠ تعارض","✓ سليم"))</f>
        <v/>
      </c>
      <c r="I42" s="16">
        <f>IF($D42="","",IF(SUMPRODUCT(('حجز الإجازات'!$G$5:$G$104&lt;&gt;"مرفوض")*('حجز الإجازات'!$D$5:$D$104&lt;=$D42)*($D42&lt;=('حجز الإجازات'!$E$5:$E$104)))&gt;MaxLeave,"⚠ مجازين "&amp;SUMPRODUCT(('حجز الإجازات'!$G$5:$G$104&lt;&gt;"مرفوض")*('حجز الإجازات'!$D$5:$D$104&lt;=$D42)*($D42&lt;=('حجز الإجازات'!$E$5:$E$104)))&amp;" / الحد "&amp;MaxLeave,"✓ مجازين "&amp;SUMPRODUCT(('حجز الإجازات'!$G$5:$G$104&lt;&gt;"مرفوض")*('حجز الإجازات'!$D$5:$D$104&lt;=$D42)*($D42&lt;=('حجز الإجازات'!$E$5:$E$104)))&amp;" / الحد "&amp;MaxLeave))</f>
        <v/>
      </c>
      <c r="J42" s="37" t="n"/>
    </row>
    <row r="43">
      <c r="A43" s="16" t="n">
        <v>39</v>
      </c>
      <c r="B43" s="37" t="n"/>
      <c r="C43" s="46" t="n"/>
      <c r="D43" s="54" t="n"/>
      <c r="E43" s="54" t="n"/>
      <c r="F43" s="16">
        <f>IF(OR($D43="",$E43=""),"",$E43-$D43+1-SUMPRODUCT((Holidays&gt;=$D43)*(Holidays&lt;=$E43)))</f>
        <v/>
      </c>
      <c r="G43" s="46" t="n"/>
      <c r="H43" s="16">
        <f>IF(OR($B43="",$D43="",$E43=""),"",IF(SUMPRODUCT(('حجز الإجازات'!$B$5:$B$104=$B43)*('حجز الإجازات'!$G$5:$G$104&lt;&gt;"مرفوض")*('حجز الإجازات'!$D$5:$D$104&lt;=$E43)*($D43&lt;=('حجز الإجازات'!$E$5:$E$104)))-(($B43&lt;&gt;"")*($G43&lt;&gt;"مرفوض"))&gt;0,"⚠ تعارض","✓ سليم"))</f>
        <v/>
      </c>
      <c r="I43" s="16">
        <f>IF($D43="","",IF(SUMPRODUCT(('حجز الإجازات'!$G$5:$G$104&lt;&gt;"مرفوض")*('حجز الإجازات'!$D$5:$D$104&lt;=$D43)*($D43&lt;=('حجز الإجازات'!$E$5:$E$104)))&gt;MaxLeave,"⚠ مجازين "&amp;SUMPRODUCT(('حجز الإجازات'!$G$5:$G$104&lt;&gt;"مرفوض")*('حجز الإجازات'!$D$5:$D$104&lt;=$D43)*($D43&lt;=('حجز الإجازات'!$E$5:$E$104)))&amp;" / الحد "&amp;MaxLeave,"✓ مجازين "&amp;SUMPRODUCT(('حجز الإجازات'!$G$5:$G$104&lt;&gt;"مرفوض")*('حجز الإجازات'!$D$5:$D$104&lt;=$D43)*($D43&lt;=('حجز الإجازات'!$E$5:$E$104)))&amp;" / الحد "&amp;MaxLeave))</f>
        <v/>
      </c>
      <c r="J43" s="37" t="n"/>
    </row>
    <row r="44">
      <c r="A44" s="16" t="n">
        <v>40</v>
      </c>
      <c r="B44" s="37" t="n"/>
      <c r="C44" s="46" t="n"/>
      <c r="D44" s="54" t="n"/>
      <c r="E44" s="54" t="n"/>
      <c r="F44" s="16">
        <f>IF(OR($D44="",$E44=""),"",$E44-$D44+1-SUMPRODUCT((Holidays&gt;=$D44)*(Holidays&lt;=$E44)))</f>
        <v/>
      </c>
      <c r="G44" s="46" t="n"/>
      <c r="H44" s="16">
        <f>IF(OR($B44="",$D44="",$E44=""),"",IF(SUMPRODUCT(('حجز الإجازات'!$B$5:$B$104=$B44)*('حجز الإجازات'!$G$5:$G$104&lt;&gt;"مرفوض")*('حجز الإجازات'!$D$5:$D$104&lt;=$E44)*($D44&lt;=('حجز الإجازات'!$E$5:$E$104)))-(($B44&lt;&gt;"")*($G44&lt;&gt;"مرفوض"))&gt;0,"⚠ تعارض","✓ سليم"))</f>
        <v/>
      </c>
      <c r="I44" s="16">
        <f>IF($D44="","",IF(SUMPRODUCT(('حجز الإجازات'!$G$5:$G$104&lt;&gt;"مرفوض")*('حجز الإجازات'!$D$5:$D$104&lt;=$D44)*($D44&lt;=('حجز الإجازات'!$E$5:$E$104)))&gt;MaxLeave,"⚠ مجازين "&amp;SUMPRODUCT(('حجز الإجازات'!$G$5:$G$104&lt;&gt;"مرفوض")*('حجز الإجازات'!$D$5:$D$104&lt;=$D44)*($D44&lt;=('حجز الإجازات'!$E$5:$E$104)))&amp;" / الحد "&amp;MaxLeave,"✓ مجازين "&amp;SUMPRODUCT(('حجز الإجازات'!$G$5:$G$104&lt;&gt;"مرفوض")*('حجز الإجازات'!$D$5:$D$104&lt;=$D44)*($D44&lt;=('حجز الإجازات'!$E$5:$E$104)))&amp;" / الحد "&amp;MaxLeave))</f>
        <v/>
      </c>
      <c r="J44" s="37" t="n"/>
    </row>
    <row r="45">
      <c r="A45" s="16" t="n">
        <v>41</v>
      </c>
      <c r="B45" s="37" t="n"/>
      <c r="C45" s="46" t="n"/>
      <c r="D45" s="54" t="n"/>
      <c r="E45" s="54" t="n"/>
      <c r="F45" s="16">
        <f>IF(OR($D45="",$E45=""),"",$E45-$D45+1-SUMPRODUCT((Holidays&gt;=$D45)*(Holidays&lt;=$E45)))</f>
        <v/>
      </c>
      <c r="G45" s="46" t="n"/>
      <c r="H45" s="16">
        <f>IF(OR($B45="",$D45="",$E45=""),"",IF(SUMPRODUCT(('حجز الإجازات'!$B$5:$B$104=$B45)*('حجز الإجازات'!$G$5:$G$104&lt;&gt;"مرفوض")*('حجز الإجازات'!$D$5:$D$104&lt;=$E45)*($D45&lt;=('حجز الإجازات'!$E$5:$E$104)))-(($B45&lt;&gt;"")*($G45&lt;&gt;"مرفوض"))&gt;0,"⚠ تعارض","✓ سليم"))</f>
        <v/>
      </c>
      <c r="I45" s="16">
        <f>IF($D45="","",IF(SUMPRODUCT(('حجز الإجازات'!$G$5:$G$104&lt;&gt;"مرفوض")*('حجز الإجازات'!$D$5:$D$104&lt;=$D45)*($D45&lt;=('حجز الإجازات'!$E$5:$E$104)))&gt;MaxLeave,"⚠ مجازين "&amp;SUMPRODUCT(('حجز الإجازات'!$G$5:$G$104&lt;&gt;"مرفوض")*('حجز الإجازات'!$D$5:$D$104&lt;=$D45)*($D45&lt;=('حجز الإجازات'!$E$5:$E$104)))&amp;" / الحد "&amp;MaxLeave,"✓ مجازين "&amp;SUMPRODUCT(('حجز الإجازات'!$G$5:$G$104&lt;&gt;"مرفوض")*('حجز الإجازات'!$D$5:$D$104&lt;=$D45)*($D45&lt;=('حجز الإجازات'!$E$5:$E$104)))&amp;" / الحد "&amp;MaxLeave))</f>
        <v/>
      </c>
      <c r="J45" s="37" t="n"/>
    </row>
    <row r="46">
      <c r="A46" s="16" t="n">
        <v>42</v>
      </c>
      <c r="B46" s="37" t="n"/>
      <c r="C46" s="46" t="n"/>
      <c r="D46" s="54" t="n"/>
      <c r="E46" s="54" t="n"/>
      <c r="F46" s="16">
        <f>IF(OR($D46="",$E46=""),"",$E46-$D46+1-SUMPRODUCT((Holidays&gt;=$D46)*(Holidays&lt;=$E46)))</f>
        <v/>
      </c>
      <c r="G46" s="46" t="n"/>
      <c r="H46" s="16">
        <f>IF(OR($B46="",$D46="",$E46=""),"",IF(SUMPRODUCT(('حجز الإجازات'!$B$5:$B$104=$B46)*('حجز الإجازات'!$G$5:$G$104&lt;&gt;"مرفوض")*('حجز الإجازات'!$D$5:$D$104&lt;=$E46)*($D46&lt;=('حجز الإجازات'!$E$5:$E$104)))-(($B46&lt;&gt;"")*($G46&lt;&gt;"مرفوض"))&gt;0,"⚠ تعارض","✓ سليم"))</f>
        <v/>
      </c>
      <c r="I46" s="16">
        <f>IF($D46="","",IF(SUMPRODUCT(('حجز الإجازات'!$G$5:$G$104&lt;&gt;"مرفوض")*('حجز الإجازات'!$D$5:$D$104&lt;=$D46)*($D46&lt;=('حجز الإجازات'!$E$5:$E$104)))&gt;MaxLeave,"⚠ مجازين "&amp;SUMPRODUCT(('حجز الإجازات'!$G$5:$G$104&lt;&gt;"مرفوض")*('حجز الإجازات'!$D$5:$D$104&lt;=$D46)*($D46&lt;=('حجز الإجازات'!$E$5:$E$104)))&amp;" / الحد "&amp;MaxLeave,"✓ مجازين "&amp;SUMPRODUCT(('حجز الإجازات'!$G$5:$G$104&lt;&gt;"مرفوض")*('حجز الإجازات'!$D$5:$D$104&lt;=$D46)*($D46&lt;=('حجز الإجازات'!$E$5:$E$104)))&amp;" / الحد "&amp;MaxLeave))</f>
        <v/>
      </c>
      <c r="J46" s="37" t="n"/>
    </row>
    <row r="47">
      <c r="A47" s="16" t="n">
        <v>43</v>
      </c>
      <c r="B47" s="37" t="n"/>
      <c r="C47" s="46" t="n"/>
      <c r="D47" s="54" t="n"/>
      <c r="E47" s="54" t="n"/>
      <c r="F47" s="16">
        <f>IF(OR($D47="",$E47=""),"",$E47-$D47+1-SUMPRODUCT((Holidays&gt;=$D47)*(Holidays&lt;=$E47)))</f>
        <v/>
      </c>
      <c r="G47" s="46" t="n"/>
      <c r="H47" s="16">
        <f>IF(OR($B47="",$D47="",$E47=""),"",IF(SUMPRODUCT(('حجز الإجازات'!$B$5:$B$104=$B47)*('حجز الإجازات'!$G$5:$G$104&lt;&gt;"مرفوض")*('حجز الإجازات'!$D$5:$D$104&lt;=$E47)*($D47&lt;=('حجز الإجازات'!$E$5:$E$104)))-(($B47&lt;&gt;"")*($G47&lt;&gt;"مرفوض"))&gt;0,"⚠ تعارض","✓ سليم"))</f>
        <v/>
      </c>
      <c r="I47" s="16">
        <f>IF($D47="","",IF(SUMPRODUCT(('حجز الإجازات'!$G$5:$G$104&lt;&gt;"مرفوض")*('حجز الإجازات'!$D$5:$D$104&lt;=$D47)*($D47&lt;=('حجز الإجازات'!$E$5:$E$104)))&gt;MaxLeave,"⚠ مجازين "&amp;SUMPRODUCT(('حجز الإجازات'!$G$5:$G$104&lt;&gt;"مرفوض")*('حجز الإجازات'!$D$5:$D$104&lt;=$D47)*($D47&lt;=('حجز الإجازات'!$E$5:$E$104)))&amp;" / الحد "&amp;MaxLeave,"✓ مجازين "&amp;SUMPRODUCT(('حجز الإجازات'!$G$5:$G$104&lt;&gt;"مرفوض")*('حجز الإجازات'!$D$5:$D$104&lt;=$D47)*($D47&lt;=('حجز الإجازات'!$E$5:$E$104)))&amp;" / الحد "&amp;MaxLeave))</f>
        <v/>
      </c>
      <c r="J47" s="37" t="n"/>
    </row>
    <row r="48">
      <c r="A48" s="16" t="n">
        <v>44</v>
      </c>
      <c r="B48" s="37" t="n"/>
      <c r="C48" s="46" t="n"/>
      <c r="D48" s="54" t="n"/>
      <c r="E48" s="54" t="n"/>
      <c r="F48" s="16">
        <f>IF(OR($D48="",$E48=""),"",$E48-$D48+1-SUMPRODUCT((Holidays&gt;=$D48)*(Holidays&lt;=$E48)))</f>
        <v/>
      </c>
      <c r="G48" s="46" t="n"/>
      <c r="H48" s="16">
        <f>IF(OR($B48="",$D48="",$E48=""),"",IF(SUMPRODUCT(('حجز الإجازات'!$B$5:$B$104=$B48)*('حجز الإجازات'!$G$5:$G$104&lt;&gt;"مرفوض")*('حجز الإجازات'!$D$5:$D$104&lt;=$E48)*($D48&lt;=('حجز الإجازات'!$E$5:$E$104)))-(($B48&lt;&gt;"")*($G48&lt;&gt;"مرفوض"))&gt;0,"⚠ تعارض","✓ سليم"))</f>
        <v/>
      </c>
      <c r="I48" s="16">
        <f>IF($D48="","",IF(SUMPRODUCT(('حجز الإجازات'!$G$5:$G$104&lt;&gt;"مرفوض")*('حجز الإجازات'!$D$5:$D$104&lt;=$D48)*($D48&lt;=('حجز الإجازات'!$E$5:$E$104)))&gt;MaxLeave,"⚠ مجازين "&amp;SUMPRODUCT(('حجز الإجازات'!$G$5:$G$104&lt;&gt;"مرفوض")*('حجز الإجازات'!$D$5:$D$104&lt;=$D48)*($D48&lt;=('حجز الإجازات'!$E$5:$E$104)))&amp;" / الحد "&amp;MaxLeave,"✓ مجازين "&amp;SUMPRODUCT(('حجز الإجازات'!$G$5:$G$104&lt;&gt;"مرفوض")*('حجز الإجازات'!$D$5:$D$104&lt;=$D48)*($D48&lt;=('حجز الإجازات'!$E$5:$E$104)))&amp;" / الحد "&amp;MaxLeave))</f>
        <v/>
      </c>
      <c r="J48" s="37" t="n"/>
    </row>
    <row r="49">
      <c r="A49" s="16" t="n">
        <v>45</v>
      </c>
      <c r="B49" s="37" t="n"/>
      <c r="C49" s="46" t="n"/>
      <c r="D49" s="54" t="n"/>
      <c r="E49" s="54" t="n"/>
      <c r="F49" s="16">
        <f>IF(OR($D49="",$E49=""),"",$E49-$D49+1-SUMPRODUCT((Holidays&gt;=$D49)*(Holidays&lt;=$E49)))</f>
        <v/>
      </c>
      <c r="G49" s="46" t="n"/>
      <c r="H49" s="16">
        <f>IF(OR($B49="",$D49="",$E49=""),"",IF(SUMPRODUCT(('حجز الإجازات'!$B$5:$B$104=$B49)*('حجز الإجازات'!$G$5:$G$104&lt;&gt;"مرفوض")*('حجز الإجازات'!$D$5:$D$104&lt;=$E49)*($D49&lt;=('حجز الإجازات'!$E$5:$E$104)))-(($B49&lt;&gt;"")*($G49&lt;&gt;"مرفوض"))&gt;0,"⚠ تعارض","✓ سليم"))</f>
        <v/>
      </c>
      <c r="I49" s="16">
        <f>IF($D49="","",IF(SUMPRODUCT(('حجز الإجازات'!$G$5:$G$104&lt;&gt;"مرفوض")*('حجز الإجازات'!$D$5:$D$104&lt;=$D49)*($D49&lt;=('حجز الإجازات'!$E$5:$E$104)))&gt;MaxLeave,"⚠ مجازين "&amp;SUMPRODUCT(('حجز الإجازات'!$G$5:$G$104&lt;&gt;"مرفوض")*('حجز الإجازات'!$D$5:$D$104&lt;=$D49)*($D49&lt;=('حجز الإجازات'!$E$5:$E$104)))&amp;" / الحد "&amp;MaxLeave,"✓ مجازين "&amp;SUMPRODUCT(('حجز الإجازات'!$G$5:$G$104&lt;&gt;"مرفوض")*('حجز الإجازات'!$D$5:$D$104&lt;=$D49)*($D49&lt;=('حجز الإجازات'!$E$5:$E$104)))&amp;" / الحد "&amp;MaxLeave))</f>
        <v/>
      </c>
      <c r="J49" s="37" t="n"/>
    </row>
    <row r="50">
      <c r="A50" s="16" t="n">
        <v>46</v>
      </c>
      <c r="B50" s="37" t="n"/>
      <c r="C50" s="46" t="n"/>
      <c r="D50" s="54" t="n"/>
      <c r="E50" s="54" t="n"/>
      <c r="F50" s="16">
        <f>IF(OR($D50="",$E50=""),"",$E50-$D50+1-SUMPRODUCT((Holidays&gt;=$D50)*(Holidays&lt;=$E50)))</f>
        <v/>
      </c>
      <c r="G50" s="46" t="n"/>
      <c r="H50" s="16">
        <f>IF(OR($B50="",$D50="",$E50=""),"",IF(SUMPRODUCT(('حجز الإجازات'!$B$5:$B$104=$B50)*('حجز الإجازات'!$G$5:$G$104&lt;&gt;"مرفوض")*('حجز الإجازات'!$D$5:$D$104&lt;=$E50)*($D50&lt;=('حجز الإجازات'!$E$5:$E$104)))-(($B50&lt;&gt;"")*($G50&lt;&gt;"مرفوض"))&gt;0,"⚠ تعارض","✓ سليم"))</f>
        <v/>
      </c>
      <c r="I50" s="16">
        <f>IF($D50="","",IF(SUMPRODUCT(('حجز الإجازات'!$G$5:$G$104&lt;&gt;"مرفوض")*('حجز الإجازات'!$D$5:$D$104&lt;=$D50)*($D50&lt;=('حجز الإجازات'!$E$5:$E$104)))&gt;MaxLeave,"⚠ مجازين "&amp;SUMPRODUCT(('حجز الإجازات'!$G$5:$G$104&lt;&gt;"مرفوض")*('حجز الإجازات'!$D$5:$D$104&lt;=$D50)*($D50&lt;=('حجز الإجازات'!$E$5:$E$104)))&amp;" / الحد "&amp;MaxLeave,"✓ مجازين "&amp;SUMPRODUCT(('حجز الإجازات'!$G$5:$G$104&lt;&gt;"مرفوض")*('حجز الإجازات'!$D$5:$D$104&lt;=$D50)*($D50&lt;=('حجز الإجازات'!$E$5:$E$104)))&amp;" / الحد "&amp;MaxLeave))</f>
        <v/>
      </c>
      <c r="J50" s="37" t="n"/>
    </row>
    <row r="51">
      <c r="A51" s="16" t="n">
        <v>47</v>
      </c>
      <c r="B51" s="37" t="n"/>
      <c r="C51" s="46" t="n"/>
      <c r="D51" s="54" t="n"/>
      <c r="E51" s="54" t="n"/>
      <c r="F51" s="16">
        <f>IF(OR($D51="",$E51=""),"",$E51-$D51+1-SUMPRODUCT((Holidays&gt;=$D51)*(Holidays&lt;=$E51)))</f>
        <v/>
      </c>
      <c r="G51" s="46" t="n"/>
      <c r="H51" s="16">
        <f>IF(OR($B51="",$D51="",$E51=""),"",IF(SUMPRODUCT(('حجز الإجازات'!$B$5:$B$104=$B51)*('حجز الإجازات'!$G$5:$G$104&lt;&gt;"مرفوض")*('حجز الإجازات'!$D$5:$D$104&lt;=$E51)*($D51&lt;=('حجز الإجازات'!$E$5:$E$104)))-(($B51&lt;&gt;"")*($G51&lt;&gt;"مرفوض"))&gt;0,"⚠ تعارض","✓ سليم"))</f>
        <v/>
      </c>
      <c r="I51" s="16">
        <f>IF($D51="","",IF(SUMPRODUCT(('حجز الإجازات'!$G$5:$G$104&lt;&gt;"مرفوض")*('حجز الإجازات'!$D$5:$D$104&lt;=$D51)*($D51&lt;=('حجز الإجازات'!$E$5:$E$104)))&gt;MaxLeave,"⚠ مجازين "&amp;SUMPRODUCT(('حجز الإجازات'!$G$5:$G$104&lt;&gt;"مرفوض")*('حجز الإجازات'!$D$5:$D$104&lt;=$D51)*($D51&lt;=('حجز الإجازات'!$E$5:$E$104)))&amp;" / الحد "&amp;MaxLeave,"✓ مجازين "&amp;SUMPRODUCT(('حجز الإجازات'!$G$5:$G$104&lt;&gt;"مرفوض")*('حجز الإجازات'!$D$5:$D$104&lt;=$D51)*($D51&lt;=('حجز الإجازات'!$E$5:$E$104)))&amp;" / الحد "&amp;MaxLeave))</f>
        <v/>
      </c>
      <c r="J51" s="37" t="n"/>
    </row>
    <row r="52">
      <c r="A52" s="16" t="n">
        <v>48</v>
      </c>
      <c r="B52" s="37" t="n"/>
      <c r="C52" s="46" t="n"/>
      <c r="D52" s="54" t="n"/>
      <c r="E52" s="54" t="n"/>
      <c r="F52" s="16">
        <f>IF(OR($D52="",$E52=""),"",$E52-$D52+1-SUMPRODUCT((Holidays&gt;=$D52)*(Holidays&lt;=$E52)))</f>
        <v/>
      </c>
      <c r="G52" s="46" t="n"/>
      <c r="H52" s="16">
        <f>IF(OR($B52="",$D52="",$E52=""),"",IF(SUMPRODUCT(('حجز الإجازات'!$B$5:$B$104=$B52)*('حجز الإجازات'!$G$5:$G$104&lt;&gt;"مرفوض")*('حجز الإجازات'!$D$5:$D$104&lt;=$E52)*($D52&lt;=('حجز الإجازات'!$E$5:$E$104)))-(($B52&lt;&gt;"")*($G52&lt;&gt;"مرفوض"))&gt;0,"⚠ تعارض","✓ سليم"))</f>
        <v/>
      </c>
      <c r="I52" s="16">
        <f>IF($D52="","",IF(SUMPRODUCT(('حجز الإجازات'!$G$5:$G$104&lt;&gt;"مرفوض")*('حجز الإجازات'!$D$5:$D$104&lt;=$D52)*($D52&lt;=('حجز الإجازات'!$E$5:$E$104)))&gt;MaxLeave,"⚠ مجازين "&amp;SUMPRODUCT(('حجز الإجازات'!$G$5:$G$104&lt;&gt;"مرفوض")*('حجز الإجازات'!$D$5:$D$104&lt;=$D52)*($D52&lt;=('حجز الإجازات'!$E$5:$E$104)))&amp;" / الحد "&amp;MaxLeave,"✓ مجازين "&amp;SUMPRODUCT(('حجز الإجازات'!$G$5:$G$104&lt;&gt;"مرفوض")*('حجز الإجازات'!$D$5:$D$104&lt;=$D52)*($D52&lt;=('حجز الإجازات'!$E$5:$E$104)))&amp;" / الحد "&amp;MaxLeave))</f>
        <v/>
      </c>
      <c r="J52" s="37" t="n"/>
    </row>
    <row r="53">
      <c r="A53" s="16" t="n">
        <v>49</v>
      </c>
      <c r="B53" s="37" t="n"/>
      <c r="C53" s="46" t="n"/>
      <c r="D53" s="54" t="n"/>
      <c r="E53" s="54" t="n"/>
      <c r="F53" s="16">
        <f>IF(OR($D53="",$E53=""),"",$E53-$D53+1-SUMPRODUCT((Holidays&gt;=$D53)*(Holidays&lt;=$E53)))</f>
        <v/>
      </c>
      <c r="G53" s="46" t="n"/>
      <c r="H53" s="16">
        <f>IF(OR($B53="",$D53="",$E53=""),"",IF(SUMPRODUCT(('حجز الإجازات'!$B$5:$B$104=$B53)*('حجز الإجازات'!$G$5:$G$104&lt;&gt;"مرفوض")*('حجز الإجازات'!$D$5:$D$104&lt;=$E53)*($D53&lt;=('حجز الإجازات'!$E$5:$E$104)))-(($B53&lt;&gt;"")*($G53&lt;&gt;"مرفوض"))&gt;0,"⚠ تعارض","✓ سليم"))</f>
        <v/>
      </c>
      <c r="I53" s="16">
        <f>IF($D53="","",IF(SUMPRODUCT(('حجز الإجازات'!$G$5:$G$104&lt;&gt;"مرفوض")*('حجز الإجازات'!$D$5:$D$104&lt;=$D53)*($D53&lt;=('حجز الإجازات'!$E$5:$E$104)))&gt;MaxLeave,"⚠ مجازين "&amp;SUMPRODUCT(('حجز الإجازات'!$G$5:$G$104&lt;&gt;"مرفوض")*('حجز الإجازات'!$D$5:$D$104&lt;=$D53)*($D53&lt;=('حجز الإجازات'!$E$5:$E$104)))&amp;" / الحد "&amp;MaxLeave,"✓ مجازين "&amp;SUMPRODUCT(('حجز الإجازات'!$G$5:$G$104&lt;&gt;"مرفوض")*('حجز الإجازات'!$D$5:$D$104&lt;=$D53)*($D53&lt;=('حجز الإجازات'!$E$5:$E$104)))&amp;" / الحد "&amp;MaxLeave))</f>
        <v/>
      </c>
      <c r="J53" s="37" t="n"/>
    </row>
    <row r="54">
      <c r="A54" s="16" t="n">
        <v>50</v>
      </c>
      <c r="B54" s="37" t="n"/>
      <c r="C54" s="46" t="n"/>
      <c r="D54" s="54" t="n"/>
      <c r="E54" s="54" t="n"/>
      <c r="F54" s="16">
        <f>IF(OR($D54="",$E54=""),"",$E54-$D54+1-SUMPRODUCT((Holidays&gt;=$D54)*(Holidays&lt;=$E54)))</f>
        <v/>
      </c>
      <c r="G54" s="46" t="n"/>
      <c r="H54" s="16">
        <f>IF(OR($B54="",$D54="",$E54=""),"",IF(SUMPRODUCT(('حجز الإجازات'!$B$5:$B$104=$B54)*('حجز الإجازات'!$G$5:$G$104&lt;&gt;"مرفوض")*('حجز الإجازات'!$D$5:$D$104&lt;=$E54)*($D54&lt;=('حجز الإجازات'!$E$5:$E$104)))-(($B54&lt;&gt;"")*($G54&lt;&gt;"مرفوض"))&gt;0,"⚠ تعارض","✓ سليم"))</f>
        <v/>
      </c>
      <c r="I54" s="16">
        <f>IF($D54="","",IF(SUMPRODUCT(('حجز الإجازات'!$G$5:$G$104&lt;&gt;"مرفوض")*('حجز الإجازات'!$D$5:$D$104&lt;=$D54)*($D54&lt;=('حجز الإجازات'!$E$5:$E$104)))&gt;MaxLeave,"⚠ مجازين "&amp;SUMPRODUCT(('حجز الإجازات'!$G$5:$G$104&lt;&gt;"مرفوض")*('حجز الإجازات'!$D$5:$D$104&lt;=$D54)*($D54&lt;=('حجز الإجازات'!$E$5:$E$104)))&amp;" / الحد "&amp;MaxLeave,"✓ مجازين "&amp;SUMPRODUCT(('حجز الإجازات'!$G$5:$G$104&lt;&gt;"مرفوض")*('حجز الإجازات'!$D$5:$D$104&lt;=$D54)*($D54&lt;=('حجز الإجازات'!$E$5:$E$104)))&amp;" / الحد "&amp;MaxLeave))</f>
        <v/>
      </c>
      <c r="J54" s="37" t="n"/>
    </row>
    <row r="55">
      <c r="A55" s="16" t="n">
        <v>51</v>
      </c>
      <c r="B55" s="37" t="n"/>
      <c r="C55" s="46" t="n"/>
      <c r="D55" s="54" t="n"/>
      <c r="E55" s="54" t="n"/>
      <c r="F55" s="16">
        <f>IF(OR($D55="",$E55=""),"",$E55-$D55+1-SUMPRODUCT((Holidays&gt;=$D55)*(Holidays&lt;=$E55)))</f>
        <v/>
      </c>
      <c r="G55" s="46" t="n"/>
      <c r="H55" s="16">
        <f>IF(OR($B55="",$D55="",$E55=""),"",IF(SUMPRODUCT(('حجز الإجازات'!$B$5:$B$104=$B55)*('حجز الإجازات'!$G$5:$G$104&lt;&gt;"مرفوض")*('حجز الإجازات'!$D$5:$D$104&lt;=$E55)*($D55&lt;=('حجز الإجازات'!$E$5:$E$104)))-(($B55&lt;&gt;"")*($G55&lt;&gt;"مرفوض"))&gt;0,"⚠ تعارض","✓ سليم"))</f>
        <v/>
      </c>
      <c r="I55" s="16">
        <f>IF($D55="","",IF(SUMPRODUCT(('حجز الإجازات'!$G$5:$G$104&lt;&gt;"مرفوض")*('حجز الإجازات'!$D$5:$D$104&lt;=$D55)*($D55&lt;=('حجز الإجازات'!$E$5:$E$104)))&gt;MaxLeave,"⚠ مجازين "&amp;SUMPRODUCT(('حجز الإجازات'!$G$5:$G$104&lt;&gt;"مرفوض")*('حجز الإجازات'!$D$5:$D$104&lt;=$D55)*($D55&lt;=('حجز الإجازات'!$E$5:$E$104)))&amp;" / الحد "&amp;MaxLeave,"✓ مجازين "&amp;SUMPRODUCT(('حجز الإجازات'!$G$5:$G$104&lt;&gt;"مرفوض")*('حجز الإجازات'!$D$5:$D$104&lt;=$D55)*($D55&lt;=('حجز الإجازات'!$E$5:$E$104)))&amp;" / الحد "&amp;MaxLeave))</f>
        <v/>
      </c>
      <c r="J55" s="37" t="n"/>
    </row>
    <row r="56">
      <c r="A56" s="16" t="n">
        <v>52</v>
      </c>
      <c r="B56" s="37" t="n"/>
      <c r="C56" s="46" t="n"/>
      <c r="D56" s="54" t="n"/>
      <c r="E56" s="54" t="n"/>
      <c r="F56" s="16">
        <f>IF(OR($D56="",$E56=""),"",$E56-$D56+1-SUMPRODUCT((Holidays&gt;=$D56)*(Holidays&lt;=$E56)))</f>
        <v/>
      </c>
      <c r="G56" s="46" t="n"/>
      <c r="H56" s="16">
        <f>IF(OR($B56="",$D56="",$E56=""),"",IF(SUMPRODUCT(('حجز الإجازات'!$B$5:$B$104=$B56)*('حجز الإجازات'!$G$5:$G$104&lt;&gt;"مرفوض")*('حجز الإجازات'!$D$5:$D$104&lt;=$E56)*($D56&lt;=('حجز الإجازات'!$E$5:$E$104)))-(($B56&lt;&gt;"")*($G56&lt;&gt;"مرفوض"))&gt;0,"⚠ تعارض","✓ سليم"))</f>
        <v/>
      </c>
      <c r="I56" s="16">
        <f>IF($D56="","",IF(SUMPRODUCT(('حجز الإجازات'!$G$5:$G$104&lt;&gt;"مرفوض")*('حجز الإجازات'!$D$5:$D$104&lt;=$D56)*($D56&lt;=('حجز الإجازات'!$E$5:$E$104)))&gt;MaxLeave,"⚠ مجازين "&amp;SUMPRODUCT(('حجز الإجازات'!$G$5:$G$104&lt;&gt;"مرفوض")*('حجز الإجازات'!$D$5:$D$104&lt;=$D56)*($D56&lt;=('حجز الإجازات'!$E$5:$E$104)))&amp;" / الحد "&amp;MaxLeave,"✓ مجازين "&amp;SUMPRODUCT(('حجز الإجازات'!$G$5:$G$104&lt;&gt;"مرفوض")*('حجز الإجازات'!$D$5:$D$104&lt;=$D56)*($D56&lt;=('حجز الإجازات'!$E$5:$E$104)))&amp;" / الحد "&amp;MaxLeave))</f>
        <v/>
      </c>
      <c r="J56" s="37" t="n"/>
    </row>
    <row r="57">
      <c r="A57" s="16" t="n">
        <v>53</v>
      </c>
      <c r="B57" s="37" t="n"/>
      <c r="C57" s="46" t="n"/>
      <c r="D57" s="54" t="n"/>
      <c r="E57" s="54" t="n"/>
      <c r="F57" s="16">
        <f>IF(OR($D57="",$E57=""),"",$E57-$D57+1-SUMPRODUCT((Holidays&gt;=$D57)*(Holidays&lt;=$E57)))</f>
        <v/>
      </c>
      <c r="G57" s="46" t="n"/>
      <c r="H57" s="16">
        <f>IF(OR($B57="",$D57="",$E57=""),"",IF(SUMPRODUCT(('حجز الإجازات'!$B$5:$B$104=$B57)*('حجز الإجازات'!$G$5:$G$104&lt;&gt;"مرفوض")*('حجز الإجازات'!$D$5:$D$104&lt;=$E57)*($D57&lt;=('حجز الإجازات'!$E$5:$E$104)))-(($B57&lt;&gt;"")*($G57&lt;&gt;"مرفوض"))&gt;0,"⚠ تعارض","✓ سليم"))</f>
        <v/>
      </c>
      <c r="I57" s="16">
        <f>IF($D57="","",IF(SUMPRODUCT(('حجز الإجازات'!$G$5:$G$104&lt;&gt;"مرفوض")*('حجز الإجازات'!$D$5:$D$104&lt;=$D57)*($D57&lt;=('حجز الإجازات'!$E$5:$E$104)))&gt;MaxLeave,"⚠ مجازين "&amp;SUMPRODUCT(('حجز الإجازات'!$G$5:$G$104&lt;&gt;"مرفوض")*('حجز الإجازات'!$D$5:$D$104&lt;=$D57)*($D57&lt;=('حجز الإجازات'!$E$5:$E$104)))&amp;" / الحد "&amp;MaxLeave,"✓ مجازين "&amp;SUMPRODUCT(('حجز الإجازات'!$G$5:$G$104&lt;&gt;"مرفوض")*('حجز الإجازات'!$D$5:$D$104&lt;=$D57)*($D57&lt;=('حجز الإجازات'!$E$5:$E$104)))&amp;" / الحد "&amp;MaxLeave))</f>
        <v/>
      </c>
      <c r="J57" s="37" t="n"/>
    </row>
    <row r="58">
      <c r="A58" s="16" t="n">
        <v>54</v>
      </c>
      <c r="B58" s="37" t="n"/>
      <c r="C58" s="46" t="n"/>
      <c r="D58" s="54" t="n"/>
      <c r="E58" s="54" t="n"/>
      <c r="F58" s="16">
        <f>IF(OR($D58="",$E58=""),"",$E58-$D58+1-SUMPRODUCT((Holidays&gt;=$D58)*(Holidays&lt;=$E58)))</f>
        <v/>
      </c>
      <c r="G58" s="46" t="n"/>
      <c r="H58" s="16">
        <f>IF(OR($B58="",$D58="",$E58=""),"",IF(SUMPRODUCT(('حجز الإجازات'!$B$5:$B$104=$B58)*('حجز الإجازات'!$G$5:$G$104&lt;&gt;"مرفوض")*('حجز الإجازات'!$D$5:$D$104&lt;=$E58)*($D58&lt;=('حجز الإجازات'!$E$5:$E$104)))-(($B58&lt;&gt;"")*($G58&lt;&gt;"مرفوض"))&gt;0,"⚠ تعارض","✓ سليم"))</f>
        <v/>
      </c>
      <c r="I58" s="16">
        <f>IF($D58="","",IF(SUMPRODUCT(('حجز الإجازات'!$G$5:$G$104&lt;&gt;"مرفوض")*('حجز الإجازات'!$D$5:$D$104&lt;=$D58)*($D58&lt;=('حجز الإجازات'!$E$5:$E$104)))&gt;MaxLeave,"⚠ مجازين "&amp;SUMPRODUCT(('حجز الإجازات'!$G$5:$G$104&lt;&gt;"مرفوض")*('حجز الإجازات'!$D$5:$D$104&lt;=$D58)*($D58&lt;=('حجز الإجازات'!$E$5:$E$104)))&amp;" / الحد "&amp;MaxLeave,"✓ مجازين "&amp;SUMPRODUCT(('حجز الإجازات'!$G$5:$G$104&lt;&gt;"مرفوض")*('حجز الإجازات'!$D$5:$D$104&lt;=$D58)*($D58&lt;=('حجز الإجازات'!$E$5:$E$104)))&amp;" / الحد "&amp;MaxLeave))</f>
        <v/>
      </c>
      <c r="J58" s="37" t="n"/>
    </row>
    <row r="59">
      <c r="A59" s="16" t="n">
        <v>55</v>
      </c>
      <c r="B59" s="37" t="n"/>
      <c r="C59" s="46" t="n"/>
      <c r="D59" s="54" t="n"/>
      <c r="E59" s="54" t="n"/>
      <c r="F59" s="16">
        <f>IF(OR($D59="",$E59=""),"",$E59-$D59+1-SUMPRODUCT((Holidays&gt;=$D59)*(Holidays&lt;=$E59)))</f>
        <v/>
      </c>
      <c r="G59" s="46" t="n"/>
      <c r="H59" s="16">
        <f>IF(OR($B59="",$D59="",$E59=""),"",IF(SUMPRODUCT(('حجز الإجازات'!$B$5:$B$104=$B59)*('حجز الإجازات'!$G$5:$G$104&lt;&gt;"مرفوض")*('حجز الإجازات'!$D$5:$D$104&lt;=$E59)*($D59&lt;=('حجز الإجازات'!$E$5:$E$104)))-(($B59&lt;&gt;"")*($G59&lt;&gt;"مرفوض"))&gt;0,"⚠ تعارض","✓ سليم"))</f>
        <v/>
      </c>
      <c r="I59" s="16">
        <f>IF($D59="","",IF(SUMPRODUCT(('حجز الإجازات'!$G$5:$G$104&lt;&gt;"مرفوض")*('حجز الإجازات'!$D$5:$D$104&lt;=$D59)*($D59&lt;=('حجز الإجازات'!$E$5:$E$104)))&gt;MaxLeave,"⚠ مجازين "&amp;SUMPRODUCT(('حجز الإجازات'!$G$5:$G$104&lt;&gt;"مرفوض")*('حجز الإجازات'!$D$5:$D$104&lt;=$D59)*($D59&lt;=('حجز الإجازات'!$E$5:$E$104)))&amp;" / الحد "&amp;MaxLeave,"✓ مجازين "&amp;SUMPRODUCT(('حجز الإجازات'!$G$5:$G$104&lt;&gt;"مرفوض")*('حجز الإجازات'!$D$5:$D$104&lt;=$D59)*($D59&lt;=('حجز الإجازات'!$E$5:$E$104)))&amp;" / الحد "&amp;MaxLeave))</f>
        <v/>
      </c>
      <c r="J59" s="37" t="n"/>
    </row>
    <row r="60">
      <c r="A60" s="16" t="n">
        <v>56</v>
      </c>
      <c r="B60" s="37" t="n"/>
      <c r="C60" s="46" t="n"/>
      <c r="D60" s="54" t="n"/>
      <c r="E60" s="54" t="n"/>
      <c r="F60" s="16">
        <f>IF(OR($D60="",$E60=""),"",$E60-$D60+1-SUMPRODUCT((Holidays&gt;=$D60)*(Holidays&lt;=$E60)))</f>
        <v/>
      </c>
      <c r="G60" s="46" t="n"/>
      <c r="H60" s="16">
        <f>IF(OR($B60="",$D60="",$E60=""),"",IF(SUMPRODUCT(('حجز الإجازات'!$B$5:$B$104=$B60)*('حجز الإجازات'!$G$5:$G$104&lt;&gt;"مرفوض")*('حجز الإجازات'!$D$5:$D$104&lt;=$E60)*($D60&lt;=('حجز الإجازات'!$E$5:$E$104)))-(($B60&lt;&gt;"")*($G60&lt;&gt;"مرفوض"))&gt;0,"⚠ تعارض","✓ سليم"))</f>
        <v/>
      </c>
      <c r="I60" s="16">
        <f>IF($D60="","",IF(SUMPRODUCT(('حجز الإجازات'!$G$5:$G$104&lt;&gt;"مرفوض")*('حجز الإجازات'!$D$5:$D$104&lt;=$D60)*($D60&lt;=('حجز الإجازات'!$E$5:$E$104)))&gt;MaxLeave,"⚠ مجازين "&amp;SUMPRODUCT(('حجز الإجازات'!$G$5:$G$104&lt;&gt;"مرفوض")*('حجز الإجازات'!$D$5:$D$104&lt;=$D60)*($D60&lt;=('حجز الإجازات'!$E$5:$E$104)))&amp;" / الحد "&amp;MaxLeave,"✓ مجازين "&amp;SUMPRODUCT(('حجز الإجازات'!$G$5:$G$104&lt;&gt;"مرفوض")*('حجز الإجازات'!$D$5:$D$104&lt;=$D60)*($D60&lt;=('حجز الإجازات'!$E$5:$E$104)))&amp;" / الحد "&amp;MaxLeave))</f>
        <v/>
      </c>
      <c r="J60" s="37" t="n"/>
    </row>
    <row r="61">
      <c r="A61" s="16" t="n">
        <v>57</v>
      </c>
      <c r="B61" s="37" t="n"/>
      <c r="C61" s="46" t="n"/>
      <c r="D61" s="54" t="n"/>
      <c r="E61" s="54" t="n"/>
      <c r="F61" s="16">
        <f>IF(OR($D61="",$E61=""),"",$E61-$D61+1-SUMPRODUCT((Holidays&gt;=$D61)*(Holidays&lt;=$E61)))</f>
        <v/>
      </c>
      <c r="G61" s="46" t="n"/>
      <c r="H61" s="16">
        <f>IF(OR($B61="",$D61="",$E61=""),"",IF(SUMPRODUCT(('حجز الإجازات'!$B$5:$B$104=$B61)*('حجز الإجازات'!$G$5:$G$104&lt;&gt;"مرفوض")*('حجز الإجازات'!$D$5:$D$104&lt;=$E61)*($D61&lt;=('حجز الإجازات'!$E$5:$E$104)))-(($B61&lt;&gt;"")*($G61&lt;&gt;"مرفوض"))&gt;0,"⚠ تعارض","✓ سليم"))</f>
        <v/>
      </c>
      <c r="I61" s="16">
        <f>IF($D61="","",IF(SUMPRODUCT(('حجز الإجازات'!$G$5:$G$104&lt;&gt;"مرفوض")*('حجز الإجازات'!$D$5:$D$104&lt;=$D61)*($D61&lt;=('حجز الإجازات'!$E$5:$E$104)))&gt;MaxLeave,"⚠ مجازين "&amp;SUMPRODUCT(('حجز الإجازات'!$G$5:$G$104&lt;&gt;"مرفوض")*('حجز الإجازات'!$D$5:$D$104&lt;=$D61)*($D61&lt;=('حجز الإجازات'!$E$5:$E$104)))&amp;" / الحد "&amp;MaxLeave,"✓ مجازين "&amp;SUMPRODUCT(('حجز الإجازات'!$G$5:$G$104&lt;&gt;"مرفوض")*('حجز الإجازات'!$D$5:$D$104&lt;=$D61)*($D61&lt;=('حجز الإجازات'!$E$5:$E$104)))&amp;" / الحد "&amp;MaxLeave))</f>
        <v/>
      </c>
      <c r="J61" s="37" t="n"/>
    </row>
    <row r="62">
      <c r="A62" s="16" t="n">
        <v>58</v>
      </c>
      <c r="B62" s="37" t="n"/>
      <c r="C62" s="46" t="n"/>
      <c r="D62" s="54" t="n"/>
      <c r="E62" s="54" t="n"/>
      <c r="F62" s="16">
        <f>IF(OR($D62="",$E62=""),"",$E62-$D62+1-SUMPRODUCT((Holidays&gt;=$D62)*(Holidays&lt;=$E62)))</f>
        <v/>
      </c>
      <c r="G62" s="46" t="n"/>
      <c r="H62" s="16">
        <f>IF(OR($B62="",$D62="",$E62=""),"",IF(SUMPRODUCT(('حجز الإجازات'!$B$5:$B$104=$B62)*('حجز الإجازات'!$G$5:$G$104&lt;&gt;"مرفوض")*('حجز الإجازات'!$D$5:$D$104&lt;=$E62)*($D62&lt;=('حجز الإجازات'!$E$5:$E$104)))-(($B62&lt;&gt;"")*($G62&lt;&gt;"مرفوض"))&gt;0,"⚠ تعارض","✓ سليم"))</f>
        <v/>
      </c>
      <c r="I62" s="16">
        <f>IF($D62="","",IF(SUMPRODUCT(('حجز الإجازات'!$G$5:$G$104&lt;&gt;"مرفوض")*('حجز الإجازات'!$D$5:$D$104&lt;=$D62)*($D62&lt;=('حجز الإجازات'!$E$5:$E$104)))&gt;MaxLeave,"⚠ مجازين "&amp;SUMPRODUCT(('حجز الإجازات'!$G$5:$G$104&lt;&gt;"مرفوض")*('حجز الإجازات'!$D$5:$D$104&lt;=$D62)*($D62&lt;=('حجز الإجازات'!$E$5:$E$104)))&amp;" / الحد "&amp;MaxLeave,"✓ مجازين "&amp;SUMPRODUCT(('حجز الإجازات'!$G$5:$G$104&lt;&gt;"مرفوض")*('حجز الإجازات'!$D$5:$D$104&lt;=$D62)*($D62&lt;=('حجز الإجازات'!$E$5:$E$104)))&amp;" / الحد "&amp;MaxLeave))</f>
        <v/>
      </c>
      <c r="J62" s="37" t="n"/>
    </row>
    <row r="63">
      <c r="A63" s="16" t="n">
        <v>59</v>
      </c>
      <c r="B63" s="37" t="n"/>
      <c r="C63" s="46" t="n"/>
      <c r="D63" s="54" t="n"/>
      <c r="E63" s="54" t="n"/>
      <c r="F63" s="16">
        <f>IF(OR($D63="",$E63=""),"",$E63-$D63+1-SUMPRODUCT((Holidays&gt;=$D63)*(Holidays&lt;=$E63)))</f>
        <v/>
      </c>
      <c r="G63" s="46" t="n"/>
      <c r="H63" s="16">
        <f>IF(OR($B63="",$D63="",$E63=""),"",IF(SUMPRODUCT(('حجز الإجازات'!$B$5:$B$104=$B63)*('حجز الإجازات'!$G$5:$G$104&lt;&gt;"مرفوض")*('حجز الإجازات'!$D$5:$D$104&lt;=$E63)*($D63&lt;=('حجز الإجازات'!$E$5:$E$104)))-(($B63&lt;&gt;"")*($G63&lt;&gt;"مرفوض"))&gt;0,"⚠ تعارض","✓ سليم"))</f>
        <v/>
      </c>
      <c r="I63" s="16">
        <f>IF($D63="","",IF(SUMPRODUCT(('حجز الإجازات'!$G$5:$G$104&lt;&gt;"مرفوض")*('حجز الإجازات'!$D$5:$D$104&lt;=$D63)*($D63&lt;=('حجز الإجازات'!$E$5:$E$104)))&gt;MaxLeave,"⚠ مجازين "&amp;SUMPRODUCT(('حجز الإجازات'!$G$5:$G$104&lt;&gt;"مرفوض")*('حجز الإجازات'!$D$5:$D$104&lt;=$D63)*($D63&lt;=('حجز الإجازات'!$E$5:$E$104)))&amp;" / الحد "&amp;MaxLeave,"✓ مجازين "&amp;SUMPRODUCT(('حجز الإجازات'!$G$5:$G$104&lt;&gt;"مرفوض")*('حجز الإجازات'!$D$5:$D$104&lt;=$D63)*($D63&lt;=('حجز الإجازات'!$E$5:$E$104)))&amp;" / الحد "&amp;MaxLeave))</f>
        <v/>
      </c>
      <c r="J63" s="37" t="n"/>
    </row>
    <row r="64">
      <c r="A64" s="16" t="n">
        <v>60</v>
      </c>
      <c r="B64" s="37" t="n"/>
      <c r="C64" s="46" t="n"/>
      <c r="D64" s="54" t="n"/>
      <c r="E64" s="54" t="n"/>
      <c r="F64" s="16">
        <f>IF(OR($D64="",$E64=""),"",$E64-$D64+1-SUMPRODUCT((Holidays&gt;=$D64)*(Holidays&lt;=$E64)))</f>
        <v/>
      </c>
      <c r="G64" s="46" t="n"/>
      <c r="H64" s="16">
        <f>IF(OR($B64="",$D64="",$E64=""),"",IF(SUMPRODUCT(('حجز الإجازات'!$B$5:$B$104=$B64)*('حجز الإجازات'!$G$5:$G$104&lt;&gt;"مرفوض")*('حجز الإجازات'!$D$5:$D$104&lt;=$E64)*($D64&lt;=('حجز الإجازات'!$E$5:$E$104)))-(($B64&lt;&gt;"")*($G64&lt;&gt;"مرفوض"))&gt;0,"⚠ تعارض","✓ سليم"))</f>
        <v/>
      </c>
      <c r="I64" s="16">
        <f>IF($D64="","",IF(SUMPRODUCT(('حجز الإجازات'!$G$5:$G$104&lt;&gt;"مرفوض")*('حجز الإجازات'!$D$5:$D$104&lt;=$D64)*($D64&lt;=('حجز الإجازات'!$E$5:$E$104)))&gt;MaxLeave,"⚠ مجازين "&amp;SUMPRODUCT(('حجز الإجازات'!$G$5:$G$104&lt;&gt;"مرفوض")*('حجز الإجازات'!$D$5:$D$104&lt;=$D64)*($D64&lt;=('حجز الإجازات'!$E$5:$E$104)))&amp;" / الحد "&amp;MaxLeave,"✓ مجازين "&amp;SUMPRODUCT(('حجز الإجازات'!$G$5:$G$104&lt;&gt;"مرفوض")*('حجز الإجازات'!$D$5:$D$104&lt;=$D64)*($D64&lt;=('حجز الإجازات'!$E$5:$E$104)))&amp;" / الحد "&amp;MaxLeave))</f>
        <v/>
      </c>
      <c r="J64" s="37" t="n"/>
    </row>
    <row r="65">
      <c r="A65" s="16" t="n">
        <v>61</v>
      </c>
      <c r="B65" s="37" t="n"/>
      <c r="C65" s="46" t="n"/>
      <c r="D65" s="54" t="n"/>
      <c r="E65" s="54" t="n"/>
      <c r="F65" s="16">
        <f>IF(OR($D65="",$E65=""),"",$E65-$D65+1-SUMPRODUCT((Holidays&gt;=$D65)*(Holidays&lt;=$E65)))</f>
        <v/>
      </c>
      <c r="G65" s="46" t="n"/>
      <c r="H65" s="16">
        <f>IF(OR($B65="",$D65="",$E65=""),"",IF(SUMPRODUCT(('حجز الإجازات'!$B$5:$B$104=$B65)*('حجز الإجازات'!$G$5:$G$104&lt;&gt;"مرفوض")*('حجز الإجازات'!$D$5:$D$104&lt;=$E65)*($D65&lt;=('حجز الإجازات'!$E$5:$E$104)))-(($B65&lt;&gt;"")*($G65&lt;&gt;"مرفوض"))&gt;0,"⚠ تعارض","✓ سليم"))</f>
        <v/>
      </c>
      <c r="I65" s="16">
        <f>IF($D65="","",IF(SUMPRODUCT(('حجز الإجازات'!$G$5:$G$104&lt;&gt;"مرفوض")*('حجز الإجازات'!$D$5:$D$104&lt;=$D65)*($D65&lt;=('حجز الإجازات'!$E$5:$E$104)))&gt;MaxLeave,"⚠ مجازين "&amp;SUMPRODUCT(('حجز الإجازات'!$G$5:$G$104&lt;&gt;"مرفوض")*('حجز الإجازات'!$D$5:$D$104&lt;=$D65)*($D65&lt;=('حجز الإجازات'!$E$5:$E$104)))&amp;" / الحد "&amp;MaxLeave,"✓ مجازين "&amp;SUMPRODUCT(('حجز الإجازات'!$G$5:$G$104&lt;&gt;"مرفوض")*('حجز الإجازات'!$D$5:$D$104&lt;=$D65)*($D65&lt;=('حجز الإجازات'!$E$5:$E$104)))&amp;" / الحد "&amp;MaxLeave))</f>
        <v/>
      </c>
      <c r="J65" s="37" t="n"/>
    </row>
    <row r="66">
      <c r="A66" s="16" t="n">
        <v>62</v>
      </c>
      <c r="B66" s="37" t="n"/>
      <c r="C66" s="46" t="n"/>
      <c r="D66" s="54" t="n"/>
      <c r="E66" s="54" t="n"/>
      <c r="F66" s="16">
        <f>IF(OR($D66="",$E66=""),"",$E66-$D66+1-SUMPRODUCT((Holidays&gt;=$D66)*(Holidays&lt;=$E66)))</f>
        <v/>
      </c>
      <c r="G66" s="46" t="n"/>
      <c r="H66" s="16">
        <f>IF(OR($B66="",$D66="",$E66=""),"",IF(SUMPRODUCT(('حجز الإجازات'!$B$5:$B$104=$B66)*('حجز الإجازات'!$G$5:$G$104&lt;&gt;"مرفوض")*('حجز الإجازات'!$D$5:$D$104&lt;=$E66)*($D66&lt;=('حجز الإجازات'!$E$5:$E$104)))-(($B66&lt;&gt;"")*($G66&lt;&gt;"مرفوض"))&gt;0,"⚠ تعارض","✓ سليم"))</f>
        <v/>
      </c>
      <c r="I66" s="16">
        <f>IF($D66="","",IF(SUMPRODUCT(('حجز الإجازات'!$G$5:$G$104&lt;&gt;"مرفوض")*('حجز الإجازات'!$D$5:$D$104&lt;=$D66)*($D66&lt;=('حجز الإجازات'!$E$5:$E$104)))&gt;MaxLeave,"⚠ مجازين "&amp;SUMPRODUCT(('حجز الإجازات'!$G$5:$G$104&lt;&gt;"مرفوض")*('حجز الإجازات'!$D$5:$D$104&lt;=$D66)*($D66&lt;=('حجز الإجازات'!$E$5:$E$104)))&amp;" / الحد "&amp;MaxLeave,"✓ مجازين "&amp;SUMPRODUCT(('حجز الإجازات'!$G$5:$G$104&lt;&gt;"مرفوض")*('حجز الإجازات'!$D$5:$D$104&lt;=$D66)*($D66&lt;=('حجز الإجازات'!$E$5:$E$104)))&amp;" / الحد "&amp;MaxLeave))</f>
        <v/>
      </c>
      <c r="J66" s="37" t="n"/>
    </row>
    <row r="67">
      <c r="A67" s="16" t="n">
        <v>63</v>
      </c>
      <c r="B67" s="37" t="n"/>
      <c r="C67" s="46" t="n"/>
      <c r="D67" s="54" t="n"/>
      <c r="E67" s="54" t="n"/>
      <c r="F67" s="16">
        <f>IF(OR($D67="",$E67=""),"",$E67-$D67+1-SUMPRODUCT((Holidays&gt;=$D67)*(Holidays&lt;=$E67)))</f>
        <v/>
      </c>
      <c r="G67" s="46" t="n"/>
      <c r="H67" s="16">
        <f>IF(OR($B67="",$D67="",$E67=""),"",IF(SUMPRODUCT(('حجز الإجازات'!$B$5:$B$104=$B67)*('حجز الإجازات'!$G$5:$G$104&lt;&gt;"مرفوض")*('حجز الإجازات'!$D$5:$D$104&lt;=$E67)*($D67&lt;=('حجز الإجازات'!$E$5:$E$104)))-(($B67&lt;&gt;"")*($G67&lt;&gt;"مرفوض"))&gt;0,"⚠ تعارض","✓ سليم"))</f>
        <v/>
      </c>
      <c r="I67" s="16">
        <f>IF($D67="","",IF(SUMPRODUCT(('حجز الإجازات'!$G$5:$G$104&lt;&gt;"مرفوض")*('حجز الإجازات'!$D$5:$D$104&lt;=$D67)*($D67&lt;=('حجز الإجازات'!$E$5:$E$104)))&gt;MaxLeave,"⚠ مجازين "&amp;SUMPRODUCT(('حجز الإجازات'!$G$5:$G$104&lt;&gt;"مرفوض")*('حجز الإجازات'!$D$5:$D$104&lt;=$D67)*($D67&lt;=('حجز الإجازات'!$E$5:$E$104)))&amp;" / الحد "&amp;MaxLeave,"✓ مجازين "&amp;SUMPRODUCT(('حجز الإجازات'!$G$5:$G$104&lt;&gt;"مرفوض")*('حجز الإجازات'!$D$5:$D$104&lt;=$D67)*($D67&lt;=('حجز الإجازات'!$E$5:$E$104)))&amp;" / الحد "&amp;MaxLeave))</f>
        <v/>
      </c>
      <c r="J67" s="37" t="n"/>
    </row>
    <row r="68">
      <c r="A68" s="16" t="n">
        <v>64</v>
      </c>
      <c r="B68" s="37" t="n"/>
      <c r="C68" s="46" t="n"/>
      <c r="D68" s="54" t="n"/>
      <c r="E68" s="54" t="n"/>
      <c r="F68" s="16">
        <f>IF(OR($D68="",$E68=""),"",$E68-$D68+1-SUMPRODUCT((Holidays&gt;=$D68)*(Holidays&lt;=$E68)))</f>
        <v/>
      </c>
      <c r="G68" s="46" t="n"/>
      <c r="H68" s="16">
        <f>IF(OR($B68="",$D68="",$E68=""),"",IF(SUMPRODUCT(('حجز الإجازات'!$B$5:$B$104=$B68)*('حجز الإجازات'!$G$5:$G$104&lt;&gt;"مرفوض")*('حجز الإجازات'!$D$5:$D$104&lt;=$E68)*($D68&lt;=('حجز الإجازات'!$E$5:$E$104)))-(($B68&lt;&gt;"")*($G68&lt;&gt;"مرفوض"))&gt;0,"⚠ تعارض","✓ سليم"))</f>
        <v/>
      </c>
      <c r="I68" s="16">
        <f>IF($D68="","",IF(SUMPRODUCT(('حجز الإجازات'!$G$5:$G$104&lt;&gt;"مرفوض")*('حجز الإجازات'!$D$5:$D$104&lt;=$D68)*($D68&lt;=('حجز الإجازات'!$E$5:$E$104)))&gt;MaxLeave,"⚠ مجازين "&amp;SUMPRODUCT(('حجز الإجازات'!$G$5:$G$104&lt;&gt;"مرفوض")*('حجز الإجازات'!$D$5:$D$104&lt;=$D68)*($D68&lt;=('حجز الإجازات'!$E$5:$E$104)))&amp;" / الحد "&amp;MaxLeave,"✓ مجازين "&amp;SUMPRODUCT(('حجز الإجازات'!$G$5:$G$104&lt;&gt;"مرفوض")*('حجز الإجازات'!$D$5:$D$104&lt;=$D68)*($D68&lt;=('حجز الإجازات'!$E$5:$E$104)))&amp;" / الحد "&amp;MaxLeave))</f>
        <v/>
      </c>
      <c r="J68" s="37" t="n"/>
    </row>
    <row r="69">
      <c r="A69" s="16" t="n">
        <v>65</v>
      </c>
      <c r="B69" s="37" t="n"/>
      <c r="C69" s="46" t="n"/>
      <c r="D69" s="54" t="n"/>
      <c r="E69" s="54" t="n"/>
      <c r="F69" s="16">
        <f>IF(OR($D69="",$E69=""),"",$E69-$D69+1-SUMPRODUCT((Holidays&gt;=$D69)*(Holidays&lt;=$E69)))</f>
        <v/>
      </c>
      <c r="G69" s="46" t="n"/>
      <c r="H69" s="16">
        <f>IF(OR($B69="",$D69="",$E69=""),"",IF(SUMPRODUCT(('حجز الإجازات'!$B$5:$B$104=$B69)*('حجز الإجازات'!$G$5:$G$104&lt;&gt;"مرفوض")*('حجز الإجازات'!$D$5:$D$104&lt;=$E69)*($D69&lt;=('حجز الإجازات'!$E$5:$E$104)))-(($B69&lt;&gt;"")*($G69&lt;&gt;"مرفوض"))&gt;0,"⚠ تعارض","✓ سليم"))</f>
        <v/>
      </c>
      <c r="I69" s="16">
        <f>IF($D69="","",IF(SUMPRODUCT(('حجز الإجازات'!$G$5:$G$104&lt;&gt;"مرفوض")*('حجز الإجازات'!$D$5:$D$104&lt;=$D69)*($D69&lt;=('حجز الإجازات'!$E$5:$E$104)))&gt;MaxLeave,"⚠ مجازين "&amp;SUMPRODUCT(('حجز الإجازات'!$G$5:$G$104&lt;&gt;"مرفوض")*('حجز الإجازات'!$D$5:$D$104&lt;=$D69)*($D69&lt;=('حجز الإجازات'!$E$5:$E$104)))&amp;" / الحد "&amp;MaxLeave,"✓ مجازين "&amp;SUMPRODUCT(('حجز الإجازات'!$G$5:$G$104&lt;&gt;"مرفوض")*('حجز الإجازات'!$D$5:$D$104&lt;=$D69)*($D69&lt;=('حجز الإجازات'!$E$5:$E$104)))&amp;" / الحد "&amp;MaxLeave))</f>
        <v/>
      </c>
      <c r="J69" s="37" t="n"/>
    </row>
    <row r="70">
      <c r="A70" s="16" t="n">
        <v>66</v>
      </c>
      <c r="B70" s="37" t="n"/>
      <c r="C70" s="46" t="n"/>
      <c r="D70" s="54" t="n"/>
      <c r="E70" s="54" t="n"/>
      <c r="F70" s="16">
        <f>IF(OR($D70="",$E70=""),"",$E70-$D70+1-SUMPRODUCT((Holidays&gt;=$D70)*(Holidays&lt;=$E70)))</f>
        <v/>
      </c>
      <c r="G70" s="46" t="n"/>
      <c r="H70" s="16">
        <f>IF(OR($B70="",$D70="",$E70=""),"",IF(SUMPRODUCT(('حجز الإجازات'!$B$5:$B$104=$B70)*('حجز الإجازات'!$G$5:$G$104&lt;&gt;"مرفوض")*('حجز الإجازات'!$D$5:$D$104&lt;=$E70)*($D70&lt;=('حجز الإجازات'!$E$5:$E$104)))-(($B70&lt;&gt;"")*($G70&lt;&gt;"مرفوض"))&gt;0,"⚠ تعارض","✓ سليم"))</f>
        <v/>
      </c>
      <c r="I70" s="16">
        <f>IF($D70="","",IF(SUMPRODUCT(('حجز الإجازات'!$G$5:$G$104&lt;&gt;"مرفوض")*('حجز الإجازات'!$D$5:$D$104&lt;=$D70)*($D70&lt;=('حجز الإجازات'!$E$5:$E$104)))&gt;MaxLeave,"⚠ مجازين "&amp;SUMPRODUCT(('حجز الإجازات'!$G$5:$G$104&lt;&gt;"مرفوض")*('حجز الإجازات'!$D$5:$D$104&lt;=$D70)*($D70&lt;=('حجز الإجازات'!$E$5:$E$104)))&amp;" / الحد "&amp;MaxLeave,"✓ مجازين "&amp;SUMPRODUCT(('حجز الإجازات'!$G$5:$G$104&lt;&gt;"مرفوض")*('حجز الإجازات'!$D$5:$D$104&lt;=$D70)*($D70&lt;=('حجز الإجازات'!$E$5:$E$104)))&amp;" / الحد "&amp;MaxLeave))</f>
        <v/>
      </c>
      <c r="J70" s="37" t="n"/>
    </row>
    <row r="71">
      <c r="A71" s="16" t="n">
        <v>67</v>
      </c>
      <c r="B71" s="37" t="n"/>
      <c r="C71" s="46" t="n"/>
      <c r="D71" s="54" t="n"/>
      <c r="E71" s="54" t="n"/>
      <c r="F71" s="16">
        <f>IF(OR($D71="",$E71=""),"",$E71-$D71+1-SUMPRODUCT((Holidays&gt;=$D71)*(Holidays&lt;=$E71)))</f>
        <v/>
      </c>
      <c r="G71" s="46" t="n"/>
      <c r="H71" s="16">
        <f>IF(OR($B71="",$D71="",$E71=""),"",IF(SUMPRODUCT(('حجز الإجازات'!$B$5:$B$104=$B71)*('حجز الإجازات'!$G$5:$G$104&lt;&gt;"مرفوض")*('حجز الإجازات'!$D$5:$D$104&lt;=$E71)*($D71&lt;=('حجز الإجازات'!$E$5:$E$104)))-(($B71&lt;&gt;"")*($G71&lt;&gt;"مرفوض"))&gt;0,"⚠ تعارض","✓ سليم"))</f>
        <v/>
      </c>
      <c r="I71" s="16">
        <f>IF($D71="","",IF(SUMPRODUCT(('حجز الإجازات'!$G$5:$G$104&lt;&gt;"مرفوض")*('حجز الإجازات'!$D$5:$D$104&lt;=$D71)*($D71&lt;=('حجز الإجازات'!$E$5:$E$104)))&gt;MaxLeave,"⚠ مجازين "&amp;SUMPRODUCT(('حجز الإجازات'!$G$5:$G$104&lt;&gt;"مرفوض")*('حجز الإجازات'!$D$5:$D$104&lt;=$D71)*($D71&lt;=('حجز الإجازات'!$E$5:$E$104)))&amp;" / الحد "&amp;MaxLeave,"✓ مجازين "&amp;SUMPRODUCT(('حجز الإجازات'!$G$5:$G$104&lt;&gt;"مرفوض")*('حجز الإجازات'!$D$5:$D$104&lt;=$D71)*($D71&lt;=('حجز الإجازات'!$E$5:$E$104)))&amp;" / الحد "&amp;MaxLeave))</f>
        <v/>
      </c>
      <c r="J71" s="37" t="n"/>
    </row>
    <row r="72">
      <c r="A72" s="16" t="n">
        <v>68</v>
      </c>
      <c r="B72" s="37" t="n"/>
      <c r="C72" s="46" t="n"/>
      <c r="D72" s="54" t="n"/>
      <c r="E72" s="54" t="n"/>
      <c r="F72" s="16">
        <f>IF(OR($D72="",$E72=""),"",$E72-$D72+1-SUMPRODUCT((Holidays&gt;=$D72)*(Holidays&lt;=$E72)))</f>
        <v/>
      </c>
      <c r="G72" s="46" t="n"/>
      <c r="H72" s="16">
        <f>IF(OR($B72="",$D72="",$E72=""),"",IF(SUMPRODUCT(('حجز الإجازات'!$B$5:$B$104=$B72)*('حجز الإجازات'!$G$5:$G$104&lt;&gt;"مرفوض")*('حجز الإجازات'!$D$5:$D$104&lt;=$E72)*($D72&lt;=('حجز الإجازات'!$E$5:$E$104)))-(($B72&lt;&gt;"")*($G72&lt;&gt;"مرفوض"))&gt;0,"⚠ تعارض","✓ سليم"))</f>
        <v/>
      </c>
      <c r="I72" s="16">
        <f>IF($D72="","",IF(SUMPRODUCT(('حجز الإجازات'!$G$5:$G$104&lt;&gt;"مرفوض")*('حجز الإجازات'!$D$5:$D$104&lt;=$D72)*($D72&lt;=('حجز الإجازات'!$E$5:$E$104)))&gt;MaxLeave,"⚠ مجازين "&amp;SUMPRODUCT(('حجز الإجازات'!$G$5:$G$104&lt;&gt;"مرفوض")*('حجز الإجازات'!$D$5:$D$104&lt;=$D72)*($D72&lt;=('حجز الإجازات'!$E$5:$E$104)))&amp;" / الحد "&amp;MaxLeave,"✓ مجازين "&amp;SUMPRODUCT(('حجز الإجازات'!$G$5:$G$104&lt;&gt;"مرفوض")*('حجز الإجازات'!$D$5:$D$104&lt;=$D72)*($D72&lt;=('حجز الإجازات'!$E$5:$E$104)))&amp;" / الحد "&amp;MaxLeave))</f>
        <v/>
      </c>
      <c r="J72" s="37" t="n"/>
    </row>
    <row r="73">
      <c r="A73" s="16" t="n">
        <v>69</v>
      </c>
      <c r="B73" s="37" t="n"/>
      <c r="C73" s="46" t="n"/>
      <c r="D73" s="54" t="n"/>
      <c r="E73" s="54" t="n"/>
      <c r="F73" s="16">
        <f>IF(OR($D73="",$E73=""),"",$E73-$D73+1-SUMPRODUCT((Holidays&gt;=$D73)*(Holidays&lt;=$E73)))</f>
        <v/>
      </c>
      <c r="G73" s="46" t="n"/>
      <c r="H73" s="16">
        <f>IF(OR($B73="",$D73="",$E73=""),"",IF(SUMPRODUCT(('حجز الإجازات'!$B$5:$B$104=$B73)*('حجز الإجازات'!$G$5:$G$104&lt;&gt;"مرفوض")*('حجز الإجازات'!$D$5:$D$104&lt;=$E73)*($D73&lt;=('حجز الإجازات'!$E$5:$E$104)))-(($B73&lt;&gt;"")*($G73&lt;&gt;"مرفوض"))&gt;0,"⚠ تعارض","✓ سليم"))</f>
        <v/>
      </c>
      <c r="I73" s="16">
        <f>IF($D73="","",IF(SUMPRODUCT(('حجز الإجازات'!$G$5:$G$104&lt;&gt;"مرفوض")*('حجز الإجازات'!$D$5:$D$104&lt;=$D73)*($D73&lt;=('حجز الإجازات'!$E$5:$E$104)))&gt;MaxLeave,"⚠ مجازين "&amp;SUMPRODUCT(('حجز الإجازات'!$G$5:$G$104&lt;&gt;"مرفوض")*('حجز الإجازات'!$D$5:$D$104&lt;=$D73)*($D73&lt;=('حجز الإجازات'!$E$5:$E$104)))&amp;" / الحد "&amp;MaxLeave,"✓ مجازين "&amp;SUMPRODUCT(('حجز الإجازات'!$G$5:$G$104&lt;&gt;"مرفوض")*('حجز الإجازات'!$D$5:$D$104&lt;=$D73)*($D73&lt;=('حجز الإجازات'!$E$5:$E$104)))&amp;" / الحد "&amp;MaxLeave))</f>
        <v/>
      </c>
      <c r="J73" s="37" t="n"/>
    </row>
    <row r="74">
      <c r="A74" s="16" t="n">
        <v>70</v>
      </c>
      <c r="B74" s="37" t="n"/>
      <c r="C74" s="46" t="n"/>
      <c r="D74" s="54" t="n"/>
      <c r="E74" s="54" t="n"/>
      <c r="F74" s="16">
        <f>IF(OR($D74="",$E74=""),"",$E74-$D74+1-SUMPRODUCT((Holidays&gt;=$D74)*(Holidays&lt;=$E74)))</f>
        <v/>
      </c>
      <c r="G74" s="46" t="n"/>
      <c r="H74" s="16">
        <f>IF(OR($B74="",$D74="",$E74=""),"",IF(SUMPRODUCT(('حجز الإجازات'!$B$5:$B$104=$B74)*('حجز الإجازات'!$G$5:$G$104&lt;&gt;"مرفوض")*('حجز الإجازات'!$D$5:$D$104&lt;=$E74)*($D74&lt;=('حجز الإجازات'!$E$5:$E$104)))-(($B74&lt;&gt;"")*($G74&lt;&gt;"مرفوض"))&gt;0,"⚠ تعارض","✓ سليم"))</f>
        <v/>
      </c>
      <c r="I74" s="16">
        <f>IF($D74="","",IF(SUMPRODUCT(('حجز الإجازات'!$G$5:$G$104&lt;&gt;"مرفوض")*('حجز الإجازات'!$D$5:$D$104&lt;=$D74)*($D74&lt;=('حجز الإجازات'!$E$5:$E$104)))&gt;MaxLeave,"⚠ مجازين "&amp;SUMPRODUCT(('حجز الإجازات'!$G$5:$G$104&lt;&gt;"مرفوض")*('حجز الإجازات'!$D$5:$D$104&lt;=$D74)*($D74&lt;=('حجز الإجازات'!$E$5:$E$104)))&amp;" / الحد "&amp;MaxLeave,"✓ مجازين "&amp;SUMPRODUCT(('حجز الإجازات'!$G$5:$G$104&lt;&gt;"مرفوض")*('حجز الإجازات'!$D$5:$D$104&lt;=$D74)*($D74&lt;=('حجز الإجازات'!$E$5:$E$104)))&amp;" / الحد "&amp;MaxLeave))</f>
        <v/>
      </c>
      <c r="J74" s="37" t="n"/>
    </row>
    <row r="75">
      <c r="A75" s="16" t="n">
        <v>71</v>
      </c>
      <c r="B75" s="37" t="n"/>
      <c r="C75" s="46" t="n"/>
      <c r="D75" s="54" t="n"/>
      <c r="E75" s="54" t="n"/>
      <c r="F75" s="16">
        <f>IF(OR($D75="",$E75=""),"",$E75-$D75+1-SUMPRODUCT((Holidays&gt;=$D75)*(Holidays&lt;=$E75)))</f>
        <v/>
      </c>
      <c r="G75" s="46" t="n"/>
      <c r="H75" s="16">
        <f>IF(OR($B75="",$D75="",$E75=""),"",IF(SUMPRODUCT(('حجز الإجازات'!$B$5:$B$104=$B75)*('حجز الإجازات'!$G$5:$G$104&lt;&gt;"مرفوض")*('حجز الإجازات'!$D$5:$D$104&lt;=$E75)*($D75&lt;=('حجز الإجازات'!$E$5:$E$104)))-(($B75&lt;&gt;"")*($G75&lt;&gt;"مرفوض"))&gt;0,"⚠ تعارض","✓ سليم"))</f>
        <v/>
      </c>
      <c r="I75" s="16">
        <f>IF($D75="","",IF(SUMPRODUCT(('حجز الإجازات'!$G$5:$G$104&lt;&gt;"مرفوض")*('حجز الإجازات'!$D$5:$D$104&lt;=$D75)*($D75&lt;=('حجز الإجازات'!$E$5:$E$104)))&gt;MaxLeave,"⚠ مجازين "&amp;SUMPRODUCT(('حجز الإجازات'!$G$5:$G$104&lt;&gt;"مرفوض")*('حجز الإجازات'!$D$5:$D$104&lt;=$D75)*($D75&lt;=('حجز الإجازات'!$E$5:$E$104)))&amp;" / الحد "&amp;MaxLeave,"✓ مجازين "&amp;SUMPRODUCT(('حجز الإجازات'!$G$5:$G$104&lt;&gt;"مرفوض")*('حجز الإجازات'!$D$5:$D$104&lt;=$D75)*($D75&lt;=('حجز الإجازات'!$E$5:$E$104)))&amp;" / الحد "&amp;MaxLeave))</f>
        <v/>
      </c>
      <c r="J75" s="37" t="n"/>
    </row>
    <row r="76">
      <c r="A76" s="16" t="n">
        <v>72</v>
      </c>
      <c r="B76" s="37" t="n"/>
      <c r="C76" s="46" t="n"/>
      <c r="D76" s="54" t="n"/>
      <c r="E76" s="54" t="n"/>
      <c r="F76" s="16">
        <f>IF(OR($D76="",$E76=""),"",$E76-$D76+1-SUMPRODUCT((Holidays&gt;=$D76)*(Holidays&lt;=$E76)))</f>
        <v/>
      </c>
      <c r="G76" s="46" t="n"/>
      <c r="H76" s="16">
        <f>IF(OR($B76="",$D76="",$E76=""),"",IF(SUMPRODUCT(('حجز الإجازات'!$B$5:$B$104=$B76)*('حجز الإجازات'!$G$5:$G$104&lt;&gt;"مرفوض")*('حجز الإجازات'!$D$5:$D$104&lt;=$E76)*($D76&lt;=('حجز الإجازات'!$E$5:$E$104)))-(($B76&lt;&gt;"")*($G76&lt;&gt;"مرفوض"))&gt;0,"⚠ تعارض","✓ سليم"))</f>
        <v/>
      </c>
      <c r="I76" s="16">
        <f>IF($D76="","",IF(SUMPRODUCT(('حجز الإجازات'!$G$5:$G$104&lt;&gt;"مرفوض")*('حجز الإجازات'!$D$5:$D$104&lt;=$D76)*($D76&lt;=('حجز الإجازات'!$E$5:$E$104)))&gt;MaxLeave,"⚠ مجازين "&amp;SUMPRODUCT(('حجز الإجازات'!$G$5:$G$104&lt;&gt;"مرفوض")*('حجز الإجازات'!$D$5:$D$104&lt;=$D76)*($D76&lt;=('حجز الإجازات'!$E$5:$E$104)))&amp;" / الحد "&amp;MaxLeave,"✓ مجازين "&amp;SUMPRODUCT(('حجز الإجازات'!$G$5:$G$104&lt;&gt;"مرفوض")*('حجز الإجازات'!$D$5:$D$104&lt;=$D76)*($D76&lt;=('حجز الإجازات'!$E$5:$E$104)))&amp;" / الحد "&amp;MaxLeave))</f>
        <v/>
      </c>
      <c r="J76" s="37" t="n"/>
    </row>
    <row r="77">
      <c r="A77" s="16" t="n">
        <v>73</v>
      </c>
      <c r="B77" s="37" t="n"/>
      <c r="C77" s="46" t="n"/>
      <c r="D77" s="54" t="n"/>
      <c r="E77" s="54" t="n"/>
      <c r="F77" s="16">
        <f>IF(OR($D77="",$E77=""),"",$E77-$D77+1-SUMPRODUCT((Holidays&gt;=$D77)*(Holidays&lt;=$E77)))</f>
        <v/>
      </c>
      <c r="G77" s="46" t="n"/>
      <c r="H77" s="16">
        <f>IF(OR($B77="",$D77="",$E77=""),"",IF(SUMPRODUCT(('حجز الإجازات'!$B$5:$B$104=$B77)*('حجز الإجازات'!$G$5:$G$104&lt;&gt;"مرفوض")*('حجز الإجازات'!$D$5:$D$104&lt;=$E77)*($D77&lt;=('حجز الإجازات'!$E$5:$E$104)))-(($B77&lt;&gt;"")*($G77&lt;&gt;"مرفوض"))&gt;0,"⚠ تعارض","✓ سليم"))</f>
        <v/>
      </c>
      <c r="I77" s="16">
        <f>IF($D77="","",IF(SUMPRODUCT(('حجز الإجازات'!$G$5:$G$104&lt;&gt;"مرفوض")*('حجز الإجازات'!$D$5:$D$104&lt;=$D77)*($D77&lt;=('حجز الإجازات'!$E$5:$E$104)))&gt;MaxLeave,"⚠ مجازين "&amp;SUMPRODUCT(('حجز الإجازات'!$G$5:$G$104&lt;&gt;"مرفوض")*('حجز الإجازات'!$D$5:$D$104&lt;=$D77)*($D77&lt;=('حجز الإجازات'!$E$5:$E$104)))&amp;" / الحد "&amp;MaxLeave,"✓ مجازين "&amp;SUMPRODUCT(('حجز الإجازات'!$G$5:$G$104&lt;&gt;"مرفوض")*('حجز الإجازات'!$D$5:$D$104&lt;=$D77)*($D77&lt;=('حجز الإجازات'!$E$5:$E$104)))&amp;" / الحد "&amp;MaxLeave))</f>
        <v/>
      </c>
      <c r="J77" s="37" t="n"/>
    </row>
    <row r="78">
      <c r="A78" s="16" t="n">
        <v>74</v>
      </c>
      <c r="B78" s="37" t="n"/>
      <c r="C78" s="46" t="n"/>
      <c r="D78" s="54" t="n"/>
      <c r="E78" s="54" t="n"/>
      <c r="F78" s="16">
        <f>IF(OR($D78="",$E78=""),"",$E78-$D78+1-SUMPRODUCT((Holidays&gt;=$D78)*(Holidays&lt;=$E78)))</f>
        <v/>
      </c>
      <c r="G78" s="46" t="n"/>
      <c r="H78" s="16">
        <f>IF(OR($B78="",$D78="",$E78=""),"",IF(SUMPRODUCT(('حجز الإجازات'!$B$5:$B$104=$B78)*('حجز الإجازات'!$G$5:$G$104&lt;&gt;"مرفوض")*('حجز الإجازات'!$D$5:$D$104&lt;=$E78)*($D78&lt;=('حجز الإجازات'!$E$5:$E$104)))-(($B78&lt;&gt;"")*($G78&lt;&gt;"مرفوض"))&gt;0,"⚠ تعارض","✓ سليم"))</f>
        <v/>
      </c>
      <c r="I78" s="16">
        <f>IF($D78="","",IF(SUMPRODUCT(('حجز الإجازات'!$G$5:$G$104&lt;&gt;"مرفوض")*('حجز الإجازات'!$D$5:$D$104&lt;=$D78)*($D78&lt;=('حجز الإجازات'!$E$5:$E$104)))&gt;MaxLeave,"⚠ مجازين "&amp;SUMPRODUCT(('حجز الإجازات'!$G$5:$G$104&lt;&gt;"مرفوض")*('حجز الإجازات'!$D$5:$D$104&lt;=$D78)*($D78&lt;=('حجز الإجازات'!$E$5:$E$104)))&amp;" / الحد "&amp;MaxLeave,"✓ مجازين "&amp;SUMPRODUCT(('حجز الإجازات'!$G$5:$G$104&lt;&gt;"مرفوض")*('حجز الإجازات'!$D$5:$D$104&lt;=$D78)*($D78&lt;=('حجز الإجازات'!$E$5:$E$104)))&amp;" / الحد "&amp;MaxLeave))</f>
        <v/>
      </c>
      <c r="J78" s="37" t="n"/>
    </row>
    <row r="79">
      <c r="A79" s="16" t="n">
        <v>75</v>
      </c>
      <c r="B79" s="37" t="n"/>
      <c r="C79" s="46" t="n"/>
      <c r="D79" s="54" t="n"/>
      <c r="E79" s="54" t="n"/>
      <c r="F79" s="16">
        <f>IF(OR($D79="",$E79=""),"",$E79-$D79+1-SUMPRODUCT((Holidays&gt;=$D79)*(Holidays&lt;=$E79)))</f>
        <v/>
      </c>
      <c r="G79" s="46" t="n"/>
      <c r="H79" s="16">
        <f>IF(OR($B79="",$D79="",$E79=""),"",IF(SUMPRODUCT(('حجز الإجازات'!$B$5:$B$104=$B79)*('حجز الإجازات'!$G$5:$G$104&lt;&gt;"مرفوض")*('حجز الإجازات'!$D$5:$D$104&lt;=$E79)*($D79&lt;=('حجز الإجازات'!$E$5:$E$104)))-(($B79&lt;&gt;"")*($G79&lt;&gt;"مرفوض"))&gt;0,"⚠ تعارض","✓ سليم"))</f>
        <v/>
      </c>
      <c r="I79" s="16">
        <f>IF($D79="","",IF(SUMPRODUCT(('حجز الإجازات'!$G$5:$G$104&lt;&gt;"مرفوض")*('حجز الإجازات'!$D$5:$D$104&lt;=$D79)*($D79&lt;=('حجز الإجازات'!$E$5:$E$104)))&gt;MaxLeave,"⚠ مجازين "&amp;SUMPRODUCT(('حجز الإجازات'!$G$5:$G$104&lt;&gt;"مرفوض")*('حجز الإجازات'!$D$5:$D$104&lt;=$D79)*($D79&lt;=('حجز الإجازات'!$E$5:$E$104)))&amp;" / الحد "&amp;MaxLeave,"✓ مجازين "&amp;SUMPRODUCT(('حجز الإجازات'!$G$5:$G$104&lt;&gt;"مرفوض")*('حجز الإجازات'!$D$5:$D$104&lt;=$D79)*($D79&lt;=('حجز الإجازات'!$E$5:$E$104)))&amp;" / الحد "&amp;MaxLeave))</f>
        <v/>
      </c>
      <c r="J79" s="37" t="n"/>
    </row>
    <row r="80">
      <c r="A80" s="16" t="n">
        <v>76</v>
      </c>
      <c r="B80" s="37" t="n"/>
      <c r="C80" s="46" t="n"/>
      <c r="D80" s="54" t="n"/>
      <c r="E80" s="54" t="n"/>
      <c r="F80" s="16">
        <f>IF(OR($D80="",$E80=""),"",$E80-$D80+1-SUMPRODUCT((Holidays&gt;=$D80)*(Holidays&lt;=$E80)))</f>
        <v/>
      </c>
      <c r="G80" s="46" t="n"/>
      <c r="H80" s="16">
        <f>IF(OR($B80="",$D80="",$E80=""),"",IF(SUMPRODUCT(('حجز الإجازات'!$B$5:$B$104=$B80)*('حجز الإجازات'!$G$5:$G$104&lt;&gt;"مرفوض")*('حجز الإجازات'!$D$5:$D$104&lt;=$E80)*($D80&lt;=('حجز الإجازات'!$E$5:$E$104)))-(($B80&lt;&gt;"")*($G80&lt;&gt;"مرفوض"))&gt;0,"⚠ تعارض","✓ سليم"))</f>
        <v/>
      </c>
      <c r="I80" s="16">
        <f>IF($D80="","",IF(SUMPRODUCT(('حجز الإجازات'!$G$5:$G$104&lt;&gt;"مرفوض")*('حجز الإجازات'!$D$5:$D$104&lt;=$D80)*($D80&lt;=('حجز الإجازات'!$E$5:$E$104)))&gt;MaxLeave,"⚠ مجازين "&amp;SUMPRODUCT(('حجز الإجازات'!$G$5:$G$104&lt;&gt;"مرفوض")*('حجز الإجازات'!$D$5:$D$104&lt;=$D80)*($D80&lt;=('حجز الإجازات'!$E$5:$E$104)))&amp;" / الحد "&amp;MaxLeave,"✓ مجازين "&amp;SUMPRODUCT(('حجز الإجازات'!$G$5:$G$104&lt;&gt;"مرفوض")*('حجز الإجازات'!$D$5:$D$104&lt;=$D80)*($D80&lt;=('حجز الإجازات'!$E$5:$E$104)))&amp;" / الحد "&amp;MaxLeave))</f>
        <v/>
      </c>
      <c r="J80" s="37" t="n"/>
    </row>
    <row r="81">
      <c r="A81" s="16" t="n">
        <v>77</v>
      </c>
      <c r="B81" s="37" t="n"/>
      <c r="C81" s="46" t="n"/>
      <c r="D81" s="54" t="n"/>
      <c r="E81" s="54" t="n"/>
      <c r="F81" s="16">
        <f>IF(OR($D81="",$E81=""),"",$E81-$D81+1-SUMPRODUCT((Holidays&gt;=$D81)*(Holidays&lt;=$E81)))</f>
        <v/>
      </c>
      <c r="G81" s="46" t="n"/>
      <c r="H81" s="16">
        <f>IF(OR($B81="",$D81="",$E81=""),"",IF(SUMPRODUCT(('حجز الإجازات'!$B$5:$B$104=$B81)*('حجز الإجازات'!$G$5:$G$104&lt;&gt;"مرفوض")*('حجز الإجازات'!$D$5:$D$104&lt;=$E81)*($D81&lt;=('حجز الإجازات'!$E$5:$E$104)))-(($B81&lt;&gt;"")*($G81&lt;&gt;"مرفوض"))&gt;0,"⚠ تعارض","✓ سليم"))</f>
        <v/>
      </c>
      <c r="I81" s="16">
        <f>IF($D81="","",IF(SUMPRODUCT(('حجز الإجازات'!$G$5:$G$104&lt;&gt;"مرفوض")*('حجز الإجازات'!$D$5:$D$104&lt;=$D81)*($D81&lt;=('حجز الإجازات'!$E$5:$E$104)))&gt;MaxLeave,"⚠ مجازين "&amp;SUMPRODUCT(('حجز الإجازات'!$G$5:$G$104&lt;&gt;"مرفوض")*('حجز الإجازات'!$D$5:$D$104&lt;=$D81)*($D81&lt;=('حجز الإجازات'!$E$5:$E$104)))&amp;" / الحد "&amp;MaxLeave,"✓ مجازين "&amp;SUMPRODUCT(('حجز الإجازات'!$G$5:$G$104&lt;&gt;"مرفوض")*('حجز الإجازات'!$D$5:$D$104&lt;=$D81)*($D81&lt;=('حجز الإجازات'!$E$5:$E$104)))&amp;" / الحد "&amp;MaxLeave))</f>
        <v/>
      </c>
      <c r="J81" s="37" t="n"/>
    </row>
    <row r="82">
      <c r="A82" s="16" t="n">
        <v>78</v>
      </c>
      <c r="B82" s="37" t="n"/>
      <c r="C82" s="46" t="n"/>
      <c r="D82" s="54" t="n"/>
      <c r="E82" s="54" t="n"/>
      <c r="F82" s="16">
        <f>IF(OR($D82="",$E82=""),"",$E82-$D82+1-SUMPRODUCT((Holidays&gt;=$D82)*(Holidays&lt;=$E82)))</f>
        <v/>
      </c>
      <c r="G82" s="46" t="n"/>
      <c r="H82" s="16">
        <f>IF(OR($B82="",$D82="",$E82=""),"",IF(SUMPRODUCT(('حجز الإجازات'!$B$5:$B$104=$B82)*('حجز الإجازات'!$G$5:$G$104&lt;&gt;"مرفوض")*('حجز الإجازات'!$D$5:$D$104&lt;=$E82)*($D82&lt;=('حجز الإجازات'!$E$5:$E$104)))-(($B82&lt;&gt;"")*($G82&lt;&gt;"مرفوض"))&gt;0,"⚠ تعارض","✓ سليم"))</f>
        <v/>
      </c>
      <c r="I82" s="16">
        <f>IF($D82="","",IF(SUMPRODUCT(('حجز الإجازات'!$G$5:$G$104&lt;&gt;"مرفوض")*('حجز الإجازات'!$D$5:$D$104&lt;=$D82)*($D82&lt;=('حجز الإجازات'!$E$5:$E$104)))&gt;MaxLeave,"⚠ مجازين "&amp;SUMPRODUCT(('حجز الإجازات'!$G$5:$G$104&lt;&gt;"مرفوض")*('حجز الإجازات'!$D$5:$D$104&lt;=$D82)*($D82&lt;=('حجز الإجازات'!$E$5:$E$104)))&amp;" / الحد "&amp;MaxLeave,"✓ مجازين "&amp;SUMPRODUCT(('حجز الإجازات'!$G$5:$G$104&lt;&gt;"مرفوض")*('حجز الإجازات'!$D$5:$D$104&lt;=$D82)*($D82&lt;=('حجز الإجازات'!$E$5:$E$104)))&amp;" / الحد "&amp;MaxLeave))</f>
        <v/>
      </c>
      <c r="J82" s="37" t="n"/>
    </row>
    <row r="83">
      <c r="A83" s="16" t="n">
        <v>79</v>
      </c>
      <c r="B83" s="37" t="n"/>
      <c r="C83" s="46" t="n"/>
      <c r="D83" s="54" t="n"/>
      <c r="E83" s="54" t="n"/>
      <c r="F83" s="16">
        <f>IF(OR($D83="",$E83=""),"",$E83-$D83+1-SUMPRODUCT((Holidays&gt;=$D83)*(Holidays&lt;=$E83)))</f>
        <v/>
      </c>
      <c r="G83" s="46" t="n"/>
      <c r="H83" s="16">
        <f>IF(OR($B83="",$D83="",$E83=""),"",IF(SUMPRODUCT(('حجز الإجازات'!$B$5:$B$104=$B83)*('حجز الإجازات'!$G$5:$G$104&lt;&gt;"مرفوض")*('حجز الإجازات'!$D$5:$D$104&lt;=$E83)*($D83&lt;=('حجز الإجازات'!$E$5:$E$104)))-(($B83&lt;&gt;"")*($G83&lt;&gt;"مرفوض"))&gt;0,"⚠ تعارض","✓ سليم"))</f>
        <v/>
      </c>
      <c r="I83" s="16">
        <f>IF($D83="","",IF(SUMPRODUCT(('حجز الإجازات'!$G$5:$G$104&lt;&gt;"مرفوض")*('حجز الإجازات'!$D$5:$D$104&lt;=$D83)*($D83&lt;=('حجز الإجازات'!$E$5:$E$104)))&gt;MaxLeave,"⚠ مجازين "&amp;SUMPRODUCT(('حجز الإجازات'!$G$5:$G$104&lt;&gt;"مرفوض")*('حجز الإجازات'!$D$5:$D$104&lt;=$D83)*($D83&lt;=('حجز الإجازات'!$E$5:$E$104)))&amp;" / الحد "&amp;MaxLeave,"✓ مجازين "&amp;SUMPRODUCT(('حجز الإجازات'!$G$5:$G$104&lt;&gt;"مرفوض")*('حجز الإجازات'!$D$5:$D$104&lt;=$D83)*($D83&lt;=('حجز الإجازات'!$E$5:$E$104)))&amp;" / الحد "&amp;MaxLeave))</f>
        <v/>
      </c>
      <c r="J83" s="37" t="n"/>
    </row>
    <row r="84">
      <c r="A84" s="16" t="n">
        <v>80</v>
      </c>
      <c r="B84" s="37" t="n"/>
      <c r="C84" s="46" t="n"/>
      <c r="D84" s="54" t="n"/>
      <c r="E84" s="54" t="n"/>
      <c r="F84" s="16">
        <f>IF(OR($D84="",$E84=""),"",$E84-$D84+1-SUMPRODUCT((Holidays&gt;=$D84)*(Holidays&lt;=$E84)))</f>
        <v/>
      </c>
      <c r="G84" s="46" t="n"/>
      <c r="H84" s="16">
        <f>IF(OR($B84="",$D84="",$E84=""),"",IF(SUMPRODUCT(('حجز الإجازات'!$B$5:$B$104=$B84)*('حجز الإجازات'!$G$5:$G$104&lt;&gt;"مرفوض")*('حجز الإجازات'!$D$5:$D$104&lt;=$E84)*($D84&lt;=('حجز الإجازات'!$E$5:$E$104)))-(($B84&lt;&gt;"")*($G84&lt;&gt;"مرفوض"))&gt;0,"⚠ تعارض","✓ سليم"))</f>
        <v/>
      </c>
      <c r="I84" s="16">
        <f>IF($D84="","",IF(SUMPRODUCT(('حجز الإجازات'!$G$5:$G$104&lt;&gt;"مرفوض")*('حجز الإجازات'!$D$5:$D$104&lt;=$D84)*($D84&lt;=('حجز الإجازات'!$E$5:$E$104)))&gt;MaxLeave,"⚠ مجازين "&amp;SUMPRODUCT(('حجز الإجازات'!$G$5:$G$104&lt;&gt;"مرفوض")*('حجز الإجازات'!$D$5:$D$104&lt;=$D84)*($D84&lt;=('حجز الإجازات'!$E$5:$E$104)))&amp;" / الحد "&amp;MaxLeave,"✓ مجازين "&amp;SUMPRODUCT(('حجز الإجازات'!$G$5:$G$104&lt;&gt;"مرفوض")*('حجز الإجازات'!$D$5:$D$104&lt;=$D84)*($D84&lt;=('حجز الإجازات'!$E$5:$E$104)))&amp;" / الحد "&amp;MaxLeave))</f>
        <v/>
      </c>
      <c r="J84" s="37" t="n"/>
    </row>
    <row r="85">
      <c r="A85" s="16" t="n">
        <v>81</v>
      </c>
      <c r="B85" s="37" t="n"/>
      <c r="C85" s="46" t="n"/>
      <c r="D85" s="54" t="n"/>
      <c r="E85" s="54" t="n"/>
      <c r="F85" s="16">
        <f>IF(OR($D85="",$E85=""),"",$E85-$D85+1-SUMPRODUCT((Holidays&gt;=$D85)*(Holidays&lt;=$E85)))</f>
        <v/>
      </c>
      <c r="G85" s="46" t="n"/>
      <c r="H85" s="16">
        <f>IF(OR($B85="",$D85="",$E85=""),"",IF(SUMPRODUCT(('حجز الإجازات'!$B$5:$B$104=$B85)*('حجز الإجازات'!$G$5:$G$104&lt;&gt;"مرفوض")*('حجز الإجازات'!$D$5:$D$104&lt;=$E85)*($D85&lt;=('حجز الإجازات'!$E$5:$E$104)))-(($B85&lt;&gt;"")*($G85&lt;&gt;"مرفوض"))&gt;0,"⚠ تعارض","✓ سليم"))</f>
        <v/>
      </c>
      <c r="I85" s="16">
        <f>IF($D85="","",IF(SUMPRODUCT(('حجز الإجازات'!$G$5:$G$104&lt;&gt;"مرفوض")*('حجز الإجازات'!$D$5:$D$104&lt;=$D85)*($D85&lt;=('حجز الإجازات'!$E$5:$E$104)))&gt;MaxLeave,"⚠ مجازين "&amp;SUMPRODUCT(('حجز الإجازات'!$G$5:$G$104&lt;&gt;"مرفوض")*('حجز الإجازات'!$D$5:$D$104&lt;=$D85)*($D85&lt;=('حجز الإجازات'!$E$5:$E$104)))&amp;" / الحد "&amp;MaxLeave,"✓ مجازين "&amp;SUMPRODUCT(('حجز الإجازات'!$G$5:$G$104&lt;&gt;"مرفوض")*('حجز الإجازات'!$D$5:$D$104&lt;=$D85)*($D85&lt;=('حجز الإجازات'!$E$5:$E$104)))&amp;" / الحد "&amp;MaxLeave))</f>
        <v/>
      </c>
      <c r="J85" s="37" t="n"/>
    </row>
    <row r="86">
      <c r="A86" s="16" t="n">
        <v>82</v>
      </c>
      <c r="B86" s="37" t="n"/>
      <c r="C86" s="46" t="n"/>
      <c r="D86" s="54" t="n"/>
      <c r="E86" s="54" t="n"/>
      <c r="F86" s="16">
        <f>IF(OR($D86="",$E86=""),"",$E86-$D86+1-SUMPRODUCT((Holidays&gt;=$D86)*(Holidays&lt;=$E86)))</f>
        <v/>
      </c>
      <c r="G86" s="46" t="n"/>
      <c r="H86" s="16">
        <f>IF(OR($B86="",$D86="",$E86=""),"",IF(SUMPRODUCT(('حجز الإجازات'!$B$5:$B$104=$B86)*('حجز الإجازات'!$G$5:$G$104&lt;&gt;"مرفوض")*('حجز الإجازات'!$D$5:$D$104&lt;=$E86)*($D86&lt;=('حجز الإجازات'!$E$5:$E$104)))-(($B86&lt;&gt;"")*($G86&lt;&gt;"مرفوض"))&gt;0,"⚠ تعارض","✓ سليم"))</f>
        <v/>
      </c>
      <c r="I86" s="16">
        <f>IF($D86="","",IF(SUMPRODUCT(('حجز الإجازات'!$G$5:$G$104&lt;&gt;"مرفوض")*('حجز الإجازات'!$D$5:$D$104&lt;=$D86)*($D86&lt;=('حجز الإجازات'!$E$5:$E$104)))&gt;MaxLeave,"⚠ مجازين "&amp;SUMPRODUCT(('حجز الإجازات'!$G$5:$G$104&lt;&gt;"مرفوض")*('حجز الإجازات'!$D$5:$D$104&lt;=$D86)*($D86&lt;=('حجز الإجازات'!$E$5:$E$104)))&amp;" / الحد "&amp;MaxLeave,"✓ مجازين "&amp;SUMPRODUCT(('حجز الإجازات'!$G$5:$G$104&lt;&gt;"مرفوض")*('حجز الإجازات'!$D$5:$D$104&lt;=$D86)*($D86&lt;=('حجز الإجازات'!$E$5:$E$104)))&amp;" / الحد "&amp;MaxLeave))</f>
        <v/>
      </c>
      <c r="J86" s="37" t="n"/>
    </row>
    <row r="87">
      <c r="A87" s="16" t="n">
        <v>83</v>
      </c>
      <c r="B87" s="37" t="n"/>
      <c r="C87" s="46" t="n"/>
      <c r="D87" s="54" t="n"/>
      <c r="E87" s="54" t="n"/>
      <c r="F87" s="16">
        <f>IF(OR($D87="",$E87=""),"",$E87-$D87+1-SUMPRODUCT((Holidays&gt;=$D87)*(Holidays&lt;=$E87)))</f>
        <v/>
      </c>
      <c r="G87" s="46" t="n"/>
      <c r="H87" s="16">
        <f>IF(OR($B87="",$D87="",$E87=""),"",IF(SUMPRODUCT(('حجز الإجازات'!$B$5:$B$104=$B87)*('حجز الإجازات'!$G$5:$G$104&lt;&gt;"مرفوض")*('حجز الإجازات'!$D$5:$D$104&lt;=$E87)*($D87&lt;=('حجز الإجازات'!$E$5:$E$104)))-(($B87&lt;&gt;"")*($G87&lt;&gt;"مرفوض"))&gt;0,"⚠ تعارض","✓ سليم"))</f>
        <v/>
      </c>
      <c r="I87" s="16">
        <f>IF($D87="","",IF(SUMPRODUCT(('حجز الإجازات'!$G$5:$G$104&lt;&gt;"مرفوض")*('حجز الإجازات'!$D$5:$D$104&lt;=$D87)*($D87&lt;=('حجز الإجازات'!$E$5:$E$104)))&gt;MaxLeave,"⚠ مجازين "&amp;SUMPRODUCT(('حجز الإجازات'!$G$5:$G$104&lt;&gt;"مرفوض")*('حجز الإجازات'!$D$5:$D$104&lt;=$D87)*($D87&lt;=('حجز الإجازات'!$E$5:$E$104)))&amp;" / الحد "&amp;MaxLeave,"✓ مجازين "&amp;SUMPRODUCT(('حجز الإجازات'!$G$5:$G$104&lt;&gt;"مرفوض")*('حجز الإجازات'!$D$5:$D$104&lt;=$D87)*($D87&lt;=('حجز الإجازات'!$E$5:$E$104)))&amp;" / الحد "&amp;MaxLeave))</f>
        <v/>
      </c>
      <c r="J87" s="37" t="n"/>
    </row>
    <row r="88">
      <c r="A88" s="16" t="n">
        <v>84</v>
      </c>
      <c r="B88" s="37" t="n"/>
      <c r="C88" s="46" t="n"/>
      <c r="D88" s="54" t="n"/>
      <c r="E88" s="54" t="n"/>
      <c r="F88" s="16">
        <f>IF(OR($D88="",$E88=""),"",$E88-$D88+1-SUMPRODUCT((Holidays&gt;=$D88)*(Holidays&lt;=$E88)))</f>
        <v/>
      </c>
      <c r="G88" s="46" t="n"/>
      <c r="H88" s="16">
        <f>IF(OR($B88="",$D88="",$E88=""),"",IF(SUMPRODUCT(('حجز الإجازات'!$B$5:$B$104=$B88)*('حجز الإجازات'!$G$5:$G$104&lt;&gt;"مرفوض")*('حجز الإجازات'!$D$5:$D$104&lt;=$E88)*($D88&lt;=('حجز الإجازات'!$E$5:$E$104)))-(($B88&lt;&gt;"")*($G88&lt;&gt;"مرفوض"))&gt;0,"⚠ تعارض","✓ سليم"))</f>
        <v/>
      </c>
      <c r="I88" s="16">
        <f>IF($D88="","",IF(SUMPRODUCT(('حجز الإجازات'!$G$5:$G$104&lt;&gt;"مرفوض")*('حجز الإجازات'!$D$5:$D$104&lt;=$D88)*($D88&lt;=('حجز الإجازات'!$E$5:$E$104)))&gt;MaxLeave,"⚠ مجازين "&amp;SUMPRODUCT(('حجز الإجازات'!$G$5:$G$104&lt;&gt;"مرفوض")*('حجز الإجازات'!$D$5:$D$104&lt;=$D88)*($D88&lt;=('حجز الإجازات'!$E$5:$E$104)))&amp;" / الحد "&amp;MaxLeave,"✓ مجازين "&amp;SUMPRODUCT(('حجز الإجازات'!$G$5:$G$104&lt;&gt;"مرفوض")*('حجز الإجازات'!$D$5:$D$104&lt;=$D88)*($D88&lt;=('حجز الإجازات'!$E$5:$E$104)))&amp;" / الحد "&amp;MaxLeave))</f>
        <v/>
      </c>
      <c r="J88" s="37" t="n"/>
    </row>
    <row r="89">
      <c r="A89" s="16" t="n">
        <v>85</v>
      </c>
      <c r="B89" s="37" t="n"/>
      <c r="C89" s="46" t="n"/>
      <c r="D89" s="54" t="n"/>
      <c r="E89" s="54" t="n"/>
      <c r="F89" s="16">
        <f>IF(OR($D89="",$E89=""),"",$E89-$D89+1-SUMPRODUCT((Holidays&gt;=$D89)*(Holidays&lt;=$E89)))</f>
        <v/>
      </c>
      <c r="G89" s="46" t="n"/>
      <c r="H89" s="16">
        <f>IF(OR($B89="",$D89="",$E89=""),"",IF(SUMPRODUCT(('حجز الإجازات'!$B$5:$B$104=$B89)*('حجز الإجازات'!$G$5:$G$104&lt;&gt;"مرفوض")*('حجز الإجازات'!$D$5:$D$104&lt;=$E89)*($D89&lt;=('حجز الإجازات'!$E$5:$E$104)))-(($B89&lt;&gt;"")*($G89&lt;&gt;"مرفوض"))&gt;0,"⚠ تعارض","✓ سليم"))</f>
        <v/>
      </c>
      <c r="I89" s="16">
        <f>IF($D89="","",IF(SUMPRODUCT(('حجز الإجازات'!$G$5:$G$104&lt;&gt;"مرفوض")*('حجز الإجازات'!$D$5:$D$104&lt;=$D89)*($D89&lt;=('حجز الإجازات'!$E$5:$E$104)))&gt;MaxLeave,"⚠ مجازين "&amp;SUMPRODUCT(('حجز الإجازات'!$G$5:$G$104&lt;&gt;"مرفوض")*('حجز الإجازات'!$D$5:$D$104&lt;=$D89)*($D89&lt;=('حجز الإجازات'!$E$5:$E$104)))&amp;" / الحد "&amp;MaxLeave,"✓ مجازين "&amp;SUMPRODUCT(('حجز الإجازات'!$G$5:$G$104&lt;&gt;"مرفوض")*('حجز الإجازات'!$D$5:$D$104&lt;=$D89)*($D89&lt;=('حجز الإجازات'!$E$5:$E$104)))&amp;" / الحد "&amp;MaxLeave))</f>
        <v/>
      </c>
      <c r="J89" s="37" t="n"/>
    </row>
    <row r="90">
      <c r="A90" s="16" t="n">
        <v>86</v>
      </c>
      <c r="B90" s="37" t="n"/>
      <c r="C90" s="46" t="n"/>
      <c r="D90" s="54" t="n"/>
      <c r="E90" s="54" t="n"/>
      <c r="F90" s="16">
        <f>IF(OR($D90="",$E90=""),"",$E90-$D90+1-SUMPRODUCT((Holidays&gt;=$D90)*(Holidays&lt;=$E90)))</f>
        <v/>
      </c>
      <c r="G90" s="46" t="n"/>
      <c r="H90" s="16">
        <f>IF(OR($B90="",$D90="",$E90=""),"",IF(SUMPRODUCT(('حجز الإجازات'!$B$5:$B$104=$B90)*('حجز الإجازات'!$G$5:$G$104&lt;&gt;"مرفوض")*('حجز الإجازات'!$D$5:$D$104&lt;=$E90)*($D90&lt;=('حجز الإجازات'!$E$5:$E$104)))-(($B90&lt;&gt;"")*($G90&lt;&gt;"مرفوض"))&gt;0,"⚠ تعارض","✓ سليم"))</f>
        <v/>
      </c>
      <c r="I90" s="16">
        <f>IF($D90="","",IF(SUMPRODUCT(('حجز الإجازات'!$G$5:$G$104&lt;&gt;"مرفوض")*('حجز الإجازات'!$D$5:$D$104&lt;=$D90)*($D90&lt;=('حجز الإجازات'!$E$5:$E$104)))&gt;MaxLeave,"⚠ مجازين "&amp;SUMPRODUCT(('حجز الإجازات'!$G$5:$G$104&lt;&gt;"مرفوض")*('حجز الإجازات'!$D$5:$D$104&lt;=$D90)*($D90&lt;=('حجز الإجازات'!$E$5:$E$104)))&amp;" / الحد "&amp;MaxLeave,"✓ مجازين "&amp;SUMPRODUCT(('حجز الإجازات'!$G$5:$G$104&lt;&gt;"مرفوض")*('حجز الإجازات'!$D$5:$D$104&lt;=$D90)*($D90&lt;=('حجز الإجازات'!$E$5:$E$104)))&amp;" / الحد "&amp;MaxLeave))</f>
        <v/>
      </c>
      <c r="J90" s="37" t="n"/>
    </row>
    <row r="91">
      <c r="A91" s="16" t="n">
        <v>87</v>
      </c>
      <c r="B91" s="37" t="n"/>
      <c r="C91" s="46" t="n"/>
      <c r="D91" s="54" t="n"/>
      <c r="E91" s="54" t="n"/>
      <c r="F91" s="16">
        <f>IF(OR($D91="",$E91=""),"",$E91-$D91+1-SUMPRODUCT((Holidays&gt;=$D91)*(Holidays&lt;=$E91)))</f>
        <v/>
      </c>
      <c r="G91" s="46" t="n"/>
      <c r="H91" s="16">
        <f>IF(OR($B91="",$D91="",$E91=""),"",IF(SUMPRODUCT(('حجز الإجازات'!$B$5:$B$104=$B91)*('حجز الإجازات'!$G$5:$G$104&lt;&gt;"مرفوض")*('حجز الإجازات'!$D$5:$D$104&lt;=$E91)*($D91&lt;=('حجز الإجازات'!$E$5:$E$104)))-(($B91&lt;&gt;"")*($G91&lt;&gt;"مرفوض"))&gt;0,"⚠ تعارض","✓ سليم"))</f>
        <v/>
      </c>
      <c r="I91" s="16">
        <f>IF($D91="","",IF(SUMPRODUCT(('حجز الإجازات'!$G$5:$G$104&lt;&gt;"مرفوض")*('حجز الإجازات'!$D$5:$D$104&lt;=$D91)*($D91&lt;=('حجز الإجازات'!$E$5:$E$104)))&gt;MaxLeave,"⚠ مجازين "&amp;SUMPRODUCT(('حجز الإجازات'!$G$5:$G$104&lt;&gt;"مرفوض")*('حجز الإجازات'!$D$5:$D$104&lt;=$D91)*($D91&lt;=('حجز الإجازات'!$E$5:$E$104)))&amp;" / الحد "&amp;MaxLeave,"✓ مجازين "&amp;SUMPRODUCT(('حجز الإجازات'!$G$5:$G$104&lt;&gt;"مرفوض")*('حجز الإجازات'!$D$5:$D$104&lt;=$D91)*($D91&lt;=('حجز الإجازات'!$E$5:$E$104)))&amp;" / الحد "&amp;MaxLeave))</f>
        <v/>
      </c>
      <c r="J91" s="37" t="n"/>
    </row>
    <row r="92">
      <c r="A92" s="16" t="n">
        <v>88</v>
      </c>
      <c r="B92" s="37" t="n"/>
      <c r="C92" s="46" t="n"/>
      <c r="D92" s="54" t="n"/>
      <c r="E92" s="54" t="n"/>
      <c r="F92" s="16">
        <f>IF(OR($D92="",$E92=""),"",$E92-$D92+1-SUMPRODUCT((Holidays&gt;=$D92)*(Holidays&lt;=$E92)))</f>
        <v/>
      </c>
      <c r="G92" s="46" t="n"/>
      <c r="H92" s="16">
        <f>IF(OR($B92="",$D92="",$E92=""),"",IF(SUMPRODUCT(('حجز الإجازات'!$B$5:$B$104=$B92)*('حجز الإجازات'!$G$5:$G$104&lt;&gt;"مرفوض")*('حجز الإجازات'!$D$5:$D$104&lt;=$E92)*($D92&lt;=('حجز الإجازات'!$E$5:$E$104)))-(($B92&lt;&gt;"")*($G92&lt;&gt;"مرفوض"))&gt;0,"⚠ تعارض","✓ سليم"))</f>
        <v/>
      </c>
      <c r="I92" s="16">
        <f>IF($D92="","",IF(SUMPRODUCT(('حجز الإجازات'!$G$5:$G$104&lt;&gt;"مرفوض")*('حجز الإجازات'!$D$5:$D$104&lt;=$D92)*($D92&lt;=('حجز الإجازات'!$E$5:$E$104)))&gt;MaxLeave,"⚠ مجازين "&amp;SUMPRODUCT(('حجز الإجازات'!$G$5:$G$104&lt;&gt;"مرفوض")*('حجز الإجازات'!$D$5:$D$104&lt;=$D92)*($D92&lt;=('حجز الإجازات'!$E$5:$E$104)))&amp;" / الحد "&amp;MaxLeave,"✓ مجازين "&amp;SUMPRODUCT(('حجز الإجازات'!$G$5:$G$104&lt;&gt;"مرفوض")*('حجز الإجازات'!$D$5:$D$104&lt;=$D92)*($D92&lt;=('حجز الإجازات'!$E$5:$E$104)))&amp;" / الحد "&amp;MaxLeave))</f>
        <v/>
      </c>
      <c r="J92" s="37" t="n"/>
    </row>
    <row r="93">
      <c r="A93" s="16" t="n">
        <v>89</v>
      </c>
      <c r="B93" s="37" t="n"/>
      <c r="C93" s="46" t="n"/>
      <c r="D93" s="54" t="n"/>
      <c r="E93" s="54" t="n"/>
      <c r="F93" s="16">
        <f>IF(OR($D93="",$E93=""),"",$E93-$D93+1-SUMPRODUCT((Holidays&gt;=$D93)*(Holidays&lt;=$E93)))</f>
        <v/>
      </c>
      <c r="G93" s="46" t="n"/>
      <c r="H93" s="16">
        <f>IF(OR($B93="",$D93="",$E93=""),"",IF(SUMPRODUCT(('حجز الإجازات'!$B$5:$B$104=$B93)*('حجز الإجازات'!$G$5:$G$104&lt;&gt;"مرفوض")*('حجز الإجازات'!$D$5:$D$104&lt;=$E93)*($D93&lt;=('حجز الإجازات'!$E$5:$E$104)))-(($B93&lt;&gt;"")*($G93&lt;&gt;"مرفوض"))&gt;0,"⚠ تعارض","✓ سليم"))</f>
        <v/>
      </c>
      <c r="I93" s="16">
        <f>IF($D93="","",IF(SUMPRODUCT(('حجز الإجازات'!$G$5:$G$104&lt;&gt;"مرفوض")*('حجز الإجازات'!$D$5:$D$104&lt;=$D93)*($D93&lt;=('حجز الإجازات'!$E$5:$E$104)))&gt;MaxLeave,"⚠ مجازين "&amp;SUMPRODUCT(('حجز الإجازات'!$G$5:$G$104&lt;&gt;"مرفوض")*('حجز الإجازات'!$D$5:$D$104&lt;=$D93)*($D93&lt;=('حجز الإجازات'!$E$5:$E$104)))&amp;" / الحد "&amp;MaxLeave,"✓ مجازين "&amp;SUMPRODUCT(('حجز الإجازات'!$G$5:$G$104&lt;&gt;"مرفوض")*('حجز الإجازات'!$D$5:$D$104&lt;=$D93)*($D93&lt;=('حجز الإجازات'!$E$5:$E$104)))&amp;" / الحد "&amp;MaxLeave))</f>
        <v/>
      </c>
      <c r="J93" s="37" t="n"/>
    </row>
    <row r="94">
      <c r="A94" s="16" t="n">
        <v>90</v>
      </c>
      <c r="B94" s="37" t="n"/>
      <c r="C94" s="46" t="n"/>
      <c r="D94" s="54" t="n"/>
      <c r="E94" s="54" t="n"/>
      <c r="F94" s="16">
        <f>IF(OR($D94="",$E94=""),"",$E94-$D94+1-SUMPRODUCT((Holidays&gt;=$D94)*(Holidays&lt;=$E94)))</f>
        <v/>
      </c>
      <c r="G94" s="46" t="n"/>
      <c r="H94" s="16">
        <f>IF(OR($B94="",$D94="",$E94=""),"",IF(SUMPRODUCT(('حجز الإجازات'!$B$5:$B$104=$B94)*('حجز الإجازات'!$G$5:$G$104&lt;&gt;"مرفوض")*('حجز الإجازات'!$D$5:$D$104&lt;=$E94)*($D94&lt;=('حجز الإجازات'!$E$5:$E$104)))-(($B94&lt;&gt;"")*($G94&lt;&gt;"مرفوض"))&gt;0,"⚠ تعارض","✓ سليم"))</f>
        <v/>
      </c>
      <c r="I94" s="16">
        <f>IF($D94="","",IF(SUMPRODUCT(('حجز الإجازات'!$G$5:$G$104&lt;&gt;"مرفوض")*('حجز الإجازات'!$D$5:$D$104&lt;=$D94)*($D94&lt;=('حجز الإجازات'!$E$5:$E$104)))&gt;MaxLeave,"⚠ مجازين "&amp;SUMPRODUCT(('حجز الإجازات'!$G$5:$G$104&lt;&gt;"مرفوض")*('حجز الإجازات'!$D$5:$D$104&lt;=$D94)*($D94&lt;=('حجز الإجازات'!$E$5:$E$104)))&amp;" / الحد "&amp;MaxLeave,"✓ مجازين "&amp;SUMPRODUCT(('حجز الإجازات'!$G$5:$G$104&lt;&gt;"مرفوض")*('حجز الإجازات'!$D$5:$D$104&lt;=$D94)*($D94&lt;=('حجز الإجازات'!$E$5:$E$104)))&amp;" / الحد "&amp;MaxLeave))</f>
        <v/>
      </c>
      <c r="J94" s="37" t="n"/>
    </row>
    <row r="95">
      <c r="A95" s="16" t="n">
        <v>91</v>
      </c>
      <c r="B95" s="37" t="n"/>
      <c r="C95" s="46" t="n"/>
      <c r="D95" s="54" t="n"/>
      <c r="E95" s="54" t="n"/>
      <c r="F95" s="16">
        <f>IF(OR($D95="",$E95=""),"",$E95-$D95+1-SUMPRODUCT((Holidays&gt;=$D95)*(Holidays&lt;=$E95)))</f>
        <v/>
      </c>
      <c r="G95" s="46" t="n"/>
      <c r="H95" s="16">
        <f>IF(OR($B95="",$D95="",$E95=""),"",IF(SUMPRODUCT(('حجز الإجازات'!$B$5:$B$104=$B95)*('حجز الإجازات'!$G$5:$G$104&lt;&gt;"مرفوض")*('حجز الإجازات'!$D$5:$D$104&lt;=$E95)*($D95&lt;=('حجز الإجازات'!$E$5:$E$104)))-(($B95&lt;&gt;"")*($G95&lt;&gt;"مرفوض"))&gt;0,"⚠ تعارض","✓ سليم"))</f>
        <v/>
      </c>
      <c r="I95" s="16">
        <f>IF($D95="","",IF(SUMPRODUCT(('حجز الإجازات'!$G$5:$G$104&lt;&gt;"مرفوض")*('حجز الإجازات'!$D$5:$D$104&lt;=$D95)*($D95&lt;=('حجز الإجازات'!$E$5:$E$104)))&gt;MaxLeave,"⚠ مجازين "&amp;SUMPRODUCT(('حجز الإجازات'!$G$5:$G$104&lt;&gt;"مرفوض")*('حجز الإجازات'!$D$5:$D$104&lt;=$D95)*($D95&lt;=('حجز الإجازات'!$E$5:$E$104)))&amp;" / الحد "&amp;MaxLeave,"✓ مجازين "&amp;SUMPRODUCT(('حجز الإجازات'!$G$5:$G$104&lt;&gt;"مرفوض")*('حجز الإجازات'!$D$5:$D$104&lt;=$D95)*($D95&lt;=('حجز الإجازات'!$E$5:$E$104)))&amp;" / الحد "&amp;MaxLeave))</f>
        <v/>
      </c>
      <c r="J95" s="37" t="n"/>
    </row>
    <row r="96">
      <c r="A96" s="16" t="n">
        <v>92</v>
      </c>
      <c r="B96" s="37" t="n"/>
      <c r="C96" s="46" t="n"/>
      <c r="D96" s="54" t="n"/>
      <c r="E96" s="54" t="n"/>
      <c r="F96" s="16">
        <f>IF(OR($D96="",$E96=""),"",$E96-$D96+1-SUMPRODUCT((Holidays&gt;=$D96)*(Holidays&lt;=$E96)))</f>
        <v/>
      </c>
      <c r="G96" s="46" t="n"/>
      <c r="H96" s="16">
        <f>IF(OR($B96="",$D96="",$E96=""),"",IF(SUMPRODUCT(('حجز الإجازات'!$B$5:$B$104=$B96)*('حجز الإجازات'!$G$5:$G$104&lt;&gt;"مرفوض")*('حجز الإجازات'!$D$5:$D$104&lt;=$E96)*($D96&lt;=('حجز الإجازات'!$E$5:$E$104)))-(($B96&lt;&gt;"")*($G96&lt;&gt;"مرفوض"))&gt;0,"⚠ تعارض","✓ سليم"))</f>
        <v/>
      </c>
      <c r="I96" s="16">
        <f>IF($D96="","",IF(SUMPRODUCT(('حجز الإجازات'!$G$5:$G$104&lt;&gt;"مرفوض")*('حجز الإجازات'!$D$5:$D$104&lt;=$D96)*($D96&lt;=('حجز الإجازات'!$E$5:$E$104)))&gt;MaxLeave,"⚠ مجازين "&amp;SUMPRODUCT(('حجز الإجازات'!$G$5:$G$104&lt;&gt;"مرفوض")*('حجز الإجازات'!$D$5:$D$104&lt;=$D96)*($D96&lt;=('حجز الإجازات'!$E$5:$E$104)))&amp;" / الحد "&amp;MaxLeave,"✓ مجازين "&amp;SUMPRODUCT(('حجز الإجازات'!$G$5:$G$104&lt;&gt;"مرفوض")*('حجز الإجازات'!$D$5:$D$104&lt;=$D96)*($D96&lt;=('حجز الإجازات'!$E$5:$E$104)))&amp;" / الحد "&amp;MaxLeave))</f>
        <v/>
      </c>
      <c r="J96" s="37" t="n"/>
    </row>
    <row r="97">
      <c r="A97" s="16" t="n">
        <v>93</v>
      </c>
      <c r="B97" s="37" t="n"/>
      <c r="C97" s="46" t="n"/>
      <c r="D97" s="54" t="n"/>
      <c r="E97" s="54" t="n"/>
      <c r="F97" s="16">
        <f>IF(OR($D97="",$E97=""),"",$E97-$D97+1-SUMPRODUCT((Holidays&gt;=$D97)*(Holidays&lt;=$E97)))</f>
        <v/>
      </c>
      <c r="G97" s="46" t="n"/>
      <c r="H97" s="16">
        <f>IF(OR($B97="",$D97="",$E97=""),"",IF(SUMPRODUCT(('حجز الإجازات'!$B$5:$B$104=$B97)*('حجز الإجازات'!$G$5:$G$104&lt;&gt;"مرفوض")*('حجز الإجازات'!$D$5:$D$104&lt;=$E97)*($D97&lt;=('حجز الإجازات'!$E$5:$E$104)))-(($B97&lt;&gt;"")*($G97&lt;&gt;"مرفوض"))&gt;0,"⚠ تعارض","✓ سليم"))</f>
        <v/>
      </c>
      <c r="I97" s="16">
        <f>IF($D97="","",IF(SUMPRODUCT(('حجز الإجازات'!$G$5:$G$104&lt;&gt;"مرفوض")*('حجز الإجازات'!$D$5:$D$104&lt;=$D97)*($D97&lt;=('حجز الإجازات'!$E$5:$E$104)))&gt;MaxLeave,"⚠ مجازين "&amp;SUMPRODUCT(('حجز الإجازات'!$G$5:$G$104&lt;&gt;"مرفوض")*('حجز الإجازات'!$D$5:$D$104&lt;=$D97)*($D97&lt;=('حجز الإجازات'!$E$5:$E$104)))&amp;" / الحد "&amp;MaxLeave,"✓ مجازين "&amp;SUMPRODUCT(('حجز الإجازات'!$G$5:$G$104&lt;&gt;"مرفوض")*('حجز الإجازات'!$D$5:$D$104&lt;=$D97)*($D97&lt;=('حجز الإجازات'!$E$5:$E$104)))&amp;" / الحد "&amp;MaxLeave))</f>
        <v/>
      </c>
      <c r="J97" s="37" t="n"/>
    </row>
    <row r="98">
      <c r="A98" s="16" t="n">
        <v>94</v>
      </c>
      <c r="B98" s="37" t="n"/>
      <c r="C98" s="46" t="n"/>
      <c r="D98" s="54" t="n"/>
      <c r="E98" s="54" t="n"/>
      <c r="F98" s="16">
        <f>IF(OR($D98="",$E98=""),"",$E98-$D98+1-SUMPRODUCT((Holidays&gt;=$D98)*(Holidays&lt;=$E98)))</f>
        <v/>
      </c>
      <c r="G98" s="46" t="n"/>
      <c r="H98" s="16">
        <f>IF(OR($B98="",$D98="",$E98=""),"",IF(SUMPRODUCT(('حجز الإجازات'!$B$5:$B$104=$B98)*('حجز الإجازات'!$G$5:$G$104&lt;&gt;"مرفوض")*('حجز الإجازات'!$D$5:$D$104&lt;=$E98)*($D98&lt;=('حجز الإجازات'!$E$5:$E$104)))-(($B98&lt;&gt;"")*($G98&lt;&gt;"مرفوض"))&gt;0,"⚠ تعارض","✓ سليم"))</f>
        <v/>
      </c>
      <c r="I98" s="16">
        <f>IF($D98="","",IF(SUMPRODUCT(('حجز الإجازات'!$G$5:$G$104&lt;&gt;"مرفوض")*('حجز الإجازات'!$D$5:$D$104&lt;=$D98)*($D98&lt;=('حجز الإجازات'!$E$5:$E$104)))&gt;MaxLeave,"⚠ مجازين "&amp;SUMPRODUCT(('حجز الإجازات'!$G$5:$G$104&lt;&gt;"مرفوض")*('حجز الإجازات'!$D$5:$D$104&lt;=$D98)*($D98&lt;=('حجز الإجازات'!$E$5:$E$104)))&amp;" / الحد "&amp;MaxLeave,"✓ مجازين "&amp;SUMPRODUCT(('حجز الإجازات'!$G$5:$G$104&lt;&gt;"مرفوض")*('حجز الإجازات'!$D$5:$D$104&lt;=$D98)*($D98&lt;=('حجز الإجازات'!$E$5:$E$104)))&amp;" / الحد "&amp;MaxLeave))</f>
        <v/>
      </c>
      <c r="J98" s="37" t="n"/>
    </row>
    <row r="99">
      <c r="A99" s="16" t="n">
        <v>95</v>
      </c>
      <c r="B99" s="37" t="n"/>
      <c r="C99" s="46" t="n"/>
      <c r="D99" s="54" t="n"/>
      <c r="E99" s="54" t="n"/>
      <c r="F99" s="16">
        <f>IF(OR($D99="",$E99=""),"",$E99-$D99+1-SUMPRODUCT((Holidays&gt;=$D99)*(Holidays&lt;=$E99)))</f>
        <v/>
      </c>
      <c r="G99" s="46" t="n"/>
      <c r="H99" s="16">
        <f>IF(OR($B99="",$D99="",$E99=""),"",IF(SUMPRODUCT(('حجز الإجازات'!$B$5:$B$104=$B99)*('حجز الإجازات'!$G$5:$G$104&lt;&gt;"مرفوض")*('حجز الإجازات'!$D$5:$D$104&lt;=$E99)*($D99&lt;=('حجز الإجازات'!$E$5:$E$104)))-(($B99&lt;&gt;"")*($G99&lt;&gt;"مرفوض"))&gt;0,"⚠ تعارض","✓ سليم"))</f>
        <v/>
      </c>
      <c r="I99" s="16">
        <f>IF($D99="","",IF(SUMPRODUCT(('حجز الإجازات'!$G$5:$G$104&lt;&gt;"مرفوض")*('حجز الإجازات'!$D$5:$D$104&lt;=$D99)*($D99&lt;=('حجز الإجازات'!$E$5:$E$104)))&gt;MaxLeave,"⚠ مجازين "&amp;SUMPRODUCT(('حجز الإجازات'!$G$5:$G$104&lt;&gt;"مرفوض")*('حجز الإجازات'!$D$5:$D$104&lt;=$D99)*($D99&lt;=('حجز الإجازات'!$E$5:$E$104)))&amp;" / الحد "&amp;MaxLeave,"✓ مجازين "&amp;SUMPRODUCT(('حجز الإجازات'!$G$5:$G$104&lt;&gt;"مرفوض")*('حجز الإجازات'!$D$5:$D$104&lt;=$D99)*($D99&lt;=('حجز الإجازات'!$E$5:$E$104)))&amp;" / الحد "&amp;MaxLeave))</f>
        <v/>
      </c>
      <c r="J99" s="37" t="n"/>
    </row>
    <row r="100">
      <c r="A100" s="16" t="n">
        <v>96</v>
      </c>
      <c r="B100" s="37" t="n"/>
      <c r="C100" s="46" t="n"/>
      <c r="D100" s="54" t="n"/>
      <c r="E100" s="54" t="n"/>
      <c r="F100" s="16">
        <f>IF(OR($D100="",$E100=""),"",$E100-$D100+1-SUMPRODUCT((Holidays&gt;=$D100)*(Holidays&lt;=$E100)))</f>
        <v/>
      </c>
      <c r="G100" s="46" t="n"/>
      <c r="H100" s="16">
        <f>IF(OR($B100="",$D100="",$E100=""),"",IF(SUMPRODUCT(('حجز الإجازات'!$B$5:$B$104=$B100)*('حجز الإجازات'!$G$5:$G$104&lt;&gt;"مرفوض")*('حجز الإجازات'!$D$5:$D$104&lt;=$E100)*($D100&lt;=('حجز الإجازات'!$E$5:$E$104)))-(($B100&lt;&gt;"")*($G100&lt;&gt;"مرفوض"))&gt;0,"⚠ تعارض","✓ سليم"))</f>
        <v/>
      </c>
      <c r="I100" s="16">
        <f>IF($D100="","",IF(SUMPRODUCT(('حجز الإجازات'!$G$5:$G$104&lt;&gt;"مرفوض")*('حجز الإجازات'!$D$5:$D$104&lt;=$D100)*($D100&lt;=('حجز الإجازات'!$E$5:$E$104)))&gt;MaxLeave,"⚠ مجازين "&amp;SUMPRODUCT(('حجز الإجازات'!$G$5:$G$104&lt;&gt;"مرفوض")*('حجز الإجازات'!$D$5:$D$104&lt;=$D100)*($D100&lt;=('حجز الإجازات'!$E$5:$E$104)))&amp;" / الحد "&amp;MaxLeave,"✓ مجازين "&amp;SUMPRODUCT(('حجز الإجازات'!$G$5:$G$104&lt;&gt;"مرفوض")*('حجز الإجازات'!$D$5:$D$104&lt;=$D100)*($D100&lt;=('حجز الإجازات'!$E$5:$E$104)))&amp;" / الحد "&amp;MaxLeave))</f>
        <v/>
      </c>
      <c r="J100" s="37" t="n"/>
    </row>
    <row r="101">
      <c r="A101" s="16" t="n">
        <v>97</v>
      </c>
      <c r="B101" s="37" t="n"/>
      <c r="C101" s="46" t="n"/>
      <c r="D101" s="54" t="n"/>
      <c r="E101" s="54" t="n"/>
      <c r="F101" s="16">
        <f>IF(OR($D101="",$E101=""),"",$E101-$D101+1-SUMPRODUCT((Holidays&gt;=$D101)*(Holidays&lt;=$E101)))</f>
        <v/>
      </c>
      <c r="G101" s="46" t="n"/>
      <c r="H101" s="16">
        <f>IF(OR($B101="",$D101="",$E101=""),"",IF(SUMPRODUCT(('حجز الإجازات'!$B$5:$B$104=$B101)*('حجز الإجازات'!$G$5:$G$104&lt;&gt;"مرفوض")*('حجز الإجازات'!$D$5:$D$104&lt;=$E101)*($D101&lt;=('حجز الإجازات'!$E$5:$E$104)))-(($B101&lt;&gt;"")*($G101&lt;&gt;"مرفوض"))&gt;0,"⚠ تعارض","✓ سليم"))</f>
        <v/>
      </c>
      <c r="I101" s="16">
        <f>IF($D101="","",IF(SUMPRODUCT(('حجز الإجازات'!$G$5:$G$104&lt;&gt;"مرفوض")*('حجز الإجازات'!$D$5:$D$104&lt;=$D101)*($D101&lt;=('حجز الإجازات'!$E$5:$E$104)))&gt;MaxLeave,"⚠ مجازين "&amp;SUMPRODUCT(('حجز الإجازات'!$G$5:$G$104&lt;&gt;"مرفوض")*('حجز الإجازات'!$D$5:$D$104&lt;=$D101)*($D101&lt;=('حجز الإجازات'!$E$5:$E$104)))&amp;" / الحد "&amp;MaxLeave,"✓ مجازين "&amp;SUMPRODUCT(('حجز الإجازات'!$G$5:$G$104&lt;&gt;"مرفوض")*('حجز الإجازات'!$D$5:$D$104&lt;=$D101)*($D101&lt;=('حجز الإجازات'!$E$5:$E$104)))&amp;" / الحد "&amp;MaxLeave))</f>
        <v/>
      </c>
      <c r="J101" s="37" t="n"/>
    </row>
    <row r="102">
      <c r="A102" s="16" t="n">
        <v>98</v>
      </c>
      <c r="B102" s="37" t="n"/>
      <c r="C102" s="46" t="n"/>
      <c r="D102" s="54" t="n"/>
      <c r="E102" s="54" t="n"/>
      <c r="F102" s="16">
        <f>IF(OR($D102="",$E102=""),"",$E102-$D102+1-SUMPRODUCT((Holidays&gt;=$D102)*(Holidays&lt;=$E102)))</f>
        <v/>
      </c>
      <c r="G102" s="46" t="n"/>
      <c r="H102" s="16">
        <f>IF(OR($B102="",$D102="",$E102=""),"",IF(SUMPRODUCT(('حجز الإجازات'!$B$5:$B$104=$B102)*('حجز الإجازات'!$G$5:$G$104&lt;&gt;"مرفوض")*('حجز الإجازات'!$D$5:$D$104&lt;=$E102)*($D102&lt;=('حجز الإجازات'!$E$5:$E$104)))-(($B102&lt;&gt;"")*($G102&lt;&gt;"مرفوض"))&gt;0,"⚠ تعارض","✓ سليم"))</f>
        <v/>
      </c>
      <c r="I102" s="16">
        <f>IF($D102="","",IF(SUMPRODUCT(('حجز الإجازات'!$G$5:$G$104&lt;&gt;"مرفوض")*('حجز الإجازات'!$D$5:$D$104&lt;=$D102)*($D102&lt;=('حجز الإجازات'!$E$5:$E$104)))&gt;MaxLeave,"⚠ مجازين "&amp;SUMPRODUCT(('حجز الإجازات'!$G$5:$G$104&lt;&gt;"مرفوض")*('حجز الإجازات'!$D$5:$D$104&lt;=$D102)*($D102&lt;=('حجز الإجازات'!$E$5:$E$104)))&amp;" / الحد "&amp;MaxLeave,"✓ مجازين "&amp;SUMPRODUCT(('حجز الإجازات'!$G$5:$G$104&lt;&gt;"مرفوض")*('حجز الإجازات'!$D$5:$D$104&lt;=$D102)*($D102&lt;=('حجز الإجازات'!$E$5:$E$104)))&amp;" / الحد "&amp;MaxLeave))</f>
        <v/>
      </c>
      <c r="J102" s="37" t="n"/>
    </row>
    <row r="103">
      <c r="A103" s="16" t="n">
        <v>99</v>
      </c>
      <c r="B103" s="37" t="n"/>
      <c r="C103" s="46" t="n"/>
      <c r="D103" s="54" t="n"/>
      <c r="E103" s="54" t="n"/>
      <c r="F103" s="16">
        <f>IF(OR($D103="",$E103=""),"",$E103-$D103+1-SUMPRODUCT((Holidays&gt;=$D103)*(Holidays&lt;=$E103)))</f>
        <v/>
      </c>
      <c r="G103" s="46" t="n"/>
      <c r="H103" s="16">
        <f>IF(OR($B103="",$D103="",$E103=""),"",IF(SUMPRODUCT(('حجز الإجازات'!$B$5:$B$104=$B103)*('حجز الإجازات'!$G$5:$G$104&lt;&gt;"مرفوض")*('حجز الإجازات'!$D$5:$D$104&lt;=$E103)*($D103&lt;=('حجز الإجازات'!$E$5:$E$104)))-(($B103&lt;&gt;"")*($G103&lt;&gt;"مرفوض"))&gt;0,"⚠ تعارض","✓ سليم"))</f>
        <v/>
      </c>
      <c r="I103" s="16">
        <f>IF($D103="","",IF(SUMPRODUCT(('حجز الإجازات'!$G$5:$G$104&lt;&gt;"مرفوض")*('حجز الإجازات'!$D$5:$D$104&lt;=$D103)*($D103&lt;=('حجز الإجازات'!$E$5:$E$104)))&gt;MaxLeave,"⚠ مجازين "&amp;SUMPRODUCT(('حجز الإجازات'!$G$5:$G$104&lt;&gt;"مرفوض")*('حجز الإجازات'!$D$5:$D$104&lt;=$D103)*($D103&lt;=('حجز الإجازات'!$E$5:$E$104)))&amp;" / الحد "&amp;MaxLeave,"✓ مجازين "&amp;SUMPRODUCT(('حجز الإجازات'!$G$5:$G$104&lt;&gt;"مرفوض")*('حجز الإجازات'!$D$5:$D$104&lt;=$D103)*($D103&lt;=('حجز الإجازات'!$E$5:$E$104)))&amp;" / الحد "&amp;MaxLeave))</f>
        <v/>
      </c>
      <c r="J103" s="37" t="n"/>
    </row>
    <row r="104">
      <c r="A104" s="16" t="n">
        <v>100</v>
      </c>
      <c r="B104" s="37" t="n"/>
      <c r="C104" s="46" t="n"/>
      <c r="D104" s="54" t="n"/>
      <c r="E104" s="54" t="n"/>
      <c r="F104" s="16">
        <f>IF(OR($D104="",$E104=""),"",$E104-$D104+1-SUMPRODUCT((Holidays&gt;=$D104)*(Holidays&lt;=$E104)))</f>
        <v/>
      </c>
      <c r="G104" s="46" t="n"/>
      <c r="H104" s="16">
        <f>IF(OR($B104="",$D104="",$E104=""),"",IF(SUMPRODUCT(('حجز الإجازات'!$B$5:$B$104=$B104)*('حجز الإجازات'!$G$5:$G$104&lt;&gt;"مرفوض")*('حجز الإجازات'!$D$5:$D$104&lt;=$E104)*($D104&lt;=('حجز الإجازات'!$E$5:$E$104)))-(($B104&lt;&gt;"")*($G104&lt;&gt;"مرفوض"))&gt;0,"⚠ تعارض","✓ سليم"))</f>
        <v/>
      </c>
      <c r="I104" s="16">
        <f>IF($D104="","",IF(SUMPRODUCT(('حجز الإجازات'!$G$5:$G$104&lt;&gt;"مرفوض")*('حجز الإجازات'!$D$5:$D$104&lt;=$D104)*($D104&lt;=('حجز الإجازات'!$E$5:$E$104)))&gt;MaxLeave,"⚠ مجازين "&amp;SUMPRODUCT(('حجز الإجازات'!$G$5:$G$104&lt;&gt;"مرفوض")*('حجز الإجازات'!$D$5:$D$104&lt;=$D104)*($D104&lt;=('حجز الإجازات'!$E$5:$E$104)))&amp;" / الحد "&amp;MaxLeave,"✓ مجازين "&amp;SUMPRODUCT(('حجز الإجازات'!$G$5:$G$104&lt;&gt;"مرفوض")*('حجز الإجازات'!$D$5:$D$104&lt;=$D104)*($D104&lt;=('حجز الإجازات'!$E$5:$E$104)))&amp;" / الحد "&amp;MaxLeave))</f>
        <v/>
      </c>
      <c r="J104" s="37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">
    <mergeCell ref="L2:M2"/>
    <mergeCell ref="L8:M8"/>
  </mergeCells>
  <conditionalFormatting sqref="H5:H104">
    <cfRule type="cellIs" priority="1" operator="equal" dxfId="4">
      <formula>"⚠ تعارض"</formula>
    </cfRule>
    <cfRule type="cellIs" priority="2" operator="equal" dxfId="5">
      <formula>"✓ سليم"</formula>
    </cfRule>
  </conditionalFormatting>
  <conditionalFormatting sqref="I5:I104">
    <cfRule type="expression" priority="3" dxfId="6">
      <formula>LEFT($I5)="⚠"</formula>
    </cfRule>
  </conditionalFormatting>
  <conditionalFormatting sqref="C5:C104">
    <cfRule type="cellIs" priority="4" operator="equal" dxfId="7">
      <formula>"سنوية"</formula>
    </cfRule>
    <cfRule type="cellIs" priority="5" operator="equal" dxfId="8">
      <formula>"عارض"</formula>
    </cfRule>
    <cfRule type="cellIs" priority="6" operator="equal" dxfId="9">
      <formula>"دورية"</formula>
    </cfRule>
    <cfRule type="cellIs" priority="7" operator="equal" dxfId="10">
      <formula>"مرضية"</formula>
    </cfRule>
    <cfRule type="cellIs" priority="8" operator="equal" dxfId="11">
      <formula>"مرافق مريض"</formula>
    </cfRule>
    <cfRule type="cellIs" priority="9" operator="equal" dxfId="12">
      <formula>"أخرى"</formula>
    </cfRule>
  </conditionalFormatting>
  <dataValidations count="6">
    <dataValidation sqref="B5:B104" showDropDown="0" showInputMessage="0" showErrorMessage="0" allowBlank="1" type="list">
      <formula1>=EmpNames</formula1>
    </dataValidation>
    <dataValidation sqref="C5:C104" showDropDown="0" showInputMessage="0" showErrorMessage="0" allowBlank="1" type="list">
      <formula1>=LeaveTypes</formula1>
    </dataValidation>
    <dataValidation sqref="G5:G104" showDropDown="0" showInputMessage="0" showErrorMessage="0" allowBlank="1" type="list">
      <formula1>=ReqStatus</formula1>
    </dataValidation>
    <dataValidation sqref="M3" showDropDown="0" showInputMessage="0" showErrorMessage="0" allowBlank="1" type="list">
      <formula1>=EmpNames</formula1>
    </dataValidation>
    <dataValidation sqref="M4" showDropDown="0" showInputMessage="0" showErrorMessage="0" allowBlank="1" type="list">
      <formula1>=LeaveTypes</formula1>
    </dataValidation>
    <dataValidation sqref="M7" showDropDown="0" showInputMessage="0" showErrorMessage="0" allowBlank="1" type="list">
      <formula1>=ReqStatus</formula1>
    </dataValidation>
  </dataValidations>
  <hyperlinks>
    <hyperlink ref="H2" location="'لوحة المعلومات'!A1" display="الرجوع للوحة المعلومات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D29"/>
  <sheetViews>
    <sheetView rightToLeft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6" customWidth="1" min="86" max="86"/>
    <col width="6" customWidth="1" min="87" max="87"/>
    <col width="6" customWidth="1" min="88" max="88"/>
    <col width="6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6" customWidth="1" min="95" max="95"/>
    <col width="6" customWidth="1" min="96" max="96"/>
    <col width="6" customWidth="1" min="97" max="97"/>
    <col width="6" customWidth="1" min="98" max="98"/>
    <col width="6" customWidth="1" min="99" max="99"/>
    <col width="6" customWidth="1" min="100" max="100"/>
    <col width="6" customWidth="1" min="101" max="101"/>
    <col width="6" customWidth="1" min="102" max="102"/>
    <col width="6" customWidth="1" min="103" max="103"/>
    <col width="6" customWidth="1" min="104" max="104"/>
    <col width="6" customWidth="1" min="105" max="105"/>
    <col width="6" customWidth="1" min="106" max="106"/>
    <col width="6" customWidth="1" min="107" max="107"/>
    <col width="6" customWidth="1" min="108" max="108"/>
    <col width="6" customWidth="1" min="109" max="109"/>
    <col width="6" customWidth="1" min="110" max="110"/>
    <col width="6" customWidth="1" min="111" max="111"/>
    <col width="6" customWidth="1" min="112" max="112"/>
    <col width="6" customWidth="1" min="113" max="113"/>
    <col width="6" customWidth="1" min="114" max="114"/>
    <col width="6" customWidth="1" min="115" max="115"/>
    <col width="6" customWidth="1" min="116" max="116"/>
    <col width="6" customWidth="1" min="117" max="117"/>
    <col width="6" customWidth="1" min="118" max="118"/>
    <col width="6" customWidth="1" min="119" max="119"/>
    <col width="6" customWidth="1" min="120" max="120"/>
    <col width="6" customWidth="1" min="121" max="121"/>
    <col width="6" customWidth="1" min="122" max="122"/>
    <col width="6" customWidth="1" min="123" max="123"/>
    <col width="6" customWidth="1" min="124" max="124"/>
    <col width="6" customWidth="1" min="125" max="125"/>
    <col width="6" customWidth="1" min="126" max="126"/>
    <col width="6" customWidth="1" min="127" max="127"/>
    <col width="6" customWidth="1" min="128" max="128"/>
    <col width="6" customWidth="1" min="129" max="129"/>
    <col width="6" customWidth="1" min="130" max="130"/>
    <col width="6" customWidth="1" min="131" max="131"/>
    <col width="6" customWidth="1" min="132" max="132"/>
    <col width="6" customWidth="1" min="133" max="133"/>
    <col width="6" customWidth="1" min="134" max="134"/>
    <col width="6" customWidth="1" min="135" max="135"/>
    <col width="6" customWidth="1" min="136" max="136"/>
    <col width="6" customWidth="1" min="137" max="137"/>
    <col width="6" customWidth="1" min="138" max="138"/>
    <col width="6" customWidth="1" min="139" max="139"/>
    <col width="6" customWidth="1" min="140" max="140"/>
    <col width="6" customWidth="1" min="141" max="141"/>
    <col width="6" customWidth="1" min="142" max="142"/>
    <col width="6" customWidth="1" min="143" max="143"/>
    <col width="6" customWidth="1" min="144" max="144"/>
    <col width="6" customWidth="1" min="145" max="145"/>
    <col width="6" customWidth="1" min="146" max="146"/>
    <col width="6" customWidth="1" min="147" max="147"/>
    <col width="6" customWidth="1" min="148" max="148"/>
    <col width="6" customWidth="1" min="149" max="149"/>
    <col width="6" customWidth="1" min="150" max="150"/>
    <col width="6" customWidth="1" min="151" max="151"/>
    <col width="6" customWidth="1" min="152" max="152"/>
    <col width="6" customWidth="1" min="153" max="153"/>
    <col width="6" customWidth="1" min="154" max="154"/>
    <col width="6" customWidth="1" min="155" max="155"/>
    <col width="6" customWidth="1" min="156" max="156"/>
    <col width="6" customWidth="1" min="157" max="157"/>
    <col width="6" customWidth="1" min="158" max="158"/>
    <col width="6" customWidth="1" min="159" max="159"/>
    <col width="6" customWidth="1" min="160" max="160"/>
    <col width="6" customWidth="1" min="161" max="161"/>
    <col width="6" customWidth="1" min="162" max="162"/>
    <col width="6" customWidth="1" min="163" max="163"/>
    <col width="6" customWidth="1" min="164" max="164"/>
    <col width="6" customWidth="1" min="165" max="165"/>
    <col width="6" customWidth="1" min="166" max="166"/>
    <col width="6" customWidth="1" min="167" max="167"/>
    <col width="6" customWidth="1" min="168" max="168"/>
    <col width="6" customWidth="1" min="169" max="169"/>
    <col width="6" customWidth="1" min="170" max="170"/>
    <col width="6" customWidth="1" min="171" max="171"/>
    <col width="6" customWidth="1" min="172" max="172"/>
    <col width="6" customWidth="1" min="173" max="173"/>
    <col width="6" customWidth="1" min="174" max="174"/>
    <col width="6" customWidth="1" min="175" max="175"/>
    <col width="6" customWidth="1" min="176" max="176"/>
    <col width="6" customWidth="1" min="177" max="177"/>
    <col width="6" customWidth="1" min="178" max="178"/>
    <col width="6" customWidth="1" min="179" max="179"/>
    <col width="6" customWidth="1" min="180" max="180"/>
    <col width="6" customWidth="1" min="181" max="181"/>
    <col width="6" customWidth="1" min="182" max="182"/>
    <col width="6" customWidth="1" min="183" max="183"/>
    <col width="6" customWidth="1" min="184" max="184"/>
    <col width="6" customWidth="1" min="185" max="185"/>
    <col width="6" customWidth="1" min="186" max="186"/>
    <col width="6" customWidth="1" min="187" max="187"/>
    <col width="6" customWidth="1" min="188" max="188"/>
    <col width="6" customWidth="1" min="189" max="189"/>
    <col width="6" customWidth="1" min="190" max="190"/>
    <col width="6" customWidth="1" min="191" max="191"/>
    <col width="6" customWidth="1" min="192" max="192"/>
    <col width="6" customWidth="1" min="193" max="193"/>
    <col width="6" customWidth="1" min="194" max="194"/>
    <col width="6" customWidth="1" min="195" max="195"/>
    <col width="6" customWidth="1" min="196" max="196"/>
    <col width="6" customWidth="1" min="197" max="197"/>
    <col width="6" customWidth="1" min="198" max="198"/>
    <col width="6" customWidth="1" min="199" max="199"/>
    <col width="6" customWidth="1" min="200" max="200"/>
    <col width="6" customWidth="1" min="201" max="201"/>
    <col width="6" customWidth="1" min="202" max="202"/>
    <col width="6" customWidth="1" min="203" max="203"/>
    <col width="6" customWidth="1" min="204" max="204"/>
    <col width="6" customWidth="1" min="205" max="205"/>
    <col width="6" customWidth="1" min="206" max="206"/>
    <col width="6" customWidth="1" min="207" max="207"/>
    <col width="6" customWidth="1" min="208" max="208"/>
    <col width="6" customWidth="1" min="209" max="209"/>
    <col width="6" customWidth="1" min="210" max="210"/>
    <col width="6" customWidth="1" min="211" max="211"/>
    <col width="6" customWidth="1" min="212" max="212"/>
    <col width="6" customWidth="1" min="213" max="213"/>
    <col width="6" customWidth="1" min="214" max="214"/>
    <col width="6" customWidth="1" min="215" max="215"/>
    <col width="6" customWidth="1" min="216" max="216"/>
    <col width="6" customWidth="1" min="217" max="217"/>
    <col width="6" customWidth="1" min="218" max="218"/>
    <col width="6" customWidth="1" min="219" max="219"/>
    <col width="6" customWidth="1" min="220" max="220"/>
    <col width="6" customWidth="1" min="221" max="221"/>
    <col width="6" customWidth="1" min="222" max="222"/>
    <col width="6" customWidth="1" min="223" max="223"/>
    <col width="6" customWidth="1" min="224" max="224"/>
    <col width="6" customWidth="1" min="225" max="225"/>
    <col width="6" customWidth="1" min="226" max="226"/>
    <col width="6" customWidth="1" min="227" max="227"/>
    <col width="6" customWidth="1" min="228" max="228"/>
    <col width="6" customWidth="1" min="229" max="229"/>
    <col width="6" customWidth="1" min="230" max="230"/>
    <col width="6" customWidth="1" min="231" max="231"/>
    <col width="6" customWidth="1" min="232" max="232"/>
    <col width="6" customWidth="1" min="233" max="233"/>
    <col width="6" customWidth="1" min="234" max="234"/>
    <col width="6" customWidth="1" min="235" max="235"/>
    <col width="6" customWidth="1" min="236" max="236"/>
    <col width="6" customWidth="1" min="237" max="237"/>
    <col width="6" customWidth="1" min="238" max="238"/>
    <col width="6" customWidth="1" min="239" max="239"/>
    <col width="6" customWidth="1" min="240" max="240"/>
    <col width="6" customWidth="1" min="241" max="241"/>
    <col width="6" customWidth="1" min="242" max="242"/>
    <col width="6" customWidth="1" min="243" max="243"/>
    <col width="6" customWidth="1" min="244" max="244"/>
    <col width="6" customWidth="1" min="245" max="245"/>
    <col width="6" customWidth="1" min="246" max="246"/>
    <col width="6" customWidth="1" min="247" max="247"/>
    <col width="6" customWidth="1" min="248" max="248"/>
    <col width="6" customWidth="1" min="249" max="249"/>
    <col width="6" customWidth="1" min="250" max="250"/>
    <col width="6" customWidth="1" min="251" max="251"/>
    <col width="6" customWidth="1" min="252" max="252"/>
    <col width="6" customWidth="1" min="253" max="253"/>
    <col width="6" customWidth="1" min="254" max="254"/>
    <col width="6" customWidth="1" min="255" max="255"/>
    <col width="6" customWidth="1" min="256" max="256"/>
    <col width="6" customWidth="1" min="257" max="257"/>
    <col width="6" customWidth="1" min="258" max="258"/>
    <col width="6" customWidth="1" min="259" max="259"/>
    <col width="6" customWidth="1" min="260" max="260"/>
    <col width="6" customWidth="1" min="261" max="261"/>
    <col width="6" customWidth="1" min="262" max="262"/>
    <col width="6" customWidth="1" min="263" max="263"/>
    <col width="6" customWidth="1" min="264" max="264"/>
    <col width="6" customWidth="1" min="265" max="265"/>
    <col width="6" customWidth="1" min="266" max="266"/>
    <col width="6" customWidth="1" min="267" max="267"/>
    <col width="6" customWidth="1" min="268" max="268"/>
    <col width="6" customWidth="1" min="269" max="269"/>
    <col width="6" customWidth="1" min="270" max="270"/>
    <col width="6" customWidth="1" min="271" max="271"/>
    <col width="6" customWidth="1" min="272" max="272"/>
    <col width="6" customWidth="1" min="273" max="273"/>
    <col width="6" customWidth="1" min="274" max="274"/>
    <col width="6" customWidth="1" min="275" max="275"/>
    <col width="6" customWidth="1" min="276" max="276"/>
    <col width="6" customWidth="1" min="277" max="277"/>
    <col width="6" customWidth="1" min="278" max="278"/>
    <col width="6" customWidth="1" min="279" max="279"/>
    <col width="6" customWidth="1" min="280" max="280"/>
    <col width="6" customWidth="1" min="281" max="281"/>
    <col width="6" customWidth="1" min="282" max="282"/>
    <col width="6" customWidth="1" min="283" max="283"/>
    <col width="6" customWidth="1" min="284" max="284"/>
    <col width="6" customWidth="1" min="285" max="285"/>
    <col width="6" customWidth="1" min="286" max="286"/>
    <col width="6" customWidth="1" min="287" max="287"/>
    <col width="6" customWidth="1" min="288" max="288"/>
    <col width="6" customWidth="1" min="289" max="289"/>
    <col width="6" customWidth="1" min="290" max="290"/>
    <col width="6" customWidth="1" min="291" max="291"/>
    <col width="6" customWidth="1" min="292" max="292"/>
    <col width="6" customWidth="1" min="293" max="293"/>
    <col width="6" customWidth="1" min="294" max="294"/>
    <col width="6" customWidth="1" min="295" max="295"/>
    <col width="6" customWidth="1" min="296" max="296"/>
    <col width="6" customWidth="1" min="297" max="297"/>
    <col width="6" customWidth="1" min="298" max="298"/>
    <col width="6" customWidth="1" min="299" max="299"/>
    <col width="6" customWidth="1" min="300" max="300"/>
    <col width="6" customWidth="1" min="301" max="301"/>
    <col width="6" customWidth="1" min="302" max="302"/>
    <col width="6" customWidth="1" min="303" max="303"/>
    <col width="6" customWidth="1" min="304" max="304"/>
    <col width="6" customWidth="1" min="305" max="305"/>
    <col width="6" customWidth="1" min="306" max="306"/>
    <col width="6" customWidth="1" min="307" max="307"/>
    <col width="6" customWidth="1" min="308" max="308"/>
    <col width="6" customWidth="1" min="309" max="309"/>
    <col width="6" customWidth="1" min="310" max="310"/>
    <col width="6" customWidth="1" min="311" max="311"/>
    <col width="6" customWidth="1" min="312" max="312"/>
    <col width="6" customWidth="1" min="313" max="313"/>
    <col width="6" customWidth="1" min="314" max="314"/>
    <col width="6" customWidth="1" min="315" max="315"/>
    <col width="6" customWidth="1" min="316" max="316"/>
    <col width="6" customWidth="1" min="317" max="317"/>
    <col width="6" customWidth="1" min="318" max="318"/>
    <col width="6" customWidth="1" min="319" max="319"/>
    <col width="6" customWidth="1" min="320" max="320"/>
    <col width="6" customWidth="1" min="321" max="321"/>
    <col width="6" customWidth="1" min="322" max="322"/>
    <col width="6" customWidth="1" min="323" max="323"/>
    <col width="6" customWidth="1" min="324" max="324"/>
    <col width="6" customWidth="1" min="325" max="325"/>
    <col width="6" customWidth="1" min="326" max="326"/>
    <col width="6" customWidth="1" min="327" max="327"/>
    <col width="6" customWidth="1" min="328" max="328"/>
    <col width="6" customWidth="1" min="329" max="329"/>
    <col width="6" customWidth="1" min="330" max="330"/>
    <col width="6" customWidth="1" min="331" max="331"/>
    <col width="6" customWidth="1" min="332" max="332"/>
    <col width="6" customWidth="1" min="333" max="333"/>
    <col width="6" customWidth="1" min="334" max="334"/>
    <col width="6" customWidth="1" min="335" max="335"/>
    <col width="6" customWidth="1" min="336" max="336"/>
    <col width="6" customWidth="1" min="337" max="337"/>
    <col width="6" customWidth="1" min="338" max="338"/>
    <col width="6" customWidth="1" min="339" max="339"/>
    <col width="6" customWidth="1" min="340" max="340"/>
    <col width="6" customWidth="1" min="341" max="341"/>
    <col width="6" customWidth="1" min="342" max="342"/>
    <col width="6" customWidth="1" min="343" max="343"/>
    <col width="6" customWidth="1" min="344" max="344"/>
    <col width="6" customWidth="1" min="345" max="345"/>
    <col width="6" customWidth="1" min="346" max="346"/>
    <col width="6" customWidth="1" min="347" max="347"/>
    <col width="6" customWidth="1" min="348" max="348"/>
    <col width="6" customWidth="1" min="349" max="349"/>
    <col width="6" customWidth="1" min="350" max="350"/>
    <col width="6" customWidth="1" min="351" max="351"/>
    <col width="6" customWidth="1" min="352" max="352"/>
    <col width="6" customWidth="1" min="353" max="353"/>
    <col width="6" customWidth="1" min="354" max="354"/>
    <col width="6" customWidth="1" min="355" max="355"/>
    <col width="6" customWidth="1" min="356" max="356"/>
    <col width="6" customWidth="1" min="357" max="357"/>
    <col width="6" customWidth="1" min="358" max="358"/>
    <col width="6" customWidth="1" min="359" max="359"/>
    <col width="6" customWidth="1" min="360" max="360"/>
    <col width="6" customWidth="1" min="361" max="361"/>
    <col width="6" customWidth="1" min="362" max="362"/>
    <col width="6" customWidth="1" min="363" max="363"/>
    <col width="6" customWidth="1" min="364" max="364"/>
    <col width="6" customWidth="1" min="365" max="365"/>
    <col width="6" customWidth="1" min="366" max="366"/>
    <col width="6" customWidth="1" min="367" max="367"/>
    <col width="6" customWidth="1" min="368" max="368"/>
  </cols>
  <sheetData>
    <row r="1">
      <c r="A1" s="48" t="inlineStr">
        <is>
          <t>جدول الورديات — 6 عمل / 4 راحة — صباح (6ص-1م) / عصر (1م-9م) / ليل (9م-6ص)</t>
        </is>
      </c>
      <c r="D1" s="57" t="inlineStr">
        <is>
          <t>يونيو 2026</t>
        </is>
      </c>
      <c r="U1" s="57" t="inlineStr">
        <is>
          <t>يوليو 2026</t>
        </is>
      </c>
      <c r="AZ1" s="57" t="inlineStr">
        <is>
          <t>أغسطس 2026</t>
        </is>
      </c>
      <c r="CE1" s="57" t="inlineStr">
        <is>
          <t>سبتمبر 2026</t>
        </is>
      </c>
      <c r="DI1" s="57" t="inlineStr">
        <is>
          <t>أكتوبر 2026</t>
        </is>
      </c>
      <c r="EN1" s="57" t="inlineStr">
        <is>
          <t>نوفمبر 2026</t>
        </is>
      </c>
      <c r="FR1" s="57" t="inlineStr">
        <is>
          <t>ديسمبر 2026</t>
        </is>
      </c>
      <c r="GW1" s="57" t="inlineStr">
        <is>
          <t>يناير 2027</t>
        </is>
      </c>
      <c r="IB1" s="57" t="inlineStr">
        <is>
          <t>فبراير 2027</t>
        </is>
      </c>
      <c r="JD1" s="57" t="inlineStr">
        <is>
          <t>مارس 2027</t>
        </is>
      </c>
      <c r="KI1" s="57" t="inlineStr">
        <is>
          <t>أبريل 2027</t>
        </is>
      </c>
      <c r="LM1" s="57" t="inlineStr">
        <is>
          <t>مايو 2027</t>
        </is>
      </c>
      <c r="MR1" s="57" t="inlineStr">
        <is>
          <t>يونيو 2027</t>
        </is>
      </c>
    </row>
    <row r="2">
      <c r="B2" s="58" t="inlineStr">
        <is>
          <t>التاريخ ←</t>
        </is>
      </c>
      <c r="D2" s="59" t="inlineStr">
        <is>
          <t>الأحد</t>
        </is>
      </c>
      <c r="E2" s="59" t="inlineStr">
        <is>
          <t>الإثنين</t>
        </is>
      </c>
      <c r="F2" s="59" t="inlineStr">
        <is>
          <t>الثلاثاء</t>
        </is>
      </c>
      <c r="G2" s="59" t="inlineStr">
        <is>
          <t>الأربعاء</t>
        </is>
      </c>
      <c r="H2" s="59" t="inlineStr">
        <is>
          <t>الخميس</t>
        </is>
      </c>
      <c r="I2" s="59" t="inlineStr">
        <is>
          <t>الجمعة</t>
        </is>
      </c>
      <c r="J2" s="59" t="inlineStr">
        <is>
          <t>السبت</t>
        </is>
      </c>
      <c r="K2" s="59" t="inlineStr">
        <is>
          <t>الأحد</t>
        </is>
      </c>
      <c r="L2" s="59" t="inlineStr">
        <is>
          <t>الإثنين</t>
        </is>
      </c>
      <c r="M2" s="59" t="inlineStr">
        <is>
          <t>الثلاثاء</t>
        </is>
      </c>
      <c r="N2" s="59" t="inlineStr">
        <is>
          <t>الأربعاء</t>
        </is>
      </c>
      <c r="O2" s="59" t="inlineStr">
        <is>
          <t>الخميس</t>
        </is>
      </c>
      <c r="P2" s="59" t="inlineStr">
        <is>
          <t>الجمعة</t>
        </is>
      </c>
      <c r="Q2" s="59" t="inlineStr">
        <is>
          <t>السبت</t>
        </is>
      </c>
      <c r="R2" s="59" t="inlineStr">
        <is>
          <t>الأحد</t>
        </is>
      </c>
      <c r="S2" s="59" t="inlineStr">
        <is>
          <t>الإثنين</t>
        </is>
      </c>
      <c r="T2" s="59" t="inlineStr">
        <is>
          <t>الثلاثاء</t>
        </is>
      </c>
      <c r="U2" s="59" t="inlineStr">
        <is>
          <t>الأربعاء</t>
        </is>
      </c>
      <c r="V2" s="59" t="inlineStr">
        <is>
          <t>الخميس</t>
        </is>
      </c>
      <c r="W2" s="59" t="inlineStr">
        <is>
          <t>الجمعة</t>
        </is>
      </c>
      <c r="X2" s="59" t="inlineStr">
        <is>
          <t>السبت</t>
        </is>
      </c>
      <c r="Y2" s="59" t="inlineStr">
        <is>
          <t>الأحد</t>
        </is>
      </c>
      <c r="Z2" s="59" t="inlineStr">
        <is>
          <t>الإثنين</t>
        </is>
      </c>
      <c r="AA2" s="59" t="inlineStr">
        <is>
          <t>الثلاثاء</t>
        </is>
      </c>
      <c r="AB2" s="59" t="inlineStr">
        <is>
          <t>الأربعاء</t>
        </is>
      </c>
      <c r="AC2" s="59" t="inlineStr">
        <is>
          <t>الخميس</t>
        </is>
      </c>
      <c r="AD2" s="59" t="inlineStr">
        <is>
          <t>الجمعة</t>
        </is>
      </c>
      <c r="AE2" s="59" t="inlineStr">
        <is>
          <t>السبت</t>
        </is>
      </c>
      <c r="AF2" s="59" t="inlineStr">
        <is>
          <t>الأحد</t>
        </is>
      </c>
      <c r="AG2" s="59" t="inlineStr">
        <is>
          <t>الإثنين</t>
        </is>
      </c>
      <c r="AH2" s="59" t="inlineStr">
        <is>
          <t>الثلاثاء</t>
        </is>
      </c>
      <c r="AI2" s="59" t="inlineStr">
        <is>
          <t>الأربعاء</t>
        </is>
      </c>
      <c r="AJ2" s="59" t="inlineStr">
        <is>
          <t>الخميس</t>
        </is>
      </c>
      <c r="AK2" s="59" t="inlineStr">
        <is>
          <t>الجمعة</t>
        </is>
      </c>
      <c r="AL2" s="59" t="inlineStr">
        <is>
          <t>السبت</t>
        </is>
      </c>
      <c r="AM2" s="59" t="inlineStr">
        <is>
          <t>الأحد</t>
        </is>
      </c>
      <c r="AN2" s="59" t="inlineStr">
        <is>
          <t>الإثنين</t>
        </is>
      </c>
      <c r="AO2" s="59" t="inlineStr">
        <is>
          <t>الثلاثاء</t>
        </is>
      </c>
      <c r="AP2" s="59" t="inlineStr">
        <is>
          <t>الأربعاء</t>
        </is>
      </c>
      <c r="AQ2" s="59" t="inlineStr">
        <is>
          <t>الخميس</t>
        </is>
      </c>
      <c r="AR2" s="59" t="inlineStr">
        <is>
          <t>الجمعة</t>
        </is>
      </c>
      <c r="AS2" s="59" t="inlineStr">
        <is>
          <t>السبت</t>
        </is>
      </c>
      <c r="AT2" s="59" t="inlineStr">
        <is>
          <t>الأحد</t>
        </is>
      </c>
      <c r="AU2" s="59" t="inlineStr">
        <is>
          <t>الإثنين</t>
        </is>
      </c>
      <c r="AV2" s="59" t="inlineStr">
        <is>
          <t>الثلاثاء</t>
        </is>
      </c>
      <c r="AW2" s="59" t="inlineStr">
        <is>
          <t>الأربعاء</t>
        </is>
      </c>
      <c r="AX2" s="59" t="inlineStr">
        <is>
          <t>الخميس</t>
        </is>
      </c>
      <c r="AY2" s="59" t="inlineStr">
        <is>
          <t>الجمعة</t>
        </is>
      </c>
      <c r="AZ2" s="59" t="inlineStr">
        <is>
          <t>السبت</t>
        </is>
      </c>
      <c r="BA2" s="59" t="inlineStr">
        <is>
          <t>الأحد</t>
        </is>
      </c>
      <c r="BB2" s="59" t="inlineStr">
        <is>
          <t>الإثنين</t>
        </is>
      </c>
      <c r="BC2" s="59" t="inlineStr">
        <is>
          <t>الثلاثاء</t>
        </is>
      </c>
      <c r="BD2" s="59" t="inlineStr">
        <is>
          <t>الأربعاء</t>
        </is>
      </c>
      <c r="BE2" s="59" t="inlineStr">
        <is>
          <t>الخميس</t>
        </is>
      </c>
      <c r="BF2" s="59" t="inlineStr">
        <is>
          <t>الجمعة</t>
        </is>
      </c>
      <c r="BG2" s="59" t="inlineStr">
        <is>
          <t>السبت</t>
        </is>
      </c>
      <c r="BH2" s="59" t="inlineStr">
        <is>
          <t>الأحد</t>
        </is>
      </c>
      <c r="BI2" s="59" t="inlineStr">
        <is>
          <t>الإثنين</t>
        </is>
      </c>
      <c r="BJ2" s="59" t="inlineStr">
        <is>
          <t>الثلاثاء</t>
        </is>
      </c>
      <c r="BK2" s="59" t="inlineStr">
        <is>
          <t>الأربعاء</t>
        </is>
      </c>
      <c r="BL2" s="59" t="inlineStr">
        <is>
          <t>الخميس</t>
        </is>
      </c>
      <c r="BM2" s="59" t="inlineStr">
        <is>
          <t>الجمعة</t>
        </is>
      </c>
      <c r="BN2" s="59" t="inlineStr">
        <is>
          <t>السبت</t>
        </is>
      </c>
      <c r="BO2" s="59" t="inlineStr">
        <is>
          <t>الأحد</t>
        </is>
      </c>
      <c r="BP2" s="59" t="inlineStr">
        <is>
          <t>الإثنين</t>
        </is>
      </c>
      <c r="BQ2" s="59" t="inlineStr">
        <is>
          <t>الثلاثاء</t>
        </is>
      </c>
      <c r="BR2" s="59" t="inlineStr">
        <is>
          <t>الأربعاء</t>
        </is>
      </c>
      <c r="BS2" s="59" t="inlineStr">
        <is>
          <t>الخميس</t>
        </is>
      </c>
      <c r="BT2" s="59" t="inlineStr">
        <is>
          <t>الجمعة</t>
        </is>
      </c>
      <c r="BU2" s="59" t="inlineStr">
        <is>
          <t>السبت</t>
        </is>
      </c>
      <c r="BV2" s="59" t="inlineStr">
        <is>
          <t>الأحد</t>
        </is>
      </c>
      <c r="BW2" s="59" t="inlineStr">
        <is>
          <t>الإثنين</t>
        </is>
      </c>
      <c r="BX2" s="59" t="inlineStr">
        <is>
          <t>الثلاثاء</t>
        </is>
      </c>
      <c r="BY2" s="59" t="inlineStr">
        <is>
          <t>الأربعاء</t>
        </is>
      </c>
      <c r="BZ2" s="59" t="inlineStr">
        <is>
          <t>الخميس</t>
        </is>
      </c>
      <c r="CA2" s="59" t="inlineStr">
        <is>
          <t>الجمعة</t>
        </is>
      </c>
      <c r="CB2" s="59" t="inlineStr">
        <is>
          <t>السبت</t>
        </is>
      </c>
      <c r="CC2" s="59" t="inlineStr">
        <is>
          <t>الأحد</t>
        </is>
      </c>
      <c r="CD2" s="59" t="inlineStr">
        <is>
          <t>الإثنين</t>
        </is>
      </c>
      <c r="CE2" s="59" t="inlineStr">
        <is>
          <t>الثلاثاء</t>
        </is>
      </c>
      <c r="CF2" s="59" t="inlineStr">
        <is>
          <t>الأربعاء</t>
        </is>
      </c>
      <c r="CG2" s="59" t="inlineStr">
        <is>
          <t>الخميس</t>
        </is>
      </c>
      <c r="CH2" s="59" t="inlineStr">
        <is>
          <t>الجمعة</t>
        </is>
      </c>
      <c r="CI2" s="59" t="inlineStr">
        <is>
          <t>السبت</t>
        </is>
      </c>
      <c r="CJ2" s="59" t="inlineStr">
        <is>
          <t>الأحد</t>
        </is>
      </c>
      <c r="CK2" s="59" t="inlineStr">
        <is>
          <t>الإثنين</t>
        </is>
      </c>
      <c r="CL2" s="59" t="inlineStr">
        <is>
          <t>الثلاثاء</t>
        </is>
      </c>
      <c r="CM2" s="59" t="inlineStr">
        <is>
          <t>الأربعاء</t>
        </is>
      </c>
      <c r="CN2" s="59" t="inlineStr">
        <is>
          <t>الخميس</t>
        </is>
      </c>
      <c r="CO2" s="59" t="inlineStr">
        <is>
          <t>الجمعة</t>
        </is>
      </c>
      <c r="CP2" s="59" t="inlineStr">
        <is>
          <t>السبت</t>
        </is>
      </c>
      <c r="CQ2" s="59" t="inlineStr">
        <is>
          <t>الأحد</t>
        </is>
      </c>
      <c r="CR2" s="59" t="inlineStr">
        <is>
          <t>الإثنين</t>
        </is>
      </c>
      <c r="CS2" s="59" t="inlineStr">
        <is>
          <t>الثلاثاء</t>
        </is>
      </c>
      <c r="CT2" s="59" t="inlineStr">
        <is>
          <t>الأربعاء</t>
        </is>
      </c>
      <c r="CU2" s="59" t="inlineStr">
        <is>
          <t>الخميس</t>
        </is>
      </c>
      <c r="CV2" s="59" t="inlineStr">
        <is>
          <t>الجمعة</t>
        </is>
      </c>
      <c r="CW2" s="59" t="inlineStr">
        <is>
          <t>السبت</t>
        </is>
      </c>
      <c r="CX2" s="59" t="inlineStr">
        <is>
          <t>الأحد</t>
        </is>
      </c>
      <c r="CY2" s="59" t="inlineStr">
        <is>
          <t>الإثنين</t>
        </is>
      </c>
      <c r="CZ2" s="59" t="inlineStr">
        <is>
          <t>الثلاثاء</t>
        </is>
      </c>
      <c r="DA2" s="59" t="inlineStr">
        <is>
          <t>الأربعاء</t>
        </is>
      </c>
      <c r="DB2" s="59" t="inlineStr">
        <is>
          <t>الخميس</t>
        </is>
      </c>
      <c r="DC2" s="59" t="inlineStr">
        <is>
          <t>الجمعة</t>
        </is>
      </c>
      <c r="DD2" s="59" t="inlineStr">
        <is>
          <t>السبت</t>
        </is>
      </c>
      <c r="DE2" s="59" t="inlineStr">
        <is>
          <t>الأحد</t>
        </is>
      </c>
      <c r="DF2" s="59" t="inlineStr">
        <is>
          <t>الإثنين</t>
        </is>
      </c>
      <c r="DG2" s="59" t="inlineStr">
        <is>
          <t>الثلاثاء</t>
        </is>
      </c>
      <c r="DH2" s="59" t="inlineStr">
        <is>
          <t>الأربعاء</t>
        </is>
      </c>
      <c r="DI2" s="59" t="inlineStr">
        <is>
          <t>الخميس</t>
        </is>
      </c>
      <c r="DJ2" s="59" t="inlineStr">
        <is>
          <t>الجمعة</t>
        </is>
      </c>
      <c r="DK2" s="59" t="inlineStr">
        <is>
          <t>السبت</t>
        </is>
      </c>
      <c r="DL2" s="59" t="inlineStr">
        <is>
          <t>الأحد</t>
        </is>
      </c>
      <c r="DM2" s="59" t="inlineStr">
        <is>
          <t>الإثنين</t>
        </is>
      </c>
      <c r="DN2" s="59" t="inlineStr">
        <is>
          <t>الثلاثاء</t>
        </is>
      </c>
      <c r="DO2" s="59" t="inlineStr">
        <is>
          <t>الأربعاء</t>
        </is>
      </c>
      <c r="DP2" s="59" t="inlineStr">
        <is>
          <t>الخميس</t>
        </is>
      </c>
      <c r="DQ2" s="59" t="inlineStr">
        <is>
          <t>الجمعة</t>
        </is>
      </c>
      <c r="DR2" s="59" t="inlineStr">
        <is>
          <t>السبت</t>
        </is>
      </c>
      <c r="DS2" s="59" t="inlineStr">
        <is>
          <t>الأحد</t>
        </is>
      </c>
      <c r="DT2" s="59" t="inlineStr">
        <is>
          <t>الإثنين</t>
        </is>
      </c>
      <c r="DU2" s="59" t="inlineStr">
        <is>
          <t>الثلاثاء</t>
        </is>
      </c>
      <c r="DV2" s="59" t="inlineStr">
        <is>
          <t>الأربعاء</t>
        </is>
      </c>
      <c r="DW2" s="59" t="inlineStr">
        <is>
          <t>الخميس</t>
        </is>
      </c>
      <c r="DX2" s="59" t="inlineStr">
        <is>
          <t>الجمعة</t>
        </is>
      </c>
      <c r="DY2" s="59" t="inlineStr">
        <is>
          <t>السبت</t>
        </is>
      </c>
      <c r="DZ2" s="59" t="inlineStr">
        <is>
          <t>الأحد</t>
        </is>
      </c>
      <c r="EA2" s="59" t="inlineStr">
        <is>
          <t>الإثنين</t>
        </is>
      </c>
      <c r="EB2" s="59" t="inlineStr">
        <is>
          <t>الثلاثاء</t>
        </is>
      </c>
      <c r="EC2" s="59" t="inlineStr">
        <is>
          <t>الأربعاء</t>
        </is>
      </c>
      <c r="ED2" s="59" t="inlineStr">
        <is>
          <t>الخميس</t>
        </is>
      </c>
      <c r="EE2" s="59" t="inlineStr">
        <is>
          <t>الجمعة</t>
        </is>
      </c>
      <c r="EF2" s="59" t="inlineStr">
        <is>
          <t>السبت</t>
        </is>
      </c>
      <c r="EG2" s="59" t="inlineStr">
        <is>
          <t>الأحد</t>
        </is>
      </c>
      <c r="EH2" s="59" t="inlineStr">
        <is>
          <t>الإثنين</t>
        </is>
      </c>
      <c r="EI2" s="59" t="inlineStr">
        <is>
          <t>الثلاثاء</t>
        </is>
      </c>
      <c r="EJ2" s="59" t="inlineStr">
        <is>
          <t>الأربعاء</t>
        </is>
      </c>
      <c r="EK2" s="59" t="inlineStr">
        <is>
          <t>الخميس</t>
        </is>
      </c>
      <c r="EL2" s="59" t="inlineStr">
        <is>
          <t>الجمعة</t>
        </is>
      </c>
      <c r="EM2" s="59" t="inlineStr">
        <is>
          <t>السبت</t>
        </is>
      </c>
      <c r="EN2" s="59" t="inlineStr">
        <is>
          <t>الأحد</t>
        </is>
      </c>
      <c r="EO2" s="59" t="inlineStr">
        <is>
          <t>الإثنين</t>
        </is>
      </c>
      <c r="EP2" s="59" t="inlineStr">
        <is>
          <t>الثلاثاء</t>
        </is>
      </c>
      <c r="EQ2" s="59" t="inlineStr">
        <is>
          <t>الأربعاء</t>
        </is>
      </c>
      <c r="ER2" s="59" t="inlineStr">
        <is>
          <t>الخميس</t>
        </is>
      </c>
      <c r="ES2" s="59" t="inlineStr">
        <is>
          <t>الجمعة</t>
        </is>
      </c>
      <c r="ET2" s="59" t="inlineStr">
        <is>
          <t>السبت</t>
        </is>
      </c>
      <c r="EU2" s="59" t="inlineStr">
        <is>
          <t>الأحد</t>
        </is>
      </c>
      <c r="EV2" s="59" t="inlineStr">
        <is>
          <t>الإثنين</t>
        </is>
      </c>
      <c r="EW2" s="59" t="inlineStr">
        <is>
          <t>الثلاثاء</t>
        </is>
      </c>
      <c r="EX2" s="59" t="inlineStr">
        <is>
          <t>الأربعاء</t>
        </is>
      </c>
      <c r="EY2" s="59" t="inlineStr">
        <is>
          <t>الخميس</t>
        </is>
      </c>
      <c r="EZ2" s="59" t="inlineStr">
        <is>
          <t>الجمعة</t>
        </is>
      </c>
      <c r="FA2" s="59" t="inlineStr">
        <is>
          <t>السبت</t>
        </is>
      </c>
      <c r="FB2" s="59" t="inlineStr">
        <is>
          <t>الأحد</t>
        </is>
      </c>
      <c r="FC2" s="59" t="inlineStr">
        <is>
          <t>الإثنين</t>
        </is>
      </c>
      <c r="FD2" s="59" t="inlineStr">
        <is>
          <t>الثلاثاء</t>
        </is>
      </c>
      <c r="FE2" s="59" t="inlineStr">
        <is>
          <t>الأربعاء</t>
        </is>
      </c>
      <c r="FF2" s="59" t="inlineStr">
        <is>
          <t>الخميس</t>
        </is>
      </c>
      <c r="FG2" s="59" t="inlineStr">
        <is>
          <t>الجمعة</t>
        </is>
      </c>
      <c r="FH2" s="59" t="inlineStr">
        <is>
          <t>السبت</t>
        </is>
      </c>
      <c r="FI2" s="59" t="inlineStr">
        <is>
          <t>الأحد</t>
        </is>
      </c>
      <c r="FJ2" s="59" t="inlineStr">
        <is>
          <t>الإثنين</t>
        </is>
      </c>
      <c r="FK2" s="59" t="inlineStr">
        <is>
          <t>الثلاثاء</t>
        </is>
      </c>
      <c r="FL2" s="59" t="inlineStr">
        <is>
          <t>الأربعاء</t>
        </is>
      </c>
      <c r="FM2" s="59" t="inlineStr">
        <is>
          <t>الخميس</t>
        </is>
      </c>
      <c r="FN2" s="59" t="inlineStr">
        <is>
          <t>الجمعة</t>
        </is>
      </c>
      <c r="FO2" s="59" t="inlineStr">
        <is>
          <t>السبت</t>
        </is>
      </c>
      <c r="FP2" s="59" t="inlineStr">
        <is>
          <t>الأحد</t>
        </is>
      </c>
      <c r="FQ2" s="59" t="inlineStr">
        <is>
          <t>الإثنين</t>
        </is>
      </c>
      <c r="FR2" s="59" t="inlineStr">
        <is>
          <t>الثلاثاء</t>
        </is>
      </c>
      <c r="FS2" s="59" t="inlineStr">
        <is>
          <t>الأربعاء</t>
        </is>
      </c>
      <c r="FT2" s="59" t="inlineStr">
        <is>
          <t>الخميس</t>
        </is>
      </c>
      <c r="FU2" s="59" t="inlineStr">
        <is>
          <t>الجمعة</t>
        </is>
      </c>
      <c r="FV2" s="59" t="inlineStr">
        <is>
          <t>السبت</t>
        </is>
      </c>
      <c r="FW2" s="59" t="inlineStr">
        <is>
          <t>الأحد</t>
        </is>
      </c>
      <c r="FX2" s="59" t="inlineStr">
        <is>
          <t>الإثنين</t>
        </is>
      </c>
      <c r="FY2" s="59" t="inlineStr">
        <is>
          <t>الثلاثاء</t>
        </is>
      </c>
      <c r="FZ2" s="59" t="inlineStr">
        <is>
          <t>الأربعاء</t>
        </is>
      </c>
      <c r="GA2" s="59" t="inlineStr">
        <is>
          <t>الخميس</t>
        </is>
      </c>
      <c r="GB2" s="59" t="inlineStr">
        <is>
          <t>الجمعة</t>
        </is>
      </c>
      <c r="GC2" s="59" t="inlineStr">
        <is>
          <t>السبت</t>
        </is>
      </c>
      <c r="GD2" s="59" t="inlineStr">
        <is>
          <t>الأحد</t>
        </is>
      </c>
      <c r="GE2" s="59" t="inlineStr">
        <is>
          <t>الإثنين</t>
        </is>
      </c>
      <c r="GF2" s="59" t="inlineStr">
        <is>
          <t>الثلاثاء</t>
        </is>
      </c>
      <c r="GG2" s="59" t="inlineStr">
        <is>
          <t>الأربعاء</t>
        </is>
      </c>
      <c r="GH2" s="59" t="inlineStr">
        <is>
          <t>الخميس</t>
        </is>
      </c>
      <c r="GI2" s="59" t="inlineStr">
        <is>
          <t>الجمعة</t>
        </is>
      </c>
      <c r="GJ2" s="59" t="inlineStr">
        <is>
          <t>السبت</t>
        </is>
      </c>
      <c r="GK2" s="59" t="inlineStr">
        <is>
          <t>الأحد</t>
        </is>
      </c>
      <c r="GL2" s="59" t="inlineStr">
        <is>
          <t>الإثنين</t>
        </is>
      </c>
      <c r="GM2" s="59" t="inlineStr">
        <is>
          <t>الثلاثاء</t>
        </is>
      </c>
      <c r="GN2" s="59" t="inlineStr">
        <is>
          <t>الأربعاء</t>
        </is>
      </c>
      <c r="GO2" s="59" t="inlineStr">
        <is>
          <t>الخميس</t>
        </is>
      </c>
      <c r="GP2" s="59" t="inlineStr">
        <is>
          <t>الجمعة</t>
        </is>
      </c>
      <c r="GQ2" s="59" t="inlineStr">
        <is>
          <t>السبت</t>
        </is>
      </c>
      <c r="GR2" s="59" t="inlineStr">
        <is>
          <t>الأحد</t>
        </is>
      </c>
      <c r="GS2" s="59" t="inlineStr">
        <is>
          <t>الإثنين</t>
        </is>
      </c>
      <c r="GT2" s="59" t="inlineStr">
        <is>
          <t>الثلاثاء</t>
        </is>
      </c>
      <c r="GU2" s="59" t="inlineStr">
        <is>
          <t>الأربعاء</t>
        </is>
      </c>
      <c r="GV2" s="59" t="inlineStr">
        <is>
          <t>الخميس</t>
        </is>
      </c>
      <c r="GW2" s="59" t="inlineStr">
        <is>
          <t>الجمعة</t>
        </is>
      </c>
      <c r="GX2" s="59" t="inlineStr">
        <is>
          <t>السبت</t>
        </is>
      </c>
      <c r="GY2" s="59" t="inlineStr">
        <is>
          <t>الأحد</t>
        </is>
      </c>
      <c r="GZ2" s="59" t="inlineStr">
        <is>
          <t>الإثنين</t>
        </is>
      </c>
      <c r="HA2" s="59" t="inlineStr">
        <is>
          <t>الثلاثاء</t>
        </is>
      </c>
      <c r="HB2" s="59" t="inlineStr">
        <is>
          <t>الأربعاء</t>
        </is>
      </c>
      <c r="HC2" s="59" t="inlineStr">
        <is>
          <t>الخميس</t>
        </is>
      </c>
      <c r="HD2" s="59" t="inlineStr">
        <is>
          <t>الجمعة</t>
        </is>
      </c>
      <c r="HE2" s="59" t="inlineStr">
        <is>
          <t>السبت</t>
        </is>
      </c>
      <c r="HF2" s="59" t="inlineStr">
        <is>
          <t>الأحد</t>
        </is>
      </c>
      <c r="HG2" s="59" t="inlineStr">
        <is>
          <t>الإثنين</t>
        </is>
      </c>
      <c r="HH2" s="59" t="inlineStr">
        <is>
          <t>الثلاثاء</t>
        </is>
      </c>
      <c r="HI2" s="59" t="inlineStr">
        <is>
          <t>الأربعاء</t>
        </is>
      </c>
      <c r="HJ2" s="59" t="inlineStr">
        <is>
          <t>الخميس</t>
        </is>
      </c>
      <c r="HK2" s="59" t="inlineStr">
        <is>
          <t>الجمعة</t>
        </is>
      </c>
      <c r="HL2" s="59" t="inlineStr">
        <is>
          <t>السبت</t>
        </is>
      </c>
      <c r="HM2" s="59" t="inlineStr">
        <is>
          <t>الأحد</t>
        </is>
      </c>
      <c r="HN2" s="59" t="inlineStr">
        <is>
          <t>الإثنين</t>
        </is>
      </c>
      <c r="HO2" s="59" t="inlineStr">
        <is>
          <t>الثلاثاء</t>
        </is>
      </c>
      <c r="HP2" s="59" t="inlineStr">
        <is>
          <t>الأربعاء</t>
        </is>
      </c>
      <c r="HQ2" s="59" t="inlineStr">
        <is>
          <t>الخميس</t>
        </is>
      </c>
      <c r="HR2" s="59" t="inlineStr">
        <is>
          <t>الجمعة</t>
        </is>
      </c>
      <c r="HS2" s="59" t="inlineStr">
        <is>
          <t>السبت</t>
        </is>
      </c>
      <c r="HT2" s="59" t="inlineStr">
        <is>
          <t>الأحد</t>
        </is>
      </c>
      <c r="HU2" s="59" t="inlineStr">
        <is>
          <t>الإثنين</t>
        </is>
      </c>
      <c r="HV2" s="59" t="inlineStr">
        <is>
          <t>الثلاثاء</t>
        </is>
      </c>
      <c r="HW2" s="59" t="inlineStr">
        <is>
          <t>الأربعاء</t>
        </is>
      </c>
      <c r="HX2" s="59" t="inlineStr">
        <is>
          <t>الخميس</t>
        </is>
      </c>
      <c r="HY2" s="59" t="inlineStr">
        <is>
          <t>الجمعة</t>
        </is>
      </c>
      <c r="HZ2" s="59" t="inlineStr">
        <is>
          <t>السبت</t>
        </is>
      </c>
      <c r="IA2" s="59" t="inlineStr">
        <is>
          <t>الأحد</t>
        </is>
      </c>
      <c r="IB2" s="59" t="inlineStr">
        <is>
          <t>الإثنين</t>
        </is>
      </c>
      <c r="IC2" s="59" t="inlineStr">
        <is>
          <t>الثلاثاء</t>
        </is>
      </c>
      <c r="ID2" s="59" t="inlineStr">
        <is>
          <t>الأربعاء</t>
        </is>
      </c>
      <c r="IE2" s="59" t="inlineStr">
        <is>
          <t>الخميس</t>
        </is>
      </c>
      <c r="IF2" s="59" t="inlineStr">
        <is>
          <t>الجمعة</t>
        </is>
      </c>
      <c r="IG2" s="59" t="inlineStr">
        <is>
          <t>السبت</t>
        </is>
      </c>
      <c r="IH2" s="59" t="inlineStr">
        <is>
          <t>الأحد</t>
        </is>
      </c>
      <c r="II2" s="59" t="inlineStr">
        <is>
          <t>الإثنين</t>
        </is>
      </c>
      <c r="IJ2" s="59" t="inlineStr">
        <is>
          <t>الثلاثاء</t>
        </is>
      </c>
      <c r="IK2" s="59" t="inlineStr">
        <is>
          <t>الأربعاء</t>
        </is>
      </c>
      <c r="IL2" s="59" t="inlineStr">
        <is>
          <t>الخميس</t>
        </is>
      </c>
      <c r="IM2" s="59" t="inlineStr">
        <is>
          <t>الجمعة</t>
        </is>
      </c>
      <c r="IN2" s="59" t="inlineStr">
        <is>
          <t>السبت</t>
        </is>
      </c>
      <c r="IO2" s="59" t="inlineStr">
        <is>
          <t>الأحد</t>
        </is>
      </c>
      <c r="IP2" s="59" t="inlineStr">
        <is>
          <t>الإثنين</t>
        </is>
      </c>
      <c r="IQ2" s="59" t="inlineStr">
        <is>
          <t>الثلاثاء</t>
        </is>
      </c>
      <c r="IR2" s="59" t="inlineStr">
        <is>
          <t>الأربعاء</t>
        </is>
      </c>
      <c r="IS2" s="59" t="inlineStr">
        <is>
          <t>الخميس</t>
        </is>
      </c>
      <c r="IT2" s="59" t="inlineStr">
        <is>
          <t>الجمعة</t>
        </is>
      </c>
      <c r="IU2" s="59" t="inlineStr">
        <is>
          <t>السبت</t>
        </is>
      </c>
      <c r="IV2" s="59" t="inlineStr">
        <is>
          <t>الأحد</t>
        </is>
      </c>
      <c r="IW2" s="59" t="inlineStr">
        <is>
          <t>الإثنين</t>
        </is>
      </c>
      <c r="IX2" s="59" t="inlineStr">
        <is>
          <t>الثلاثاء</t>
        </is>
      </c>
      <c r="IY2" s="59" t="inlineStr">
        <is>
          <t>الأربعاء</t>
        </is>
      </c>
      <c r="IZ2" s="59" t="inlineStr">
        <is>
          <t>الخميس</t>
        </is>
      </c>
      <c r="JA2" s="59" t="inlineStr">
        <is>
          <t>الجمعة</t>
        </is>
      </c>
      <c r="JB2" s="59" t="inlineStr">
        <is>
          <t>السبت</t>
        </is>
      </c>
      <c r="JC2" s="59" t="inlineStr">
        <is>
          <t>الأحد</t>
        </is>
      </c>
      <c r="JD2" s="59" t="inlineStr">
        <is>
          <t>الإثنين</t>
        </is>
      </c>
      <c r="JE2" s="59" t="inlineStr">
        <is>
          <t>الثلاثاء</t>
        </is>
      </c>
      <c r="JF2" s="59" t="inlineStr">
        <is>
          <t>الأربعاء</t>
        </is>
      </c>
      <c r="JG2" s="59" t="inlineStr">
        <is>
          <t>الخميس</t>
        </is>
      </c>
      <c r="JH2" s="59" t="inlineStr">
        <is>
          <t>الجمعة</t>
        </is>
      </c>
      <c r="JI2" s="59" t="inlineStr">
        <is>
          <t>السبت</t>
        </is>
      </c>
      <c r="JJ2" s="59" t="inlineStr">
        <is>
          <t>الأحد</t>
        </is>
      </c>
      <c r="JK2" s="59" t="inlineStr">
        <is>
          <t>الإثنين</t>
        </is>
      </c>
      <c r="JL2" s="59" t="inlineStr">
        <is>
          <t>الثلاثاء</t>
        </is>
      </c>
      <c r="JM2" s="59" t="inlineStr">
        <is>
          <t>الأربعاء</t>
        </is>
      </c>
      <c r="JN2" s="59" t="inlineStr">
        <is>
          <t>الخميس</t>
        </is>
      </c>
      <c r="JO2" s="59" t="inlineStr">
        <is>
          <t>الجمعة</t>
        </is>
      </c>
      <c r="JP2" s="59" t="inlineStr">
        <is>
          <t>السبت</t>
        </is>
      </c>
      <c r="JQ2" s="59" t="inlineStr">
        <is>
          <t>الأحد</t>
        </is>
      </c>
      <c r="JR2" s="59" t="inlineStr">
        <is>
          <t>الإثنين</t>
        </is>
      </c>
      <c r="JS2" s="59" t="inlineStr">
        <is>
          <t>الثلاثاء</t>
        </is>
      </c>
      <c r="JT2" s="59" t="inlineStr">
        <is>
          <t>الأربعاء</t>
        </is>
      </c>
      <c r="JU2" s="59" t="inlineStr">
        <is>
          <t>الخميس</t>
        </is>
      </c>
      <c r="JV2" s="59" t="inlineStr">
        <is>
          <t>الجمعة</t>
        </is>
      </c>
      <c r="JW2" s="59" t="inlineStr">
        <is>
          <t>السبت</t>
        </is>
      </c>
      <c r="JX2" s="59" t="inlineStr">
        <is>
          <t>الأحد</t>
        </is>
      </c>
      <c r="JY2" s="59" t="inlineStr">
        <is>
          <t>الإثنين</t>
        </is>
      </c>
      <c r="JZ2" s="59" t="inlineStr">
        <is>
          <t>الثلاثاء</t>
        </is>
      </c>
      <c r="KA2" s="59" t="inlineStr">
        <is>
          <t>الأربعاء</t>
        </is>
      </c>
      <c r="KB2" s="59" t="inlineStr">
        <is>
          <t>الخميس</t>
        </is>
      </c>
      <c r="KC2" s="59" t="inlineStr">
        <is>
          <t>الجمعة</t>
        </is>
      </c>
      <c r="KD2" s="59" t="inlineStr">
        <is>
          <t>السبت</t>
        </is>
      </c>
      <c r="KE2" s="59" t="inlineStr">
        <is>
          <t>الأحد</t>
        </is>
      </c>
      <c r="KF2" s="59" t="inlineStr">
        <is>
          <t>الإثنين</t>
        </is>
      </c>
      <c r="KG2" s="59" t="inlineStr">
        <is>
          <t>الثلاثاء</t>
        </is>
      </c>
      <c r="KH2" s="59" t="inlineStr">
        <is>
          <t>الأربعاء</t>
        </is>
      </c>
      <c r="KI2" s="59" t="inlineStr">
        <is>
          <t>الخميس</t>
        </is>
      </c>
      <c r="KJ2" s="59" t="inlineStr">
        <is>
          <t>الجمعة</t>
        </is>
      </c>
      <c r="KK2" s="59" t="inlineStr">
        <is>
          <t>السبت</t>
        </is>
      </c>
      <c r="KL2" s="59" t="inlineStr">
        <is>
          <t>الأحد</t>
        </is>
      </c>
      <c r="KM2" s="59" t="inlineStr">
        <is>
          <t>الإثنين</t>
        </is>
      </c>
      <c r="KN2" s="59" t="inlineStr">
        <is>
          <t>الثلاثاء</t>
        </is>
      </c>
      <c r="KO2" s="59" t="inlineStr">
        <is>
          <t>الأربعاء</t>
        </is>
      </c>
      <c r="KP2" s="59" t="inlineStr">
        <is>
          <t>الخميس</t>
        </is>
      </c>
      <c r="KQ2" s="59" t="inlineStr">
        <is>
          <t>الجمعة</t>
        </is>
      </c>
      <c r="KR2" s="59" t="inlineStr">
        <is>
          <t>السبت</t>
        </is>
      </c>
      <c r="KS2" s="59" t="inlineStr">
        <is>
          <t>الأحد</t>
        </is>
      </c>
      <c r="KT2" s="59" t="inlineStr">
        <is>
          <t>الإثنين</t>
        </is>
      </c>
      <c r="KU2" s="59" t="inlineStr">
        <is>
          <t>الثلاثاء</t>
        </is>
      </c>
      <c r="KV2" s="59" t="inlineStr">
        <is>
          <t>الأربعاء</t>
        </is>
      </c>
      <c r="KW2" s="59" t="inlineStr">
        <is>
          <t>الخميس</t>
        </is>
      </c>
      <c r="KX2" s="59" t="inlineStr">
        <is>
          <t>الجمعة</t>
        </is>
      </c>
      <c r="KY2" s="59" t="inlineStr">
        <is>
          <t>السبت</t>
        </is>
      </c>
      <c r="KZ2" s="59" t="inlineStr">
        <is>
          <t>الأحد</t>
        </is>
      </c>
      <c r="LA2" s="59" t="inlineStr">
        <is>
          <t>الإثنين</t>
        </is>
      </c>
      <c r="LB2" s="59" t="inlineStr">
        <is>
          <t>الثلاثاء</t>
        </is>
      </c>
      <c r="LC2" s="59" t="inlineStr">
        <is>
          <t>الأربعاء</t>
        </is>
      </c>
      <c r="LD2" s="59" t="inlineStr">
        <is>
          <t>الخميس</t>
        </is>
      </c>
      <c r="LE2" s="59" t="inlineStr">
        <is>
          <t>الجمعة</t>
        </is>
      </c>
      <c r="LF2" s="59" t="inlineStr">
        <is>
          <t>السبت</t>
        </is>
      </c>
      <c r="LG2" s="59" t="inlineStr">
        <is>
          <t>الأحد</t>
        </is>
      </c>
      <c r="LH2" s="59" t="inlineStr">
        <is>
          <t>الإثنين</t>
        </is>
      </c>
      <c r="LI2" s="59" t="inlineStr">
        <is>
          <t>الثلاثاء</t>
        </is>
      </c>
      <c r="LJ2" s="59" t="inlineStr">
        <is>
          <t>الأربعاء</t>
        </is>
      </c>
      <c r="LK2" s="59" t="inlineStr">
        <is>
          <t>الخميس</t>
        </is>
      </c>
      <c r="LL2" s="59" t="inlineStr">
        <is>
          <t>الجمعة</t>
        </is>
      </c>
      <c r="LM2" s="59" t="inlineStr">
        <is>
          <t>السبت</t>
        </is>
      </c>
      <c r="LN2" s="59" t="inlineStr">
        <is>
          <t>الأحد</t>
        </is>
      </c>
      <c r="LO2" s="59" t="inlineStr">
        <is>
          <t>الإثنين</t>
        </is>
      </c>
      <c r="LP2" s="59" t="inlineStr">
        <is>
          <t>الثلاثاء</t>
        </is>
      </c>
      <c r="LQ2" s="59" t="inlineStr">
        <is>
          <t>الأربعاء</t>
        </is>
      </c>
      <c r="LR2" s="59" t="inlineStr">
        <is>
          <t>الخميس</t>
        </is>
      </c>
      <c r="LS2" s="59" t="inlineStr">
        <is>
          <t>الجمعة</t>
        </is>
      </c>
      <c r="LT2" s="59" t="inlineStr">
        <is>
          <t>السبت</t>
        </is>
      </c>
      <c r="LU2" s="59" t="inlineStr">
        <is>
          <t>الأحد</t>
        </is>
      </c>
      <c r="LV2" s="59" t="inlineStr">
        <is>
          <t>الإثنين</t>
        </is>
      </c>
      <c r="LW2" s="59" t="inlineStr">
        <is>
          <t>الثلاثاء</t>
        </is>
      </c>
      <c r="LX2" s="59" t="inlineStr">
        <is>
          <t>الأربعاء</t>
        </is>
      </c>
      <c r="LY2" s="59" t="inlineStr">
        <is>
          <t>الخميس</t>
        </is>
      </c>
      <c r="LZ2" s="59" t="inlineStr">
        <is>
          <t>الجمعة</t>
        </is>
      </c>
      <c r="MA2" s="59" t="inlineStr">
        <is>
          <t>السبت</t>
        </is>
      </c>
      <c r="MB2" s="59" t="inlineStr">
        <is>
          <t>الأحد</t>
        </is>
      </c>
      <c r="MC2" s="59" t="inlineStr">
        <is>
          <t>الإثنين</t>
        </is>
      </c>
      <c r="MD2" s="59" t="inlineStr">
        <is>
          <t>الثلاثاء</t>
        </is>
      </c>
      <c r="ME2" s="59" t="inlineStr">
        <is>
          <t>الأربعاء</t>
        </is>
      </c>
      <c r="MF2" s="59" t="inlineStr">
        <is>
          <t>الخميس</t>
        </is>
      </c>
      <c r="MG2" s="59" t="inlineStr">
        <is>
          <t>الجمعة</t>
        </is>
      </c>
      <c r="MH2" s="59" t="inlineStr">
        <is>
          <t>السبت</t>
        </is>
      </c>
      <c r="MI2" s="59" t="inlineStr">
        <is>
          <t>الأحد</t>
        </is>
      </c>
      <c r="MJ2" s="59" t="inlineStr">
        <is>
          <t>الإثنين</t>
        </is>
      </c>
      <c r="MK2" s="59" t="inlineStr">
        <is>
          <t>الثلاثاء</t>
        </is>
      </c>
      <c r="ML2" s="59" t="inlineStr">
        <is>
          <t>الأربعاء</t>
        </is>
      </c>
      <c r="MM2" s="59" t="inlineStr">
        <is>
          <t>الخميس</t>
        </is>
      </c>
      <c r="MN2" s="59" t="inlineStr">
        <is>
          <t>الجمعة</t>
        </is>
      </c>
      <c r="MO2" s="59" t="inlineStr">
        <is>
          <t>السبت</t>
        </is>
      </c>
      <c r="MP2" s="59" t="inlineStr">
        <is>
          <t>الأحد</t>
        </is>
      </c>
      <c r="MQ2" s="59" t="inlineStr">
        <is>
          <t>الإثنين</t>
        </is>
      </c>
      <c r="MR2" s="59" t="inlineStr">
        <is>
          <t>الثلاثاء</t>
        </is>
      </c>
      <c r="MS2" s="59" t="inlineStr">
        <is>
          <t>الأربعاء</t>
        </is>
      </c>
      <c r="MT2" s="59" t="inlineStr">
        <is>
          <t>الخميس</t>
        </is>
      </c>
      <c r="MU2" s="59" t="inlineStr">
        <is>
          <t>الجمعة</t>
        </is>
      </c>
      <c r="MV2" s="59" t="inlineStr">
        <is>
          <t>السبت</t>
        </is>
      </c>
      <c r="MW2" s="59" t="inlineStr">
        <is>
          <t>الأحد</t>
        </is>
      </c>
      <c r="MX2" s="59" t="inlineStr">
        <is>
          <t>الإثنين</t>
        </is>
      </c>
      <c r="MY2" s="59" t="inlineStr">
        <is>
          <t>الثلاثاء</t>
        </is>
      </c>
      <c r="MZ2" s="59" t="inlineStr">
        <is>
          <t>الأربعاء</t>
        </is>
      </c>
      <c r="NA2" s="59" t="inlineStr">
        <is>
          <t>الخميس</t>
        </is>
      </c>
      <c r="NB2" s="59" t="inlineStr">
        <is>
          <t>الجمعة</t>
        </is>
      </c>
      <c r="NC2" s="59" t="inlineStr">
        <is>
          <t>السبت</t>
        </is>
      </c>
      <c r="ND2" s="59" t="inlineStr">
        <is>
          <t>الأحد</t>
        </is>
      </c>
    </row>
    <row r="3">
      <c r="A3" s="14" t="inlineStr">
        <is>
          <t>م</t>
        </is>
      </c>
      <c r="B3" s="14" t="inlineStr">
        <is>
          <t>الاسم</t>
        </is>
      </c>
      <c r="C3" s="14" t="inlineStr">
        <is>
          <t>الرقم الوظيفي</t>
        </is>
      </c>
      <c r="D3" s="60" t="n">
        <v>46187</v>
      </c>
      <c r="E3" s="60" t="n">
        <v>46188</v>
      </c>
      <c r="F3" s="60" t="n">
        <v>46189</v>
      </c>
      <c r="G3" s="60" t="n">
        <v>46190</v>
      </c>
      <c r="H3" s="60" t="n">
        <v>46191</v>
      </c>
      <c r="I3" s="61" t="n">
        <v>46192</v>
      </c>
      <c r="J3" s="60" t="n">
        <v>46193</v>
      </c>
      <c r="K3" s="60" t="n">
        <v>46194</v>
      </c>
      <c r="L3" s="60" t="n">
        <v>46195</v>
      </c>
      <c r="M3" s="60" t="n">
        <v>46196</v>
      </c>
      <c r="N3" s="60" t="n">
        <v>46197</v>
      </c>
      <c r="O3" s="60" t="n">
        <v>46198</v>
      </c>
      <c r="P3" s="61" t="n">
        <v>46199</v>
      </c>
      <c r="Q3" s="60" t="n">
        <v>46200</v>
      </c>
      <c r="R3" s="60" t="n">
        <v>46201</v>
      </c>
      <c r="S3" s="60" t="n">
        <v>46202</v>
      </c>
      <c r="T3" s="60" t="n">
        <v>46203</v>
      </c>
      <c r="U3" s="60" t="n">
        <v>46204</v>
      </c>
      <c r="V3" s="60" t="n">
        <v>46205</v>
      </c>
      <c r="W3" s="61" t="n">
        <v>46206</v>
      </c>
      <c r="X3" s="60" t="n">
        <v>46207</v>
      </c>
      <c r="Y3" s="60" t="n">
        <v>46208</v>
      </c>
      <c r="Z3" s="60" t="n">
        <v>46209</v>
      </c>
      <c r="AA3" s="60" t="n">
        <v>46210</v>
      </c>
      <c r="AB3" s="60" t="n">
        <v>46211</v>
      </c>
      <c r="AC3" s="60" t="n">
        <v>46212</v>
      </c>
      <c r="AD3" s="61" t="n">
        <v>46213</v>
      </c>
      <c r="AE3" s="60" t="n">
        <v>46214</v>
      </c>
      <c r="AF3" s="60" t="n">
        <v>46215</v>
      </c>
      <c r="AG3" s="60" t="n">
        <v>46216</v>
      </c>
      <c r="AH3" s="60" t="n">
        <v>46217</v>
      </c>
      <c r="AI3" s="60" t="n">
        <v>46218</v>
      </c>
      <c r="AJ3" s="60" t="n">
        <v>46219</v>
      </c>
      <c r="AK3" s="61" t="n">
        <v>46220</v>
      </c>
      <c r="AL3" s="60" t="n">
        <v>46221</v>
      </c>
      <c r="AM3" s="60" t="n">
        <v>46222</v>
      </c>
      <c r="AN3" s="60" t="n">
        <v>46223</v>
      </c>
      <c r="AO3" s="60" t="n">
        <v>46224</v>
      </c>
      <c r="AP3" s="60" t="n">
        <v>46225</v>
      </c>
      <c r="AQ3" s="60" t="n">
        <v>46226</v>
      </c>
      <c r="AR3" s="61" t="n">
        <v>46227</v>
      </c>
      <c r="AS3" s="60" t="n">
        <v>46228</v>
      </c>
      <c r="AT3" s="60" t="n">
        <v>46229</v>
      </c>
      <c r="AU3" s="60" t="n">
        <v>46230</v>
      </c>
      <c r="AV3" s="60" t="n">
        <v>46231</v>
      </c>
      <c r="AW3" s="60" t="n">
        <v>46232</v>
      </c>
      <c r="AX3" s="60" t="n">
        <v>46233</v>
      </c>
      <c r="AY3" s="61" t="n">
        <v>46234</v>
      </c>
      <c r="AZ3" s="60" t="n">
        <v>46235</v>
      </c>
      <c r="BA3" s="60" t="n">
        <v>46236</v>
      </c>
      <c r="BB3" s="60" t="n">
        <v>46237</v>
      </c>
      <c r="BC3" s="60" t="n">
        <v>46238</v>
      </c>
      <c r="BD3" s="60" t="n">
        <v>46239</v>
      </c>
      <c r="BE3" s="60" t="n">
        <v>46240</v>
      </c>
      <c r="BF3" s="61" t="n">
        <v>46241</v>
      </c>
      <c r="BG3" s="60" t="n">
        <v>46242</v>
      </c>
      <c r="BH3" s="60" t="n">
        <v>46243</v>
      </c>
      <c r="BI3" s="60" t="n">
        <v>46244</v>
      </c>
      <c r="BJ3" s="60" t="n">
        <v>46245</v>
      </c>
      <c r="BK3" s="60" t="n">
        <v>46246</v>
      </c>
      <c r="BL3" s="60" t="n">
        <v>46247</v>
      </c>
      <c r="BM3" s="61" t="n">
        <v>46248</v>
      </c>
      <c r="BN3" s="60" t="n">
        <v>46249</v>
      </c>
      <c r="BO3" s="60" t="n">
        <v>46250</v>
      </c>
      <c r="BP3" s="60" t="n">
        <v>46251</v>
      </c>
      <c r="BQ3" s="60" t="n">
        <v>46252</v>
      </c>
      <c r="BR3" s="60" t="n">
        <v>46253</v>
      </c>
      <c r="BS3" s="60" t="n">
        <v>46254</v>
      </c>
      <c r="BT3" s="61" t="n">
        <v>46255</v>
      </c>
      <c r="BU3" s="60" t="n">
        <v>46256</v>
      </c>
      <c r="BV3" s="60" t="n">
        <v>46257</v>
      </c>
      <c r="BW3" s="60" t="n">
        <v>46258</v>
      </c>
      <c r="BX3" s="60" t="n">
        <v>46259</v>
      </c>
      <c r="BY3" s="60" t="n">
        <v>46260</v>
      </c>
      <c r="BZ3" s="60" t="n">
        <v>46261</v>
      </c>
      <c r="CA3" s="61" t="n">
        <v>46262</v>
      </c>
      <c r="CB3" s="60" t="n">
        <v>46263</v>
      </c>
      <c r="CC3" s="60" t="n">
        <v>46264</v>
      </c>
      <c r="CD3" s="60" t="n">
        <v>46265</v>
      </c>
      <c r="CE3" s="60" t="n">
        <v>46266</v>
      </c>
      <c r="CF3" s="60" t="n">
        <v>46267</v>
      </c>
      <c r="CG3" s="60" t="n">
        <v>46268</v>
      </c>
      <c r="CH3" s="61" t="n">
        <v>46269</v>
      </c>
      <c r="CI3" s="60" t="n">
        <v>46270</v>
      </c>
      <c r="CJ3" s="60" t="n">
        <v>46271</v>
      </c>
      <c r="CK3" s="60" t="n">
        <v>46272</v>
      </c>
      <c r="CL3" s="60" t="n">
        <v>46273</v>
      </c>
      <c r="CM3" s="60" t="n">
        <v>46274</v>
      </c>
      <c r="CN3" s="60" t="n">
        <v>46275</v>
      </c>
      <c r="CO3" s="61" t="n">
        <v>46276</v>
      </c>
      <c r="CP3" s="60" t="n">
        <v>46277</v>
      </c>
      <c r="CQ3" s="60" t="n">
        <v>46278</v>
      </c>
      <c r="CR3" s="60" t="n">
        <v>46279</v>
      </c>
      <c r="CS3" s="60" t="n">
        <v>46280</v>
      </c>
      <c r="CT3" s="60" t="n">
        <v>46281</v>
      </c>
      <c r="CU3" s="60" t="n">
        <v>46282</v>
      </c>
      <c r="CV3" s="61" t="n">
        <v>46283</v>
      </c>
      <c r="CW3" s="60" t="n">
        <v>46284</v>
      </c>
      <c r="CX3" s="60" t="n">
        <v>46285</v>
      </c>
      <c r="CY3" s="60" t="n">
        <v>46286</v>
      </c>
      <c r="CZ3" s="60" t="n">
        <v>46287</v>
      </c>
      <c r="DA3" s="60" t="n">
        <v>46288</v>
      </c>
      <c r="DB3" s="60" t="n">
        <v>46289</v>
      </c>
      <c r="DC3" s="61" t="n">
        <v>46290</v>
      </c>
      <c r="DD3" s="60" t="n">
        <v>46291</v>
      </c>
      <c r="DE3" s="60" t="n">
        <v>46292</v>
      </c>
      <c r="DF3" s="60" t="n">
        <v>46293</v>
      </c>
      <c r="DG3" s="60" t="n">
        <v>46294</v>
      </c>
      <c r="DH3" s="60" t="n">
        <v>46295</v>
      </c>
      <c r="DI3" s="60" t="n">
        <v>46296</v>
      </c>
      <c r="DJ3" s="61" t="n">
        <v>46297</v>
      </c>
      <c r="DK3" s="60" t="n">
        <v>46298</v>
      </c>
      <c r="DL3" s="60" t="n">
        <v>46299</v>
      </c>
      <c r="DM3" s="60" t="n">
        <v>46300</v>
      </c>
      <c r="DN3" s="60" t="n">
        <v>46301</v>
      </c>
      <c r="DO3" s="60" t="n">
        <v>46302</v>
      </c>
      <c r="DP3" s="60" t="n">
        <v>46303</v>
      </c>
      <c r="DQ3" s="61" t="n">
        <v>46304</v>
      </c>
      <c r="DR3" s="60" t="n">
        <v>46305</v>
      </c>
      <c r="DS3" s="60" t="n">
        <v>46306</v>
      </c>
      <c r="DT3" s="60" t="n">
        <v>46307</v>
      </c>
      <c r="DU3" s="60" t="n">
        <v>46308</v>
      </c>
      <c r="DV3" s="60" t="n">
        <v>46309</v>
      </c>
      <c r="DW3" s="60" t="n">
        <v>46310</v>
      </c>
      <c r="DX3" s="61" t="n">
        <v>46311</v>
      </c>
      <c r="DY3" s="60" t="n">
        <v>46312</v>
      </c>
      <c r="DZ3" s="60" t="n">
        <v>46313</v>
      </c>
      <c r="EA3" s="60" t="n">
        <v>46314</v>
      </c>
      <c r="EB3" s="60" t="n">
        <v>46315</v>
      </c>
      <c r="EC3" s="60" t="n">
        <v>46316</v>
      </c>
      <c r="ED3" s="60" t="n">
        <v>46317</v>
      </c>
      <c r="EE3" s="61" t="n">
        <v>46318</v>
      </c>
      <c r="EF3" s="60" t="n">
        <v>46319</v>
      </c>
      <c r="EG3" s="60" t="n">
        <v>46320</v>
      </c>
      <c r="EH3" s="60" t="n">
        <v>46321</v>
      </c>
      <c r="EI3" s="60" t="n">
        <v>46322</v>
      </c>
      <c r="EJ3" s="60" t="n">
        <v>46323</v>
      </c>
      <c r="EK3" s="60" t="n">
        <v>46324</v>
      </c>
      <c r="EL3" s="61" t="n">
        <v>46325</v>
      </c>
      <c r="EM3" s="60" t="n">
        <v>46326</v>
      </c>
      <c r="EN3" s="60" t="n">
        <v>46327</v>
      </c>
      <c r="EO3" s="60" t="n">
        <v>46328</v>
      </c>
      <c r="EP3" s="60" t="n">
        <v>46329</v>
      </c>
      <c r="EQ3" s="60" t="n">
        <v>46330</v>
      </c>
      <c r="ER3" s="60" t="n">
        <v>46331</v>
      </c>
      <c r="ES3" s="61" t="n">
        <v>46332</v>
      </c>
      <c r="ET3" s="60" t="n">
        <v>46333</v>
      </c>
      <c r="EU3" s="60" t="n">
        <v>46334</v>
      </c>
      <c r="EV3" s="60" t="n">
        <v>46335</v>
      </c>
      <c r="EW3" s="60" t="n">
        <v>46336</v>
      </c>
      <c r="EX3" s="60" t="n">
        <v>46337</v>
      </c>
      <c r="EY3" s="60" t="n">
        <v>46338</v>
      </c>
      <c r="EZ3" s="61" t="n">
        <v>46339</v>
      </c>
      <c r="FA3" s="60" t="n">
        <v>46340</v>
      </c>
      <c r="FB3" s="60" t="n">
        <v>46341</v>
      </c>
      <c r="FC3" s="60" t="n">
        <v>46342</v>
      </c>
      <c r="FD3" s="60" t="n">
        <v>46343</v>
      </c>
      <c r="FE3" s="60" t="n">
        <v>46344</v>
      </c>
      <c r="FF3" s="60" t="n">
        <v>46345</v>
      </c>
      <c r="FG3" s="61" t="n">
        <v>46346</v>
      </c>
      <c r="FH3" s="60" t="n">
        <v>46347</v>
      </c>
      <c r="FI3" s="60" t="n">
        <v>46348</v>
      </c>
      <c r="FJ3" s="60" t="n">
        <v>46349</v>
      </c>
      <c r="FK3" s="60" t="n">
        <v>46350</v>
      </c>
      <c r="FL3" s="60" t="n">
        <v>46351</v>
      </c>
      <c r="FM3" s="60" t="n">
        <v>46352</v>
      </c>
      <c r="FN3" s="61" t="n">
        <v>46353</v>
      </c>
      <c r="FO3" s="60" t="n">
        <v>46354</v>
      </c>
      <c r="FP3" s="60" t="n">
        <v>46355</v>
      </c>
      <c r="FQ3" s="60" t="n">
        <v>46356</v>
      </c>
      <c r="FR3" s="60" t="n">
        <v>46357</v>
      </c>
      <c r="FS3" s="60" t="n">
        <v>46358</v>
      </c>
      <c r="FT3" s="60" t="n">
        <v>46359</v>
      </c>
      <c r="FU3" s="61" t="n">
        <v>46360</v>
      </c>
      <c r="FV3" s="60" t="n">
        <v>46361</v>
      </c>
      <c r="FW3" s="60" t="n">
        <v>46362</v>
      </c>
      <c r="FX3" s="60" t="n">
        <v>46363</v>
      </c>
      <c r="FY3" s="60" t="n">
        <v>46364</v>
      </c>
      <c r="FZ3" s="60" t="n">
        <v>46365</v>
      </c>
      <c r="GA3" s="60" t="n">
        <v>46366</v>
      </c>
      <c r="GB3" s="61" t="n">
        <v>46367</v>
      </c>
      <c r="GC3" s="60" t="n">
        <v>46368</v>
      </c>
      <c r="GD3" s="60" t="n">
        <v>46369</v>
      </c>
      <c r="GE3" s="60" t="n">
        <v>46370</v>
      </c>
      <c r="GF3" s="60" t="n">
        <v>46371</v>
      </c>
      <c r="GG3" s="60" t="n">
        <v>46372</v>
      </c>
      <c r="GH3" s="60" t="n">
        <v>46373</v>
      </c>
      <c r="GI3" s="61" t="n">
        <v>46374</v>
      </c>
      <c r="GJ3" s="60" t="n">
        <v>46375</v>
      </c>
      <c r="GK3" s="60" t="n">
        <v>46376</v>
      </c>
      <c r="GL3" s="60" t="n">
        <v>46377</v>
      </c>
      <c r="GM3" s="60" t="n">
        <v>46378</v>
      </c>
      <c r="GN3" s="60" t="n">
        <v>46379</v>
      </c>
      <c r="GO3" s="60" t="n">
        <v>46380</v>
      </c>
      <c r="GP3" s="61" t="n">
        <v>46381</v>
      </c>
      <c r="GQ3" s="60" t="n">
        <v>46382</v>
      </c>
      <c r="GR3" s="60" t="n">
        <v>46383</v>
      </c>
      <c r="GS3" s="60" t="n">
        <v>46384</v>
      </c>
      <c r="GT3" s="60" t="n">
        <v>46385</v>
      </c>
      <c r="GU3" s="60" t="n">
        <v>46386</v>
      </c>
      <c r="GV3" s="60" t="n">
        <v>46387</v>
      </c>
      <c r="GW3" s="61" t="n">
        <v>46388</v>
      </c>
      <c r="GX3" s="60" t="n">
        <v>46389</v>
      </c>
      <c r="GY3" s="60" t="n">
        <v>46390</v>
      </c>
      <c r="GZ3" s="60" t="n">
        <v>46391</v>
      </c>
      <c r="HA3" s="60" t="n">
        <v>46392</v>
      </c>
      <c r="HB3" s="60" t="n">
        <v>46393</v>
      </c>
      <c r="HC3" s="60" t="n">
        <v>46394</v>
      </c>
      <c r="HD3" s="61" t="n">
        <v>46395</v>
      </c>
      <c r="HE3" s="60" t="n">
        <v>46396</v>
      </c>
      <c r="HF3" s="60" t="n">
        <v>46397</v>
      </c>
      <c r="HG3" s="60" t="n">
        <v>46398</v>
      </c>
      <c r="HH3" s="60" t="n">
        <v>46399</v>
      </c>
      <c r="HI3" s="60" t="n">
        <v>46400</v>
      </c>
      <c r="HJ3" s="60" t="n">
        <v>46401</v>
      </c>
      <c r="HK3" s="61" t="n">
        <v>46402</v>
      </c>
      <c r="HL3" s="60" t="n">
        <v>46403</v>
      </c>
      <c r="HM3" s="60" t="n">
        <v>46404</v>
      </c>
      <c r="HN3" s="60" t="n">
        <v>46405</v>
      </c>
      <c r="HO3" s="60" t="n">
        <v>46406</v>
      </c>
      <c r="HP3" s="60" t="n">
        <v>46407</v>
      </c>
      <c r="HQ3" s="60" t="n">
        <v>46408</v>
      </c>
      <c r="HR3" s="61" t="n">
        <v>46409</v>
      </c>
      <c r="HS3" s="60" t="n">
        <v>46410</v>
      </c>
      <c r="HT3" s="60" t="n">
        <v>46411</v>
      </c>
      <c r="HU3" s="60" t="n">
        <v>46412</v>
      </c>
      <c r="HV3" s="60" t="n">
        <v>46413</v>
      </c>
      <c r="HW3" s="60" t="n">
        <v>46414</v>
      </c>
      <c r="HX3" s="60" t="n">
        <v>46415</v>
      </c>
      <c r="HY3" s="61" t="n">
        <v>46416</v>
      </c>
      <c r="HZ3" s="60" t="n">
        <v>46417</v>
      </c>
      <c r="IA3" s="60" t="n">
        <v>46418</v>
      </c>
      <c r="IB3" s="60" t="n">
        <v>46419</v>
      </c>
      <c r="IC3" s="60" t="n">
        <v>46420</v>
      </c>
      <c r="ID3" s="60" t="n">
        <v>46421</v>
      </c>
      <c r="IE3" s="60" t="n">
        <v>46422</v>
      </c>
      <c r="IF3" s="61" t="n">
        <v>46423</v>
      </c>
      <c r="IG3" s="60" t="n">
        <v>46424</v>
      </c>
      <c r="IH3" s="60" t="n">
        <v>46425</v>
      </c>
      <c r="II3" s="60" t="n">
        <v>46426</v>
      </c>
      <c r="IJ3" s="60" t="n">
        <v>46427</v>
      </c>
      <c r="IK3" s="60" t="n">
        <v>46428</v>
      </c>
      <c r="IL3" s="60" t="n">
        <v>46429</v>
      </c>
      <c r="IM3" s="61" t="n">
        <v>46430</v>
      </c>
      <c r="IN3" s="60" t="n">
        <v>46431</v>
      </c>
      <c r="IO3" s="60" t="n">
        <v>46432</v>
      </c>
      <c r="IP3" s="60" t="n">
        <v>46433</v>
      </c>
      <c r="IQ3" s="60" t="n">
        <v>46434</v>
      </c>
      <c r="IR3" s="60" t="n">
        <v>46435</v>
      </c>
      <c r="IS3" s="60" t="n">
        <v>46436</v>
      </c>
      <c r="IT3" s="61" t="n">
        <v>46437</v>
      </c>
      <c r="IU3" s="60" t="n">
        <v>46438</v>
      </c>
      <c r="IV3" s="60" t="n">
        <v>46439</v>
      </c>
      <c r="IW3" s="60" t="n">
        <v>46440</v>
      </c>
      <c r="IX3" s="60" t="n">
        <v>46441</v>
      </c>
      <c r="IY3" s="60" t="n">
        <v>46442</v>
      </c>
      <c r="IZ3" s="60" t="n">
        <v>46443</v>
      </c>
      <c r="JA3" s="61" t="n">
        <v>46444</v>
      </c>
      <c r="JB3" s="60" t="n">
        <v>46445</v>
      </c>
      <c r="JC3" s="60" t="n">
        <v>46446</v>
      </c>
      <c r="JD3" s="60" t="n">
        <v>46447</v>
      </c>
      <c r="JE3" s="60" t="n">
        <v>46448</v>
      </c>
      <c r="JF3" s="60" t="n">
        <v>46449</v>
      </c>
      <c r="JG3" s="60" t="n">
        <v>46450</v>
      </c>
      <c r="JH3" s="61" t="n">
        <v>46451</v>
      </c>
      <c r="JI3" s="60" t="n">
        <v>46452</v>
      </c>
      <c r="JJ3" s="60" t="n">
        <v>46453</v>
      </c>
      <c r="JK3" s="60" t="n">
        <v>46454</v>
      </c>
      <c r="JL3" s="60" t="n">
        <v>46455</v>
      </c>
      <c r="JM3" s="60" t="n">
        <v>46456</v>
      </c>
      <c r="JN3" s="60" t="n">
        <v>46457</v>
      </c>
      <c r="JO3" s="61" t="n">
        <v>46458</v>
      </c>
      <c r="JP3" s="60" t="n">
        <v>46459</v>
      </c>
      <c r="JQ3" s="60" t="n">
        <v>46460</v>
      </c>
      <c r="JR3" s="60" t="n">
        <v>46461</v>
      </c>
      <c r="JS3" s="60" t="n">
        <v>46462</v>
      </c>
      <c r="JT3" s="60" t="n">
        <v>46463</v>
      </c>
      <c r="JU3" s="60" t="n">
        <v>46464</v>
      </c>
      <c r="JV3" s="61" t="n">
        <v>46465</v>
      </c>
      <c r="JW3" s="60" t="n">
        <v>46466</v>
      </c>
      <c r="JX3" s="60" t="n">
        <v>46467</v>
      </c>
      <c r="JY3" s="60" t="n">
        <v>46468</v>
      </c>
      <c r="JZ3" s="60" t="n">
        <v>46469</v>
      </c>
      <c r="KA3" s="60" t="n">
        <v>46470</v>
      </c>
      <c r="KB3" s="60" t="n">
        <v>46471</v>
      </c>
      <c r="KC3" s="61" t="n">
        <v>46472</v>
      </c>
      <c r="KD3" s="60" t="n">
        <v>46473</v>
      </c>
      <c r="KE3" s="60" t="n">
        <v>46474</v>
      </c>
      <c r="KF3" s="60" t="n">
        <v>46475</v>
      </c>
      <c r="KG3" s="60" t="n">
        <v>46476</v>
      </c>
      <c r="KH3" s="60" t="n">
        <v>46477</v>
      </c>
      <c r="KI3" s="60" t="n">
        <v>46478</v>
      </c>
      <c r="KJ3" s="61" t="n">
        <v>46479</v>
      </c>
      <c r="KK3" s="60" t="n">
        <v>46480</v>
      </c>
      <c r="KL3" s="60" t="n">
        <v>46481</v>
      </c>
      <c r="KM3" s="60" t="n">
        <v>46482</v>
      </c>
      <c r="KN3" s="60" t="n">
        <v>46483</v>
      </c>
      <c r="KO3" s="60" t="n">
        <v>46484</v>
      </c>
      <c r="KP3" s="60" t="n">
        <v>46485</v>
      </c>
      <c r="KQ3" s="61" t="n">
        <v>46486</v>
      </c>
      <c r="KR3" s="60" t="n">
        <v>46487</v>
      </c>
      <c r="KS3" s="60" t="n">
        <v>46488</v>
      </c>
      <c r="KT3" s="60" t="n">
        <v>46489</v>
      </c>
      <c r="KU3" s="60" t="n">
        <v>46490</v>
      </c>
      <c r="KV3" s="60" t="n">
        <v>46491</v>
      </c>
      <c r="KW3" s="60" t="n">
        <v>46492</v>
      </c>
      <c r="KX3" s="61" t="n">
        <v>46493</v>
      </c>
      <c r="KY3" s="60" t="n">
        <v>46494</v>
      </c>
      <c r="KZ3" s="60" t="n">
        <v>46495</v>
      </c>
      <c r="LA3" s="60" t="n">
        <v>46496</v>
      </c>
      <c r="LB3" s="60" t="n">
        <v>46497</v>
      </c>
      <c r="LC3" s="60" t="n">
        <v>46498</v>
      </c>
      <c r="LD3" s="60" t="n">
        <v>46499</v>
      </c>
      <c r="LE3" s="61" t="n">
        <v>46500</v>
      </c>
      <c r="LF3" s="60" t="n">
        <v>46501</v>
      </c>
      <c r="LG3" s="60" t="n">
        <v>46502</v>
      </c>
      <c r="LH3" s="60" t="n">
        <v>46503</v>
      </c>
      <c r="LI3" s="60" t="n">
        <v>46504</v>
      </c>
      <c r="LJ3" s="60" t="n">
        <v>46505</v>
      </c>
      <c r="LK3" s="60" t="n">
        <v>46506</v>
      </c>
      <c r="LL3" s="61" t="n">
        <v>46507</v>
      </c>
      <c r="LM3" s="60" t="n">
        <v>46508</v>
      </c>
      <c r="LN3" s="60" t="n">
        <v>46509</v>
      </c>
      <c r="LO3" s="60" t="n">
        <v>46510</v>
      </c>
      <c r="LP3" s="60" t="n">
        <v>46511</v>
      </c>
      <c r="LQ3" s="60" t="n">
        <v>46512</v>
      </c>
      <c r="LR3" s="60" t="n">
        <v>46513</v>
      </c>
      <c r="LS3" s="61" t="n">
        <v>46514</v>
      </c>
      <c r="LT3" s="60" t="n">
        <v>46515</v>
      </c>
      <c r="LU3" s="60" t="n">
        <v>46516</v>
      </c>
      <c r="LV3" s="60" t="n">
        <v>46517</v>
      </c>
      <c r="LW3" s="60" t="n">
        <v>46518</v>
      </c>
      <c r="LX3" s="60" t="n">
        <v>46519</v>
      </c>
      <c r="LY3" s="60" t="n">
        <v>46520</v>
      </c>
      <c r="LZ3" s="61" t="n">
        <v>46521</v>
      </c>
      <c r="MA3" s="60" t="n">
        <v>46522</v>
      </c>
      <c r="MB3" s="60" t="n">
        <v>46523</v>
      </c>
      <c r="MC3" s="60" t="n">
        <v>46524</v>
      </c>
      <c r="MD3" s="60" t="n">
        <v>46525</v>
      </c>
      <c r="ME3" s="60" t="n">
        <v>46526</v>
      </c>
      <c r="MF3" s="60" t="n">
        <v>46527</v>
      </c>
      <c r="MG3" s="61" t="n">
        <v>46528</v>
      </c>
      <c r="MH3" s="60" t="n">
        <v>46529</v>
      </c>
      <c r="MI3" s="60" t="n">
        <v>46530</v>
      </c>
      <c r="MJ3" s="60" t="n">
        <v>46531</v>
      </c>
      <c r="MK3" s="60" t="n">
        <v>46532</v>
      </c>
      <c r="ML3" s="60" t="n">
        <v>46533</v>
      </c>
      <c r="MM3" s="60" t="n">
        <v>46534</v>
      </c>
      <c r="MN3" s="61" t="n">
        <v>46535</v>
      </c>
      <c r="MO3" s="60" t="n">
        <v>46536</v>
      </c>
      <c r="MP3" s="60" t="n">
        <v>46537</v>
      </c>
      <c r="MQ3" s="60" t="n">
        <v>46538</v>
      </c>
      <c r="MR3" s="60" t="n">
        <v>46539</v>
      </c>
      <c r="MS3" s="60" t="n">
        <v>46540</v>
      </c>
      <c r="MT3" s="60" t="n">
        <v>46541</v>
      </c>
      <c r="MU3" s="61" t="n">
        <v>46542</v>
      </c>
      <c r="MV3" s="60" t="n">
        <v>46543</v>
      </c>
      <c r="MW3" s="60" t="n">
        <v>46544</v>
      </c>
      <c r="MX3" s="60" t="n">
        <v>46545</v>
      </c>
      <c r="MY3" s="60" t="n">
        <v>46546</v>
      </c>
      <c r="MZ3" s="60" t="n">
        <v>46547</v>
      </c>
      <c r="NA3" s="60" t="n">
        <v>46548</v>
      </c>
      <c r="NB3" s="61" t="n">
        <v>46549</v>
      </c>
      <c r="NC3" s="60" t="n">
        <v>46550</v>
      </c>
      <c r="ND3" s="60" t="n">
        <v>46551</v>
      </c>
    </row>
    <row r="4">
      <c r="A4" s="16" t="n">
        <v>1</v>
      </c>
      <c r="B4" s="22">
        <f>'الموظفون'!B2</f>
        <v/>
      </c>
      <c r="C4" s="16">
        <f>'الموظفون'!C2</f>
        <v/>
      </c>
      <c r="D4" s="62">
        <f>IF(SUMPRODUCT(('حجز الإجازات'!$B$5:$B$104='الموظفون'!$B$2)*('حجز الإجازات'!$D$5:$D$104&lt;=D$3)*(('حجز الإجازات'!$E$5:$E$104)&gt;=D$3)*('حجز الإجازات'!$G$5:$G$104="معتمد")*ROW('حجز الإجازات'!$B$5:$B$104))=0,IF(D$3&lt;'الموظفون'!$D$2,"",IF(ISNUMBER(MATCH(D$3,Holidays,0)),"عطلة",IF(MOD(D$3-'الموظفون'!$D$2,CycleWork+CycleRest)&lt;CycleWork,INDEX('الإعدادات والقوائم'!$H$2:$H$4,MOD(INT(MOD(D$3-'الموظفون'!$D$2,CycleWork+CycleRest)*3/CycleWork)+MATCH(StartShift,'الإعدادات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الإجازات'!$D$5:$D$104&lt;=D$3)*(('حجز الإجازات'!$E$5:$E$104)&gt;=D$3)*('حجز الإجازات'!$G$5:$G$104="معتمد")*ROW('حجز الإجازات'!$B$5:$B$104)))-5+1))</f>
        <v/>
      </c>
      <c r="E4" s="62">
        <f>IF(SUMPRODUCT(('حجز الإجازات'!$B$5:$B$104='الموظفون'!$B$2)*('حجز الإجازات'!$D$5:$D$104&lt;=E$3)*(('حجز الإجازات'!$E$5:$E$104)&gt;=E$3)*('حجز الإجازات'!$G$5:$G$104="معتمد")*ROW('حجز الإجازات'!$B$5:$B$104))=0,IF(E$3&lt;'الموظفون'!$D$2,"",IF(ISNUMBER(MATCH(E$3,Holidays,0)),"عطلة",IF(MOD(E$3-'الموظفون'!$D$2,CycleWork+CycleRest)&lt;CycleWork,INDEX('الإعدادات والقوائم'!$H$2:$H$4,MOD(INT(MOD(E$3-'الموظفون'!$D$2,CycleWork+CycleRest)*3/CycleWork)+MATCH(StartShift,'الإعدادات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الإجازات'!$D$5:$D$104&lt;=E$3)*(('حجز الإجازات'!$E$5:$E$104)&gt;=E$3)*('حجز الإجازات'!$G$5:$G$104="معتمد")*ROW('حجز الإجازات'!$B$5:$B$104)))-5+1))</f>
        <v/>
      </c>
      <c r="F4" s="62">
        <f>IF(SUMPRODUCT(('حجز الإجازات'!$B$5:$B$104='الموظفون'!$B$2)*('حجز الإجازات'!$D$5:$D$104&lt;=F$3)*(('حجز الإجازات'!$E$5:$E$104)&gt;=F$3)*('حجز الإجازات'!$G$5:$G$104="معتمد")*ROW('حجز الإجازات'!$B$5:$B$104))=0,IF(F$3&lt;'الموظفون'!$D$2,"",IF(ISNUMBER(MATCH(F$3,Holidays,0)),"عطلة",IF(MOD(F$3-'الموظفون'!$D$2,CycleWork+CycleRest)&lt;CycleWork,INDEX('الإعدادات والقوائم'!$H$2:$H$4,MOD(INT(MOD(F$3-'الموظفون'!$D$2,CycleWork+CycleRest)*3/CycleWork)+MATCH(StartShift,'الإعدادات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الإجازات'!$D$5:$D$104&lt;=F$3)*(('حجز الإجازات'!$E$5:$E$104)&gt;=F$3)*('حجز الإجازات'!$G$5:$G$104="معتمد")*ROW('حجز الإجازات'!$B$5:$B$104)))-5+1))</f>
        <v/>
      </c>
      <c r="G4" s="62">
        <f>IF(SUMPRODUCT(('حجز الإجازات'!$B$5:$B$104='الموظفون'!$B$2)*('حجز الإجازات'!$D$5:$D$104&lt;=G$3)*(('حجز الإجازات'!$E$5:$E$104)&gt;=G$3)*('حجز الإجازات'!$G$5:$G$104="معتمد")*ROW('حجز الإجازات'!$B$5:$B$104))=0,IF(G$3&lt;'الموظفون'!$D$2,"",IF(ISNUMBER(MATCH(G$3,Holidays,0)),"عطلة",IF(MOD(G$3-'الموظفون'!$D$2,CycleWork+CycleRest)&lt;CycleWork,INDEX('الإعدادات والقوائم'!$H$2:$H$4,MOD(INT(MOD(G$3-'الموظفون'!$D$2,CycleWork+CycleRest)*3/CycleWork)+MATCH(StartShift,'الإعدادات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الإجازات'!$D$5:$D$104&lt;=G$3)*(('حجز الإجازات'!$E$5:$E$104)&gt;=G$3)*('حجز الإجازات'!$G$5:$G$104="معتمد")*ROW('حجز الإجازات'!$B$5:$B$104)))-5+1))</f>
        <v/>
      </c>
      <c r="H4" s="62">
        <f>IF(SUMPRODUCT(('حجز الإجازات'!$B$5:$B$104='الموظفون'!$B$2)*('حجز الإجازات'!$D$5:$D$104&lt;=H$3)*(('حجز الإجازات'!$E$5:$E$104)&gt;=H$3)*('حجز الإجازات'!$G$5:$G$104="معتمد")*ROW('حجز الإجازات'!$B$5:$B$104))=0,IF(H$3&lt;'الموظفون'!$D$2,"",IF(ISNUMBER(MATCH(H$3,Holidays,0)),"عطلة",IF(MOD(H$3-'الموظفون'!$D$2,CycleWork+CycleRest)&lt;CycleWork,INDEX('الإعدادات والقوائم'!$H$2:$H$4,MOD(INT(MOD(H$3-'الموظفون'!$D$2,CycleWork+CycleRest)*3/CycleWork)+MATCH(StartShift,'الإعدادات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الإجازات'!$D$5:$D$104&lt;=H$3)*(('حجز الإجازات'!$E$5:$E$104)&gt;=H$3)*('حجز الإجازات'!$G$5:$G$104="معتمد")*ROW('حجز الإجازات'!$B$5:$B$104)))-5+1))</f>
        <v/>
      </c>
      <c r="I4" s="62">
        <f>IF(SUMPRODUCT(('حجز الإجازات'!$B$5:$B$104='الموظفون'!$B$2)*('حجز الإجازات'!$D$5:$D$104&lt;=I$3)*(('حجز الإجازات'!$E$5:$E$104)&gt;=I$3)*('حجز الإجازات'!$G$5:$G$104="معتمد")*ROW('حجز الإجازات'!$B$5:$B$104))=0,IF(I$3&lt;'الموظفون'!$D$2,"",IF(ISNUMBER(MATCH(I$3,Holidays,0)),"عطلة",IF(MOD(I$3-'الموظفون'!$D$2,CycleWork+CycleRest)&lt;CycleWork,INDEX('الإعدادات والقوائم'!$H$2:$H$4,MOD(INT(MOD(I$3-'الموظفون'!$D$2,CycleWork+CycleRest)*3/CycleWork)+MATCH(StartShift,'الإعدادات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الإجازات'!$D$5:$D$104&lt;=I$3)*(('حجز الإجازات'!$E$5:$E$104)&gt;=I$3)*('حجز الإجازات'!$G$5:$G$104="معتمد")*ROW('حجز الإجازات'!$B$5:$B$104)))-5+1))</f>
        <v/>
      </c>
      <c r="J4" s="62">
        <f>IF(SUMPRODUCT(('حجز الإجازات'!$B$5:$B$104='الموظفون'!$B$2)*('حجز الإجازات'!$D$5:$D$104&lt;=J$3)*(('حجز الإجازات'!$E$5:$E$104)&gt;=J$3)*('حجز الإجازات'!$G$5:$G$104="معتمد")*ROW('حجز الإجازات'!$B$5:$B$104))=0,IF(J$3&lt;'الموظفون'!$D$2,"",IF(ISNUMBER(MATCH(J$3,Holidays,0)),"عطلة",IF(MOD(J$3-'الموظفون'!$D$2,CycleWork+CycleRest)&lt;CycleWork,INDEX('الإعدادات والقوائم'!$H$2:$H$4,MOD(INT(MOD(J$3-'الموظفون'!$D$2,CycleWork+CycleRest)*3/CycleWork)+MATCH(StartShift,'الإعدادات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الإجازات'!$D$5:$D$104&lt;=J$3)*(('حجز الإجازات'!$E$5:$E$104)&gt;=J$3)*('حجز الإجازات'!$G$5:$G$104="معتمد")*ROW('حجز الإجازات'!$B$5:$B$104)))-5+1))</f>
        <v/>
      </c>
      <c r="K4" s="62">
        <f>IF(SUMPRODUCT(('حجز الإجازات'!$B$5:$B$104='الموظفون'!$B$2)*('حجز الإجازات'!$D$5:$D$104&lt;=K$3)*(('حجز الإجازات'!$E$5:$E$104)&gt;=K$3)*('حجز الإجازات'!$G$5:$G$104="معتمد")*ROW('حجز الإجازات'!$B$5:$B$104))=0,IF(K$3&lt;'الموظفون'!$D$2,"",IF(ISNUMBER(MATCH(K$3,Holidays,0)),"عطلة",IF(MOD(K$3-'الموظفون'!$D$2,CycleWork+CycleRest)&lt;CycleWork,INDEX('الإعدادات والقوائم'!$H$2:$H$4,MOD(INT(MOD(K$3-'الموظفون'!$D$2,CycleWork+CycleRest)*3/CycleWork)+MATCH(StartShift,'الإعدادات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الإجازات'!$D$5:$D$104&lt;=K$3)*(('حجز الإجازات'!$E$5:$E$104)&gt;=K$3)*('حجز الإجازات'!$G$5:$G$104="معتمد")*ROW('حجز الإجازات'!$B$5:$B$104)))-5+1))</f>
        <v/>
      </c>
      <c r="L4" s="62">
        <f>IF(SUMPRODUCT(('حجز الإجازات'!$B$5:$B$104='الموظفون'!$B$2)*('حجز الإجازات'!$D$5:$D$104&lt;=L$3)*(('حجز الإجازات'!$E$5:$E$104)&gt;=L$3)*('حجز الإجازات'!$G$5:$G$104="معتمد")*ROW('حجز الإجازات'!$B$5:$B$104))=0,IF(L$3&lt;'الموظفون'!$D$2,"",IF(ISNUMBER(MATCH(L$3,Holidays,0)),"عطلة",IF(MOD(L$3-'الموظفون'!$D$2,CycleWork+CycleRest)&lt;CycleWork,INDEX('الإعدادات والقوائم'!$H$2:$H$4,MOD(INT(MOD(L$3-'الموظفون'!$D$2,CycleWork+CycleRest)*3/CycleWork)+MATCH(StartShift,'الإعدادات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الإجازات'!$D$5:$D$104&lt;=L$3)*(('حجز الإجازات'!$E$5:$E$104)&gt;=L$3)*('حجز الإجازات'!$G$5:$G$104="معتمد")*ROW('حجز الإجازات'!$B$5:$B$104)))-5+1))</f>
        <v/>
      </c>
      <c r="M4" s="62">
        <f>IF(SUMPRODUCT(('حجز الإجازات'!$B$5:$B$104='الموظفون'!$B$2)*('حجز الإجازات'!$D$5:$D$104&lt;=M$3)*(('حجز الإجازات'!$E$5:$E$104)&gt;=M$3)*('حجز الإجازات'!$G$5:$G$104="معتمد")*ROW('حجز الإجازات'!$B$5:$B$104))=0,IF(M$3&lt;'الموظفون'!$D$2,"",IF(ISNUMBER(MATCH(M$3,Holidays,0)),"عطلة",IF(MOD(M$3-'الموظفون'!$D$2,CycleWork+CycleRest)&lt;CycleWork,INDEX('الإعدادات والقوائم'!$H$2:$H$4,MOD(INT(MOD(M$3-'الموظفون'!$D$2,CycleWork+CycleRest)*3/CycleWork)+MATCH(StartShift,'الإعدادات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الإجازات'!$D$5:$D$104&lt;=M$3)*(('حجز الإجازات'!$E$5:$E$104)&gt;=M$3)*('حجز الإجازات'!$G$5:$G$104="معتمد")*ROW('حجز الإجازات'!$B$5:$B$104)))-5+1))</f>
        <v/>
      </c>
      <c r="N4" s="62">
        <f>IF(SUMPRODUCT(('حجز الإجازات'!$B$5:$B$104='الموظفون'!$B$2)*('حجز الإجازات'!$D$5:$D$104&lt;=N$3)*(('حجز الإجازات'!$E$5:$E$104)&gt;=N$3)*('حجز الإجازات'!$G$5:$G$104="معتمد")*ROW('حجز الإجازات'!$B$5:$B$104))=0,IF(N$3&lt;'الموظفون'!$D$2,"",IF(ISNUMBER(MATCH(N$3,Holidays,0)),"عطلة",IF(MOD(N$3-'الموظفون'!$D$2,CycleWork+CycleRest)&lt;CycleWork,INDEX('الإعدادات والقوائم'!$H$2:$H$4,MOD(INT(MOD(N$3-'الموظفون'!$D$2,CycleWork+CycleRest)*3/CycleWork)+MATCH(StartShift,'الإعدادات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الإجازات'!$D$5:$D$104&lt;=N$3)*(('حجز الإجازات'!$E$5:$E$104)&gt;=N$3)*('حجز الإجازات'!$G$5:$G$104="معتمد")*ROW('حجز الإجازات'!$B$5:$B$104)))-5+1))</f>
        <v/>
      </c>
      <c r="O4" s="62">
        <f>IF(SUMPRODUCT(('حجز الإجازات'!$B$5:$B$104='الموظفون'!$B$2)*('حجز الإجازات'!$D$5:$D$104&lt;=O$3)*(('حجز الإجازات'!$E$5:$E$104)&gt;=O$3)*('حجز الإجازات'!$G$5:$G$104="معتمد")*ROW('حجز الإجازات'!$B$5:$B$104))=0,IF(O$3&lt;'الموظفون'!$D$2,"",IF(ISNUMBER(MATCH(O$3,Holidays,0)),"عطلة",IF(MOD(O$3-'الموظفون'!$D$2,CycleWork+CycleRest)&lt;CycleWork,INDEX('الإعدادات والقوائم'!$H$2:$H$4,MOD(INT(MOD(O$3-'الموظفون'!$D$2,CycleWork+CycleRest)*3/CycleWork)+MATCH(StartShift,'الإعدادات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الإجازات'!$D$5:$D$104&lt;=O$3)*(('حجز الإجازات'!$E$5:$E$104)&gt;=O$3)*('حجز الإجازات'!$G$5:$G$104="معتمد")*ROW('حجز الإجازات'!$B$5:$B$104)))-5+1))</f>
        <v/>
      </c>
      <c r="P4" s="62">
        <f>IF(SUMPRODUCT(('حجز الإجازات'!$B$5:$B$104='الموظفون'!$B$2)*('حجز الإجازات'!$D$5:$D$104&lt;=P$3)*(('حجز الإجازات'!$E$5:$E$104)&gt;=P$3)*('حجز الإجازات'!$G$5:$G$104="معتمد")*ROW('حجز الإجازات'!$B$5:$B$104))=0,IF(P$3&lt;'الموظفون'!$D$2,"",IF(ISNUMBER(MATCH(P$3,Holidays,0)),"عطلة",IF(MOD(P$3-'الموظفون'!$D$2,CycleWork+CycleRest)&lt;CycleWork,INDEX('الإعدادات والقوائم'!$H$2:$H$4,MOD(INT(MOD(P$3-'الموظفون'!$D$2,CycleWork+CycleRest)*3/CycleWork)+MATCH(StartShift,'الإعدادات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الإجازات'!$D$5:$D$104&lt;=P$3)*(('حجز الإجازات'!$E$5:$E$104)&gt;=P$3)*('حجز الإجازات'!$G$5:$G$104="معتمد")*ROW('حجز الإجازات'!$B$5:$B$104)))-5+1))</f>
        <v/>
      </c>
      <c r="Q4" s="62">
        <f>IF(SUMPRODUCT(('حجز الإجازات'!$B$5:$B$104='الموظفون'!$B$2)*('حجز الإجازات'!$D$5:$D$104&lt;=Q$3)*(('حجز الإجازات'!$E$5:$E$104)&gt;=Q$3)*('حجز الإجازات'!$G$5:$G$104="معتمد")*ROW('حجز الإجازات'!$B$5:$B$104))=0,IF(Q$3&lt;'الموظفون'!$D$2,"",IF(ISNUMBER(MATCH(Q$3,Holidays,0)),"عطلة",IF(MOD(Q$3-'الموظفون'!$D$2,CycleWork+CycleRest)&lt;CycleWork,INDEX('الإعدادات والقوائم'!$H$2:$H$4,MOD(INT(MOD(Q$3-'الموظفون'!$D$2,CycleWork+CycleRest)*3/CycleWork)+MATCH(StartShift,'الإعدادات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الإجازات'!$D$5:$D$104&lt;=Q$3)*(('حجز الإجازات'!$E$5:$E$104)&gt;=Q$3)*('حجز الإجازات'!$G$5:$G$104="معتمد")*ROW('حجز الإجازات'!$B$5:$B$104)))-5+1))</f>
        <v/>
      </c>
      <c r="R4" s="62">
        <f>IF(SUMPRODUCT(('حجز الإجازات'!$B$5:$B$104='الموظفون'!$B$2)*('حجز الإجازات'!$D$5:$D$104&lt;=R$3)*(('حجز الإجازات'!$E$5:$E$104)&gt;=R$3)*('حجز الإجازات'!$G$5:$G$104="معتمد")*ROW('حجز الإجازات'!$B$5:$B$104))=0,IF(R$3&lt;'الموظفون'!$D$2,"",IF(ISNUMBER(MATCH(R$3,Holidays,0)),"عطلة",IF(MOD(R$3-'الموظفون'!$D$2,CycleWork+CycleRest)&lt;CycleWork,INDEX('الإعدادات والقوائم'!$H$2:$H$4,MOD(INT(MOD(R$3-'الموظفون'!$D$2,CycleWork+CycleRest)*3/CycleWork)+MATCH(StartShift,'الإعدادات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الإجازات'!$D$5:$D$104&lt;=R$3)*(('حجز الإجازات'!$E$5:$E$104)&gt;=R$3)*('حجز الإجازات'!$G$5:$G$104="معتمد")*ROW('حجز الإجازات'!$B$5:$B$104)))-5+1))</f>
        <v/>
      </c>
      <c r="S4" s="62">
        <f>IF(SUMPRODUCT(('حجز الإجازات'!$B$5:$B$104='الموظفون'!$B$2)*('حجز الإجازات'!$D$5:$D$104&lt;=S$3)*(('حجز الإجازات'!$E$5:$E$104)&gt;=S$3)*('حجز الإجازات'!$G$5:$G$104="معتمد")*ROW('حجز الإجازات'!$B$5:$B$104))=0,IF(S$3&lt;'الموظفون'!$D$2,"",IF(ISNUMBER(MATCH(S$3,Holidays,0)),"عطلة",IF(MOD(S$3-'الموظفون'!$D$2,CycleWork+CycleRest)&lt;CycleWork,INDEX('الإعدادات والقوائم'!$H$2:$H$4,MOD(INT(MOD(S$3-'الموظفون'!$D$2,CycleWork+CycleRest)*3/CycleWork)+MATCH(StartShift,'الإعدادات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الإجازات'!$D$5:$D$104&lt;=S$3)*(('حجز الإجازات'!$E$5:$E$104)&gt;=S$3)*('حجز الإجازات'!$G$5:$G$104="معتمد")*ROW('حجز الإجازات'!$B$5:$B$104)))-5+1))</f>
        <v/>
      </c>
      <c r="T4" s="62">
        <f>IF(SUMPRODUCT(('حجز الإجازات'!$B$5:$B$104='الموظفون'!$B$2)*('حجز الإجازات'!$D$5:$D$104&lt;=T$3)*(('حجز الإجازات'!$E$5:$E$104)&gt;=T$3)*('حجز الإجازات'!$G$5:$G$104="معتمد")*ROW('حجز الإجازات'!$B$5:$B$104))=0,IF(T$3&lt;'الموظفون'!$D$2,"",IF(ISNUMBER(MATCH(T$3,Holidays,0)),"عطلة",IF(MOD(T$3-'الموظفون'!$D$2,CycleWork+CycleRest)&lt;CycleWork,INDEX('الإعدادات والقوائم'!$H$2:$H$4,MOD(INT(MOD(T$3-'الموظفون'!$D$2,CycleWork+CycleRest)*3/CycleWork)+MATCH(StartShift,'الإعدادات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الإجازات'!$D$5:$D$104&lt;=T$3)*(('حجز الإجازات'!$E$5:$E$104)&gt;=T$3)*('حجز الإجازات'!$G$5:$G$104="معتمد")*ROW('حجز الإجازات'!$B$5:$B$104)))-5+1))</f>
        <v/>
      </c>
      <c r="U4" s="62">
        <f>IF(SUMPRODUCT(('حجز الإجازات'!$B$5:$B$104='الموظفون'!$B$2)*('حجز الإجازات'!$D$5:$D$104&lt;=U$3)*(('حجز الإجازات'!$E$5:$E$104)&gt;=U$3)*('حجز الإجازات'!$G$5:$G$104="معتمد")*ROW('حجز الإجازات'!$B$5:$B$104))=0,IF(U$3&lt;'الموظفون'!$D$2,"",IF(ISNUMBER(MATCH(U$3,Holidays,0)),"عطلة",IF(MOD(U$3-'الموظفون'!$D$2,CycleWork+CycleRest)&lt;CycleWork,INDEX('الإعدادات والقوائم'!$H$2:$H$4,MOD(INT(MOD(U$3-'الموظفون'!$D$2,CycleWork+CycleRest)*3/CycleWork)+MATCH(StartShift,'الإعدادات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الإجازات'!$D$5:$D$104&lt;=U$3)*(('حجز الإجازات'!$E$5:$E$104)&gt;=U$3)*('حجز الإجازات'!$G$5:$G$104="معتمد")*ROW('حجز الإجازات'!$B$5:$B$104)))-5+1))</f>
        <v/>
      </c>
      <c r="V4" s="62">
        <f>IF(SUMPRODUCT(('حجز الإجازات'!$B$5:$B$104='الموظفون'!$B$2)*('حجز الإجازات'!$D$5:$D$104&lt;=V$3)*(('حجز الإجازات'!$E$5:$E$104)&gt;=V$3)*('حجز الإجازات'!$G$5:$G$104="معتمد")*ROW('حجز الإجازات'!$B$5:$B$104))=0,IF(V$3&lt;'الموظفون'!$D$2,"",IF(ISNUMBER(MATCH(V$3,Holidays,0)),"عطلة",IF(MOD(V$3-'الموظفون'!$D$2,CycleWork+CycleRest)&lt;CycleWork,INDEX('الإعدادات والقوائم'!$H$2:$H$4,MOD(INT(MOD(V$3-'الموظفون'!$D$2,CycleWork+CycleRest)*3/CycleWork)+MATCH(StartShift,'الإعدادات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الإجازات'!$D$5:$D$104&lt;=V$3)*(('حجز الإجازات'!$E$5:$E$104)&gt;=V$3)*('حجز الإجازات'!$G$5:$G$104="معتمد")*ROW('حجز الإجازات'!$B$5:$B$104)))-5+1))</f>
        <v/>
      </c>
      <c r="W4" s="62">
        <f>IF(SUMPRODUCT(('حجز الإجازات'!$B$5:$B$104='الموظفون'!$B$2)*('حجز الإجازات'!$D$5:$D$104&lt;=W$3)*(('حجز الإجازات'!$E$5:$E$104)&gt;=W$3)*('حجز الإجازات'!$G$5:$G$104="معتمد")*ROW('حجز الإجازات'!$B$5:$B$104))=0,IF(W$3&lt;'الموظفون'!$D$2,"",IF(ISNUMBER(MATCH(W$3,Holidays,0)),"عطلة",IF(MOD(W$3-'الموظفون'!$D$2,CycleWork+CycleRest)&lt;CycleWork,INDEX('الإعدادات والقوائم'!$H$2:$H$4,MOD(INT(MOD(W$3-'الموظفون'!$D$2,CycleWork+CycleRest)*3/CycleWork)+MATCH(StartShift,'الإعدادات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الإجازات'!$D$5:$D$104&lt;=W$3)*(('حجز الإجازات'!$E$5:$E$104)&gt;=W$3)*('حجز الإجازات'!$G$5:$G$104="معتمد")*ROW('حجز الإجازات'!$B$5:$B$104)))-5+1))</f>
        <v/>
      </c>
      <c r="X4" s="62">
        <f>IF(SUMPRODUCT(('حجز الإجازات'!$B$5:$B$104='الموظفون'!$B$2)*('حجز الإجازات'!$D$5:$D$104&lt;=X$3)*(('حجز الإجازات'!$E$5:$E$104)&gt;=X$3)*('حجز الإجازات'!$G$5:$G$104="معتمد")*ROW('حجز الإجازات'!$B$5:$B$104))=0,IF(X$3&lt;'الموظفون'!$D$2,"",IF(ISNUMBER(MATCH(X$3,Holidays,0)),"عطلة",IF(MOD(X$3-'الموظفون'!$D$2,CycleWork+CycleRest)&lt;CycleWork,INDEX('الإعدادات والقوائم'!$H$2:$H$4,MOD(INT(MOD(X$3-'الموظفون'!$D$2,CycleWork+CycleRest)*3/CycleWork)+MATCH(StartShift,'الإعدادات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الإجازات'!$D$5:$D$104&lt;=X$3)*(('حجز الإجازات'!$E$5:$E$104)&gt;=X$3)*('حجز الإجازات'!$G$5:$G$104="معتمد")*ROW('حجز الإجازات'!$B$5:$B$104)))-5+1))</f>
        <v/>
      </c>
      <c r="Y4" s="62">
        <f>IF(SUMPRODUCT(('حجز الإجازات'!$B$5:$B$104='الموظفون'!$B$2)*('حجز الإجازات'!$D$5:$D$104&lt;=Y$3)*(('حجز الإجازات'!$E$5:$E$104)&gt;=Y$3)*('حجز الإجازات'!$G$5:$G$104="معتمد")*ROW('حجز الإجازات'!$B$5:$B$104))=0,IF(Y$3&lt;'الموظفون'!$D$2,"",IF(ISNUMBER(MATCH(Y$3,Holidays,0)),"عطلة",IF(MOD(Y$3-'الموظفون'!$D$2,CycleWork+CycleRest)&lt;CycleWork,INDEX('الإعدادات والقوائم'!$H$2:$H$4,MOD(INT(MOD(Y$3-'الموظفون'!$D$2,CycleWork+CycleRest)*3/CycleWork)+MATCH(StartShift,'الإعدادات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الإجازات'!$D$5:$D$104&lt;=Y$3)*(('حجز الإجازات'!$E$5:$E$104)&gt;=Y$3)*('حجز الإجازات'!$G$5:$G$104="معتمد")*ROW('حجز الإجازات'!$B$5:$B$104)))-5+1))</f>
        <v/>
      </c>
      <c r="Z4" s="62">
        <f>IF(SUMPRODUCT(('حجز الإجازات'!$B$5:$B$104='الموظفون'!$B$2)*('حجز الإجازات'!$D$5:$D$104&lt;=Z$3)*(('حجز الإجازات'!$E$5:$E$104)&gt;=Z$3)*('حجز الإجازات'!$G$5:$G$104="معتمد")*ROW('حجز الإجازات'!$B$5:$B$104))=0,IF(Z$3&lt;'الموظفون'!$D$2,"",IF(ISNUMBER(MATCH(Z$3,Holidays,0)),"عطلة",IF(MOD(Z$3-'الموظفون'!$D$2,CycleWork+CycleRest)&lt;CycleWork,INDEX('الإعدادات والقوائم'!$H$2:$H$4,MOD(INT(MOD(Z$3-'الموظفون'!$D$2,CycleWork+CycleRest)*3/CycleWork)+MATCH(StartShift,'الإعدادات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الإجازات'!$D$5:$D$104&lt;=Z$3)*(('حجز الإجازات'!$E$5:$E$104)&gt;=Z$3)*('حجز الإجازات'!$G$5:$G$104="معتمد")*ROW('حجز الإجازات'!$B$5:$B$104)))-5+1))</f>
        <v/>
      </c>
      <c r="AA4" s="62">
        <f>IF(SUMPRODUCT(('حجز الإجازات'!$B$5:$B$104='الموظفون'!$B$2)*('حجز الإجازات'!$D$5:$D$104&lt;=AA$3)*(('حجز الإجازات'!$E$5:$E$104)&gt;=AA$3)*('حجز الإجازات'!$G$5:$G$104="معتمد")*ROW('حجز الإجازات'!$B$5:$B$104))=0,IF(AA$3&lt;'الموظفون'!$D$2,"",IF(ISNUMBER(MATCH(AA$3,Holidays,0)),"عطلة",IF(MOD(AA$3-'الموظفون'!$D$2,CycleWork+CycleRest)&lt;CycleWork,INDEX('الإعدادات والقوائم'!$H$2:$H$4,MOD(INT(MOD(AA$3-'الموظفون'!$D$2,CycleWork+CycleRest)*3/CycleWork)+MATCH(StartShift,'الإعدادات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الإجازات'!$D$5:$D$104&lt;=AA$3)*(('حجز الإجازات'!$E$5:$E$104)&gt;=AA$3)*('حجز الإجازات'!$G$5:$G$104="معتمد")*ROW('حجز الإجازات'!$B$5:$B$104)))-5+1))</f>
        <v/>
      </c>
      <c r="AB4" s="62">
        <f>IF(SUMPRODUCT(('حجز الإجازات'!$B$5:$B$104='الموظفون'!$B$2)*('حجز الإجازات'!$D$5:$D$104&lt;=AB$3)*(('حجز الإجازات'!$E$5:$E$104)&gt;=AB$3)*('حجز الإجازات'!$G$5:$G$104="معتمد")*ROW('حجز الإجازات'!$B$5:$B$104))=0,IF(AB$3&lt;'الموظفون'!$D$2,"",IF(ISNUMBER(MATCH(AB$3,Holidays,0)),"عطلة",IF(MOD(AB$3-'الموظفون'!$D$2,CycleWork+CycleRest)&lt;CycleWork,INDEX('الإعدادات والقوائم'!$H$2:$H$4,MOD(INT(MOD(AB$3-'الموظفون'!$D$2,CycleWork+CycleRest)*3/CycleWork)+MATCH(StartShift,'الإعدادات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الإجازات'!$D$5:$D$104&lt;=AB$3)*(('حجز الإجازات'!$E$5:$E$104)&gt;=AB$3)*('حجز الإجازات'!$G$5:$G$104="معتمد")*ROW('حجز الإجازات'!$B$5:$B$104)))-5+1))</f>
        <v/>
      </c>
      <c r="AC4" s="62">
        <f>IF(SUMPRODUCT(('حجز الإجازات'!$B$5:$B$104='الموظفون'!$B$2)*('حجز الإجازات'!$D$5:$D$104&lt;=AC$3)*(('حجز الإجازات'!$E$5:$E$104)&gt;=AC$3)*('حجز الإجازات'!$G$5:$G$104="معتمد")*ROW('حجز الإجازات'!$B$5:$B$104))=0,IF(AC$3&lt;'الموظفون'!$D$2,"",IF(ISNUMBER(MATCH(AC$3,Holidays,0)),"عطلة",IF(MOD(AC$3-'الموظفون'!$D$2,CycleWork+CycleRest)&lt;CycleWork,INDEX('الإعدادات والقوائم'!$H$2:$H$4,MOD(INT(MOD(AC$3-'الموظفون'!$D$2,CycleWork+CycleRest)*3/CycleWork)+MATCH(StartShift,'الإعدادات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الإجازات'!$D$5:$D$104&lt;=AC$3)*(('حجز الإجازات'!$E$5:$E$104)&gt;=AC$3)*('حجز الإجازات'!$G$5:$G$104="معتمد")*ROW('حجز الإجازات'!$B$5:$B$104)))-5+1))</f>
        <v/>
      </c>
      <c r="AD4" s="62">
        <f>IF(SUMPRODUCT(('حجز الإجازات'!$B$5:$B$104='الموظفون'!$B$2)*('حجز الإجازات'!$D$5:$D$104&lt;=AD$3)*(('حجز الإجازات'!$E$5:$E$104)&gt;=AD$3)*('حجز الإجازات'!$G$5:$G$104="معتمد")*ROW('حجز الإجازات'!$B$5:$B$104))=0,IF(AD$3&lt;'الموظفون'!$D$2,"",IF(ISNUMBER(MATCH(AD$3,Holidays,0)),"عطلة",IF(MOD(AD$3-'الموظفون'!$D$2,CycleWork+CycleRest)&lt;CycleWork,INDEX('الإعدادات والقوائم'!$H$2:$H$4,MOD(INT(MOD(AD$3-'الموظفون'!$D$2,CycleWork+CycleRest)*3/CycleWork)+MATCH(StartShift,'الإعدادات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الإجازات'!$D$5:$D$104&lt;=AD$3)*(('حجز الإجازات'!$E$5:$E$104)&gt;=AD$3)*('حجز الإجازات'!$G$5:$G$104="معتمد")*ROW('حجز الإجازات'!$B$5:$B$104)))-5+1))</f>
        <v/>
      </c>
      <c r="AE4" s="62">
        <f>IF(SUMPRODUCT(('حجز الإجازات'!$B$5:$B$104='الموظفون'!$B$2)*('حجز الإجازات'!$D$5:$D$104&lt;=AE$3)*(('حجز الإجازات'!$E$5:$E$104)&gt;=AE$3)*('حجز الإجازات'!$G$5:$G$104="معتمد")*ROW('حجز الإجازات'!$B$5:$B$104))=0,IF(AE$3&lt;'الموظفون'!$D$2,"",IF(ISNUMBER(MATCH(AE$3,Holidays,0)),"عطلة",IF(MOD(AE$3-'الموظفون'!$D$2,CycleWork+CycleRest)&lt;CycleWork,INDEX('الإعدادات والقوائم'!$H$2:$H$4,MOD(INT(MOD(AE$3-'الموظفون'!$D$2,CycleWork+CycleRest)*3/CycleWork)+MATCH(StartShift,'الإعدادات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الإجازات'!$D$5:$D$104&lt;=AE$3)*(('حجز الإجازات'!$E$5:$E$104)&gt;=AE$3)*('حجز الإجازات'!$G$5:$G$104="معتمد")*ROW('حجز الإجازات'!$B$5:$B$104)))-5+1))</f>
        <v/>
      </c>
      <c r="AF4" s="62">
        <f>IF(SUMPRODUCT(('حجز الإجازات'!$B$5:$B$104='الموظفون'!$B$2)*('حجز الإجازات'!$D$5:$D$104&lt;=AF$3)*(('حجز الإجازات'!$E$5:$E$104)&gt;=AF$3)*('حجز الإجازات'!$G$5:$G$104="معتمد")*ROW('حجز الإجازات'!$B$5:$B$104))=0,IF(AF$3&lt;'الموظفون'!$D$2,"",IF(ISNUMBER(MATCH(AF$3,Holidays,0)),"عطلة",IF(MOD(AF$3-'الموظفون'!$D$2,CycleWork+CycleRest)&lt;CycleWork,INDEX('الإعدادات والقوائم'!$H$2:$H$4,MOD(INT(MOD(AF$3-'الموظفون'!$D$2,CycleWork+CycleRest)*3/CycleWork)+MATCH(StartShift,'الإعدادات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الإجازات'!$D$5:$D$104&lt;=AF$3)*(('حجز الإجازات'!$E$5:$E$104)&gt;=AF$3)*('حجز الإجازات'!$G$5:$G$104="معتمد")*ROW('حجز الإجازات'!$B$5:$B$104)))-5+1))</f>
        <v/>
      </c>
      <c r="AG4" s="62">
        <f>IF(SUMPRODUCT(('حجز الإجازات'!$B$5:$B$104='الموظفون'!$B$2)*('حجز الإجازات'!$D$5:$D$104&lt;=AG$3)*(('حجز الإجازات'!$E$5:$E$104)&gt;=AG$3)*('حجز الإجازات'!$G$5:$G$104="معتمد")*ROW('حجز الإجازات'!$B$5:$B$104))=0,IF(AG$3&lt;'الموظفون'!$D$2,"",IF(ISNUMBER(MATCH(AG$3,Holidays,0)),"عطلة",IF(MOD(AG$3-'الموظفون'!$D$2,CycleWork+CycleRest)&lt;CycleWork,INDEX('الإعدادات والقوائم'!$H$2:$H$4,MOD(INT(MOD(AG$3-'الموظفون'!$D$2,CycleWork+CycleRest)*3/CycleWork)+MATCH(StartShift,'الإعدادات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الإجازات'!$D$5:$D$104&lt;=AG$3)*(('حجز الإجازات'!$E$5:$E$104)&gt;=AG$3)*('حجز الإجازات'!$G$5:$G$104="معتمد")*ROW('حجز الإجازات'!$B$5:$B$104)))-5+1))</f>
        <v/>
      </c>
      <c r="AH4" s="62">
        <f>IF(SUMPRODUCT(('حجز الإجازات'!$B$5:$B$104='الموظفون'!$B$2)*('حجز الإجازات'!$D$5:$D$104&lt;=AH$3)*(('حجز الإجازات'!$E$5:$E$104)&gt;=AH$3)*('حجز الإجازات'!$G$5:$G$104="معتمد")*ROW('حجز الإجازات'!$B$5:$B$104))=0,IF(AH$3&lt;'الموظفون'!$D$2,"",IF(ISNUMBER(MATCH(AH$3,Holidays,0)),"عطلة",IF(MOD(AH$3-'الموظفون'!$D$2,CycleWork+CycleRest)&lt;CycleWork,INDEX('الإعدادات والقوائم'!$H$2:$H$4,MOD(INT(MOD(AH$3-'الموظفون'!$D$2,CycleWork+CycleRest)*3/CycleWork)+MATCH(StartShift,'الإعدادات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الإجازات'!$D$5:$D$104&lt;=AH$3)*(('حجز الإجازات'!$E$5:$E$104)&gt;=AH$3)*('حجز الإجازات'!$G$5:$G$104="معتمد")*ROW('حجز الإجازات'!$B$5:$B$104)))-5+1))</f>
        <v/>
      </c>
      <c r="AI4" s="62">
        <f>IF(SUMPRODUCT(('حجز الإجازات'!$B$5:$B$104='الموظفون'!$B$2)*('حجز الإجازات'!$D$5:$D$104&lt;=AI$3)*(('حجز الإجازات'!$E$5:$E$104)&gt;=AI$3)*('حجز الإجازات'!$G$5:$G$104="معتمد")*ROW('حجز الإجازات'!$B$5:$B$104))=0,IF(AI$3&lt;'الموظفون'!$D$2,"",IF(ISNUMBER(MATCH(AI$3,Holidays,0)),"عطلة",IF(MOD(AI$3-'الموظفون'!$D$2,CycleWork+CycleRest)&lt;CycleWork,INDEX('الإعدادات والقوائم'!$H$2:$H$4,MOD(INT(MOD(AI$3-'الموظفون'!$D$2,CycleWork+CycleRest)*3/CycleWork)+MATCH(StartShift,'الإعدادات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الإجازات'!$D$5:$D$104&lt;=AI$3)*(('حجز الإجازات'!$E$5:$E$104)&gt;=AI$3)*('حجز الإجازات'!$G$5:$G$104="معتمد")*ROW('حجز الإجازات'!$B$5:$B$104)))-5+1))</f>
        <v/>
      </c>
      <c r="AJ4" s="62">
        <f>IF(SUMPRODUCT(('حجز الإجازات'!$B$5:$B$104='الموظفون'!$B$2)*('حجز الإجازات'!$D$5:$D$104&lt;=AJ$3)*(('حجز الإجازات'!$E$5:$E$104)&gt;=AJ$3)*('حجز الإجازات'!$G$5:$G$104="معتمد")*ROW('حجز الإجازات'!$B$5:$B$104))=0,IF(AJ$3&lt;'الموظفون'!$D$2,"",IF(ISNUMBER(MATCH(AJ$3,Holidays,0)),"عطلة",IF(MOD(AJ$3-'الموظفون'!$D$2,CycleWork+CycleRest)&lt;CycleWork,INDEX('الإعدادات والقوائم'!$H$2:$H$4,MOD(INT(MOD(AJ$3-'الموظفون'!$D$2,CycleWork+CycleRest)*3/CycleWork)+MATCH(StartShift,'الإعدادات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الإجازات'!$D$5:$D$104&lt;=AJ$3)*(('حجز الإجازات'!$E$5:$E$104)&gt;=AJ$3)*('حجز الإجازات'!$G$5:$G$104="معتمد")*ROW('حجز الإجازات'!$B$5:$B$104)))-5+1))</f>
        <v/>
      </c>
      <c r="AK4" s="62">
        <f>IF(SUMPRODUCT(('حجز الإجازات'!$B$5:$B$104='الموظفون'!$B$2)*('حجز الإجازات'!$D$5:$D$104&lt;=AK$3)*(('حجز الإجازات'!$E$5:$E$104)&gt;=AK$3)*('حجز الإجازات'!$G$5:$G$104="معتمد")*ROW('حجز الإجازات'!$B$5:$B$104))=0,IF(AK$3&lt;'الموظفون'!$D$2,"",IF(ISNUMBER(MATCH(AK$3,Holidays,0)),"عطلة",IF(MOD(AK$3-'الموظفون'!$D$2,CycleWork+CycleRest)&lt;CycleWork,INDEX('الإعدادات والقوائم'!$H$2:$H$4,MOD(INT(MOD(AK$3-'الموظفون'!$D$2,CycleWork+CycleRest)*3/CycleWork)+MATCH(StartShift,'الإعدادات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الإجازات'!$D$5:$D$104&lt;=AK$3)*(('حجز الإجازات'!$E$5:$E$104)&gt;=AK$3)*('حجز الإجازات'!$G$5:$G$104="معتمد")*ROW('حجز الإجازات'!$B$5:$B$104)))-5+1))</f>
        <v/>
      </c>
      <c r="AL4" s="62">
        <f>IF(SUMPRODUCT(('حجز الإجازات'!$B$5:$B$104='الموظفون'!$B$2)*('حجز الإجازات'!$D$5:$D$104&lt;=AL$3)*(('حجز الإجازات'!$E$5:$E$104)&gt;=AL$3)*('حجز الإجازات'!$G$5:$G$104="معتمد")*ROW('حجز الإجازات'!$B$5:$B$104))=0,IF(AL$3&lt;'الموظفون'!$D$2,"",IF(ISNUMBER(MATCH(AL$3,Holidays,0)),"عطلة",IF(MOD(AL$3-'الموظفون'!$D$2,CycleWork+CycleRest)&lt;CycleWork,INDEX('الإعدادات والقوائم'!$H$2:$H$4,MOD(INT(MOD(AL$3-'الموظفون'!$D$2,CycleWork+CycleRest)*3/CycleWork)+MATCH(StartShift,'الإعدادات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الإجازات'!$D$5:$D$104&lt;=AL$3)*(('حجز الإجازات'!$E$5:$E$104)&gt;=AL$3)*('حجز الإجازات'!$G$5:$G$104="معتمد")*ROW('حجز الإجازات'!$B$5:$B$104)))-5+1))</f>
        <v/>
      </c>
      <c r="AM4" s="62">
        <f>IF(SUMPRODUCT(('حجز الإجازات'!$B$5:$B$104='الموظفون'!$B$2)*('حجز الإجازات'!$D$5:$D$104&lt;=AM$3)*(('حجز الإجازات'!$E$5:$E$104)&gt;=AM$3)*('حجز الإجازات'!$G$5:$G$104="معتمد")*ROW('حجز الإجازات'!$B$5:$B$104))=0,IF(AM$3&lt;'الموظفون'!$D$2,"",IF(ISNUMBER(MATCH(AM$3,Holidays,0)),"عطلة",IF(MOD(AM$3-'الموظفون'!$D$2,CycleWork+CycleRest)&lt;CycleWork,INDEX('الإعدادات والقوائم'!$H$2:$H$4,MOD(INT(MOD(AM$3-'الموظفون'!$D$2,CycleWork+CycleRest)*3/CycleWork)+MATCH(StartShift,'الإعدادات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الإجازات'!$D$5:$D$104&lt;=AM$3)*(('حجز الإجازات'!$E$5:$E$104)&gt;=AM$3)*('حجز الإجازات'!$G$5:$G$104="معتمد")*ROW('حجز الإجازات'!$B$5:$B$104)))-5+1))</f>
        <v/>
      </c>
      <c r="AN4" s="62">
        <f>IF(SUMPRODUCT(('حجز الإجازات'!$B$5:$B$104='الموظفون'!$B$2)*('حجز الإجازات'!$D$5:$D$104&lt;=AN$3)*(('حجز الإجازات'!$E$5:$E$104)&gt;=AN$3)*('حجز الإجازات'!$G$5:$G$104="معتمد")*ROW('حجز الإجازات'!$B$5:$B$104))=0,IF(AN$3&lt;'الموظفون'!$D$2,"",IF(ISNUMBER(MATCH(AN$3,Holidays,0)),"عطلة",IF(MOD(AN$3-'الموظفون'!$D$2,CycleWork+CycleRest)&lt;CycleWork,INDEX('الإعدادات والقوائم'!$H$2:$H$4,MOD(INT(MOD(AN$3-'الموظفون'!$D$2,CycleWork+CycleRest)*3/CycleWork)+MATCH(StartShift,'الإعدادات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الإجازات'!$D$5:$D$104&lt;=AN$3)*(('حجز الإجازات'!$E$5:$E$104)&gt;=AN$3)*('حجز الإجازات'!$G$5:$G$104="معتمد")*ROW('حجز الإجازات'!$B$5:$B$104)))-5+1))</f>
        <v/>
      </c>
      <c r="AO4" s="62">
        <f>IF(SUMPRODUCT(('حجز الإجازات'!$B$5:$B$104='الموظفون'!$B$2)*('حجز الإجازات'!$D$5:$D$104&lt;=AO$3)*(('حجز الإجازات'!$E$5:$E$104)&gt;=AO$3)*('حجز الإجازات'!$G$5:$G$104="معتمد")*ROW('حجز الإجازات'!$B$5:$B$104))=0,IF(AO$3&lt;'الموظفون'!$D$2,"",IF(ISNUMBER(MATCH(AO$3,Holidays,0)),"عطلة",IF(MOD(AO$3-'الموظفون'!$D$2,CycleWork+CycleRest)&lt;CycleWork,INDEX('الإعدادات والقوائم'!$H$2:$H$4,MOD(INT(MOD(AO$3-'الموظفون'!$D$2,CycleWork+CycleRest)*3/CycleWork)+MATCH(StartShift,'الإعدادات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الإجازات'!$D$5:$D$104&lt;=AO$3)*(('حجز الإجازات'!$E$5:$E$104)&gt;=AO$3)*('حجز الإجازات'!$G$5:$G$104="معتمد")*ROW('حجز الإجازات'!$B$5:$B$104)))-5+1))</f>
        <v/>
      </c>
      <c r="AP4" s="62">
        <f>IF(SUMPRODUCT(('حجز الإجازات'!$B$5:$B$104='الموظفون'!$B$2)*('حجز الإجازات'!$D$5:$D$104&lt;=AP$3)*(('حجز الإجازات'!$E$5:$E$104)&gt;=AP$3)*('حجز الإجازات'!$G$5:$G$104="معتمد")*ROW('حجز الإجازات'!$B$5:$B$104))=0,IF(AP$3&lt;'الموظفون'!$D$2,"",IF(ISNUMBER(MATCH(AP$3,Holidays,0)),"عطلة",IF(MOD(AP$3-'الموظفون'!$D$2,CycleWork+CycleRest)&lt;CycleWork,INDEX('الإعدادات والقوائم'!$H$2:$H$4,MOD(INT(MOD(AP$3-'الموظفون'!$D$2,CycleWork+CycleRest)*3/CycleWork)+MATCH(StartShift,'الإعدادات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الإجازات'!$D$5:$D$104&lt;=AP$3)*(('حجز الإجازات'!$E$5:$E$104)&gt;=AP$3)*('حجز الإجازات'!$G$5:$G$104="معتمد")*ROW('حجز الإجازات'!$B$5:$B$104)))-5+1))</f>
        <v/>
      </c>
      <c r="AQ4" s="62">
        <f>IF(SUMPRODUCT(('حجز الإجازات'!$B$5:$B$104='الموظفون'!$B$2)*('حجز الإجازات'!$D$5:$D$104&lt;=AQ$3)*(('حجز الإجازات'!$E$5:$E$104)&gt;=AQ$3)*('حجز الإجازات'!$G$5:$G$104="معتمد")*ROW('حجز الإجازات'!$B$5:$B$104))=0,IF(AQ$3&lt;'الموظفون'!$D$2,"",IF(ISNUMBER(MATCH(AQ$3,Holidays,0)),"عطلة",IF(MOD(AQ$3-'الموظفون'!$D$2,CycleWork+CycleRest)&lt;CycleWork,INDEX('الإعدادات والقوائم'!$H$2:$H$4,MOD(INT(MOD(AQ$3-'الموظفون'!$D$2,CycleWork+CycleRest)*3/CycleWork)+MATCH(StartShift,'الإعدادات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الإجازات'!$D$5:$D$104&lt;=AQ$3)*(('حجز الإجازات'!$E$5:$E$104)&gt;=AQ$3)*('حجز الإجازات'!$G$5:$G$104="معتمد")*ROW('حجز الإجازات'!$B$5:$B$104)))-5+1))</f>
        <v/>
      </c>
      <c r="AR4" s="62">
        <f>IF(SUMPRODUCT(('حجز الإجازات'!$B$5:$B$104='الموظفون'!$B$2)*('حجز الإجازات'!$D$5:$D$104&lt;=AR$3)*(('حجز الإجازات'!$E$5:$E$104)&gt;=AR$3)*('حجز الإجازات'!$G$5:$G$104="معتمد")*ROW('حجز الإجازات'!$B$5:$B$104))=0,IF(AR$3&lt;'الموظفون'!$D$2,"",IF(ISNUMBER(MATCH(AR$3,Holidays,0)),"عطلة",IF(MOD(AR$3-'الموظفون'!$D$2,CycleWork+CycleRest)&lt;CycleWork,INDEX('الإعدادات والقوائم'!$H$2:$H$4,MOD(INT(MOD(AR$3-'الموظفون'!$D$2,CycleWork+CycleRest)*3/CycleWork)+MATCH(StartShift,'الإعدادات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الإجازات'!$D$5:$D$104&lt;=AR$3)*(('حجز الإجازات'!$E$5:$E$104)&gt;=AR$3)*('حجز الإجازات'!$G$5:$G$104="معتمد")*ROW('حجز الإجازات'!$B$5:$B$104)))-5+1))</f>
        <v/>
      </c>
      <c r="AS4" s="62">
        <f>IF(SUMPRODUCT(('حجز الإجازات'!$B$5:$B$104='الموظفون'!$B$2)*('حجز الإجازات'!$D$5:$D$104&lt;=AS$3)*(('حجز الإجازات'!$E$5:$E$104)&gt;=AS$3)*('حجز الإجازات'!$G$5:$G$104="معتمد")*ROW('حجز الإجازات'!$B$5:$B$104))=0,IF(AS$3&lt;'الموظفون'!$D$2,"",IF(ISNUMBER(MATCH(AS$3,Holidays,0)),"عطلة",IF(MOD(AS$3-'الموظفون'!$D$2,CycleWork+CycleRest)&lt;CycleWork,INDEX('الإعدادات والقوائم'!$H$2:$H$4,MOD(INT(MOD(AS$3-'الموظفون'!$D$2,CycleWork+CycleRest)*3/CycleWork)+MATCH(StartShift,'الإعدادات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الإجازات'!$D$5:$D$104&lt;=AS$3)*(('حجز الإجازات'!$E$5:$E$104)&gt;=AS$3)*('حجز الإجازات'!$G$5:$G$104="معتمد")*ROW('حجز الإجازات'!$B$5:$B$104)))-5+1))</f>
        <v/>
      </c>
      <c r="AT4" s="62">
        <f>IF(SUMPRODUCT(('حجز الإجازات'!$B$5:$B$104='الموظفون'!$B$2)*('حجز الإجازات'!$D$5:$D$104&lt;=AT$3)*(('حجز الإجازات'!$E$5:$E$104)&gt;=AT$3)*('حجز الإجازات'!$G$5:$G$104="معتمد")*ROW('حجز الإجازات'!$B$5:$B$104))=0,IF(AT$3&lt;'الموظفون'!$D$2,"",IF(ISNUMBER(MATCH(AT$3,Holidays,0)),"عطلة",IF(MOD(AT$3-'الموظفون'!$D$2,CycleWork+CycleRest)&lt;CycleWork,INDEX('الإعدادات والقوائم'!$H$2:$H$4,MOD(INT(MOD(AT$3-'الموظفون'!$D$2,CycleWork+CycleRest)*3/CycleWork)+MATCH(StartShift,'الإعدادات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الإجازات'!$D$5:$D$104&lt;=AT$3)*(('حجز الإجازات'!$E$5:$E$104)&gt;=AT$3)*('حجز الإجازات'!$G$5:$G$104="معتمد")*ROW('حجز الإجازات'!$B$5:$B$104)))-5+1))</f>
        <v/>
      </c>
      <c r="AU4" s="62">
        <f>IF(SUMPRODUCT(('حجز الإجازات'!$B$5:$B$104='الموظفون'!$B$2)*('حجز الإجازات'!$D$5:$D$104&lt;=AU$3)*(('حجز الإجازات'!$E$5:$E$104)&gt;=AU$3)*('حجز الإجازات'!$G$5:$G$104="معتمد")*ROW('حجز الإجازات'!$B$5:$B$104))=0,IF(AU$3&lt;'الموظفون'!$D$2,"",IF(ISNUMBER(MATCH(AU$3,Holidays,0)),"عطلة",IF(MOD(AU$3-'الموظفون'!$D$2,CycleWork+CycleRest)&lt;CycleWork,INDEX('الإعدادات والقوائم'!$H$2:$H$4,MOD(INT(MOD(AU$3-'الموظفون'!$D$2,CycleWork+CycleRest)*3/CycleWork)+MATCH(StartShift,'الإعدادات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الإجازات'!$D$5:$D$104&lt;=AU$3)*(('حجز الإجازات'!$E$5:$E$104)&gt;=AU$3)*('حجز الإجازات'!$G$5:$G$104="معتمد")*ROW('حجز الإجازات'!$B$5:$B$104)))-5+1))</f>
        <v/>
      </c>
      <c r="AV4" s="62">
        <f>IF(SUMPRODUCT(('حجز الإجازات'!$B$5:$B$104='الموظفون'!$B$2)*('حجز الإجازات'!$D$5:$D$104&lt;=AV$3)*(('حجز الإجازات'!$E$5:$E$104)&gt;=AV$3)*('حجز الإجازات'!$G$5:$G$104="معتمد")*ROW('حجز الإجازات'!$B$5:$B$104))=0,IF(AV$3&lt;'الموظفون'!$D$2,"",IF(ISNUMBER(MATCH(AV$3,Holidays,0)),"عطلة",IF(MOD(AV$3-'الموظفون'!$D$2,CycleWork+CycleRest)&lt;CycleWork,INDEX('الإعدادات والقوائم'!$H$2:$H$4,MOD(INT(MOD(AV$3-'الموظفون'!$D$2,CycleWork+CycleRest)*3/CycleWork)+MATCH(StartShift,'الإعدادات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الإجازات'!$D$5:$D$104&lt;=AV$3)*(('حجز الإجازات'!$E$5:$E$104)&gt;=AV$3)*('حجز الإجازات'!$G$5:$G$104="معتمد")*ROW('حجز الإجازات'!$B$5:$B$104)))-5+1))</f>
        <v/>
      </c>
      <c r="AW4" s="62">
        <f>IF(SUMPRODUCT(('حجز الإجازات'!$B$5:$B$104='الموظفون'!$B$2)*('حجز الإجازات'!$D$5:$D$104&lt;=AW$3)*(('حجز الإجازات'!$E$5:$E$104)&gt;=AW$3)*('حجز الإجازات'!$G$5:$G$104="معتمد")*ROW('حجز الإجازات'!$B$5:$B$104))=0,IF(AW$3&lt;'الموظفون'!$D$2,"",IF(ISNUMBER(MATCH(AW$3,Holidays,0)),"عطلة",IF(MOD(AW$3-'الموظفون'!$D$2,CycleWork+CycleRest)&lt;CycleWork,INDEX('الإعدادات والقوائم'!$H$2:$H$4,MOD(INT(MOD(AW$3-'الموظفون'!$D$2,CycleWork+CycleRest)*3/CycleWork)+MATCH(StartShift,'الإعدادات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الإجازات'!$D$5:$D$104&lt;=AW$3)*(('حجز الإجازات'!$E$5:$E$104)&gt;=AW$3)*('حجز الإجازات'!$G$5:$G$104="معتمد")*ROW('حجز الإجازات'!$B$5:$B$104)))-5+1))</f>
        <v/>
      </c>
      <c r="AX4" s="62">
        <f>IF(SUMPRODUCT(('حجز الإجازات'!$B$5:$B$104='الموظفون'!$B$2)*('حجز الإجازات'!$D$5:$D$104&lt;=AX$3)*(('حجز الإجازات'!$E$5:$E$104)&gt;=AX$3)*('حجز الإجازات'!$G$5:$G$104="معتمد")*ROW('حجز الإجازات'!$B$5:$B$104))=0,IF(AX$3&lt;'الموظفون'!$D$2,"",IF(ISNUMBER(MATCH(AX$3,Holidays,0)),"عطلة",IF(MOD(AX$3-'الموظفون'!$D$2,CycleWork+CycleRest)&lt;CycleWork,INDEX('الإعدادات والقوائم'!$H$2:$H$4,MOD(INT(MOD(AX$3-'الموظفون'!$D$2,CycleWork+CycleRest)*3/CycleWork)+MATCH(StartShift,'الإعدادات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الإجازات'!$D$5:$D$104&lt;=AX$3)*(('حجز الإجازات'!$E$5:$E$104)&gt;=AX$3)*('حجز الإجازات'!$G$5:$G$104="معتمد")*ROW('حجز الإجازات'!$B$5:$B$104)))-5+1))</f>
        <v/>
      </c>
      <c r="AY4" s="62">
        <f>IF(SUMPRODUCT(('حجز الإجازات'!$B$5:$B$104='الموظفون'!$B$2)*('حجز الإجازات'!$D$5:$D$104&lt;=AY$3)*(('حجز الإجازات'!$E$5:$E$104)&gt;=AY$3)*('حجز الإجازات'!$G$5:$G$104="معتمد")*ROW('حجز الإجازات'!$B$5:$B$104))=0,IF(AY$3&lt;'الموظفون'!$D$2,"",IF(ISNUMBER(MATCH(AY$3,Holidays,0)),"عطلة",IF(MOD(AY$3-'الموظفون'!$D$2,CycleWork+CycleRest)&lt;CycleWork,INDEX('الإعدادات والقوائم'!$H$2:$H$4,MOD(INT(MOD(AY$3-'الموظفون'!$D$2,CycleWork+CycleRest)*3/CycleWork)+MATCH(StartShift,'الإعدادات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الإجازات'!$D$5:$D$104&lt;=AY$3)*(('حجز الإجازات'!$E$5:$E$104)&gt;=AY$3)*('حجز الإجازات'!$G$5:$G$104="معتمد")*ROW('حجز الإجازات'!$B$5:$B$104)))-5+1))</f>
        <v/>
      </c>
      <c r="AZ4" s="62">
        <f>IF(SUMPRODUCT(('حجز الإجازات'!$B$5:$B$104='الموظفون'!$B$2)*('حجز الإجازات'!$D$5:$D$104&lt;=AZ$3)*(('حجز الإجازات'!$E$5:$E$104)&gt;=AZ$3)*('حجز الإجازات'!$G$5:$G$104="معتمد")*ROW('حجز الإجازات'!$B$5:$B$104))=0,IF(AZ$3&lt;'الموظفون'!$D$2,"",IF(ISNUMBER(MATCH(AZ$3,Holidays,0)),"عطلة",IF(MOD(AZ$3-'الموظفون'!$D$2,CycleWork+CycleRest)&lt;CycleWork,INDEX('الإعدادات والقوائم'!$H$2:$H$4,MOD(INT(MOD(AZ$3-'الموظفون'!$D$2,CycleWork+CycleRest)*3/CycleWork)+MATCH(StartShift,'الإعدادات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الإجازات'!$D$5:$D$104&lt;=AZ$3)*(('حجز الإجازات'!$E$5:$E$104)&gt;=AZ$3)*('حجز الإجازات'!$G$5:$G$104="معتمد")*ROW('حجز الإجازات'!$B$5:$B$104)))-5+1))</f>
        <v/>
      </c>
      <c r="BA4" s="62">
        <f>IF(SUMPRODUCT(('حجز الإجازات'!$B$5:$B$104='الموظفون'!$B$2)*('حجز الإجازات'!$D$5:$D$104&lt;=BA$3)*(('حجز الإجازات'!$E$5:$E$104)&gt;=BA$3)*('حجز الإجازات'!$G$5:$G$104="معتمد")*ROW('حجز الإجازات'!$B$5:$B$104))=0,IF(BA$3&lt;'الموظفون'!$D$2,"",IF(ISNUMBER(MATCH(BA$3,Holidays,0)),"عطلة",IF(MOD(BA$3-'الموظفون'!$D$2,CycleWork+CycleRest)&lt;CycleWork,INDEX('الإعدادات والقوائم'!$H$2:$H$4,MOD(INT(MOD(BA$3-'الموظفون'!$D$2,CycleWork+CycleRest)*3/CycleWork)+MATCH(StartShift,'الإعدادات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الإجازات'!$D$5:$D$104&lt;=BA$3)*(('حجز الإجازات'!$E$5:$E$104)&gt;=BA$3)*('حجز الإجازات'!$G$5:$G$104="معتمد")*ROW('حجز الإجازات'!$B$5:$B$104)))-5+1))</f>
        <v/>
      </c>
      <c r="BB4" s="62">
        <f>IF(SUMPRODUCT(('حجز الإجازات'!$B$5:$B$104='الموظفون'!$B$2)*('حجز الإجازات'!$D$5:$D$104&lt;=BB$3)*(('حجز الإجازات'!$E$5:$E$104)&gt;=BB$3)*('حجز الإجازات'!$G$5:$G$104="معتمد")*ROW('حجز الإجازات'!$B$5:$B$104))=0,IF(BB$3&lt;'الموظفون'!$D$2,"",IF(ISNUMBER(MATCH(BB$3,Holidays,0)),"عطلة",IF(MOD(BB$3-'الموظفون'!$D$2,CycleWork+CycleRest)&lt;CycleWork,INDEX('الإعدادات والقوائم'!$H$2:$H$4,MOD(INT(MOD(BB$3-'الموظفون'!$D$2,CycleWork+CycleRest)*3/CycleWork)+MATCH(StartShift,'الإعدادات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الإجازات'!$D$5:$D$104&lt;=BB$3)*(('حجز الإجازات'!$E$5:$E$104)&gt;=BB$3)*('حجز الإجازات'!$G$5:$G$104="معتمد")*ROW('حجز الإجازات'!$B$5:$B$104)))-5+1))</f>
        <v/>
      </c>
      <c r="BC4" s="62">
        <f>IF(SUMPRODUCT(('حجز الإجازات'!$B$5:$B$104='الموظفون'!$B$2)*('حجز الإجازات'!$D$5:$D$104&lt;=BC$3)*(('حجز الإجازات'!$E$5:$E$104)&gt;=BC$3)*('حجز الإجازات'!$G$5:$G$104="معتمد")*ROW('حجز الإجازات'!$B$5:$B$104))=0,IF(BC$3&lt;'الموظفون'!$D$2,"",IF(ISNUMBER(MATCH(BC$3,Holidays,0)),"عطلة",IF(MOD(BC$3-'الموظفون'!$D$2,CycleWork+CycleRest)&lt;CycleWork,INDEX('الإعدادات والقوائم'!$H$2:$H$4,MOD(INT(MOD(BC$3-'الموظفون'!$D$2,CycleWork+CycleRest)*3/CycleWork)+MATCH(StartShift,'الإعدادات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الإجازات'!$D$5:$D$104&lt;=BC$3)*(('حجز الإجازات'!$E$5:$E$104)&gt;=BC$3)*('حجز الإجازات'!$G$5:$G$104="معتمد")*ROW('حجز الإجازات'!$B$5:$B$104)))-5+1))</f>
        <v/>
      </c>
      <c r="BD4" s="62">
        <f>IF(SUMPRODUCT(('حجز الإجازات'!$B$5:$B$104='الموظفون'!$B$2)*('حجز الإجازات'!$D$5:$D$104&lt;=BD$3)*(('حجز الإجازات'!$E$5:$E$104)&gt;=BD$3)*('حجز الإجازات'!$G$5:$G$104="معتمد")*ROW('حجز الإجازات'!$B$5:$B$104))=0,IF(BD$3&lt;'الموظفون'!$D$2,"",IF(ISNUMBER(MATCH(BD$3,Holidays,0)),"عطلة",IF(MOD(BD$3-'الموظفون'!$D$2,CycleWork+CycleRest)&lt;CycleWork,INDEX('الإعدادات والقوائم'!$H$2:$H$4,MOD(INT(MOD(BD$3-'الموظفون'!$D$2,CycleWork+CycleRest)*3/CycleWork)+MATCH(StartShift,'الإعدادات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الإجازات'!$D$5:$D$104&lt;=BD$3)*(('حجز الإجازات'!$E$5:$E$104)&gt;=BD$3)*('حجز الإجازات'!$G$5:$G$104="معتمد")*ROW('حجز الإجازات'!$B$5:$B$104)))-5+1))</f>
        <v/>
      </c>
      <c r="BE4" s="62">
        <f>IF(SUMPRODUCT(('حجز الإجازات'!$B$5:$B$104='الموظفون'!$B$2)*('حجز الإجازات'!$D$5:$D$104&lt;=BE$3)*(('حجز الإجازات'!$E$5:$E$104)&gt;=BE$3)*('حجز الإجازات'!$G$5:$G$104="معتمد")*ROW('حجز الإجازات'!$B$5:$B$104))=0,IF(BE$3&lt;'الموظفون'!$D$2,"",IF(ISNUMBER(MATCH(BE$3,Holidays,0)),"عطلة",IF(MOD(BE$3-'الموظفون'!$D$2,CycleWork+CycleRest)&lt;CycleWork,INDEX('الإعدادات والقوائم'!$H$2:$H$4,MOD(INT(MOD(BE$3-'الموظفون'!$D$2,CycleWork+CycleRest)*3/CycleWork)+MATCH(StartShift,'الإعدادات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الإجازات'!$D$5:$D$104&lt;=BE$3)*(('حجز الإجازات'!$E$5:$E$104)&gt;=BE$3)*('حجز الإجازات'!$G$5:$G$104="معتمد")*ROW('حجز الإجازات'!$B$5:$B$104)))-5+1))</f>
        <v/>
      </c>
      <c r="BF4" s="62">
        <f>IF(SUMPRODUCT(('حجز الإجازات'!$B$5:$B$104='الموظفون'!$B$2)*('حجز الإجازات'!$D$5:$D$104&lt;=BF$3)*(('حجز الإجازات'!$E$5:$E$104)&gt;=BF$3)*('حجز الإجازات'!$G$5:$G$104="معتمد")*ROW('حجز الإجازات'!$B$5:$B$104))=0,IF(BF$3&lt;'الموظفون'!$D$2,"",IF(ISNUMBER(MATCH(BF$3,Holidays,0)),"عطلة",IF(MOD(BF$3-'الموظفون'!$D$2,CycleWork+CycleRest)&lt;CycleWork,INDEX('الإعدادات والقوائم'!$H$2:$H$4,MOD(INT(MOD(BF$3-'الموظفون'!$D$2,CycleWork+CycleRest)*3/CycleWork)+MATCH(StartShift,'الإعدادات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الإجازات'!$D$5:$D$104&lt;=BF$3)*(('حجز الإجازات'!$E$5:$E$104)&gt;=BF$3)*('حجز الإجازات'!$G$5:$G$104="معتمد")*ROW('حجز الإجازات'!$B$5:$B$104)))-5+1))</f>
        <v/>
      </c>
      <c r="BG4" s="62">
        <f>IF(SUMPRODUCT(('حجز الإجازات'!$B$5:$B$104='الموظفون'!$B$2)*('حجز الإجازات'!$D$5:$D$104&lt;=BG$3)*(('حجز الإجازات'!$E$5:$E$104)&gt;=BG$3)*('حجز الإجازات'!$G$5:$G$104="معتمد")*ROW('حجز الإجازات'!$B$5:$B$104))=0,IF(BG$3&lt;'الموظفون'!$D$2,"",IF(ISNUMBER(MATCH(BG$3,Holidays,0)),"عطلة",IF(MOD(BG$3-'الموظفون'!$D$2,CycleWork+CycleRest)&lt;CycleWork,INDEX('الإعدادات والقوائم'!$H$2:$H$4,MOD(INT(MOD(BG$3-'الموظفون'!$D$2,CycleWork+CycleRest)*3/CycleWork)+MATCH(StartShift,'الإعدادات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الإجازات'!$D$5:$D$104&lt;=BG$3)*(('حجز الإجازات'!$E$5:$E$104)&gt;=BG$3)*('حجز الإجازات'!$G$5:$G$104="معتمد")*ROW('حجز الإجازات'!$B$5:$B$104)))-5+1))</f>
        <v/>
      </c>
      <c r="BH4" s="62">
        <f>IF(SUMPRODUCT(('حجز الإجازات'!$B$5:$B$104='الموظفون'!$B$2)*('حجز الإجازات'!$D$5:$D$104&lt;=BH$3)*(('حجز الإجازات'!$E$5:$E$104)&gt;=BH$3)*('حجز الإجازات'!$G$5:$G$104="معتمد")*ROW('حجز الإجازات'!$B$5:$B$104))=0,IF(BH$3&lt;'الموظفون'!$D$2,"",IF(ISNUMBER(MATCH(BH$3,Holidays,0)),"عطلة",IF(MOD(BH$3-'الموظفون'!$D$2,CycleWork+CycleRest)&lt;CycleWork,INDEX('الإعدادات والقوائم'!$H$2:$H$4,MOD(INT(MOD(BH$3-'الموظفون'!$D$2,CycleWork+CycleRest)*3/CycleWork)+MATCH(StartShift,'الإعدادات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الإجازات'!$D$5:$D$104&lt;=BH$3)*(('حجز الإجازات'!$E$5:$E$104)&gt;=BH$3)*('حجز الإجازات'!$G$5:$G$104="معتمد")*ROW('حجز الإجازات'!$B$5:$B$104)))-5+1))</f>
        <v/>
      </c>
      <c r="BI4" s="62">
        <f>IF(SUMPRODUCT(('حجز الإجازات'!$B$5:$B$104='الموظفون'!$B$2)*('حجز الإجازات'!$D$5:$D$104&lt;=BI$3)*(('حجز الإجازات'!$E$5:$E$104)&gt;=BI$3)*('حجز الإجازات'!$G$5:$G$104="معتمد")*ROW('حجز الإجازات'!$B$5:$B$104))=0,IF(BI$3&lt;'الموظفون'!$D$2,"",IF(ISNUMBER(MATCH(BI$3,Holidays,0)),"عطلة",IF(MOD(BI$3-'الموظفون'!$D$2,CycleWork+CycleRest)&lt;CycleWork,INDEX('الإعدادات والقوائم'!$H$2:$H$4,MOD(INT(MOD(BI$3-'الموظفون'!$D$2,CycleWork+CycleRest)*3/CycleWork)+MATCH(StartShift,'الإعدادات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الإجازات'!$D$5:$D$104&lt;=BI$3)*(('حجز الإجازات'!$E$5:$E$104)&gt;=BI$3)*('حجز الإجازات'!$G$5:$G$104="معتمد")*ROW('حجز الإجازات'!$B$5:$B$104)))-5+1))</f>
        <v/>
      </c>
      <c r="BJ4" s="62">
        <f>IF(SUMPRODUCT(('حجز الإجازات'!$B$5:$B$104='الموظفون'!$B$2)*('حجز الإجازات'!$D$5:$D$104&lt;=BJ$3)*(('حجز الإجازات'!$E$5:$E$104)&gt;=BJ$3)*('حجز الإجازات'!$G$5:$G$104="معتمد")*ROW('حجز الإجازات'!$B$5:$B$104))=0,IF(BJ$3&lt;'الموظفون'!$D$2,"",IF(ISNUMBER(MATCH(BJ$3,Holidays,0)),"عطلة",IF(MOD(BJ$3-'الموظفون'!$D$2,CycleWork+CycleRest)&lt;CycleWork,INDEX('الإعدادات والقوائم'!$H$2:$H$4,MOD(INT(MOD(BJ$3-'الموظفون'!$D$2,CycleWork+CycleRest)*3/CycleWork)+MATCH(StartShift,'الإعدادات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الإجازات'!$D$5:$D$104&lt;=BJ$3)*(('حجز الإجازات'!$E$5:$E$104)&gt;=BJ$3)*('حجز الإجازات'!$G$5:$G$104="معتمد")*ROW('حجز الإجازات'!$B$5:$B$104)))-5+1))</f>
        <v/>
      </c>
      <c r="BK4" s="62">
        <f>IF(SUMPRODUCT(('حجز الإجازات'!$B$5:$B$104='الموظفون'!$B$2)*('حجز الإجازات'!$D$5:$D$104&lt;=BK$3)*(('حجز الإجازات'!$E$5:$E$104)&gt;=BK$3)*('حجز الإجازات'!$G$5:$G$104="معتمد")*ROW('حجز الإجازات'!$B$5:$B$104))=0,IF(BK$3&lt;'الموظفون'!$D$2,"",IF(ISNUMBER(MATCH(BK$3,Holidays,0)),"عطلة",IF(MOD(BK$3-'الموظفون'!$D$2,CycleWork+CycleRest)&lt;CycleWork,INDEX('الإعدادات والقوائم'!$H$2:$H$4,MOD(INT(MOD(BK$3-'الموظفون'!$D$2,CycleWork+CycleRest)*3/CycleWork)+MATCH(StartShift,'الإعدادات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الإجازات'!$D$5:$D$104&lt;=BK$3)*(('حجز الإجازات'!$E$5:$E$104)&gt;=BK$3)*('حجز الإجازات'!$G$5:$G$104="معتمد")*ROW('حجز الإجازات'!$B$5:$B$104)))-5+1))</f>
        <v/>
      </c>
      <c r="BL4" s="62">
        <f>IF(SUMPRODUCT(('حجز الإجازات'!$B$5:$B$104='الموظفون'!$B$2)*('حجز الإجازات'!$D$5:$D$104&lt;=BL$3)*(('حجز الإجازات'!$E$5:$E$104)&gt;=BL$3)*('حجز الإجازات'!$G$5:$G$104="معتمد")*ROW('حجز الإجازات'!$B$5:$B$104))=0,IF(BL$3&lt;'الموظفون'!$D$2,"",IF(ISNUMBER(MATCH(BL$3,Holidays,0)),"عطلة",IF(MOD(BL$3-'الموظفون'!$D$2,CycleWork+CycleRest)&lt;CycleWork,INDEX('الإعدادات والقوائم'!$H$2:$H$4,MOD(INT(MOD(BL$3-'الموظفون'!$D$2,CycleWork+CycleRest)*3/CycleWork)+MATCH(StartShift,'الإعدادات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الإجازات'!$D$5:$D$104&lt;=BL$3)*(('حجز الإجازات'!$E$5:$E$104)&gt;=BL$3)*('حجز الإجازات'!$G$5:$G$104="معتمد")*ROW('حجز الإجازات'!$B$5:$B$104)))-5+1))</f>
        <v/>
      </c>
      <c r="BM4" s="62">
        <f>IF(SUMPRODUCT(('حجز الإجازات'!$B$5:$B$104='الموظفون'!$B$2)*('حجز الإجازات'!$D$5:$D$104&lt;=BM$3)*(('حجز الإجازات'!$E$5:$E$104)&gt;=BM$3)*('حجز الإجازات'!$G$5:$G$104="معتمد")*ROW('حجز الإجازات'!$B$5:$B$104))=0,IF(BM$3&lt;'الموظفون'!$D$2,"",IF(ISNUMBER(MATCH(BM$3,Holidays,0)),"عطلة",IF(MOD(BM$3-'الموظفون'!$D$2,CycleWork+CycleRest)&lt;CycleWork,INDEX('الإعدادات والقوائم'!$H$2:$H$4,MOD(INT(MOD(BM$3-'الموظفون'!$D$2,CycleWork+CycleRest)*3/CycleWork)+MATCH(StartShift,'الإعدادات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الإجازات'!$D$5:$D$104&lt;=BM$3)*(('حجز الإجازات'!$E$5:$E$104)&gt;=BM$3)*('حجز الإجازات'!$G$5:$G$104="معتمد")*ROW('حجز الإجازات'!$B$5:$B$104)))-5+1))</f>
        <v/>
      </c>
      <c r="BN4" s="62">
        <f>IF(SUMPRODUCT(('حجز الإجازات'!$B$5:$B$104='الموظفون'!$B$2)*('حجز الإجازات'!$D$5:$D$104&lt;=BN$3)*(('حجز الإجازات'!$E$5:$E$104)&gt;=BN$3)*('حجز الإجازات'!$G$5:$G$104="معتمد")*ROW('حجز الإجازات'!$B$5:$B$104))=0,IF(BN$3&lt;'الموظفون'!$D$2,"",IF(ISNUMBER(MATCH(BN$3,Holidays,0)),"عطلة",IF(MOD(BN$3-'الموظفون'!$D$2,CycleWork+CycleRest)&lt;CycleWork,INDEX('الإعدادات والقوائم'!$H$2:$H$4,MOD(INT(MOD(BN$3-'الموظفون'!$D$2,CycleWork+CycleRest)*3/CycleWork)+MATCH(StartShift,'الإعدادات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الإجازات'!$D$5:$D$104&lt;=BN$3)*(('حجز الإجازات'!$E$5:$E$104)&gt;=BN$3)*('حجز الإجازات'!$G$5:$G$104="معتمد")*ROW('حجز الإجازات'!$B$5:$B$104)))-5+1))</f>
        <v/>
      </c>
      <c r="BO4" s="62">
        <f>IF(SUMPRODUCT(('حجز الإجازات'!$B$5:$B$104='الموظفون'!$B$2)*('حجز الإجازات'!$D$5:$D$104&lt;=BO$3)*(('حجز الإجازات'!$E$5:$E$104)&gt;=BO$3)*('حجز الإجازات'!$G$5:$G$104="معتمد")*ROW('حجز الإجازات'!$B$5:$B$104))=0,IF(BO$3&lt;'الموظفون'!$D$2,"",IF(ISNUMBER(MATCH(BO$3,Holidays,0)),"عطلة",IF(MOD(BO$3-'الموظفون'!$D$2,CycleWork+CycleRest)&lt;CycleWork,INDEX('الإعدادات والقوائم'!$H$2:$H$4,MOD(INT(MOD(BO$3-'الموظفون'!$D$2,CycleWork+CycleRest)*3/CycleWork)+MATCH(StartShift,'الإعدادات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الإجازات'!$D$5:$D$104&lt;=BO$3)*(('حجز الإجازات'!$E$5:$E$104)&gt;=BO$3)*('حجز الإجازات'!$G$5:$G$104="معتمد")*ROW('حجز الإجازات'!$B$5:$B$104)))-5+1))</f>
        <v/>
      </c>
      <c r="BP4" s="62">
        <f>IF(SUMPRODUCT(('حجز الإجازات'!$B$5:$B$104='الموظفون'!$B$2)*('حجز الإجازات'!$D$5:$D$104&lt;=BP$3)*(('حجز الإجازات'!$E$5:$E$104)&gt;=BP$3)*('حجز الإجازات'!$G$5:$G$104="معتمد")*ROW('حجز الإجازات'!$B$5:$B$104))=0,IF(BP$3&lt;'الموظفون'!$D$2,"",IF(ISNUMBER(MATCH(BP$3,Holidays,0)),"عطلة",IF(MOD(BP$3-'الموظفون'!$D$2,CycleWork+CycleRest)&lt;CycleWork,INDEX('الإعدادات والقوائم'!$H$2:$H$4,MOD(INT(MOD(BP$3-'الموظفون'!$D$2,CycleWork+CycleRest)*3/CycleWork)+MATCH(StartShift,'الإعدادات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الإجازات'!$D$5:$D$104&lt;=BP$3)*(('حجز الإجازات'!$E$5:$E$104)&gt;=BP$3)*('حجز الإجازات'!$G$5:$G$104="معتمد")*ROW('حجز الإجازات'!$B$5:$B$104)))-5+1))</f>
        <v/>
      </c>
      <c r="BQ4" s="62">
        <f>IF(SUMPRODUCT(('حجز الإجازات'!$B$5:$B$104='الموظفون'!$B$2)*('حجز الإجازات'!$D$5:$D$104&lt;=BQ$3)*(('حجز الإجازات'!$E$5:$E$104)&gt;=BQ$3)*('حجز الإجازات'!$G$5:$G$104="معتمد")*ROW('حجز الإجازات'!$B$5:$B$104))=0,IF(BQ$3&lt;'الموظفون'!$D$2,"",IF(ISNUMBER(MATCH(BQ$3,Holidays,0)),"عطلة",IF(MOD(BQ$3-'الموظفون'!$D$2,CycleWork+CycleRest)&lt;CycleWork,INDEX('الإعدادات والقوائم'!$H$2:$H$4,MOD(INT(MOD(BQ$3-'الموظفون'!$D$2,CycleWork+CycleRest)*3/CycleWork)+MATCH(StartShift,'الإعدادات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الإجازات'!$D$5:$D$104&lt;=BQ$3)*(('حجز الإجازات'!$E$5:$E$104)&gt;=BQ$3)*('حجز الإجازات'!$G$5:$G$104="معتمد")*ROW('حجز الإجازات'!$B$5:$B$104)))-5+1))</f>
        <v/>
      </c>
      <c r="BR4" s="62">
        <f>IF(SUMPRODUCT(('حجز الإجازات'!$B$5:$B$104='الموظفون'!$B$2)*('حجز الإجازات'!$D$5:$D$104&lt;=BR$3)*(('حجز الإجازات'!$E$5:$E$104)&gt;=BR$3)*('حجز الإجازات'!$G$5:$G$104="معتمد")*ROW('حجز الإجازات'!$B$5:$B$104))=0,IF(BR$3&lt;'الموظفون'!$D$2,"",IF(ISNUMBER(MATCH(BR$3,Holidays,0)),"عطلة",IF(MOD(BR$3-'الموظفون'!$D$2,CycleWork+CycleRest)&lt;CycleWork,INDEX('الإعدادات والقوائم'!$H$2:$H$4,MOD(INT(MOD(BR$3-'الموظفون'!$D$2,CycleWork+CycleRest)*3/CycleWork)+MATCH(StartShift,'الإعدادات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الإجازات'!$D$5:$D$104&lt;=BR$3)*(('حجز الإجازات'!$E$5:$E$104)&gt;=BR$3)*('حجز الإجازات'!$G$5:$G$104="معتمد")*ROW('حجز الإجازات'!$B$5:$B$104)))-5+1))</f>
        <v/>
      </c>
      <c r="BS4" s="62">
        <f>IF(SUMPRODUCT(('حجز الإجازات'!$B$5:$B$104='الموظفون'!$B$2)*('حجز الإجازات'!$D$5:$D$104&lt;=BS$3)*(('حجز الإجازات'!$E$5:$E$104)&gt;=BS$3)*('حجز الإجازات'!$G$5:$G$104="معتمد")*ROW('حجز الإجازات'!$B$5:$B$104))=0,IF(BS$3&lt;'الموظفون'!$D$2,"",IF(ISNUMBER(MATCH(BS$3,Holidays,0)),"عطلة",IF(MOD(BS$3-'الموظفون'!$D$2,CycleWork+CycleRest)&lt;CycleWork,INDEX('الإعدادات والقوائم'!$H$2:$H$4,MOD(INT(MOD(BS$3-'الموظفون'!$D$2,CycleWork+CycleRest)*3/CycleWork)+MATCH(StartShift,'الإعدادات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الإجازات'!$D$5:$D$104&lt;=BS$3)*(('حجز الإجازات'!$E$5:$E$104)&gt;=BS$3)*('حجز الإجازات'!$G$5:$G$104="معتمد")*ROW('حجز الإجازات'!$B$5:$B$104)))-5+1))</f>
        <v/>
      </c>
      <c r="BT4" s="62">
        <f>IF(SUMPRODUCT(('حجز الإجازات'!$B$5:$B$104='الموظفون'!$B$2)*('حجز الإجازات'!$D$5:$D$104&lt;=BT$3)*(('حجز الإجازات'!$E$5:$E$104)&gt;=BT$3)*('حجز الإجازات'!$G$5:$G$104="معتمد")*ROW('حجز الإجازات'!$B$5:$B$104))=0,IF(BT$3&lt;'الموظفون'!$D$2,"",IF(ISNUMBER(MATCH(BT$3,Holidays,0)),"عطلة",IF(MOD(BT$3-'الموظفون'!$D$2,CycleWork+CycleRest)&lt;CycleWork,INDEX('الإعدادات والقوائم'!$H$2:$H$4,MOD(INT(MOD(BT$3-'الموظفون'!$D$2,CycleWork+CycleRest)*3/CycleWork)+MATCH(StartShift,'الإعدادات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الإجازات'!$D$5:$D$104&lt;=BT$3)*(('حجز الإجازات'!$E$5:$E$104)&gt;=BT$3)*('حجز الإجازات'!$G$5:$G$104="معتمد")*ROW('حجز الإجازات'!$B$5:$B$104)))-5+1))</f>
        <v/>
      </c>
      <c r="BU4" s="62">
        <f>IF(SUMPRODUCT(('حجز الإجازات'!$B$5:$B$104='الموظفون'!$B$2)*('حجز الإجازات'!$D$5:$D$104&lt;=BU$3)*(('حجز الإجازات'!$E$5:$E$104)&gt;=BU$3)*('حجز الإجازات'!$G$5:$G$104="معتمد")*ROW('حجز الإجازات'!$B$5:$B$104))=0,IF(BU$3&lt;'الموظفون'!$D$2,"",IF(ISNUMBER(MATCH(BU$3,Holidays,0)),"عطلة",IF(MOD(BU$3-'الموظفون'!$D$2,CycleWork+CycleRest)&lt;CycleWork,INDEX('الإعدادات والقوائم'!$H$2:$H$4,MOD(INT(MOD(BU$3-'الموظفون'!$D$2,CycleWork+CycleRest)*3/CycleWork)+MATCH(StartShift,'الإعدادات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الإجازات'!$D$5:$D$104&lt;=BU$3)*(('حجز الإجازات'!$E$5:$E$104)&gt;=BU$3)*('حجز الإجازات'!$G$5:$G$104="معتمد")*ROW('حجز الإجازات'!$B$5:$B$104)))-5+1))</f>
        <v/>
      </c>
      <c r="BV4" s="62">
        <f>IF(SUMPRODUCT(('حجز الإجازات'!$B$5:$B$104='الموظفون'!$B$2)*('حجز الإجازات'!$D$5:$D$104&lt;=BV$3)*(('حجز الإجازات'!$E$5:$E$104)&gt;=BV$3)*('حجز الإجازات'!$G$5:$G$104="معتمد")*ROW('حجز الإجازات'!$B$5:$B$104))=0,IF(BV$3&lt;'الموظفون'!$D$2,"",IF(ISNUMBER(MATCH(BV$3,Holidays,0)),"عطلة",IF(MOD(BV$3-'الموظفون'!$D$2,CycleWork+CycleRest)&lt;CycleWork,INDEX('الإعدادات والقوائم'!$H$2:$H$4,MOD(INT(MOD(BV$3-'الموظفون'!$D$2,CycleWork+CycleRest)*3/CycleWork)+MATCH(StartShift,'الإعدادات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الإجازات'!$D$5:$D$104&lt;=BV$3)*(('حجز الإجازات'!$E$5:$E$104)&gt;=BV$3)*('حجز الإجازات'!$G$5:$G$104="معتمد")*ROW('حجز الإجازات'!$B$5:$B$104)))-5+1))</f>
        <v/>
      </c>
      <c r="BW4" s="62">
        <f>IF(SUMPRODUCT(('حجز الإجازات'!$B$5:$B$104='الموظفون'!$B$2)*('حجز الإجازات'!$D$5:$D$104&lt;=BW$3)*(('حجز الإجازات'!$E$5:$E$104)&gt;=BW$3)*('حجز الإجازات'!$G$5:$G$104="معتمد")*ROW('حجز الإجازات'!$B$5:$B$104))=0,IF(BW$3&lt;'الموظفون'!$D$2,"",IF(ISNUMBER(MATCH(BW$3,Holidays,0)),"عطلة",IF(MOD(BW$3-'الموظفون'!$D$2,CycleWork+CycleRest)&lt;CycleWork,INDEX('الإعدادات والقوائم'!$H$2:$H$4,MOD(INT(MOD(BW$3-'الموظفون'!$D$2,CycleWork+CycleRest)*3/CycleWork)+MATCH(StartShift,'الإعدادات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الإجازات'!$D$5:$D$104&lt;=BW$3)*(('حجز الإجازات'!$E$5:$E$104)&gt;=BW$3)*('حجز الإجازات'!$G$5:$G$104="معتمد")*ROW('حجز الإجازات'!$B$5:$B$104)))-5+1))</f>
        <v/>
      </c>
      <c r="BX4" s="62">
        <f>IF(SUMPRODUCT(('حجز الإجازات'!$B$5:$B$104='الموظفون'!$B$2)*('حجز الإجازات'!$D$5:$D$104&lt;=BX$3)*(('حجز الإجازات'!$E$5:$E$104)&gt;=BX$3)*('حجز الإجازات'!$G$5:$G$104="معتمد")*ROW('حجز الإجازات'!$B$5:$B$104))=0,IF(BX$3&lt;'الموظفون'!$D$2,"",IF(ISNUMBER(MATCH(BX$3,Holidays,0)),"عطلة",IF(MOD(BX$3-'الموظفون'!$D$2,CycleWork+CycleRest)&lt;CycleWork,INDEX('الإعدادات والقوائم'!$H$2:$H$4,MOD(INT(MOD(BX$3-'الموظفون'!$D$2,CycleWork+CycleRest)*3/CycleWork)+MATCH(StartShift,'الإعدادات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الإجازات'!$D$5:$D$104&lt;=BX$3)*(('حجز الإجازات'!$E$5:$E$104)&gt;=BX$3)*('حجز الإجازات'!$G$5:$G$104="معتمد")*ROW('حجز الإجازات'!$B$5:$B$104)))-5+1))</f>
        <v/>
      </c>
      <c r="BY4" s="62">
        <f>IF(SUMPRODUCT(('حجز الإجازات'!$B$5:$B$104='الموظفون'!$B$2)*('حجز الإجازات'!$D$5:$D$104&lt;=BY$3)*(('حجز الإجازات'!$E$5:$E$104)&gt;=BY$3)*('حجز الإجازات'!$G$5:$G$104="معتمد")*ROW('حجز الإجازات'!$B$5:$B$104))=0,IF(BY$3&lt;'الموظفون'!$D$2,"",IF(ISNUMBER(MATCH(BY$3,Holidays,0)),"عطلة",IF(MOD(BY$3-'الموظفون'!$D$2,CycleWork+CycleRest)&lt;CycleWork,INDEX('الإعدادات والقوائم'!$H$2:$H$4,MOD(INT(MOD(BY$3-'الموظفون'!$D$2,CycleWork+CycleRest)*3/CycleWork)+MATCH(StartShift,'الإعدادات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الإجازات'!$D$5:$D$104&lt;=BY$3)*(('حجز الإجازات'!$E$5:$E$104)&gt;=BY$3)*('حجز الإجازات'!$G$5:$G$104="معتمد")*ROW('حجز الإجازات'!$B$5:$B$104)))-5+1))</f>
        <v/>
      </c>
      <c r="BZ4" s="62">
        <f>IF(SUMPRODUCT(('حجز الإجازات'!$B$5:$B$104='الموظفون'!$B$2)*('حجز الإجازات'!$D$5:$D$104&lt;=BZ$3)*(('حجز الإجازات'!$E$5:$E$104)&gt;=BZ$3)*('حجز الإجازات'!$G$5:$G$104="معتمد")*ROW('حجز الإجازات'!$B$5:$B$104))=0,IF(BZ$3&lt;'الموظفون'!$D$2,"",IF(ISNUMBER(MATCH(BZ$3,Holidays,0)),"عطلة",IF(MOD(BZ$3-'الموظفون'!$D$2,CycleWork+CycleRest)&lt;CycleWork,INDEX('الإعدادات والقوائم'!$H$2:$H$4,MOD(INT(MOD(BZ$3-'الموظفون'!$D$2,CycleWork+CycleRest)*3/CycleWork)+MATCH(StartShift,'الإعدادات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الإجازات'!$D$5:$D$104&lt;=BZ$3)*(('حجز الإجازات'!$E$5:$E$104)&gt;=BZ$3)*('حجز الإجازات'!$G$5:$G$104="معتمد")*ROW('حجز الإجازات'!$B$5:$B$104)))-5+1))</f>
        <v/>
      </c>
      <c r="CA4" s="62">
        <f>IF(SUMPRODUCT(('حجز الإجازات'!$B$5:$B$104='الموظفون'!$B$2)*('حجز الإجازات'!$D$5:$D$104&lt;=CA$3)*(('حجز الإجازات'!$E$5:$E$104)&gt;=CA$3)*('حجز الإجازات'!$G$5:$G$104="معتمد")*ROW('حجز الإجازات'!$B$5:$B$104))=0,IF(CA$3&lt;'الموظفون'!$D$2,"",IF(ISNUMBER(MATCH(CA$3,Holidays,0)),"عطلة",IF(MOD(CA$3-'الموظفون'!$D$2,CycleWork+CycleRest)&lt;CycleWork,INDEX('الإعدادات والقوائم'!$H$2:$H$4,MOD(INT(MOD(CA$3-'الموظفون'!$D$2,CycleWork+CycleRest)*3/CycleWork)+MATCH(StartShift,'الإعدادات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الإجازات'!$D$5:$D$104&lt;=CA$3)*(('حجز الإجازات'!$E$5:$E$104)&gt;=CA$3)*('حجز الإجازات'!$G$5:$G$104="معتمد")*ROW('حجز الإجازات'!$B$5:$B$104)))-5+1))</f>
        <v/>
      </c>
      <c r="CB4" s="62">
        <f>IF(SUMPRODUCT(('حجز الإجازات'!$B$5:$B$104='الموظفون'!$B$2)*('حجز الإجازات'!$D$5:$D$104&lt;=CB$3)*(('حجز الإجازات'!$E$5:$E$104)&gt;=CB$3)*('حجز الإجازات'!$G$5:$G$104="معتمد")*ROW('حجز الإجازات'!$B$5:$B$104))=0,IF(CB$3&lt;'الموظفون'!$D$2,"",IF(ISNUMBER(MATCH(CB$3,Holidays,0)),"عطلة",IF(MOD(CB$3-'الموظفون'!$D$2,CycleWork+CycleRest)&lt;CycleWork,INDEX('الإعدادات والقوائم'!$H$2:$H$4,MOD(INT(MOD(CB$3-'الموظفون'!$D$2,CycleWork+CycleRest)*3/CycleWork)+MATCH(StartShift,'الإعدادات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الإجازات'!$D$5:$D$104&lt;=CB$3)*(('حجز الإجازات'!$E$5:$E$104)&gt;=CB$3)*('حجز الإجازات'!$G$5:$G$104="معتمد")*ROW('حجز الإجازات'!$B$5:$B$104)))-5+1))</f>
        <v/>
      </c>
      <c r="CC4" s="62">
        <f>IF(SUMPRODUCT(('حجز الإجازات'!$B$5:$B$104='الموظفون'!$B$2)*('حجز الإجازات'!$D$5:$D$104&lt;=CC$3)*(('حجز الإجازات'!$E$5:$E$104)&gt;=CC$3)*('حجز الإجازات'!$G$5:$G$104="معتمد")*ROW('حجز الإجازات'!$B$5:$B$104))=0,IF(CC$3&lt;'الموظفون'!$D$2,"",IF(ISNUMBER(MATCH(CC$3,Holidays,0)),"عطلة",IF(MOD(CC$3-'الموظفون'!$D$2,CycleWork+CycleRest)&lt;CycleWork,INDEX('الإعدادات والقوائم'!$H$2:$H$4,MOD(INT(MOD(CC$3-'الموظفون'!$D$2,CycleWork+CycleRest)*3/CycleWork)+MATCH(StartShift,'الإعدادات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الإجازات'!$D$5:$D$104&lt;=CC$3)*(('حجز الإجازات'!$E$5:$E$104)&gt;=CC$3)*('حجز الإجازات'!$G$5:$G$104="معتمد")*ROW('حجز الإجازات'!$B$5:$B$104)))-5+1))</f>
        <v/>
      </c>
      <c r="CD4" s="62">
        <f>IF(SUMPRODUCT(('حجز الإجازات'!$B$5:$B$104='الموظفون'!$B$2)*('حجز الإجازات'!$D$5:$D$104&lt;=CD$3)*(('حجز الإجازات'!$E$5:$E$104)&gt;=CD$3)*('حجز الإجازات'!$G$5:$G$104="معتمد")*ROW('حجز الإجازات'!$B$5:$B$104))=0,IF(CD$3&lt;'الموظفون'!$D$2,"",IF(ISNUMBER(MATCH(CD$3,Holidays,0)),"عطلة",IF(MOD(CD$3-'الموظفون'!$D$2,CycleWork+CycleRest)&lt;CycleWork,INDEX('الإعدادات والقوائم'!$H$2:$H$4,MOD(INT(MOD(CD$3-'الموظفون'!$D$2,CycleWork+CycleRest)*3/CycleWork)+MATCH(StartShift,'الإعدادات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الإجازات'!$D$5:$D$104&lt;=CD$3)*(('حجز الإجازات'!$E$5:$E$104)&gt;=CD$3)*('حجز الإجازات'!$G$5:$G$104="معتمد")*ROW('حجز الإجازات'!$B$5:$B$104)))-5+1))</f>
        <v/>
      </c>
      <c r="CE4" s="62">
        <f>IF(SUMPRODUCT(('حجز الإجازات'!$B$5:$B$104='الموظفون'!$B$2)*('حجز الإجازات'!$D$5:$D$104&lt;=CE$3)*(('حجز الإجازات'!$E$5:$E$104)&gt;=CE$3)*('حجز الإجازات'!$G$5:$G$104="معتمد")*ROW('حجز الإجازات'!$B$5:$B$104))=0,IF(CE$3&lt;'الموظفون'!$D$2,"",IF(ISNUMBER(MATCH(CE$3,Holidays,0)),"عطلة",IF(MOD(CE$3-'الموظفون'!$D$2,CycleWork+CycleRest)&lt;CycleWork,INDEX('الإعدادات والقوائم'!$H$2:$H$4,MOD(INT(MOD(CE$3-'الموظفون'!$D$2,CycleWork+CycleRest)*3/CycleWork)+MATCH(StartShift,'الإعدادات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الإجازات'!$D$5:$D$104&lt;=CE$3)*(('حجز الإجازات'!$E$5:$E$104)&gt;=CE$3)*('حجز الإجازات'!$G$5:$G$104="معتمد")*ROW('حجز الإجازات'!$B$5:$B$104)))-5+1))</f>
        <v/>
      </c>
      <c r="CF4" s="62">
        <f>IF(SUMPRODUCT(('حجز الإجازات'!$B$5:$B$104='الموظفون'!$B$2)*('حجز الإجازات'!$D$5:$D$104&lt;=CF$3)*(('حجز الإجازات'!$E$5:$E$104)&gt;=CF$3)*('حجز الإجازات'!$G$5:$G$104="معتمد")*ROW('حجز الإجازات'!$B$5:$B$104))=0,IF(CF$3&lt;'الموظفون'!$D$2,"",IF(ISNUMBER(MATCH(CF$3,Holidays,0)),"عطلة",IF(MOD(CF$3-'الموظفون'!$D$2,CycleWork+CycleRest)&lt;CycleWork,INDEX('الإعدادات والقوائم'!$H$2:$H$4,MOD(INT(MOD(CF$3-'الموظفون'!$D$2,CycleWork+CycleRest)*3/CycleWork)+MATCH(StartShift,'الإعدادات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الإجازات'!$D$5:$D$104&lt;=CF$3)*(('حجز الإجازات'!$E$5:$E$104)&gt;=CF$3)*('حجز الإجازات'!$G$5:$G$104="معتمد")*ROW('حجز الإجازات'!$B$5:$B$104)))-5+1))</f>
        <v/>
      </c>
      <c r="CG4" s="62">
        <f>IF(SUMPRODUCT(('حجز الإجازات'!$B$5:$B$104='الموظفون'!$B$2)*('حجز الإجازات'!$D$5:$D$104&lt;=CG$3)*(('حجز الإجازات'!$E$5:$E$104)&gt;=CG$3)*('حجز الإجازات'!$G$5:$G$104="معتمد")*ROW('حجز الإجازات'!$B$5:$B$104))=0,IF(CG$3&lt;'الموظفون'!$D$2,"",IF(ISNUMBER(MATCH(CG$3,Holidays,0)),"عطلة",IF(MOD(CG$3-'الموظفون'!$D$2,CycleWork+CycleRest)&lt;CycleWork,INDEX('الإعدادات والقوائم'!$H$2:$H$4,MOD(INT(MOD(CG$3-'الموظفون'!$D$2,CycleWork+CycleRest)*3/CycleWork)+MATCH(StartShift,'الإعدادات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الإجازات'!$D$5:$D$104&lt;=CG$3)*(('حجز الإجازات'!$E$5:$E$104)&gt;=CG$3)*('حجز الإجازات'!$G$5:$G$104="معتمد")*ROW('حجز الإجازات'!$B$5:$B$104)))-5+1))</f>
        <v/>
      </c>
      <c r="CH4" s="62">
        <f>IF(SUMPRODUCT(('حجز الإجازات'!$B$5:$B$104='الموظفون'!$B$2)*('حجز الإجازات'!$D$5:$D$104&lt;=CH$3)*(('حجز الإجازات'!$E$5:$E$104)&gt;=CH$3)*('حجز الإجازات'!$G$5:$G$104="معتمد")*ROW('حجز الإجازات'!$B$5:$B$104))=0,IF(CH$3&lt;'الموظفون'!$D$2,"",IF(ISNUMBER(MATCH(CH$3,Holidays,0)),"عطلة",IF(MOD(CH$3-'الموظفون'!$D$2,CycleWork+CycleRest)&lt;CycleWork,INDEX('الإعدادات والقوائم'!$H$2:$H$4,MOD(INT(MOD(CH$3-'الموظفون'!$D$2,CycleWork+CycleRest)*3/CycleWork)+MATCH(StartShift,'الإعدادات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الإجازات'!$D$5:$D$104&lt;=CH$3)*(('حجز الإجازات'!$E$5:$E$104)&gt;=CH$3)*('حجز الإجازات'!$G$5:$G$104="معتمد")*ROW('حجز الإجازات'!$B$5:$B$104)))-5+1))</f>
        <v/>
      </c>
      <c r="CI4" s="62">
        <f>IF(SUMPRODUCT(('حجز الإجازات'!$B$5:$B$104='الموظفون'!$B$2)*('حجز الإجازات'!$D$5:$D$104&lt;=CI$3)*(('حجز الإجازات'!$E$5:$E$104)&gt;=CI$3)*('حجز الإجازات'!$G$5:$G$104="معتمد")*ROW('حجز الإجازات'!$B$5:$B$104))=0,IF(CI$3&lt;'الموظفون'!$D$2,"",IF(ISNUMBER(MATCH(CI$3,Holidays,0)),"عطلة",IF(MOD(CI$3-'الموظفون'!$D$2,CycleWork+CycleRest)&lt;CycleWork,INDEX('الإعدادات والقوائم'!$H$2:$H$4,MOD(INT(MOD(CI$3-'الموظفون'!$D$2,CycleWork+CycleRest)*3/CycleWork)+MATCH(StartShift,'الإعدادات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الإجازات'!$D$5:$D$104&lt;=CI$3)*(('حجز الإجازات'!$E$5:$E$104)&gt;=CI$3)*('حجز الإجازات'!$G$5:$G$104="معتمد")*ROW('حجز الإجازات'!$B$5:$B$104)))-5+1))</f>
        <v/>
      </c>
      <c r="CJ4" s="62">
        <f>IF(SUMPRODUCT(('حجز الإجازات'!$B$5:$B$104='الموظفون'!$B$2)*('حجز الإجازات'!$D$5:$D$104&lt;=CJ$3)*(('حجز الإجازات'!$E$5:$E$104)&gt;=CJ$3)*('حجز الإجازات'!$G$5:$G$104="معتمد")*ROW('حجز الإجازات'!$B$5:$B$104))=0,IF(CJ$3&lt;'الموظفون'!$D$2,"",IF(ISNUMBER(MATCH(CJ$3,Holidays,0)),"عطلة",IF(MOD(CJ$3-'الموظفون'!$D$2,CycleWork+CycleRest)&lt;CycleWork,INDEX('الإعدادات والقوائم'!$H$2:$H$4,MOD(INT(MOD(CJ$3-'الموظفون'!$D$2,CycleWork+CycleRest)*3/CycleWork)+MATCH(StartShift,'الإعدادات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الإجازات'!$D$5:$D$104&lt;=CJ$3)*(('حجز الإجازات'!$E$5:$E$104)&gt;=CJ$3)*('حجز الإجازات'!$G$5:$G$104="معتمد")*ROW('حجز الإجازات'!$B$5:$B$104)))-5+1))</f>
        <v/>
      </c>
      <c r="CK4" s="62">
        <f>IF(SUMPRODUCT(('حجز الإجازات'!$B$5:$B$104='الموظفون'!$B$2)*('حجز الإجازات'!$D$5:$D$104&lt;=CK$3)*(('حجز الإجازات'!$E$5:$E$104)&gt;=CK$3)*('حجز الإجازات'!$G$5:$G$104="معتمد")*ROW('حجز الإجازات'!$B$5:$B$104))=0,IF(CK$3&lt;'الموظفون'!$D$2,"",IF(ISNUMBER(MATCH(CK$3,Holidays,0)),"عطلة",IF(MOD(CK$3-'الموظفون'!$D$2,CycleWork+CycleRest)&lt;CycleWork,INDEX('الإعدادات والقوائم'!$H$2:$H$4,MOD(INT(MOD(CK$3-'الموظفون'!$D$2,CycleWork+CycleRest)*3/CycleWork)+MATCH(StartShift,'الإعدادات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الإجازات'!$D$5:$D$104&lt;=CK$3)*(('حجز الإجازات'!$E$5:$E$104)&gt;=CK$3)*('حجز الإجازات'!$G$5:$G$104="معتمد")*ROW('حجز الإجازات'!$B$5:$B$104)))-5+1))</f>
        <v/>
      </c>
      <c r="CL4" s="62">
        <f>IF(SUMPRODUCT(('حجز الإجازات'!$B$5:$B$104='الموظفون'!$B$2)*('حجز الإجازات'!$D$5:$D$104&lt;=CL$3)*(('حجز الإجازات'!$E$5:$E$104)&gt;=CL$3)*('حجز الإجازات'!$G$5:$G$104="معتمد")*ROW('حجز الإجازات'!$B$5:$B$104))=0,IF(CL$3&lt;'الموظفون'!$D$2,"",IF(ISNUMBER(MATCH(CL$3,Holidays,0)),"عطلة",IF(MOD(CL$3-'الموظفون'!$D$2,CycleWork+CycleRest)&lt;CycleWork,INDEX('الإعدادات والقوائم'!$H$2:$H$4,MOD(INT(MOD(CL$3-'الموظفون'!$D$2,CycleWork+CycleRest)*3/CycleWork)+MATCH(StartShift,'الإعدادات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الإجازات'!$D$5:$D$104&lt;=CL$3)*(('حجز الإجازات'!$E$5:$E$104)&gt;=CL$3)*('حجز الإجازات'!$G$5:$G$104="معتمد")*ROW('حجز الإجازات'!$B$5:$B$104)))-5+1))</f>
        <v/>
      </c>
      <c r="CM4" s="62">
        <f>IF(SUMPRODUCT(('حجز الإجازات'!$B$5:$B$104='الموظفون'!$B$2)*('حجز الإجازات'!$D$5:$D$104&lt;=CM$3)*(('حجز الإجازات'!$E$5:$E$104)&gt;=CM$3)*('حجز الإجازات'!$G$5:$G$104="معتمد")*ROW('حجز الإجازات'!$B$5:$B$104))=0,IF(CM$3&lt;'الموظفون'!$D$2,"",IF(ISNUMBER(MATCH(CM$3,Holidays,0)),"عطلة",IF(MOD(CM$3-'الموظفون'!$D$2,CycleWork+CycleRest)&lt;CycleWork,INDEX('الإعدادات والقوائم'!$H$2:$H$4,MOD(INT(MOD(CM$3-'الموظفون'!$D$2,CycleWork+CycleRest)*3/CycleWork)+MATCH(StartShift,'الإعدادات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الإجازات'!$D$5:$D$104&lt;=CM$3)*(('حجز الإجازات'!$E$5:$E$104)&gt;=CM$3)*('حجز الإجازات'!$G$5:$G$104="معتمد")*ROW('حجز الإجازات'!$B$5:$B$104)))-5+1))</f>
        <v/>
      </c>
      <c r="CN4" s="62">
        <f>IF(SUMPRODUCT(('حجز الإجازات'!$B$5:$B$104='الموظفون'!$B$2)*('حجز الإجازات'!$D$5:$D$104&lt;=CN$3)*(('حجز الإجازات'!$E$5:$E$104)&gt;=CN$3)*('حجز الإجازات'!$G$5:$G$104="معتمد")*ROW('حجز الإجازات'!$B$5:$B$104))=0,IF(CN$3&lt;'الموظفون'!$D$2,"",IF(ISNUMBER(MATCH(CN$3,Holidays,0)),"عطلة",IF(MOD(CN$3-'الموظفون'!$D$2,CycleWork+CycleRest)&lt;CycleWork,INDEX('الإعدادات والقوائم'!$H$2:$H$4,MOD(INT(MOD(CN$3-'الموظفون'!$D$2,CycleWork+CycleRest)*3/CycleWork)+MATCH(StartShift,'الإعدادات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الإجازات'!$D$5:$D$104&lt;=CN$3)*(('حجز الإجازات'!$E$5:$E$104)&gt;=CN$3)*('حجز الإجازات'!$G$5:$G$104="معتمد")*ROW('حجز الإجازات'!$B$5:$B$104)))-5+1))</f>
        <v/>
      </c>
      <c r="CO4" s="62">
        <f>IF(SUMPRODUCT(('حجز الإجازات'!$B$5:$B$104='الموظفون'!$B$2)*('حجز الإجازات'!$D$5:$D$104&lt;=CO$3)*(('حجز الإجازات'!$E$5:$E$104)&gt;=CO$3)*('حجز الإجازات'!$G$5:$G$104="معتمد")*ROW('حجز الإجازات'!$B$5:$B$104))=0,IF(CO$3&lt;'الموظفون'!$D$2,"",IF(ISNUMBER(MATCH(CO$3,Holidays,0)),"عطلة",IF(MOD(CO$3-'الموظفون'!$D$2,CycleWork+CycleRest)&lt;CycleWork,INDEX('الإعدادات والقوائم'!$H$2:$H$4,MOD(INT(MOD(CO$3-'الموظفون'!$D$2,CycleWork+CycleRest)*3/CycleWork)+MATCH(StartShift,'الإعدادات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الإجازات'!$D$5:$D$104&lt;=CO$3)*(('حجز الإجازات'!$E$5:$E$104)&gt;=CO$3)*('حجز الإجازات'!$G$5:$G$104="معتمد")*ROW('حجز الإجازات'!$B$5:$B$104)))-5+1))</f>
        <v/>
      </c>
      <c r="CP4" s="62">
        <f>IF(SUMPRODUCT(('حجز الإجازات'!$B$5:$B$104='الموظفون'!$B$2)*('حجز الإجازات'!$D$5:$D$104&lt;=CP$3)*(('حجز الإجازات'!$E$5:$E$104)&gt;=CP$3)*('حجز الإجازات'!$G$5:$G$104="معتمد")*ROW('حجز الإجازات'!$B$5:$B$104))=0,IF(CP$3&lt;'الموظفون'!$D$2,"",IF(ISNUMBER(MATCH(CP$3,Holidays,0)),"عطلة",IF(MOD(CP$3-'الموظفون'!$D$2,CycleWork+CycleRest)&lt;CycleWork,INDEX('الإعدادات والقوائم'!$H$2:$H$4,MOD(INT(MOD(CP$3-'الموظفون'!$D$2,CycleWork+CycleRest)*3/CycleWork)+MATCH(StartShift,'الإعدادات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الإجازات'!$D$5:$D$104&lt;=CP$3)*(('حجز الإجازات'!$E$5:$E$104)&gt;=CP$3)*('حجز الإجازات'!$G$5:$G$104="معتمد")*ROW('حجز الإجازات'!$B$5:$B$104)))-5+1))</f>
        <v/>
      </c>
      <c r="CQ4" s="62">
        <f>IF(SUMPRODUCT(('حجز الإجازات'!$B$5:$B$104='الموظفون'!$B$2)*('حجز الإجازات'!$D$5:$D$104&lt;=CQ$3)*(('حجز الإجازات'!$E$5:$E$104)&gt;=CQ$3)*('حجز الإجازات'!$G$5:$G$104="معتمد")*ROW('حجز الإجازات'!$B$5:$B$104))=0,IF(CQ$3&lt;'الموظفون'!$D$2,"",IF(ISNUMBER(MATCH(CQ$3,Holidays,0)),"عطلة",IF(MOD(CQ$3-'الموظفون'!$D$2,CycleWork+CycleRest)&lt;CycleWork,INDEX('الإعدادات والقوائم'!$H$2:$H$4,MOD(INT(MOD(CQ$3-'الموظفون'!$D$2,CycleWork+CycleRest)*3/CycleWork)+MATCH(StartShift,'الإعدادات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الإجازات'!$D$5:$D$104&lt;=CQ$3)*(('حجز الإجازات'!$E$5:$E$104)&gt;=CQ$3)*('حجز الإجازات'!$G$5:$G$104="معتمد")*ROW('حجز الإجازات'!$B$5:$B$104)))-5+1))</f>
        <v/>
      </c>
      <c r="CR4" s="62">
        <f>IF(SUMPRODUCT(('حجز الإجازات'!$B$5:$B$104='الموظفون'!$B$2)*('حجز الإجازات'!$D$5:$D$104&lt;=CR$3)*(('حجز الإجازات'!$E$5:$E$104)&gt;=CR$3)*('حجز الإجازات'!$G$5:$G$104="معتمد")*ROW('حجز الإجازات'!$B$5:$B$104))=0,IF(CR$3&lt;'الموظفون'!$D$2,"",IF(ISNUMBER(MATCH(CR$3,Holidays,0)),"عطلة",IF(MOD(CR$3-'الموظفون'!$D$2,CycleWork+CycleRest)&lt;CycleWork,INDEX('الإعدادات والقوائم'!$H$2:$H$4,MOD(INT(MOD(CR$3-'الموظفون'!$D$2,CycleWork+CycleRest)*3/CycleWork)+MATCH(StartShift,'الإعدادات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الإجازات'!$D$5:$D$104&lt;=CR$3)*(('حجز الإجازات'!$E$5:$E$104)&gt;=CR$3)*('حجز الإجازات'!$G$5:$G$104="معتمد")*ROW('حجز الإجازات'!$B$5:$B$104)))-5+1))</f>
        <v/>
      </c>
      <c r="CS4" s="62">
        <f>IF(SUMPRODUCT(('حجز الإجازات'!$B$5:$B$104='الموظفون'!$B$2)*('حجز الإجازات'!$D$5:$D$104&lt;=CS$3)*(('حجز الإجازات'!$E$5:$E$104)&gt;=CS$3)*('حجز الإجازات'!$G$5:$G$104="معتمد")*ROW('حجز الإجازات'!$B$5:$B$104))=0,IF(CS$3&lt;'الموظفون'!$D$2,"",IF(ISNUMBER(MATCH(CS$3,Holidays,0)),"عطلة",IF(MOD(CS$3-'الموظفون'!$D$2,CycleWork+CycleRest)&lt;CycleWork,INDEX('الإعدادات والقوائم'!$H$2:$H$4,MOD(INT(MOD(CS$3-'الموظفون'!$D$2,CycleWork+CycleRest)*3/CycleWork)+MATCH(StartShift,'الإعدادات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الإجازات'!$D$5:$D$104&lt;=CS$3)*(('حجز الإجازات'!$E$5:$E$104)&gt;=CS$3)*('حجز الإجازات'!$G$5:$G$104="معتمد")*ROW('حجز الإجازات'!$B$5:$B$104)))-5+1))</f>
        <v/>
      </c>
      <c r="CT4" s="62">
        <f>IF(SUMPRODUCT(('حجز الإجازات'!$B$5:$B$104='الموظفون'!$B$2)*('حجز الإجازات'!$D$5:$D$104&lt;=CT$3)*(('حجز الإجازات'!$E$5:$E$104)&gt;=CT$3)*('حجز الإجازات'!$G$5:$G$104="معتمد")*ROW('حجز الإجازات'!$B$5:$B$104))=0,IF(CT$3&lt;'الموظفون'!$D$2,"",IF(ISNUMBER(MATCH(CT$3,Holidays,0)),"عطلة",IF(MOD(CT$3-'الموظفون'!$D$2,CycleWork+CycleRest)&lt;CycleWork,INDEX('الإعدادات والقوائم'!$H$2:$H$4,MOD(INT(MOD(CT$3-'الموظفون'!$D$2,CycleWork+CycleRest)*3/CycleWork)+MATCH(StartShift,'الإعدادات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الإجازات'!$D$5:$D$104&lt;=CT$3)*(('حجز الإجازات'!$E$5:$E$104)&gt;=CT$3)*('حجز الإجازات'!$G$5:$G$104="معتمد")*ROW('حجز الإجازات'!$B$5:$B$104)))-5+1))</f>
        <v/>
      </c>
      <c r="CU4" s="62">
        <f>IF(SUMPRODUCT(('حجز الإجازات'!$B$5:$B$104='الموظفون'!$B$2)*('حجز الإجازات'!$D$5:$D$104&lt;=CU$3)*(('حجز الإجازات'!$E$5:$E$104)&gt;=CU$3)*('حجز الإجازات'!$G$5:$G$104="معتمد")*ROW('حجز الإجازات'!$B$5:$B$104))=0,IF(CU$3&lt;'الموظفون'!$D$2,"",IF(ISNUMBER(MATCH(CU$3,Holidays,0)),"عطلة",IF(MOD(CU$3-'الموظفون'!$D$2,CycleWork+CycleRest)&lt;CycleWork,INDEX('الإعدادات والقوائم'!$H$2:$H$4,MOD(INT(MOD(CU$3-'الموظفون'!$D$2,CycleWork+CycleRest)*3/CycleWork)+MATCH(StartShift,'الإعدادات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الإجازات'!$D$5:$D$104&lt;=CU$3)*(('حجز الإجازات'!$E$5:$E$104)&gt;=CU$3)*('حجز الإجازات'!$G$5:$G$104="معتمد")*ROW('حجز الإجازات'!$B$5:$B$104)))-5+1))</f>
        <v/>
      </c>
      <c r="CV4" s="62">
        <f>IF(SUMPRODUCT(('حجز الإجازات'!$B$5:$B$104='الموظفون'!$B$2)*('حجز الإجازات'!$D$5:$D$104&lt;=CV$3)*(('حجز الإجازات'!$E$5:$E$104)&gt;=CV$3)*('حجز الإجازات'!$G$5:$G$104="معتمد")*ROW('حجز الإجازات'!$B$5:$B$104))=0,IF(CV$3&lt;'الموظفون'!$D$2,"",IF(ISNUMBER(MATCH(CV$3,Holidays,0)),"عطلة",IF(MOD(CV$3-'الموظفون'!$D$2,CycleWork+CycleRest)&lt;CycleWork,INDEX('الإعدادات والقوائم'!$H$2:$H$4,MOD(INT(MOD(CV$3-'الموظفون'!$D$2,CycleWork+CycleRest)*3/CycleWork)+MATCH(StartShift,'الإعدادات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الإجازات'!$D$5:$D$104&lt;=CV$3)*(('حجز الإجازات'!$E$5:$E$104)&gt;=CV$3)*('حجز الإجازات'!$G$5:$G$104="معتمد")*ROW('حجز الإجازات'!$B$5:$B$104)))-5+1))</f>
        <v/>
      </c>
      <c r="CW4" s="62">
        <f>IF(SUMPRODUCT(('حجز الإجازات'!$B$5:$B$104='الموظفون'!$B$2)*('حجز الإجازات'!$D$5:$D$104&lt;=CW$3)*(('حجز الإجازات'!$E$5:$E$104)&gt;=CW$3)*('حجز الإجازات'!$G$5:$G$104="معتمد")*ROW('حجز الإجازات'!$B$5:$B$104))=0,IF(CW$3&lt;'الموظفون'!$D$2,"",IF(ISNUMBER(MATCH(CW$3,Holidays,0)),"عطلة",IF(MOD(CW$3-'الموظفون'!$D$2,CycleWork+CycleRest)&lt;CycleWork,INDEX('الإعدادات والقوائم'!$H$2:$H$4,MOD(INT(MOD(CW$3-'الموظفون'!$D$2,CycleWork+CycleRest)*3/CycleWork)+MATCH(StartShift,'الإعدادات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الإجازات'!$D$5:$D$104&lt;=CW$3)*(('حجز الإجازات'!$E$5:$E$104)&gt;=CW$3)*('حجز الإجازات'!$G$5:$G$104="معتمد")*ROW('حجز الإجازات'!$B$5:$B$104)))-5+1))</f>
        <v/>
      </c>
      <c r="CX4" s="62">
        <f>IF(SUMPRODUCT(('حجز الإجازات'!$B$5:$B$104='الموظفون'!$B$2)*('حجز الإجازات'!$D$5:$D$104&lt;=CX$3)*(('حجز الإجازات'!$E$5:$E$104)&gt;=CX$3)*('حجز الإجازات'!$G$5:$G$104="معتمد")*ROW('حجز الإجازات'!$B$5:$B$104))=0,IF(CX$3&lt;'الموظفون'!$D$2,"",IF(ISNUMBER(MATCH(CX$3,Holidays,0)),"عطلة",IF(MOD(CX$3-'الموظفون'!$D$2,CycleWork+CycleRest)&lt;CycleWork,INDEX('الإعدادات والقوائم'!$H$2:$H$4,MOD(INT(MOD(CX$3-'الموظفون'!$D$2,CycleWork+CycleRest)*3/CycleWork)+MATCH(StartShift,'الإعدادات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الإجازات'!$D$5:$D$104&lt;=CX$3)*(('حجز الإجازات'!$E$5:$E$104)&gt;=CX$3)*('حجز الإجازات'!$G$5:$G$104="معتمد")*ROW('حجز الإجازات'!$B$5:$B$104)))-5+1))</f>
        <v/>
      </c>
      <c r="CY4" s="62">
        <f>IF(SUMPRODUCT(('حجز الإجازات'!$B$5:$B$104='الموظفون'!$B$2)*('حجز الإجازات'!$D$5:$D$104&lt;=CY$3)*(('حجز الإجازات'!$E$5:$E$104)&gt;=CY$3)*('حجز الإجازات'!$G$5:$G$104="معتمد")*ROW('حجز الإجازات'!$B$5:$B$104))=0,IF(CY$3&lt;'الموظفون'!$D$2,"",IF(ISNUMBER(MATCH(CY$3,Holidays,0)),"عطلة",IF(MOD(CY$3-'الموظفون'!$D$2,CycleWork+CycleRest)&lt;CycleWork,INDEX('الإعدادات والقوائم'!$H$2:$H$4,MOD(INT(MOD(CY$3-'الموظفون'!$D$2,CycleWork+CycleRest)*3/CycleWork)+MATCH(StartShift,'الإعدادات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الإجازات'!$D$5:$D$104&lt;=CY$3)*(('حجز الإجازات'!$E$5:$E$104)&gt;=CY$3)*('حجز الإجازات'!$G$5:$G$104="معتمد")*ROW('حجز الإجازات'!$B$5:$B$104)))-5+1))</f>
        <v/>
      </c>
      <c r="CZ4" s="62">
        <f>IF(SUMPRODUCT(('حجز الإجازات'!$B$5:$B$104='الموظفون'!$B$2)*('حجز الإجازات'!$D$5:$D$104&lt;=CZ$3)*(('حجز الإجازات'!$E$5:$E$104)&gt;=CZ$3)*('حجز الإجازات'!$G$5:$G$104="معتمد")*ROW('حجز الإجازات'!$B$5:$B$104))=0,IF(CZ$3&lt;'الموظفون'!$D$2,"",IF(ISNUMBER(MATCH(CZ$3,Holidays,0)),"عطلة",IF(MOD(CZ$3-'الموظفون'!$D$2,CycleWork+CycleRest)&lt;CycleWork,INDEX('الإعدادات والقوائم'!$H$2:$H$4,MOD(INT(MOD(CZ$3-'الموظفون'!$D$2,CycleWork+CycleRest)*3/CycleWork)+MATCH(StartShift,'الإعدادات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الإجازات'!$D$5:$D$104&lt;=CZ$3)*(('حجز الإجازات'!$E$5:$E$104)&gt;=CZ$3)*('حجز الإجازات'!$G$5:$G$104="معتمد")*ROW('حجز الإجازات'!$B$5:$B$104)))-5+1))</f>
        <v/>
      </c>
      <c r="DA4" s="62">
        <f>IF(SUMPRODUCT(('حجز الإجازات'!$B$5:$B$104='الموظفون'!$B$2)*('حجز الإجازات'!$D$5:$D$104&lt;=DA$3)*(('حجز الإجازات'!$E$5:$E$104)&gt;=DA$3)*('حجز الإجازات'!$G$5:$G$104="معتمد")*ROW('حجز الإجازات'!$B$5:$B$104))=0,IF(DA$3&lt;'الموظفون'!$D$2,"",IF(ISNUMBER(MATCH(DA$3,Holidays,0)),"عطلة",IF(MOD(DA$3-'الموظفون'!$D$2,CycleWork+CycleRest)&lt;CycleWork,INDEX('الإعدادات والقوائم'!$H$2:$H$4,MOD(INT(MOD(DA$3-'الموظفون'!$D$2,CycleWork+CycleRest)*3/CycleWork)+MATCH(StartShift,'الإعدادات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الإجازات'!$D$5:$D$104&lt;=DA$3)*(('حجز الإجازات'!$E$5:$E$104)&gt;=DA$3)*('حجز الإجازات'!$G$5:$G$104="معتمد")*ROW('حجز الإجازات'!$B$5:$B$104)))-5+1))</f>
        <v/>
      </c>
      <c r="DB4" s="62">
        <f>IF(SUMPRODUCT(('حجز الإجازات'!$B$5:$B$104='الموظفون'!$B$2)*('حجز الإجازات'!$D$5:$D$104&lt;=DB$3)*(('حجز الإجازات'!$E$5:$E$104)&gt;=DB$3)*('حجز الإجازات'!$G$5:$G$104="معتمد")*ROW('حجز الإجازات'!$B$5:$B$104))=0,IF(DB$3&lt;'الموظفون'!$D$2,"",IF(ISNUMBER(MATCH(DB$3,Holidays,0)),"عطلة",IF(MOD(DB$3-'الموظفون'!$D$2,CycleWork+CycleRest)&lt;CycleWork,INDEX('الإعدادات والقوائم'!$H$2:$H$4,MOD(INT(MOD(DB$3-'الموظفون'!$D$2,CycleWork+CycleRest)*3/CycleWork)+MATCH(StartShift,'الإعدادات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الإجازات'!$D$5:$D$104&lt;=DB$3)*(('حجز الإجازات'!$E$5:$E$104)&gt;=DB$3)*('حجز الإجازات'!$G$5:$G$104="معتمد")*ROW('حجز الإجازات'!$B$5:$B$104)))-5+1))</f>
        <v/>
      </c>
      <c r="DC4" s="62">
        <f>IF(SUMPRODUCT(('حجز الإجازات'!$B$5:$B$104='الموظفون'!$B$2)*('حجز الإجازات'!$D$5:$D$104&lt;=DC$3)*(('حجز الإجازات'!$E$5:$E$104)&gt;=DC$3)*('حجز الإجازات'!$G$5:$G$104="معتمد")*ROW('حجز الإجازات'!$B$5:$B$104))=0,IF(DC$3&lt;'الموظفون'!$D$2,"",IF(ISNUMBER(MATCH(DC$3,Holidays,0)),"عطلة",IF(MOD(DC$3-'الموظفون'!$D$2,CycleWork+CycleRest)&lt;CycleWork,INDEX('الإعدادات والقوائم'!$H$2:$H$4,MOD(INT(MOD(DC$3-'الموظفون'!$D$2,CycleWork+CycleRest)*3/CycleWork)+MATCH(StartShift,'الإعدادات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الإجازات'!$D$5:$D$104&lt;=DC$3)*(('حجز الإجازات'!$E$5:$E$104)&gt;=DC$3)*('حجز الإجازات'!$G$5:$G$104="معتمد")*ROW('حجز الإجازات'!$B$5:$B$104)))-5+1))</f>
        <v/>
      </c>
      <c r="DD4" s="62">
        <f>IF(SUMPRODUCT(('حجز الإجازات'!$B$5:$B$104='الموظفون'!$B$2)*('حجز الإجازات'!$D$5:$D$104&lt;=DD$3)*(('حجز الإجازات'!$E$5:$E$104)&gt;=DD$3)*('حجز الإجازات'!$G$5:$G$104="معتمد")*ROW('حجز الإجازات'!$B$5:$B$104))=0,IF(DD$3&lt;'الموظفون'!$D$2,"",IF(ISNUMBER(MATCH(DD$3,Holidays,0)),"عطلة",IF(MOD(DD$3-'الموظفون'!$D$2,CycleWork+CycleRest)&lt;CycleWork,INDEX('الإعدادات والقوائم'!$H$2:$H$4,MOD(INT(MOD(DD$3-'الموظفون'!$D$2,CycleWork+CycleRest)*3/CycleWork)+MATCH(StartShift,'الإعدادات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الإجازات'!$D$5:$D$104&lt;=DD$3)*(('حجز الإجازات'!$E$5:$E$104)&gt;=DD$3)*('حجز الإجازات'!$G$5:$G$104="معتمد")*ROW('حجز الإجازات'!$B$5:$B$104)))-5+1))</f>
        <v/>
      </c>
      <c r="DE4" s="62">
        <f>IF(SUMPRODUCT(('حجز الإجازات'!$B$5:$B$104='الموظفون'!$B$2)*('حجز الإجازات'!$D$5:$D$104&lt;=DE$3)*(('حجز الإجازات'!$E$5:$E$104)&gt;=DE$3)*('حجز الإجازات'!$G$5:$G$104="معتمد")*ROW('حجز الإجازات'!$B$5:$B$104))=0,IF(DE$3&lt;'الموظفون'!$D$2,"",IF(ISNUMBER(MATCH(DE$3,Holidays,0)),"عطلة",IF(MOD(DE$3-'الموظفون'!$D$2,CycleWork+CycleRest)&lt;CycleWork,INDEX('الإعدادات والقوائم'!$H$2:$H$4,MOD(INT(MOD(DE$3-'الموظفون'!$D$2,CycleWork+CycleRest)*3/CycleWork)+MATCH(StartShift,'الإعدادات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الإجازات'!$D$5:$D$104&lt;=DE$3)*(('حجز الإجازات'!$E$5:$E$104)&gt;=DE$3)*('حجز الإجازات'!$G$5:$G$104="معتمد")*ROW('حجز الإجازات'!$B$5:$B$104)))-5+1))</f>
        <v/>
      </c>
      <c r="DF4" s="62">
        <f>IF(SUMPRODUCT(('حجز الإجازات'!$B$5:$B$104='الموظفون'!$B$2)*('حجز الإجازات'!$D$5:$D$104&lt;=DF$3)*(('حجز الإجازات'!$E$5:$E$104)&gt;=DF$3)*('حجز الإجازات'!$G$5:$G$104="معتمد")*ROW('حجز الإجازات'!$B$5:$B$104))=0,IF(DF$3&lt;'الموظفون'!$D$2,"",IF(ISNUMBER(MATCH(DF$3,Holidays,0)),"عطلة",IF(MOD(DF$3-'الموظفون'!$D$2,CycleWork+CycleRest)&lt;CycleWork,INDEX('الإعدادات والقوائم'!$H$2:$H$4,MOD(INT(MOD(DF$3-'الموظفون'!$D$2,CycleWork+CycleRest)*3/CycleWork)+MATCH(StartShift,'الإعدادات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الإجازات'!$D$5:$D$104&lt;=DF$3)*(('حجز الإجازات'!$E$5:$E$104)&gt;=DF$3)*('حجز الإجازات'!$G$5:$G$104="معتمد")*ROW('حجز الإجازات'!$B$5:$B$104)))-5+1))</f>
        <v/>
      </c>
      <c r="DG4" s="62">
        <f>IF(SUMPRODUCT(('حجز الإجازات'!$B$5:$B$104='الموظفون'!$B$2)*('حجز الإجازات'!$D$5:$D$104&lt;=DG$3)*(('حجز الإجازات'!$E$5:$E$104)&gt;=DG$3)*('حجز الإجازات'!$G$5:$G$104="معتمد")*ROW('حجز الإجازات'!$B$5:$B$104))=0,IF(DG$3&lt;'الموظفون'!$D$2,"",IF(ISNUMBER(MATCH(DG$3,Holidays,0)),"عطلة",IF(MOD(DG$3-'الموظفون'!$D$2,CycleWork+CycleRest)&lt;CycleWork,INDEX('الإعدادات والقوائم'!$H$2:$H$4,MOD(INT(MOD(DG$3-'الموظفون'!$D$2,CycleWork+CycleRest)*3/CycleWork)+MATCH(StartShift,'الإعدادات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الإجازات'!$D$5:$D$104&lt;=DG$3)*(('حجز الإجازات'!$E$5:$E$104)&gt;=DG$3)*('حجز الإجازات'!$G$5:$G$104="معتمد")*ROW('حجز الإجازات'!$B$5:$B$104)))-5+1))</f>
        <v/>
      </c>
      <c r="DH4" s="62">
        <f>IF(SUMPRODUCT(('حجز الإجازات'!$B$5:$B$104='الموظفون'!$B$2)*('حجز الإجازات'!$D$5:$D$104&lt;=DH$3)*(('حجز الإجازات'!$E$5:$E$104)&gt;=DH$3)*('حجز الإجازات'!$G$5:$G$104="معتمد")*ROW('حجز الإجازات'!$B$5:$B$104))=0,IF(DH$3&lt;'الموظفون'!$D$2,"",IF(ISNUMBER(MATCH(DH$3,Holidays,0)),"عطلة",IF(MOD(DH$3-'الموظفون'!$D$2,CycleWork+CycleRest)&lt;CycleWork,INDEX('الإعدادات والقوائم'!$H$2:$H$4,MOD(INT(MOD(DH$3-'الموظفون'!$D$2,CycleWork+CycleRest)*3/CycleWork)+MATCH(StartShift,'الإعدادات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الإجازات'!$D$5:$D$104&lt;=DH$3)*(('حجز الإجازات'!$E$5:$E$104)&gt;=DH$3)*('حجز الإجازات'!$G$5:$G$104="معتمد")*ROW('حجز الإجازات'!$B$5:$B$104)))-5+1))</f>
        <v/>
      </c>
      <c r="DI4" s="62">
        <f>IF(SUMPRODUCT(('حجز الإجازات'!$B$5:$B$104='الموظفون'!$B$2)*('حجز الإجازات'!$D$5:$D$104&lt;=DI$3)*(('حجز الإجازات'!$E$5:$E$104)&gt;=DI$3)*('حجز الإجازات'!$G$5:$G$104="معتمد")*ROW('حجز الإجازات'!$B$5:$B$104))=0,IF(DI$3&lt;'الموظفون'!$D$2,"",IF(ISNUMBER(MATCH(DI$3,Holidays,0)),"عطلة",IF(MOD(DI$3-'الموظفون'!$D$2,CycleWork+CycleRest)&lt;CycleWork,INDEX('الإعدادات والقوائم'!$H$2:$H$4,MOD(INT(MOD(DI$3-'الموظفون'!$D$2,CycleWork+CycleRest)*3/CycleWork)+MATCH(StartShift,'الإعدادات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الإجازات'!$D$5:$D$104&lt;=DI$3)*(('حجز الإجازات'!$E$5:$E$104)&gt;=DI$3)*('حجز الإجازات'!$G$5:$G$104="معتمد")*ROW('حجز الإجازات'!$B$5:$B$104)))-5+1))</f>
        <v/>
      </c>
      <c r="DJ4" s="62">
        <f>IF(SUMPRODUCT(('حجز الإجازات'!$B$5:$B$104='الموظفون'!$B$2)*('حجز الإجازات'!$D$5:$D$104&lt;=DJ$3)*(('حجز الإجازات'!$E$5:$E$104)&gt;=DJ$3)*('حجز الإجازات'!$G$5:$G$104="معتمد")*ROW('حجز الإجازات'!$B$5:$B$104))=0,IF(DJ$3&lt;'الموظفون'!$D$2,"",IF(ISNUMBER(MATCH(DJ$3,Holidays,0)),"عطلة",IF(MOD(DJ$3-'الموظفون'!$D$2,CycleWork+CycleRest)&lt;CycleWork,INDEX('الإعدادات والقوائم'!$H$2:$H$4,MOD(INT(MOD(DJ$3-'الموظفون'!$D$2,CycleWork+CycleRest)*3/CycleWork)+MATCH(StartShift,'الإعدادات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الإجازات'!$D$5:$D$104&lt;=DJ$3)*(('حجز الإجازات'!$E$5:$E$104)&gt;=DJ$3)*('حجز الإجازات'!$G$5:$G$104="معتمد")*ROW('حجز الإجازات'!$B$5:$B$104)))-5+1))</f>
        <v/>
      </c>
      <c r="DK4" s="62">
        <f>IF(SUMPRODUCT(('حجز الإجازات'!$B$5:$B$104='الموظفون'!$B$2)*('حجز الإجازات'!$D$5:$D$104&lt;=DK$3)*(('حجز الإجازات'!$E$5:$E$104)&gt;=DK$3)*('حجز الإجازات'!$G$5:$G$104="معتمد")*ROW('حجز الإجازات'!$B$5:$B$104))=0,IF(DK$3&lt;'الموظفون'!$D$2,"",IF(ISNUMBER(MATCH(DK$3,Holidays,0)),"عطلة",IF(MOD(DK$3-'الموظفون'!$D$2,CycleWork+CycleRest)&lt;CycleWork,INDEX('الإعدادات والقوائم'!$H$2:$H$4,MOD(INT(MOD(DK$3-'الموظفون'!$D$2,CycleWork+CycleRest)*3/CycleWork)+MATCH(StartShift,'الإعدادات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الإجازات'!$D$5:$D$104&lt;=DK$3)*(('حجز الإجازات'!$E$5:$E$104)&gt;=DK$3)*('حجز الإجازات'!$G$5:$G$104="معتمد")*ROW('حجز الإجازات'!$B$5:$B$104)))-5+1))</f>
        <v/>
      </c>
      <c r="DL4" s="62">
        <f>IF(SUMPRODUCT(('حجز الإجازات'!$B$5:$B$104='الموظفون'!$B$2)*('حجز الإجازات'!$D$5:$D$104&lt;=DL$3)*(('حجز الإجازات'!$E$5:$E$104)&gt;=DL$3)*('حجز الإجازات'!$G$5:$G$104="معتمد")*ROW('حجز الإجازات'!$B$5:$B$104))=0,IF(DL$3&lt;'الموظفون'!$D$2,"",IF(ISNUMBER(MATCH(DL$3,Holidays,0)),"عطلة",IF(MOD(DL$3-'الموظفون'!$D$2,CycleWork+CycleRest)&lt;CycleWork,INDEX('الإعدادات والقوائم'!$H$2:$H$4,MOD(INT(MOD(DL$3-'الموظفون'!$D$2,CycleWork+CycleRest)*3/CycleWork)+MATCH(StartShift,'الإعدادات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الإجازات'!$D$5:$D$104&lt;=DL$3)*(('حجز الإجازات'!$E$5:$E$104)&gt;=DL$3)*('حجز الإجازات'!$G$5:$G$104="معتمد")*ROW('حجز الإجازات'!$B$5:$B$104)))-5+1))</f>
        <v/>
      </c>
      <c r="DM4" s="62">
        <f>IF(SUMPRODUCT(('حجز الإجازات'!$B$5:$B$104='الموظفون'!$B$2)*('حجز الإجازات'!$D$5:$D$104&lt;=DM$3)*(('حجز الإجازات'!$E$5:$E$104)&gt;=DM$3)*('حجز الإجازات'!$G$5:$G$104="معتمد")*ROW('حجز الإجازات'!$B$5:$B$104))=0,IF(DM$3&lt;'الموظفون'!$D$2,"",IF(ISNUMBER(MATCH(DM$3,Holidays,0)),"عطلة",IF(MOD(DM$3-'الموظفون'!$D$2,CycleWork+CycleRest)&lt;CycleWork,INDEX('الإعدادات والقوائم'!$H$2:$H$4,MOD(INT(MOD(DM$3-'الموظفون'!$D$2,CycleWork+CycleRest)*3/CycleWork)+MATCH(StartShift,'الإعدادات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الإجازات'!$D$5:$D$104&lt;=DM$3)*(('حجز الإجازات'!$E$5:$E$104)&gt;=DM$3)*('حجز الإجازات'!$G$5:$G$104="معتمد")*ROW('حجز الإجازات'!$B$5:$B$104)))-5+1))</f>
        <v/>
      </c>
      <c r="DN4" s="62">
        <f>IF(SUMPRODUCT(('حجز الإجازات'!$B$5:$B$104='الموظفون'!$B$2)*('حجز الإجازات'!$D$5:$D$104&lt;=DN$3)*(('حجز الإجازات'!$E$5:$E$104)&gt;=DN$3)*('حجز الإجازات'!$G$5:$G$104="معتمد")*ROW('حجز الإجازات'!$B$5:$B$104))=0,IF(DN$3&lt;'الموظفون'!$D$2,"",IF(ISNUMBER(MATCH(DN$3,Holidays,0)),"عطلة",IF(MOD(DN$3-'الموظفون'!$D$2,CycleWork+CycleRest)&lt;CycleWork,INDEX('الإعدادات والقوائم'!$H$2:$H$4,MOD(INT(MOD(DN$3-'الموظفون'!$D$2,CycleWork+CycleRest)*3/CycleWork)+MATCH(StartShift,'الإعدادات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الإجازات'!$D$5:$D$104&lt;=DN$3)*(('حجز الإجازات'!$E$5:$E$104)&gt;=DN$3)*('حجز الإجازات'!$G$5:$G$104="معتمد")*ROW('حجز الإجازات'!$B$5:$B$104)))-5+1))</f>
        <v/>
      </c>
      <c r="DO4" s="62">
        <f>IF(SUMPRODUCT(('حجز الإجازات'!$B$5:$B$104='الموظفون'!$B$2)*('حجز الإجازات'!$D$5:$D$104&lt;=DO$3)*(('حجز الإجازات'!$E$5:$E$104)&gt;=DO$3)*('حجز الإجازات'!$G$5:$G$104="معتمد")*ROW('حجز الإجازات'!$B$5:$B$104))=0,IF(DO$3&lt;'الموظفون'!$D$2,"",IF(ISNUMBER(MATCH(DO$3,Holidays,0)),"عطلة",IF(MOD(DO$3-'الموظفون'!$D$2,CycleWork+CycleRest)&lt;CycleWork,INDEX('الإعدادات والقوائم'!$H$2:$H$4,MOD(INT(MOD(DO$3-'الموظفون'!$D$2,CycleWork+CycleRest)*3/CycleWork)+MATCH(StartShift,'الإعدادات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الإجازات'!$D$5:$D$104&lt;=DO$3)*(('حجز الإجازات'!$E$5:$E$104)&gt;=DO$3)*('حجز الإجازات'!$G$5:$G$104="معتمد")*ROW('حجز الإجازات'!$B$5:$B$104)))-5+1))</f>
        <v/>
      </c>
      <c r="DP4" s="62">
        <f>IF(SUMPRODUCT(('حجز الإجازات'!$B$5:$B$104='الموظفون'!$B$2)*('حجز الإجازات'!$D$5:$D$104&lt;=DP$3)*(('حجز الإجازات'!$E$5:$E$104)&gt;=DP$3)*('حجز الإجازات'!$G$5:$G$104="معتمد")*ROW('حجز الإجازات'!$B$5:$B$104))=0,IF(DP$3&lt;'الموظفون'!$D$2,"",IF(ISNUMBER(MATCH(DP$3,Holidays,0)),"عطلة",IF(MOD(DP$3-'الموظفون'!$D$2,CycleWork+CycleRest)&lt;CycleWork,INDEX('الإعدادات والقوائم'!$H$2:$H$4,MOD(INT(MOD(DP$3-'الموظفون'!$D$2,CycleWork+CycleRest)*3/CycleWork)+MATCH(StartShift,'الإعدادات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الإجازات'!$D$5:$D$104&lt;=DP$3)*(('حجز الإجازات'!$E$5:$E$104)&gt;=DP$3)*('حجز الإجازات'!$G$5:$G$104="معتمد")*ROW('حجز الإجازات'!$B$5:$B$104)))-5+1))</f>
        <v/>
      </c>
      <c r="DQ4" s="62">
        <f>IF(SUMPRODUCT(('حجز الإجازات'!$B$5:$B$104='الموظفون'!$B$2)*('حجز الإجازات'!$D$5:$D$104&lt;=DQ$3)*(('حجز الإجازات'!$E$5:$E$104)&gt;=DQ$3)*('حجز الإجازات'!$G$5:$G$104="معتمد")*ROW('حجز الإجازات'!$B$5:$B$104))=0,IF(DQ$3&lt;'الموظفون'!$D$2,"",IF(ISNUMBER(MATCH(DQ$3,Holidays,0)),"عطلة",IF(MOD(DQ$3-'الموظفون'!$D$2,CycleWork+CycleRest)&lt;CycleWork,INDEX('الإعدادات والقوائم'!$H$2:$H$4,MOD(INT(MOD(DQ$3-'الموظفون'!$D$2,CycleWork+CycleRest)*3/CycleWork)+MATCH(StartShift,'الإعدادات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الإجازات'!$D$5:$D$104&lt;=DQ$3)*(('حجز الإجازات'!$E$5:$E$104)&gt;=DQ$3)*('حجز الإجازات'!$G$5:$G$104="معتمد")*ROW('حجز الإجازات'!$B$5:$B$104)))-5+1))</f>
        <v/>
      </c>
      <c r="DR4" s="62">
        <f>IF(SUMPRODUCT(('حجز الإجازات'!$B$5:$B$104='الموظفون'!$B$2)*('حجز الإجازات'!$D$5:$D$104&lt;=DR$3)*(('حجز الإجازات'!$E$5:$E$104)&gt;=DR$3)*('حجز الإجازات'!$G$5:$G$104="معتمد")*ROW('حجز الإجازات'!$B$5:$B$104))=0,IF(DR$3&lt;'الموظفون'!$D$2,"",IF(ISNUMBER(MATCH(DR$3,Holidays,0)),"عطلة",IF(MOD(DR$3-'الموظفون'!$D$2,CycleWork+CycleRest)&lt;CycleWork,INDEX('الإعدادات والقوائم'!$H$2:$H$4,MOD(INT(MOD(DR$3-'الموظفون'!$D$2,CycleWork+CycleRest)*3/CycleWork)+MATCH(StartShift,'الإعدادات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الإجازات'!$D$5:$D$104&lt;=DR$3)*(('حجز الإجازات'!$E$5:$E$104)&gt;=DR$3)*('حجز الإجازات'!$G$5:$G$104="معتمد")*ROW('حجز الإجازات'!$B$5:$B$104)))-5+1))</f>
        <v/>
      </c>
      <c r="DS4" s="62">
        <f>IF(SUMPRODUCT(('حجز الإجازات'!$B$5:$B$104='الموظفون'!$B$2)*('حجز الإجازات'!$D$5:$D$104&lt;=DS$3)*(('حجز الإجازات'!$E$5:$E$104)&gt;=DS$3)*('حجز الإجازات'!$G$5:$G$104="معتمد")*ROW('حجز الإجازات'!$B$5:$B$104))=0,IF(DS$3&lt;'الموظفون'!$D$2,"",IF(ISNUMBER(MATCH(DS$3,Holidays,0)),"عطلة",IF(MOD(DS$3-'الموظفون'!$D$2,CycleWork+CycleRest)&lt;CycleWork,INDEX('الإعدادات والقوائم'!$H$2:$H$4,MOD(INT(MOD(DS$3-'الموظفون'!$D$2,CycleWork+CycleRest)*3/CycleWork)+MATCH(StartShift,'الإعدادات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الإجازات'!$D$5:$D$104&lt;=DS$3)*(('حجز الإجازات'!$E$5:$E$104)&gt;=DS$3)*('حجز الإجازات'!$G$5:$G$104="معتمد")*ROW('حجز الإجازات'!$B$5:$B$104)))-5+1))</f>
        <v/>
      </c>
      <c r="DT4" s="62">
        <f>IF(SUMPRODUCT(('حجز الإجازات'!$B$5:$B$104='الموظفون'!$B$2)*('حجز الإجازات'!$D$5:$D$104&lt;=DT$3)*(('حجز الإجازات'!$E$5:$E$104)&gt;=DT$3)*('حجز الإجازات'!$G$5:$G$104="معتمد")*ROW('حجز الإجازات'!$B$5:$B$104))=0,IF(DT$3&lt;'الموظفون'!$D$2,"",IF(ISNUMBER(MATCH(DT$3,Holidays,0)),"عطلة",IF(MOD(DT$3-'الموظفون'!$D$2,CycleWork+CycleRest)&lt;CycleWork,INDEX('الإعدادات والقوائم'!$H$2:$H$4,MOD(INT(MOD(DT$3-'الموظفون'!$D$2,CycleWork+CycleRest)*3/CycleWork)+MATCH(StartShift,'الإعدادات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الإجازات'!$D$5:$D$104&lt;=DT$3)*(('حجز الإجازات'!$E$5:$E$104)&gt;=DT$3)*('حجز الإجازات'!$G$5:$G$104="معتمد")*ROW('حجز الإجازات'!$B$5:$B$104)))-5+1))</f>
        <v/>
      </c>
      <c r="DU4" s="62">
        <f>IF(SUMPRODUCT(('حجز الإجازات'!$B$5:$B$104='الموظفون'!$B$2)*('حجز الإجازات'!$D$5:$D$104&lt;=DU$3)*(('حجز الإجازات'!$E$5:$E$104)&gt;=DU$3)*('حجز الإجازات'!$G$5:$G$104="معتمد")*ROW('حجز الإجازات'!$B$5:$B$104))=0,IF(DU$3&lt;'الموظفون'!$D$2,"",IF(ISNUMBER(MATCH(DU$3,Holidays,0)),"عطلة",IF(MOD(DU$3-'الموظفون'!$D$2,CycleWork+CycleRest)&lt;CycleWork,INDEX('الإعدادات والقوائم'!$H$2:$H$4,MOD(INT(MOD(DU$3-'الموظفون'!$D$2,CycleWork+CycleRest)*3/CycleWork)+MATCH(StartShift,'الإعدادات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الإجازات'!$D$5:$D$104&lt;=DU$3)*(('حجز الإجازات'!$E$5:$E$104)&gt;=DU$3)*('حجز الإجازات'!$G$5:$G$104="معتمد")*ROW('حجز الإجازات'!$B$5:$B$104)))-5+1))</f>
        <v/>
      </c>
      <c r="DV4" s="62">
        <f>IF(SUMPRODUCT(('حجز الإجازات'!$B$5:$B$104='الموظفون'!$B$2)*('حجز الإجازات'!$D$5:$D$104&lt;=DV$3)*(('حجز الإجازات'!$E$5:$E$104)&gt;=DV$3)*('حجز الإجازات'!$G$5:$G$104="معتمد")*ROW('حجز الإجازات'!$B$5:$B$104))=0,IF(DV$3&lt;'الموظفون'!$D$2,"",IF(ISNUMBER(MATCH(DV$3,Holidays,0)),"عطلة",IF(MOD(DV$3-'الموظفون'!$D$2,CycleWork+CycleRest)&lt;CycleWork,INDEX('الإعدادات والقوائم'!$H$2:$H$4,MOD(INT(MOD(DV$3-'الموظفون'!$D$2,CycleWork+CycleRest)*3/CycleWork)+MATCH(StartShift,'الإعدادات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الإجازات'!$D$5:$D$104&lt;=DV$3)*(('حجز الإجازات'!$E$5:$E$104)&gt;=DV$3)*('حجز الإجازات'!$G$5:$G$104="معتمد")*ROW('حجز الإجازات'!$B$5:$B$104)))-5+1))</f>
        <v/>
      </c>
      <c r="DW4" s="62">
        <f>IF(SUMPRODUCT(('حجز الإجازات'!$B$5:$B$104='الموظفون'!$B$2)*('حجز الإجازات'!$D$5:$D$104&lt;=DW$3)*(('حجز الإجازات'!$E$5:$E$104)&gt;=DW$3)*('حجز الإجازات'!$G$5:$G$104="معتمد")*ROW('حجز الإجازات'!$B$5:$B$104))=0,IF(DW$3&lt;'الموظفون'!$D$2,"",IF(ISNUMBER(MATCH(DW$3,Holidays,0)),"عطلة",IF(MOD(DW$3-'الموظفون'!$D$2,CycleWork+CycleRest)&lt;CycleWork,INDEX('الإعدادات والقوائم'!$H$2:$H$4,MOD(INT(MOD(DW$3-'الموظفون'!$D$2,CycleWork+CycleRest)*3/CycleWork)+MATCH(StartShift,'الإعدادات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الإجازات'!$D$5:$D$104&lt;=DW$3)*(('حجز الإجازات'!$E$5:$E$104)&gt;=DW$3)*('حجز الإجازات'!$G$5:$G$104="معتمد")*ROW('حجز الإجازات'!$B$5:$B$104)))-5+1))</f>
        <v/>
      </c>
      <c r="DX4" s="62">
        <f>IF(SUMPRODUCT(('حجز الإجازات'!$B$5:$B$104='الموظفون'!$B$2)*('حجز الإجازات'!$D$5:$D$104&lt;=DX$3)*(('حجز الإجازات'!$E$5:$E$104)&gt;=DX$3)*('حجز الإجازات'!$G$5:$G$104="معتمد")*ROW('حجز الإجازات'!$B$5:$B$104))=0,IF(DX$3&lt;'الموظفون'!$D$2,"",IF(ISNUMBER(MATCH(DX$3,Holidays,0)),"عطلة",IF(MOD(DX$3-'الموظفون'!$D$2,CycleWork+CycleRest)&lt;CycleWork,INDEX('الإعدادات والقوائم'!$H$2:$H$4,MOD(INT(MOD(DX$3-'الموظفون'!$D$2,CycleWork+CycleRest)*3/CycleWork)+MATCH(StartShift,'الإعدادات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الإجازات'!$D$5:$D$104&lt;=DX$3)*(('حجز الإجازات'!$E$5:$E$104)&gt;=DX$3)*('حجز الإجازات'!$G$5:$G$104="معتمد")*ROW('حجز الإجازات'!$B$5:$B$104)))-5+1))</f>
        <v/>
      </c>
      <c r="DY4" s="62">
        <f>IF(SUMPRODUCT(('حجز الإجازات'!$B$5:$B$104='الموظفون'!$B$2)*('حجز الإجازات'!$D$5:$D$104&lt;=DY$3)*(('حجز الإجازات'!$E$5:$E$104)&gt;=DY$3)*('حجز الإجازات'!$G$5:$G$104="معتمد")*ROW('حجز الإجازات'!$B$5:$B$104))=0,IF(DY$3&lt;'الموظفون'!$D$2,"",IF(ISNUMBER(MATCH(DY$3,Holidays,0)),"عطلة",IF(MOD(DY$3-'الموظفون'!$D$2,CycleWork+CycleRest)&lt;CycleWork,INDEX('الإعدادات والقوائم'!$H$2:$H$4,MOD(INT(MOD(DY$3-'الموظفون'!$D$2,CycleWork+CycleRest)*3/CycleWork)+MATCH(StartShift,'الإعدادات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الإجازات'!$D$5:$D$104&lt;=DY$3)*(('حجز الإجازات'!$E$5:$E$104)&gt;=DY$3)*('حجز الإجازات'!$G$5:$G$104="معتمد")*ROW('حجز الإجازات'!$B$5:$B$104)))-5+1))</f>
        <v/>
      </c>
      <c r="DZ4" s="62">
        <f>IF(SUMPRODUCT(('حجز الإجازات'!$B$5:$B$104='الموظفون'!$B$2)*('حجز الإجازات'!$D$5:$D$104&lt;=DZ$3)*(('حجز الإجازات'!$E$5:$E$104)&gt;=DZ$3)*('حجز الإجازات'!$G$5:$G$104="معتمد")*ROW('حجز الإجازات'!$B$5:$B$104))=0,IF(DZ$3&lt;'الموظفون'!$D$2,"",IF(ISNUMBER(MATCH(DZ$3,Holidays,0)),"عطلة",IF(MOD(DZ$3-'الموظفون'!$D$2,CycleWork+CycleRest)&lt;CycleWork,INDEX('الإعدادات والقوائم'!$H$2:$H$4,MOD(INT(MOD(DZ$3-'الموظفون'!$D$2,CycleWork+CycleRest)*3/CycleWork)+MATCH(StartShift,'الإعدادات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الإجازات'!$D$5:$D$104&lt;=DZ$3)*(('حجز الإجازات'!$E$5:$E$104)&gt;=DZ$3)*('حجز الإجازات'!$G$5:$G$104="معتمد")*ROW('حجز الإجازات'!$B$5:$B$104)))-5+1))</f>
        <v/>
      </c>
      <c r="EA4" s="62">
        <f>IF(SUMPRODUCT(('حجز الإجازات'!$B$5:$B$104='الموظفون'!$B$2)*('حجز الإجازات'!$D$5:$D$104&lt;=EA$3)*(('حجز الإجازات'!$E$5:$E$104)&gt;=EA$3)*('حجز الإجازات'!$G$5:$G$104="معتمد")*ROW('حجز الإجازات'!$B$5:$B$104))=0,IF(EA$3&lt;'الموظفون'!$D$2,"",IF(ISNUMBER(MATCH(EA$3,Holidays,0)),"عطلة",IF(MOD(EA$3-'الموظفون'!$D$2,CycleWork+CycleRest)&lt;CycleWork,INDEX('الإعدادات والقوائم'!$H$2:$H$4,MOD(INT(MOD(EA$3-'الموظفون'!$D$2,CycleWork+CycleRest)*3/CycleWork)+MATCH(StartShift,'الإعدادات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الإجازات'!$D$5:$D$104&lt;=EA$3)*(('حجز الإجازات'!$E$5:$E$104)&gt;=EA$3)*('حجز الإجازات'!$G$5:$G$104="معتمد")*ROW('حجز الإجازات'!$B$5:$B$104)))-5+1))</f>
        <v/>
      </c>
      <c r="EB4" s="62">
        <f>IF(SUMPRODUCT(('حجز الإجازات'!$B$5:$B$104='الموظفون'!$B$2)*('حجز الإجازات'!$D$5:$D$104&lt;=EB$3)*(('حجز الإجازات'!$E$5:$E$104)&gt;=EB$3)*('حجز الإجازات'!$G$5:$G$104="معتمد")*ROW('حجز الإجازات'!$B$5:$B$104))=0,IF(EB$3&lt;'الموظفون'!$D$2,"",IF(ISNUMBER(MATCH(EB$3,Holidays,0)),"عطلة",IF(MOD(EB$3-'الموظفون'!$D$2,CycleWork+CycleRest)&lt;CycleWork,INDEX('الإعدادات والقوائم'!$H$2:$H$4,MOD(INT(MOD(EB$3-'الموظفون'!$D$2,CycleWork+CycleRest)*3/CycleWork)+MATCH(StartShift,'الإعدادات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الإجازات'!$D$5:$D$104&lt;=EB$3)*(('حجز الإجازات'!$E$5:$E$104)&gt;=EB$3)*('حجز الإجازات'!$G$5:$G$104="معتمد")*ROW('حجز الإجازات'!$B$5:$B$104)))-5+1))</f>
        <v/>
      </c>
      <c r="EC4" s="62">
        <f>IF(SUMPRODUCT(('حجز الإجازات'!$B$5:$B$104='الموظفون'!$B$2)*('حجز الإجازات'!$D$5:$D$104&lt;=EC$3)*(('حجز الإجازات'!$E$5:$E$104)&gt;=EC$3)*('حجز الإجازات'!$G$5:$G$104="معتمد")*ROW('حجز الإجازات'!$B$5:$B$104))=0,IF(EC$3&lt;'الموظفون'!$D$2,"",IF(ISNUMBER(MATCH(EC$3,Holidays,0)),"عطلة",IF(MOD(EC$3-'الموظفون'!$D$2,CycleWork+CycleRest)&lt;CycleWork,INDEX('الإعدادات والقوائم'!$H$2:$H$4,MOD(INT(MOD(EC$3-'الموظفون'!$D$2,CycleWork+CycleRest)*3/CycleWork)+MATCH(StartShift,'الإعدادات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الإجازات'!$D$5:$D$104&lt;=EC$3)*(('حجز الإجازات'!$E$5:$E$104)&gt;=EC$3)*('حجز الإجازات'!$G$5:$G$104="معتمد")*ROW('حجز الإجازات'!$B$5:$B$104)))-5+1))</f>
        <v/>
      </c>
      <c r="ED4" s="62">
        <f>IF(SUMPRODUCT(('حجز الإجازات'!$B$5:$B$104='الموظفون'!$B$2)*('حجز الإجازات'!$D$5:$D$104&lt;=ED$3)*(('حجز الإجازات'!$E$5:$E$104)&gt;=ED$3)*('حجز الإجازات'!$G$5:$G$104="معتمد")*ROW('حجز الإجازات'!$B$5:$B$104))=0,IF(ED$3&lt;'الموظفون'!$D$2,"",IF(ISNUMBER(MATCH(ED$3,Holidays,0)),"عطلة",IF(MOD(ED$3-'الموظفون'!$D$2,CycleWork+CycleRest)&lt;CycleWork,INDEX('الإعدادات والقوائم'!$H$2:$H$4,MOD(INT(MOD(ED$3-'الموظفون'!$D$2,CycleWork+CycleRest)*3/CycleWork)+MATCH(StartShift,'الإعدادات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الإجازات'!$D$5:$D$104&lt;=ED$3)*(('حجز الإجازات'!$E$5:$E$104)&gt;=ED$3)*('حجز الإجازات'!$G$5:$G$104="معتمد")*ROW('حجز الإجازات'!$B$5:$B$104)))-5+1))</f>
        <v/>
      </c>
      <c r="EE4" s="62">
        <f>IF(SUMPRODUCT(('حجز الإجازات'!$B$5:$B$104='الموظفون'!$B$2)*('حجز الإجازات'!$D$5:$D$104&lt;=EE$3)*(('حجز الإجازات'!$E$5:$E$104)&gt;=EE$3)*('حجز الإجازات'!$G$5:$G$104="معتمد")*ROW('حجز الإجازات'!$B$5:$B$104))=0,IF(EE$3&lt;'الموظفون'!$D$2,"",IF(ISNUMBER(MATCH(EE$3,Holidays,0)),"عطلة",IF(MOD(EE$3-'الموظفون'!$D$2,CycleWork+CycleRest)&lt;CycleWork,INDEX('الإعدادات والقوائم'!$H$2:$H$4,MOD(INT(MOD(EE$3-'الموظفون'!$D$2,CycleWork+CycleRest)*3/CycleWork)+MATCH(StartShift,'الإعدادات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الإجازات'!$D$5:$D$104&lt;=EE$3)*(('حجز الإجازات'!$E$5:$E$104)&gt;=EE$3)*('حجز الإجازات'!$G$5:$G$104="معتمد")*ROW('حجز الإجازات'!$B$5:$B$104)))-5+1))</f>
        <v/>
      </c>
      <c r="EF4" s="62">
        <f>IF(SUMPRODUCT(('حجز الإجازات'!$B$5:$B$104='الموظفون'!$B$2)*('حجز الإجازات'!$D$5:$D$104&lt;=EF$3)*(('حجز الإجازات'!$E$5:$E$104)&gt;=EF$3)*('حجز الإجازات'!$G$5:$G$104="معتمد")*ROW('حجز الإجازات'!$B$5:$B$104))=0,IF(EF$3&lt;'الموظفون'!$D$2,"",IF(ISNUMBER(MATCH(EF$3,Holidays,0)),"عطلة",IF(MOD(EF$3-'الموظفون'!$D$2,CycleWork+CycleRest)&lt;CycleWork,INDEX('الإعدادات والقوائم'!$H$2:$H$4,MOD(INT(MOD(EF$3-'الموظفون'!$D$2,CycleWork+CycleRest)*3/CycleWork)+MATCH(StartShift,'الإعدادات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الإجازات'!$D$5:$D$104&lt;=EF$3)*(('حجز الإجازات'!$E$5:$E$104)&gt;=EF$3)*('حجز الإجازات'!$G$5:$G$104="معتمد")*ROW('حجز الإجازات'!$B$5:$B$104)))-5+1))</f>
        <v/>
      </c>
      <c r="EG4" s="62">
        <f>IF(SUMPRODUCT(('حجز الإجازات'!$B$5:$B$104='الموظفون'!$B$2)*('حجز الإجازات'!$D$5:$D$104&lt;=EG$3)*(('حجز الإجازات'!$E$5:$E$104)&gt;=EG$3)*('حجز الإجازات'!$G$5:$G$104="معتمد")*ROW('حجز الإجازات'!$B$5:$B$104))=0,IF(EG$3&lt;'الموظفون'!$D$2,"",IF(ISNUMBER(MATCH(EG$3,Holidays,0)),"عطلة",IF(MOD(EG$3-'الموظفون'!$D$2,CycleWork+CycleRest)&lt;CycleWork,INDEX('الإعدادات والقوائم'!$H$2:$H$4,MOD(INT(MOD(EG$3-'الموظفون'!$D$2,CycleWork+CycleRest)*3/CycleWork)+MATCH(StartShift,'الإعدادات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الإجازات'!$D$5:$D$104&lt;=EG$3)*(('حجز الإجازات'!$E$5:$E$104)&gt;=EG$3)*('حجز الإجازات'!$G$5:$G$104="معتمد")*ROW('حجز الإجازات'!$B$5:$B$104)))-5+1))</f>
        <v/>
      </c>
      <c r="EH4" s="62">
        <f>IF(SUMPRODUCT(('حجز الإجازات'!$B$5:$B$104='الموظفون'!$B$2)*('حجز الإجازات'!$D$5:$D$104&lt;=EH$3)*(('حجز الإجازات'!$E$5:$E$104)&gt;=EH$3)*('حجز الإجازات'!$G$5:$G$104="معتمد")*ROW('حجز الإجازات'!$B$5:$B$104))=0,IF(EH$3&lt;'الموظفون'!$D$2,"",IF(ISNUMBER(MATCH(EH$3,Holidays,0)),"عطلة",IF(MOD(EH$3-'الموظفون'!$D$2,CycleWork+CycleRest)&lt;CycleWork,INDEX('الإعدادات والقوائم'!$H$2:$H$4,MOD(INT(MOD(EH$3-'الموظفون'!$D$2,CycleWork+CycleRest)*3/CycleWork)+MATCH(StartShift,'الإعدادات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الإجازات'!$D$5:$D$104&lt;=EH$3)*(('حجز الإجازات'!$E$5:$E$104)&gt;=EH$3)*('حجز الإجازات'!$G$5:$G$104="معتمد")*ROW('حجز الإجازات'!$B$5:$B$104)))-5+1))</f>
        <v/>
      </c>
      <c r="EI4" s="62">
        <f>IF(SUMPRODUCT(('حجز الإجازات'!$B$5:$B$104='الموظفون'!$B$2)*('حجز الإجازات'!$D$5:$D$104&lt;=EI$3)*(('حجز الإجازات'!$E$5:$E$104)&gt;=EI$3)*('حجز الإجازات'!$G$5:$G$104="معتمد")*ROW('حجز الإجازات'!$B$5:$B$104))=0,IF(EI$3&lt;'الموظفون'!$D$2,"",IF(ISNUMBER(MATCH(EI$3,Holidays,0)),"عطلة",IF(MOD(EI$3-'الموظفون'!$D$2,CycleWork+CycleRest)&lt;CycleWork,INDEX('الإعدادات والقوائم'!$H$2:$H$4,MOD(INT(MOD(EI$3-'الموظفون'!$D$2,CycleWork+CycleRest)*3/CycleWork)+MATCH(StartShift,'الإعدادات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الإجازات'!$D$5:$D$104&lt;=EI$3)*(('حجز الإجازات'!$E$5:$E$104)&gt;=EI$3)*('حجز الإجازات'!$G$5:$G$104="معتمد")*ROW('حجز الإجازات'!$B$5:$B$104)))-5+1))</f>
        <v/>
      </c>
      <c r="EJ4" s="62">
        <f>IF(SUMPRODUCT(('حجز الإجازات'!$B$5:$B$104='الموظفون'!$B$2)*('حجز الإجازات'!$D$5:$D$104&lt;=EJ$3)*(('حجز الإجازات'!$E$5:$E$104)&gt;=EJ$3)*('حجز الإجازات'!$G$5:$G$104="معتمد")*ROW('حجز الإجازات'!$B$5:$B$104))=0,IF(EJ$3&lt;'الموظفون'!$D$2,"",IF(ISNUMBER(MATCH(EJ$3,Holidays,0)),"عطلة",IF(MOD(EJ$3-'الموظفون'!$D$2,CycleWork+CycleRest)&lt;CycleWork,INDEX('الإعدادات والقوائم'!$H$2:$H$4,MOD(INT(MOD(EJ$3-'الموظفون'!$D$2,CycleWork+CycleRest)*3/CycleWork)+MATCH(StartShift,'الإعدادات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الإجازات'!$D$5:$D$104&lt;=EJ$3)*(('حجز الإجازات'!$E$5:$E$104)&gt;=EJ$3)*('حجز الإجازات'!$G$5:$G$104="معتمد")*ROW('حجز الإجازات'!$B$5:$B$104)))-5+1))</f>
        <v/>
      </c>
      <c r="EK4" s="62">
        <f>IF(SUMPRODUCT(('حجز الإجازات'!$B$5:$B$104='الموظفون'!$B$2)*('حجز الإجازات'!$D$5:$D$104&lt;=EK$3)*(('حجز الإجازات'!$E$5:$E$104)&gt;=EK$3)*('حجز الإجازات'!$G$5:$G$104="معتمد")*ROW('حجز الإجازات'!$B$5:$B$104))=0,IF(EK$3&lt;'الموظفون'!$D$2,"",IF(ISNUMBER(MATCH(EK$3,Holidays,0)),"عطلة",IF(MOD(EK$3-'الموظفون'!$D$2,CycleWork+CycleRest)&lt;CycleWork,INDEX('الإعدادات والقوائم'!$H$2:$H$4,MOD(INT(MOD(EK$3-'الموظفون'!$D$2,CycleWork+CycleRest)*3/CycleWork)+MATCH(StartShift,'الإعدادات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الإجازات'!$D$5:$D$104&lt;=EK$3)*(('حجز الإجازات'!$E$5:$E$104)&gt;=EK$3)*('حجز الإجازات'!$G$5:$G$104="معتمد")*ROW('حجز الإجازات'!$B$5:$B$104)))-5+1))</f>
        <v/>
      </c>
      <c r="EL4" s="62">
        <f>IF(SUMPRODUCT(('حجز الإجازات'!$B$5:$B$104='الموظفون'!$B$2)*('حجز الإجازات'!$D$5:$D$104&lt;=EL$3)*(('حجز الإجازات'!$E$5:$E$104)&gt;=EL$3)*('حجز الإجازات'!$G$5:$G$104="معتمد")*ROW('حجز الإجازات'!$B$5:$B$104))=0,IF(EL$3&lt;'الموظفون'!$D$2,"",IF(ISNUMBER(MATCH(EL$3,Holidays,0)),"عطلة",IF(MOD(EL$3-'الموظفون'!$D$2,CycleWork+CycleRest)&lt;CycleWork,INDEX('الإعدادات والقوائم'!$H$2:$H$4,MOD(INT(MOD(EL$3-'الموظفون'!$D$2,CycleWork+CycleRest)*3/CycleWork)+MATCH(StartShift,'الإعدادات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الإجازات'!$D$5:$D$104&lt;=EL$3)*(('حجز الإجازات'!$E$5:$E$104)&gt;=EL$3)*('حجز الإجازات'!$G$5:$G$104="معتمد")*ROW('حجز الإجازات'!$B$5:$B$104)))-5+1))</f>
        <v/>
      </c>
      <c r="EM4" s="62">
        <f>IF(SUMPRODUCT(('حجز الإجازات'!$B$5:$B$104='الموظفون'!$B$2)*('حجز الإجازات'!$D$5:$D$104&lt;=EM$3)*(('حجز الإجازات'!$E$5:$E$104)&gt;=EM$3)*('حجز الإجازات'!$G$5:$G$104="معتمد")*ROW('حجز الإجازات'!$B$5:$B$104))=0,IF(EM$3&lt;'الموظفون'!$D$2,"",IF(ISNUMBER(MATCH(EM$3,Holidays,0)),"عطلة",IF(MOD(EM$3-'الموظفون'!$D$2,CycleWork+CycleRest)&lt;CycleWork,INDEX('الإعدادات والقوائم'!$H$2:$H$4,MOD(INT(MOD(EM$3-'الموظفون'!$D$2,CycleWork+CycleRest)*3/CycleWork)+MATCH(StartShift,'الإعدادات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الإجازات'!$D$5:$D$104&lt;=EM$3)*(('حجز الإجازات'!$E$5:$E$104)&gt;=EM$3)*('حجز الإجازات'!$G$5:$G$104="معتمد")*ROW('حجز الإجازات'!$B$5:$B$104)))-5+1))</f>
        <v/>
      </c>
      <c r="EN4" s="62">
        <f>IF(SUMPRODUCT(('حجز الإجازات'!$B$5:$B$104='الموظفون'!$B$2)*('حجز الإجازات'!$D$5:$D$104&lt;=EN$3)*(('حجز الإجازات'!$E$5:$E$104)&gt;=EN$3)*('حجز الإجازات'!$G$5:$G$104="معتمد")*ROW('حجز الإجازات'!$B$5:$B$104))=0,IF(EN$3&lt;'الموظفون'!$D$2,"",IF(ISNUMBER(MATCH(EN$3,Holidays,0)),"عطلة",IF(MOD(EN$3-'الموظفون'!$D$2,CycleWork+CycleRest)&lt;CycleWork,INDEX('الإعدادات والقوائم'!$H$2:$H$4,MOD(INT(MOD(EN$3-'الموظفون'!$D$2,CycleWork+CycleRest)*3/CycleWork)+MATCH(StartShift,'الإعدادات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الإجازات'!$D$5:$D$104&lt;=EN$3)*(('حجز الإجازات'!$E$5:$E$104)&gt;=EN$3)*('حجز الإجازات'!$G$5:$G$104="معتمد")*ROW('حجز الإجازات'!$B$5:$B$104)))-5+1))</f>
        <v/>
      </c>
      <c r="EO4" s="62">
        <f>IF(SUMPRODUCT(('حجز الإجازات'!$B$5:$B$104='الموظفون'!$B$2)*('حجز الإجازات'!$D$5:$D$104&lt;=EO$3)*(('حجز الإجازات'!$E$5:$E$104)&gt;=EO$3)*('حجز الإجازات'!$G$5:$G$104="معتمد")*ROW('حجز الإجازات'!$B$5:$B$104))=0,IF(EO$3&lt;'الموظفون'!$D$2,"",IF(ISNUMBER(MATCH(EO$3,Holidays,0)),"عطلة",IF(MOD(EO$3-'الموظفون'!$D$2,CycleWork+CycleRest)&lt;CycleWork,INDEX('الإعدادات والقوائم'!$H$2:$H$4,MOD(INT(MOD(EO$3-'الموظفون'!$D$2,CycleWork+CycleRest)*3/CycleWork)+MATCH(StartShift,'الإعدادات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الإجازات'!$D$5:$D$104&lt;=EO$3)*(('حجز الإجازات'!$E$5:$E$104)&gt;=EO$3)*('حجز الإجازات'!$G$5:$G$104="معتمد")*ROW('حجز الإجازات'!$B$5:$B$104)))-5+1))</f>
        <v/>
      </c>
      <c r="EP4" s="62">
        <f>IF(SUMPRODUCT(('حجز الإجازات'!$B$5:$B$104='الموظفون'!$B$2)*('حجز الإجازات'!$D$5:$D$104&lt;=EP$3)*(('حجز الإجازات'!$E$5:$E$104)&gt;=EP$3)*('حجز الإجازات'!$G$5:$G$104="معتمد")*ROW('حجز الإجازات'!$B$5:$B$104))=0,IF(EP$3&lt;'الموظفون'!$D$2,"",IF(ISNUMBER(MATCH(EP$3,Holidays,0)),"عطلة",IF(MOD(EP$3-'الموظفون'!$D$2,CycleWork+CycleRest)&lt;CycleWork,INDEX('الإعدادات والقوائم'!$H$2:$H$4,MOD(INT(MOD(EP$3-'الموظفون'!$D$2,CycleWork+CycleRest)*3/CycleWork)+MATCH(StartShift,'الإعدادات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الإجازات'!$D$5:$D$104&lt;=EP$3)*(('حجز الإجازات'!$E$5:$E$104)&gt;=EP$3)*('حجز الإجازات'!$G$5:$G$104="معتمد")*ROW('حجز الإجازات'!$B$5:$B$104)))-5+1))</f>
        <v/>
      </c>
      <c r="EQ4" s="62">
        <f>IF(SUMPRODUCT(('حجز الإجازات'!$B$5:$B$104='الموظفون'!$B$2)*('حجز الإجازات'!$D$5:$D$104&lt;=EQ$3)*(('حجز الإجازات'!$E$5:$E$104)&gt;=EQ$3)*('حجز الإجازات'!$G$5:$G$104="معتمد")*ROW('حجز الإجازات'!$B$5:$B$104))=0,IF(EQ$3&lt;'الموظفون'!$D$2,"",IF(ISNUMBER(MATCH(EQ$3,Holidays,0)),"عطلة",IF(MOD(EQ$3-'الموظفون'!$D$2,CycleWork+CycleRest)&lt;CycleWork,INDEX('الإعدادات والقوائم'!$H$2:$H$4,MOD(INT(MOD(EQ$3-'الموظفون'!$D$2,CycleWork+CycleRest)*3/CycleWork)+MATCH(StartShift,'الإعدادات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الإجازات'!$D$5:$D$104&lt;=EQ$3)*(('حجز الإجازات'!$E$5:$E$104)&gt;=EQ$3)*('حجز الإجازات'!$G$5:$G$104="معتمد")*ROW('حجز الإجازات'!$B$5:$B$104)))-5+1))</f>
        <v/>
      </c>
      <c r="ER4" s="62">
        <f>IF(SUMPRODUCT(('حجز الإجازات'!$B$5:$B$104='الموظفون'!$B$2)*('حجز الإجازات'!$D$5:$D$104&lt;=ER$3)*(('حجز الإجازات'!$E$5:$E$104)&gt;=ER$3)*('حجز الإجازات'!$G$5:$G$104="معتمد")*ROW('حجز الإجازات'!$B$5:$B$104))=0,IF(ER$3&lt;'الموظفون'!$D$2,"",IF(ISNUMBER(MATCH(ER$3,Holidays,0)),"عطلة",IF(MOD(ER$3-'الموظفون'!$D$2,CycleWork+CycleRest)&lt;CycleWork,INDEX('الإعدادات والقوائم'!$H$2:$H$4,MOD(INT(MOD(ER$3-'الموظفون'!$D$2,CycleWork+CycleRest)*3/CycleWork)+MATCH(StartShift,'الإعدادات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الإجازات'!$D$5:$D$104&lt;=ER$3)*(('حجز الإجازات'!$E$5:$E$104)&gt;=ER$3)*('حجز الإجازات'!$G$5:$G$104="معتمد")*ROW('حجز الإجازات'!$B$5:$B$104)))-5+1))</f>
        <v/>
      </c>
      <c r="ES4" s="62">
        <f>IF(SUMPRODUCT(('حجز الإجازات'!$B$5:$B$104='الموظفون'!$B$2)*('حجز الإجازات'!$D$5:$D$104&lt;=ES$3)*(('حجز الإجازات'!$E$5:$E$104)&gt;=ES$3)*('حجز الإجازات'!$G$5:$G$104="معتمد")*ROW('حجز الإجازات'!$B$5:$B$104))=0,IF(ES$3&lt;'الموظفون'!$D$2,"",IF(ISNUMBER(MATCH(ES$3,Holidays,0)),"عطلة",IF(MOD(ES$3-'الموظفون'!$D$2,CycleWork+CycleRest)&lt;CycleWork,INDEX('الإعدادات والقوائم'!$H$2:$H$4,MOD(INT(MOD(ES$3-'الموظفون'!$D$2,CycleWork+CycleRest)*3/CycleWork)+MATCH(StartShift,'الإعدادات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الإجازات'!$D$5:$D$104&lt;=ES$3)*(('حجز الإجازات'!$E$5:$E$104)&gt;=ES$3)*('حجز الإجازات'!$G$5:$G$104="معتمد")*ROW('حجز الإجازات'!$B$5:$B$104)))-5+1))</f>
        <v/>
      </c>
      <c r="ET4" s="62">
        <f>IF(SUMPRODUCT(('حجز الإجازات'!$B$5:$B$104='الموظفون'!$B$2)*('حجز الإجازات'!$D$5:$D$104&lt;=ET$3)*(('حجز الإجازات'!$E$5:$E$104)&gt;=ET$3)*('حجز الإجازات'!$G$5:$G$104="معتمد")*ROW('حجز الإجازات'!$B$5:$B$104))=0,IF(ET$3&lt;'الموظفون'!$D$2,"",IF(ISNUMBER(MATCH(ET$3,Holidays,0)),"عطلة",IF(MOD(ET$3-'الموظفون'!$D$2,CycleWork+CycleRest)&lt;CycleWork,INDEX('الإعدادات والقوائم'!$H$2:$H$4,MOD(INT(MOD(ET$3-'الموظفون'!$D$2,CycleWork+CycleRest)*3/CycleWork)+MATCH(StartShift,'الإعدادات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الإجازات'!$D$5:$D$104&lt;=ET$3)*(('حجز الإجازات'!$E$5:$E$104)&gt;=ET$3)*('حجز الإجازات'!$G$5:$G$104="معتمد")*ROW('حجز الإجازات'!$B$5:$B$104)))-5+1))</f>
        <v/>
      </c>
      <c r="EU4" s="62">
        <f>IF(SUMPRODUCT(('حجز الإجازات'!$B$5:$B$104='الموظفون'!$B$2)*('حجز الإجازات'!$D$5:$D$104&lt;=EU$3)*(('حجز الإجازات'!$E$5:$E$104)&gt;=EU$3)*('حجز الإجازات'!$G$5:$G$104="معتمد")*ROW('حجز الإجازات'!$B$5:$B$104))=0,IF(EU$3&lt;'الموظفون'!$D$2,"",IF(ISNUMBER(MATCH(EU$3,Holidays,0)),"عطلة",IF(MOD(EU$3-'الموظفون'!$D$2,CycleWork+CycleRest)&lt;CycleWork,INDEX('الإعدادات والقوائم'!$H$2:$H$4,MOD(INT(MOD(EU$3-'الموظفون'!$D$2,CycleWork+CycleRest)*3/CycleWork)+MATCH(StartShift,'الإعدادات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الإجازات'!$D$5:$D$104&lt;=EU$3)*(('حجز الإجازات'!$E$5:$E$104)&gt;=EU$3)*('حجز الإجازات'!$G$5:$G$104="معتمد")*ROW('حجز الإجازات'!$B$5:$B$104)))-5+1))</f>
        <v/>
      </c>
      <c r="EV4" s="62">
        <f>IF(SUMPRODUCT(('حجز الإجازات'!$B$5:$B$104='الموظفون'!$B$2)*('حجز الإجازات'!$D$5:$D$104&lt;=EV$3)*(('حجز الإجازات'!$E$5:$E$104)&gt;=EV$3)*('حجز الإجازات'!$G$5:$G$104="معتمد")*ROW('حجز الإجازات'!$B$5:$B$104))=0,IF(EV$3&lt;'الموظفون'!$D$2,"",IF(ISNUMBER(MATCH(EV$3,Holidays,0)),"عطلة",IF(MOD(EV$3-'الموظفون'!$D$2,CycleWork+CycleRest)&lt;CycleWork,INDEX('الإعدادات والقوائم'!$H$2:$H$4,MOD(INT(MOD(EV$3-'الموظفون'!$D$2,CycleWork+CycleRest)*3/CycleWork)+MATCH(StartShift,'الإعدادات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الإجازات'!$D$5:$D$104&lt;=EV$3)*(('حجز الإجازات'!$E$5:$E$104)&gt;=EV$3)*('حجز الإجازات'!$G$5:$G$104="معتمد")*ROW('حجز الإجازات'!$B$5:$B$104)))-5+1))</f>
        <v/>
      </c>
      <c r="EW4" s="62">
        <f>IF(SUMPRODUCT(('حجز الإجازات'!$B$5:$B$104='الموظفون'!$B$2)*('حجز الإجازات'!$D$5:$D$104&lt;=EW$3)*(('حجز الإجازات'!$E$5:$E$104)&gt;=EW$3)*('حجز الإجازات'!$G$5:$G$104="معتمد")*ROW('حجز الإجازات'!$B$5:$B$104))=0,IF(EW$3&lt;'الموظفون'!$D$2,"",IF(ISNUMBER(MATCH(EW$3,Holidays,0)),"عطلة",IF(MOD(EW$3-'الموظفون'!$D$2,CycleWork+CycleRest)&lt;CycleWork,INDEX('الإعدادات والقوائم'!$H$2:$H$4,MOD(INT(MOD(EW$3-'الموظفون'!$D$2,CycleWork+CycleRest)*3/CycleWork)+MATCH(StartShift,'الإعدادات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الإجازات'!$D$5:$D$104&lt;=EW$3)*(('حجز الإجازات'!$E$5:$E$104)&gt;=EW$3)*('حجز الإجازات'!$G$5:$G$104="معتمد")*ROW('حجز الإجازات'!$B$5:$B$104)))-5+1))</f>
        <v/>
      </c>
      <c r="EX4" s="62">
        <f>IF(SUMPRODUCT(('حجز الإجازات'!$B$5:$B$104='الموظفون'!$B$2)*('حجز الإجازات'!$D$5:$D$104&lt;=EX$3)*(('حجز الإجازات'!$E$5:$E$104)&gt;=EX$3)*('حجز الإجازات'!$G$5:$G$104="معتمد")*ROW('حجز الإجازات'!$B$5:$B$104))=0,IF(EX$3&lt;'الموظفون'!$D$2,"",IF(ISNUMBER(MATCH(EX$3,Holidays,0)),"عطلة",IF(MOD(EX$3-'الموظفون'!$D$2,CycleWork+CycleRest)&lt;CycleWork,INDEX('الإعدادات والقوائم'!$H$2:$H$4,MOD(INT(MOD(EX$3-'الموظفون'!$D$2,CycleWork+CycleRest)*3/CycleWork)+MATCH(StartShift,'الإعدادات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الإجازات'!$D$5:$D$104&lt;=EX$3)*(('حجز الإجازات'!$E$5:$E$104)&gt;=EX$3)*('حجز الإجازات'!$G$5:$G$104="معتمد")*ROW('حجز الإجازات'!$B$5:$B$104)))-5+1))</f>
        <v/>
      </c>
      <c r="EY4" s="62">
        <f>IF(SUMPRODUCT(('حجز الإجازات'!$B$5:$B$104='الموظفون'!$B$2)*('حجز الإجازات'!$D$5:$D$104&lt;=EY$3)*(('حجز الإجازات'!$E$5:$E$104)&gt;=EY$3)*('حجز الإجازات'!$G$5:$G$104="معتمد")*ROW('حجز الإجازات'!$B$5:$B$104))=0,IF(EY$3&lt;'الموظفون'!$D$2,"",IF(ISNUMBER(MATCH(EY$3,Holidays,0)),"عطلة",IF(MOD(EY$3-'الموظفون'!$D$2,CycleWork+CycleRest)&lt;CycleWork,INDEX('الإعدادات والقوائم'!$H$2:$H$4,MOD(INT(MOD(EY$3-'الموظفون'!$D$2,CycleWork+CycleRest)*3/CycleWork)+MATCH(StartShift,'الإعدادات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الإجازات'!$D$5:$D$104&lt;=EY$3)*(('حجز الإجازات'!$E$5:$E$104)&gt;=EY$3)*('حجز الإجازات'!$G$5:$G$104="معتمد")*ROW('حجز الإجازات'!$B$5:$B$104)))-5+1))</f>
        <v/>
      </c>
      <c r="EZ4" s="62">
        <f>IF(SUMPRODUCT(('حجز الإجازات'!$B$5:$B$104='الموظفون'!$B$2)*('حجز الإجازات'!$D$5:$D$104&lt;=EZ$3)*(('حجز الإجازات'!$E$5:$E$104)&gt;=EZ$3)*('حجز الإجازات'!$G$5:$G$104="معتمد")*ROW('حجز الإجازات'!$B$5:$B$104))=0,IF(EZ$3&lt;'الموظفون'!$D$2,"",IF(ISNUMBER(MATCH(EZ$3,Holidays,0)),"عطلة",IF(MOD(EZ$3-'الموظفون'!$D$2,CycleWork+CycleRest)&lt;CycleWork,INDEX('الإعدادات والقوائم'!$H$2:$H$4,MOD(INT(MOD(EZ$3-'الموظفون'!$D$2,CycleWork+CycleRest)*3/CycleWork)+MATCH(StartShift,'الإعدادات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الإجازات'!$D$5:$D$104&lt;=EZ$3)*(('حجز الإجازات'!$E$5:$E$104)&gt;=EZ$3)*('حجز الإجازات'!$G$5:$G$104="معتمد")*ROW('حجز الإجازات'!$B$5:$B$104)))-5+1))</f>
        <v/>
      </c>
      <c r="FA4" s="62">
        <f>IF(SUMPRODUCT(('حجز الإجازات'!$B$5:$B$104='الموظفون'!$B$2)*('حجز الإجازات'!$D$5:$D$104&lt;=FA$3)*(('حجز الإجازات'!$E$5:$E$104)&gt;=FA$3)*('حجز الإجازات'!$G$5:$G$104="معتمد")*ROW('حجز الإجازات'!$B$5:$B$104))=0,IF(FA$3&lt;'الموظفون'!$D$2,"",IF(ISNUMBER(MATCH(FA$3,Holidays,0)),"عطلة",IF(MOD(FA$3-'الموظفون'!$D$2,CycleWork+CycleRest)&lt;CycleWork,INDEX('الإعدادات والقوائم'!$H$2:$H$4,MOD(INT(MOD(FA$3-'الموظفون'!$D$2,CycleWork+CycleRest)*3/CycleWork)+MATCH(StartShift,'الإعدادات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الإجازات'!$D$5:$D$104&lt;=FA$3)*(('حجز الإجازات'!$E$5:$E$104)&gt;=FA$3)*('حجز الإجازات'!$G$5:$G$104="معتمد")*ROW('حجز الإجازات'!$B$5:$B$104)))-5+1))</f>
        <v/>
      </c>
      <c r="FB4" s="62">
        <f>IF(SUMPRODUCT(('حجز الإجازات'!$B$5:$B$104='الموظفون'!$B$2)*('حجز الإجازات'!$D$5:$D$104&lt;=FB$3)*(('حجز الإجازات'!$E$5:$E$104)&gt;=FB$3)*('حجز الإجازات'!$G$5:$G$104="معتمد")*ROW('حجز الإجازات'!$B$5:$B$104))=0,IF(FB$3&lt;'الموظفون'!$D$2,"",IF(ISNUMBER(MATCH(FB$3,Holidays,0)),"عطلة",IF(MOD(FB$3-'الموظفون'!$D$2,CycleWork+CycleRest)&lt;CycleWork,INDEX('الإعدادات والقوائم'!$H$2:$H$4,MOD(INT(MOD(FB$3-'الموظفون'!$D$2,CycleWork+CycleRest)*3/CycleWork)+MATCH(StartShift,'الإعدادات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الإجازات'!$D$5:$D$104&lt;=FB$3)*(('حجز الإجازات'!$E$5:$E$104)&gt;=FB$3)*('حجز الإجازات'!$G$5:$G$104="معتمد")*ROW('حجز الإجازات'!$B$5:$B$104)))-5+1))</f>
        <v/>
      </c>
      <c r="FC4" s="62">
        <f>IF(SUMPRODUCT(('حجز الإجازات'!$B$5:$B$104='الموظفون'!$B$2)*('حجز الإجازات'!$D$5:$D$104&lt;=FC$3)*(('حجز الإجازات'!$E$5:$E$104)&gt;=FC$3)*('حجز الإجازات'!$G$5:$G$104="معتمد")*ROW('حجز الإجازات'!$B$5:$B$104))=0,IF(FC$3&lt;'الموظفون'!$D$2,"",IF(ISNUMBER(MATCH(FC$3,Holidays,0)),"عطلة",IF(MOD(FC$3-'الموظفون'!$D$2,CycleWork+CycleRest)&lt;CycleWork,INDEX('الإعدادات والقوائم'!$H$2:$H$4,MOD(INT(MOD(FC$3-'الموظفون'!$D$2,CycleWork+CycleRest)*3/CycleWork)+MATCH(StartShift,'الإعدادات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الإجازات'!$D$5:$D$104&lt;=FC$3)*(('حجز الإجازات'!$E$5:$E$104)&gt;=FC$3)*('حجز الإجازات'!$G$5:$G$104="معتمد")*ROW('حجز الإجازات'!$B$5:$B$104)))-5+1))</f>
        <v/>
      </c>
      <c r="FD4" s="62">
        <f>IF(SUMPRODUCT(('حجز الإجازات'!$B$5:$B$104='الموظفون'!$B$2)*('حجز الإجازات'!$D$5:$D$104&lt;=FD$3)*(('حجز الإجازات'!$E$5:$E$104)&gt;=FD$3)*('حجز الإجازات'!$G$5:$G$104="معتمد")*ROW('حجز الإجازات'!$B$5:$B$104))=0,IF(FD$3&lt;'الموظفون'!$D$2,"",IF(ISNUMBER(MATCH(FD$3,Holidays,0)),"عطلة",IF(MOD(FD$3-'الموظفون'!$D$2,CycleWork+CycleRest)&lt;CycleWork,INDEX('الإعدادات والقوائم'!$H$2:$H$4,MOD(INT(MOD(FD$3-'الموظفون'!$D$2,CycleWork+CycleRest)*3/CycleWork)+MATCH(StartShift,'الإعدادات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الإجازات'!$D$5:$D$104&lt;=FD$3)*(('حجز الإجازات'!$E$5:$E$104)&gt;=FD$3)*('حجز الإجازات'!$G$5:$G$104="معتمد")*ROW('حجز الإجازات'!$B$5:$B$104)))-5+1))</f>
        <v/>
      </c>
      <c r="FE4" s="62">
        <f>IF(SUMPRODUCT(('حجز الإجازات'!$B$5:$B$104='الموظفون'!$B$2)*('حجز الإجازات'!$D$5:$D$104&lt;=FE$3)*(('حجز الإجازات'!$E$5:$E$104)&gt;=FE$3)*('حجز الإجازات'!$G$5:$G$104="معتمد")*ROW('حجز الإجازات'!$B$5:$B$104))=0,IF(FE$3&lt;'الموظفون'!$D$2,"",IF(ISNUMBER(MATCH(FE$3,Holidays,0)),"عطلة",IF(MOD(FE$3-'الموظفون'!$D$2,CycleWork+CycleRest)&lt;CycleWork,INDEX('الإعدادات والقوائم'!$H$2:$H$4,MOD(INT(MOD(FE$3-'الموظفون'!$D$2,CycleWork+CycleRest)*3/CycleWork)+MATCH(StartShift,'الإعدادات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الإجازات'!$D$5:$D$104&lt;=FE$3)*(('حجز الإجازات'!$E$5:$E$104)&gt;=FE$3)*('حجز الإجازات'!$G$5:$G$104="معتمد")*ROW('حجز الإجازات'!$B$5:$B$104)))-5+1))</f>
        <v/>
      </c>
      <c r="FF4" s="62">
        <f>IF(SUMPRODUCT(('حجز الإجازات'!$B$5:$B$104='الموظفون'!$B$2)*('حجز الإجازات'!$D$5:$D$104&lt;=FF$3)*(('حجز الإجازات'!$E$5:$E$104)&gt;=FF$3)*('حجز الإجازات'!$G$5:$G$104="معتمد")*ROW('حجز الإجازات'!$B$5:$B$104))=0,IF(FF$3&lt;'الموظفون'!$D$2,"",IF(ISNUMBER(MATCH(FF$3,Holidays,0)),"عطلة",IF(MOD(FF$3-'الموظفون'!$D$2,CycleWork+CycleRest)&lt;CycleWork,INDEX('الإعدادات والقوائم'!$H$2:$H$4,MOD(INT(MOD(FF$3-'الموظفون'!$D$2,CycleWork+CycleRest)*3/CycleWork)+MATCH(StartShift,'الإعدادات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الإجازات'!$D$5:$D$104&lt;=FF$3)*(('حجز الإجازات'!$E$5:$E$104)&gt;=FF$3)*('حجز الإجازات'!$G$5:$G$104="معتمد")*ROW('حجز الإجازات'!$B$5:$B$104)))-5+1))</f>
        <v/>
      </c>
      <c r="FG4" s="62">
        <f>IF(SUMPRODUCT(('حجز الإجازات'!$B$5:$B$104='الموظفون'!$B$2)*('حجز الإجازات'!$D$5:$D$104&lt;=FG$3)*(('حجز الإجازات'!$E$5:$E$104)&gt;=FG$3)*('حجز الإجازات'!$G$5:$G$104="معتمد")*ROW('حجز الإجازات'!$B$5:$B$104))=0,IF(FG$3&lt;'الموظفون'!$D$2,"",IF(ISNUMBER(MATCH(FG$3,Holidays,0)),"عطلة",IF(MOD(FG$3-'الموظفون'!$D$2,CycleWork+CycleRest)&lt;CycleWork,INDEX('الإعدادات والقوائم'!$H$2:$H$4,MOD(INT(MOD(FG$3-'الموظفون'!$D$2,CycleWork+CycleRest)*3/CycleWork)+MATCH(StartShift,'الإعدادات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الإجازات'!$D$5:$D$104&lt;=FG$3)*(('حجز الإجازات'!$E$5:$E$104)&gt;=FG$3)*('حجز الإجازات'!$G$5:$G$104="معتمد")*ROW('حجز الإجازات'!$B$5:$B$104)))-5+1))</f>
        <v/>
      </c>
      <c r="FH4" s="62">
        <f>IF(SUMPRODUCT(('حجز الإجازات'!$B$5:$B$104='الموظفون'!$B$2)*('حجز الإجازات'!$D$5:$D$104&lt;=FH$3)*(('حجز الإجازات'!$E$5:$E$104)&gt;=FH$3)*('حجز الإجازات'!$G$5:$G$104="معتمد")*ROW('حجز الإجازات'!$B$5:$B$104))=0,IF(FH$3&lt;'الموظفون'!$D$2,"",IF(ISNUMBER(MATCH(FH$3,Holidays,0)),"عطلة",IF(MOD(FH$3-'الموظفون'!$D$2,CycleWork+CycleRest)&lt;CycleWork,INDEX('الإعدادات والقوائم'!$H$2:$H$4,MOD(INT(MOD(FH$3-'الموظفون'!$D$2,CycleWork+CycleRest)*3/CycleWork)+MATCH(StartShift,'الإعدادات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الإجازات'!$D$5:$D$104&lt;=FH$3)*(('حجز الإجازات'!$E$5:$E$104)&gt;=FH$3)*('حجز الإجازات'!$G$5:$G$104="معتمد")*ROW('حجز الإجازات'!$B$5:$B$104)))-5+1))</f>
        <v/>
      </c>
      <c r="FI4" s="62">
        <f>IF(SUMPRODUCT(('حجز الإجازات'!$B$5:$B$104='الموظفون'!$B$2)*('حجز الإجازات'!$D$5:$D$104&lt;=FI$3)*(('حجز الإجازات'!$E$5:$E$104)&gt;=FI$3)*('حجز الإجازات'!$G$5:$G$104="معتمد")*ROW('حجز الإجازات'!$B$5:$B$104))=0,IF(FI$3&lt;'الموظفون'!$D$2,"",IF(ISNUMBER(MATCH(FI$3,Holidays,0)),"عطلة",IF(MOD(FI$3-'الموظفون'!$D$2,CycleWork+CycleRest)&lt;CycleWork,INDEX('الإعدادات والقوائم'!$H$2:$H$4,MOD(INT(MOD(FI$3-'الموظفون'!$D$2,CycleWork+CycleRest)*3/CycleWork)+MATCH(StartShift,'الإعدادات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الإجازات'!$D$5:$D$104&lt;=FI$3)*(('حجز الإجازات'!$E$5:$E$104)&gt;=FI$3)*('حجز الإجازات'!$G$5:$G$104="معتمد")*ROW('حجز الإجازات'!$B$5:$B$104)))-5+1))</f>
        <v/>
      </c>
      <c r="FJ4" s="62">
        <f>IF(SUMPRODUCT(('حجز الإجازات'!$B$5:$B$104='الموظفون'!$B$2)*('حجز الإجازات'!$D$5:$D$104&lt;=FJ$3)*(('حجز الإجازات'!$E$5:$E$104)&gt;=FJ$3)*('حجز الإجازات'!$G$5:$G$104="معتمد")*ROW('حجز الإجازات'!$B$5:$B$104))=0,IF(FJ$3&lt;'الموظفون'!$D$2,"",IF(ISNUMBER(MATCH(FJ$3,Holidays,0)),"عطلة",IF(MOD(FJ$3-'الموظفون'!$D$2,CycleWork+CycleRest)&lt;CycleWork,INDEX('الإعدادات والقوائم'!$H$2:$H$4,MOD(INT(MOD(FJ$3-'الموظفون'!$D$2,CycleWork+CycleRest)*3/CycleWork)+MATCH(StartShift,'الإعدادات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الإجازات'!$D$5:$D$104&lt;=FJ$3)*(('حجز الإجازات'!$E$5:$E$104)&gt;=FJ$3)*('حجز الإجازات'!$G$5:$G$104="معتمد")*ROW('حجز الإجازات'!$B$5:$B$104)))-5+1))</f>
        <v/>
      </c>
      <c r="FK4" s="62">
        <f>IF(SUMPRODUCT(('حجز الإجازات'!$B$5:$B$104='الموظفون'!$B$2)*('حجز الإجازات'!$D$5:$D$104&lt;=FK$3)*(('حجز الإجازات'!$E$5:$E$104)&gt;=FK$3)*('حجز الإجازات'!$G$5:$G$104="معتمد")*ROW('حجز الإجازات'!$B$5:$B$104))=0,IF(FK$3&lt;'الموظفون'!$D$2,"",IF(ISNUMBER(MATCH(FK$3,Holidays,0)),"عطلة",IF(MOD(FK$3-'الموظفون'!$D$2,CycleWork+CycleRest)&lt;CycleWork,INDEX('الإعدادات والقوائم'!$H$2:$H$4,MOD(INT(MOD(FK$3-'الموظفون'!$D$2,CycleWork+CycleRest)*3/CycleWork)+MATCH(StartShift,'الإعدادات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الإجازات'!$D$5:$D$104&lt;=FK$3)*(('حجز الإجازات'!$E$5:$E$104)&gt;=FK$3)*('حجز الإجازات'!$G$5:$G$104="معتمد")*ROW('حجز الإجازات'!$B$5:$B$104)))-5+1))</f>
        <v/>
      </c>
      <c r="FL4" s="62">
        <f>IF(SUMPRODUCT(('حجز الإجازات'!$B$5:$B$104='الموظفون'!$B$2)*('حجز الإجازات'!$D$5:$D$104&lt;=FL$3)*(('حجز الإجازات'!$E$5:$E$104)&gt;=FL$3)*('حجز الإجازات'!$G$5:$G$104="معتمد")*ROW('حجز الإجازات'!$B$5:$B$104))=0,IF(FL$3&lt;'الموظفون'!$D$2,"",IF(ISNUMBER(MATCH(FL$3,Holidays,0)),"عطلة",IF(MOD(FL$3-'الموظفون'!$D$2,CycleWork+CycleRest)&lt;CycleWork,INDEX('الإعدادات والقوائم'!$H$2:$H$4,MOD(INT(MOD(FL$3-'الموظفون'!$D$2,CycleWork+CycleRest)*3/CycleWork)+MATCH(StartShift,'الإعدادات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الإجازات'!$D$5:$D$104&lt;=FL$3)*(('حجز الإجازات'!$E$5:$E$104)&gt;=FL$3)*('حجز الإجازات'!$G$5:$G$104="معتمد")*ROW('حجز الإجازات'!$B$5:$B$104)))-5+1))</f>
        <v/>
      </c>
      <c r="FM4" s="62">
        <f>IF(SUMPRODUCT(('حجز الإجازات'!$B$5:$B$104='الموظفون'!$B$2)*('حجز الإجازات'!$D$5:$D$104&lt;=FM$3)*(('حجز الإجازات'!$E$5:$E$104)&gt;=FM$3)*('حجز الإجازات'!$G$5:$G$104="معتمد")*ROW('حجز الإجازات'!$B$5:$B$104))=0,IF(FM$3&lt;'الموظفون'!$D$2,"",IF(ISNUMBER(MATCH(FM$3,Holidays,0)),"عطلة",IF(MOD(FM$3-'الموظفون'!$D$2,CycleWork+CycleRest)&lt;CycleWork,INDEX('الإعدادات والقوائم'!$H$2:$H$4,MOD(INT(MOD(FM$3-'الموظفون'!$D$2,CycleWork+CycleRest)*3/CycleWork)+MATCH(StartShift,'الإعدادات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الإجازات'!$D$5:$D$104&lt;=FM$3)*(('حجز الإجازات'!$E$5:$E$104)&gt;=FM$3)*('حجز الإجازات'!$G$5:$G$104="معتمد")*ROW('حجز الإجازات'!$B$5:$B$104)))-5+1))</f>
        <v/>
      </c>
      <c r="FN4" s="62">
        <f>IF(SUMPRODUCT(('حجز الإجازات'!$B$5:$B$104='الموظفون'!$B$2)*('حجز الإجازات'!$D$5:$D$104&lt;=FN$3)*(('حجز الإجازات'!$E$5:$E$104)&gt;=FN$3)*('حجز الإجازات'!$G$5:$G$104="معتمد")*ROW('حجز الإجازات'!$B$5:$B$104))=0,IF(FN$3&lt;'الموظفون'!$D$2,"",IF(ISNUMBER(MATCH(FN$3,Holidays,0)),"عطلة",IF(MOD(FN$3-'الموظفون'!$D$2,CycleWork+CycleRest)&lt;CycleWork,INDEX('الإعدادات والقوائم'!$H$2:$H$4,MOD(INT(MOD(FN$3-'الموظفون'!$D$2,CycleWork+CycleRest)*3/CycleWork)+MATCH(StartShift,'الإعدادات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الإجازات'!$D$5:$D$104&lt;=FN$3)*(('حجز الإجازات'!$E$5:$E$104)&gt;=FN$3)*('حجز الإجازات'!$G$5:$G$104="معتمد")*ROW('حجز الإجازات'!$B$5:$B$104)))-5+1))</f>
        <v/>
      </c>
      <c r="FO4" s="62">
        <f>IF(SUMPRODUCT(('حجز الإجازات'!$B$5:$B$104='الموظفون'!$B$2)*('حجز الإجازات'!$D$5:$D$104&lt;=FO$3)*(('حجز الإجازات'!$E$5:$E$104)&gt;=FO$3)*('حجز الإجازات'!$G$5:$G$104="معتمد")*ROW('حجز الإجازات'!$B$5:$B$104))=0,IF(FO$3&lt;'الموظفون'!$D$2,"",IF(ISNUMBER(MATCH(FO$3,Holidays,0)),"عطلة",IF(MOD(FO$3-'الموظفون'!$D$2,CycleWork+CycleRest)&lt;CycleWork,INDEX('الإعدادات والقوائم'!$H$2:$H$4,MOD(INT(MOD(FO$3-'الموظفون'!$D$2,CycleWork+CycleRest)*3/CycleWork)+MATCH(StartShift,'الإعدادات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الإجازات'!$D$5:$D$104&lt;=FO$3)*(('حجز الإجازات'!$E$5:$E$104)&gt;=FO$3)*('حجز الإجازات'!$G$5:$G$104="معتمد")*ROW('حجز الإجازات'!$B$5:$B$104)))-5+1))</f>
        <v/>
      </c>
      <c r="FP4" s="62">
        <f>IF(SUMPRODUCT(('حجز الإجازات'!$B$5:$B$104='الموظفون'!$B$2)*('حجز الإجازات'!$D$5:$D$104&lt;=FP$3)*(('حجز الإجازات'!$E$5:$E$104)&gt;=FP$3)*('حجز الإجازات'!$G$5:$G$104="معتمد")*ROW('حجز الإجازات'!$B$5:$B$104))=0,IF(FP$3&lt;'الموظفون'!$D$2,"",IF(ISNUMBER(MATCH(FP$3,Holidays,0)),"عطلة",IF(MOD(FP$3-'الموظفون'!$D$2,CycleWork+CycleRest)&lt;CycleWork,INDEX('الإعدادات والقوائم'!$H$2:$H$4,MOD(INT(MOD(FP$3-'الموظفون'!$D$2,CycleWork+CycleRest)*3/CycleWork)+MATCH(StartShift,'الإعدادات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الإجازات'!$D$5:$D$104&lt;=FP$3)*(('حجز الإجازات'!$E$5:$E$104)&gt;=FP$3)*('حجز الإجازات'!$G$5:$G$104="معتمد")*ROW('حجز الإجازات'!$B$5:$B$104)))-5+1))</f>
        <v/>
      </c>
      <c r="FQ4" s="62">
        <f>IF(SUMPRODUCT(('حجز الإجازات'!$B$5:$B$104='الموظفون'!$B$2)*('حجز الإجازات'!$D$5:$D$104&lt;=FQ$3)*(('حجز الإجازات'!$E$5:$E$104)&gt;=FQ$3)*('حجز الإجازات'!$G$5:$G$104="معتمد")*ROW('حجز الإجازات'!$B$5:$B$104))=0,IF(FQ$3&lt;'الموظفون'!$D$2,"",IF(ISNUMBER(MATCH(FQ$3,Holidays,0)),"عطلة",IF(MOD(FQ$3-'الموظفون'!$D$2,CycleWork+CycleRest)&lt;CycleWork,INDEX('الإعدادات والقوائم'!$H$2:$H$4,MOD(INT(MOD(FQ$3-'الموظفون'!$D$2,CycleWork+CycleRest)*3/CycleWork)+MATCH(StartShift,'الإعدادات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الإجازات'!$D$5:$D$104&lt;=FQ$3)*(('حجز الإجازات'!$E$5:$E$104)&gt;=FQ$3)*('حجز الإجازات'!$G$5:$G$104="معتمد")*ROW('حجز الإجازات'!$B$5:$B$104)))-5+1))</f>
        <v/>
      </c>
      <c r="FR4" s="62">
        <f>IF(SUMPRODUCT(('حجز الإجازات'!$B$5:$B$104='الموظفون'!$B$2)*('حجز الإجازات'!$D$5:$D$104&lt;=FR$3)*(('حجز الإجازات'!$E$5:$E$104)&gt;=FR$3)*('حجز الإجازات'!$G$5:$G$104="معتمد")*ROW('حجز الإجازات'!$B$5:$B$104))=0,IF(FR$3&lt;'الموظفون'!$D$2,"",IF(ISNUMBER(MATCH(FR$3,Holidays,0)),"عطلة",IF(MOD(FR$3-'الموظفون'!$D$2,CycleWork+CycleRest)&lt;CycleWork,INDEX('الإعدادات والقوائم'!$H$2:$H$4,MOD(INT(MOD(FR$3-'الموظفون'!$D$2,CycleWork+CycleRest)*3/CycleWork)+MATCH(StartShift,'الإعدادات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الإجازات'!$D$5:$D$104&lt;=FR$3)*(('حجز الإجازات'!$E$5:$E$104)&gt;=FR$3)*('حجز الإجازات'!$G$5:$G$104="معتمد")*ROW('حجز الإجازات'!$B$5:$B$104)))-5+1))</f>
        <v/>
      </c>
      <c r="FS4" s="62">
        <f>IF(SUMPRODUCT(('حجز الإجازات'!$B$5:$B$104='الموظفون'!$B$2)*('حجز الإجازات'!$D$5:$D$104&lt;=FS$3)*(('حجز الإجازات'!$E$5:$E$104)&gt;=FS$3)*('حجز الإجازات'!$G$5:$G$104="معتمد")*ROW('حجز الإجازات'!$B$5:$B$104))=0,IF(FS$3&lt;'الموظفون'!$D$2,"",IF(ISNUMBER(MATCH(FS$3,Holidays,0)),"عطلة",IF(MOD(FS$3-'الموظفون'!$D$2,CycleWork+CycleRest)&lt;CycleWork,INDEX('الإعدادات والقوائم'!$H$2:$H$4,MOD(INT(MOD(FS$3-'الموظفون'!$D$2,CycleWork+CycleRest)*3/CycleWork)+MATCH(StartShift,'الإعدادات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الإجازات'!$D$5:$D$104&lt;=FS$3)*(('حجز الإجازات'!$E$5:$E$104)&gt;=FS$3)*('حجز الإجازات'!$G$5:$G$104="معتمد")*ROW('حجز الإجازات'!$B$5:$B$104)))-5+1))</f>
        <v/>
      </c>
      <c r="FT4" s="62">
        <f>IF(SUMPRODUCT(('حجز الإجازات'!$B$5:$B$104='الموظفون'!$B$2)*('حجز الإجازات'!$D$5:$D$104&lt;=FT$3)*(('حجز الإجازات'!$E$5:$E$104)&gt;=FT$3)*('حجز الإجازات'!$G$5:$G$104="معتمد")*ROW('حجز الإجازات'!$B$5:$B$104))=0,IF(FT$3&lt;'الموظفون'!$D$2,"",IF(ISNUMBER(MATCH(FT$3,Holidays,0)),"عطلة",IF(MOD(FT$3-'الموظفون'!$D$2,CycleWork+CycleRest)&lt;CycleWork,INDEX('الإعدادات والقوائم'!$H$2:$H$4,MOD(INT(MOD(FT$3-'الموظفون'!$D$2,CycleWork+CycleRest)*3/CycleWork)+MATCH(StartShift,'الإعدادات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الإجازات'!$D$5:$D$104&lt;=FT$3)*(('حجز الإجازات'!$E$5:$E$104)&gt;=FT$3)*('حجز الإجازات'!$G$5:$G$104="معتمد")*ROW('حجز الإجازات'!$B$5:$B$104)))-5+1))</f>
        <v/>
      </c>
      <c r="FU4" s="62">
        <f>IF(SUMPRODUCT(('حجز الإجازات'!$B$5:$B$104='الموظفون'!$B$2)*('حجز الإجازات'!$D$5:$D$104&lt;=FU$3)*(('حجز الإجازات'!$E$5:$E$104)&gt;=FU$3)*('حجز الإجازات'!$G$5:$G$104="معتمد")*ROW('حجز الإجازات'!$B$5:$B$104))=0,IF(FU$3&lt;'الموظفون'!$D$2,"",IF(ISNUMBER(MATCH(FU$3,Holidays,0)),"عطلة",IF(MOD(FU$3-'الموظفون'!$D$2,CycleWork+CycleRest)&lt;CycleWork,INDEX('الإعدادات والقوائم'!$H$2:$H$4,MOD(INT(MOD(FU$3-'الموظفون'!$D$2,CycleWork+CycleRest)*3/CycleWork)+MATCH(StartShift,'الإعدادات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الإجازات'!$D$5:$D$104&lt;=FU$3)*(('حجز الإجازات'!$E$5:$E$104)&gt;=FU$3)*('حجز الإجازات'!$G$5:$G$104="معتمد")*ROW('حجز الإجازات'!$B$5:$B$104)))-5+1))</f>
        <v/>
      </c>
      <c r="FV4" s="62">
        <f>IF(SUMPRODUCT(('حجز الإجازات'!$B$5:$B$104='الموظفون'!$B$2)*('حجز الإجازات'!$D$5:$D$104&lt;=FV$3)*(('حجز الإجازات'!$E$5:$E$104)&gt;=FV$3)*('حجز الإجازات'!$G$5:$G$104="معتمد")*ROW('حجز الإجازات'!$B$5:$B$104))=0,IF(FV$3&lt;'الموظفون'!$D$2,"",IF(ISNUMBER(MATCH(FV$3,Holidays,0)),"عطلة",IF(MOD(FV$3-'الموظفون'!$D$2,CycleWork+CycleRest)&lt;CycleWork,INDEX('الإعدادات والقوائم'!$H$2:$H$4,MOD(INT(MOD(FV$3-'الموظفون'!$D$2,CycleWork+CycleRest)*3/CycleWork)+MATCH(StartShift,'الإعدادات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الإجازات'!$D$5:$D$104&lt;=FV$3)*(('حجز الإجازات'!$E$5:$E$104)&gt;=FV$3)*('حجز الإجازات'!$G$5:$G$104="معتمد")*ROW('حجز الإجازات'!$B$5:$B$104)))-5+1))</f>
        <v/>
      </c>
      <c r="FW4" s="62">
        <f>IF(SUMPRODUCT(('حجز الإجازات'!$B$5:$B$104='الموظفون'!$B$2)*('حجز الإجازات'!$D$5:$D$104&lt;=FW$3)*(('حجز الإجازات'!$E$5:$E$104)&gt;=FW$3)*('حجز الإجازات'!$G$5:$G$104="معتمد")*ROW('حجز الإجازات'!$B$5:$B$104))=0,IF(FW$3&lt;'الموظفون'!$D$2,"",IF(ISNUMBER(MATCH(FW$3,Holidays,0)),"عطلة",IF(MOD(FW$3-'الموظفون'!$D$2,CycleWork+CycleRest)&lt;CycleWork,INDEX('الإعدادات والقوائم'!$H$2:$H$4,MOD(INT(MOD(FW$3-'الموظفون'!$D$2,CycleWork+CycleRest)*3/CycleWork)+MATCH(StartShift,'الإعدادات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الإجازات'!$D$5:$D$104&lt;=FW$3)*(('حجز الإجازات'!$E$5:$E$104)&gt;=FW$3)*('حجز الإجازات'!$G$5:$G$104="معتمد")*ROW('حجز الإجازات'!$B$5:$B$104)))-5+1))</f>
        <v/>
      </c>
      <c r="FX4" s="62">
        <f>IF(SUMPRODUCT(('حجز الإجازات'!$B$5:$B$104='الموظفون'!$B$2)*('حجز الإجازات'!$D$5:$D$104&lt;=FX$3)*(('حجز الإجازات'!$E$5:$E$104)&gt;=FX$3)*('حجز الإجازات'!$G$5:$G$104="معتمد")*ROW('حجز الإجازات'!$B$5:$B$104))=0,IF(FX$3&lt;'الموظفون'!$D$2,"",IF(ISNUMBER(MATCH(FX$3,Holidays,0)),"عطلة",IF(MOD(FX$3-'الموظفون'!$D$2,CycleWork+CycleRest)&lt;CycleWork,INDEX('الإعدادات والقوائم'!$H$2:$H$4,MOD(INT(MOD(FX$3-'الموظفون'!$D$2,CycleWork+CycleRest)*3/CycleWork)+MATCH(StartShift,'الإعدادات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الإجازات'!$D$5:$D$104&lt;=FX$3)*(('حجز الإجازات'!$E$5:$E$104)&gt;=FX$3)*('حجز الإجازات'!$G$5:$G$104="معتمد")*ROW('حجز الإجازات'!$B$5:$B$104)))-5+1))</f>
        <v/>
      </c>
      <c r="FY4" s="62">
        <f>IF(SUMPRODUCT(('حجز الإجازات'!$B$5:$B$104='الموظفون'!$B$2)*('حجز الإجازات'!$D$5:$D$104&lt;=FY$3)*(('حجز الإجازات'!$E$5:$E$104)&gt;=FY$3)*('حجز الإجازات'!$G$5:$G$104="معتمد")*ROW('حجز الإجازات'!$B$5:$B$104))=0,IF(FY$3&lt;'الموظفون'!$D$2,"",IF(ISNUMBER(MATCH(FY$3,Holidays,0)),"عطلة",IF(MOD(FY$3-'الموظفون'!$D$2,CycleWork+CycleRest)&lt;CycleWork,INDEX('الإعدادات والقوائم'!$H$2:$H$4,MOD(INT(MOD(FY$3-'الموظفون'!$D$2,CycleWork+CycleRest)*3/CycleWork)+MATCH(StartShift,'الإعدادات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الإجازات'!$D$5:$D$104&lt;=FY$3)*(('حجز الإجازات'!$E$5:$E$104)&gt;=FY$3)*('حجز الإجازات'!$G$5:$G$104="معتمد")*ROW('حجز الإجازات'!$B$5:$B$104)))-5+1))</f>
        <v/>
      </c>
      <c r="FZ4" s="62">
        <f>IF(SUMPRODUCT(('حجز الإجازات'!$B$5:$B$104='الموظفون'!$B$2)*('حجز الإجازات'!$D$5:$D$104&lt;=FZ$3)*(('حجز الإجازات'!$E$5:$E$104)&gt;=FZ$3)*('حجز الإجازات'!$G$5:$G$104="معتمد")*ROW('حجز الإجازات'!$B$5:$B$104))=0,IF(FZ$3&lt;'الموظفون'!$D$2,"",IF(ISNUMBER(MATCH(FZ$3,Holidays,0)),"عطلة",IF(MOD(FZ$3-'الموظفون'!$D$2,CycleWork+CycleRest)&lt;CycleWork,INDEX('الإعدادات والقوائم'!$H$2:$H$4,MOD(INT(MOD(FZ$3-'الموظفون'!$D$2,CycleWork+CycleRest)*3/CycleWork)+MATCH(StartShift,'الإعدادات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الإجازات'!$D$5:$D$104&lt;=FZ$3)*(('حجز الإجازات'!$E$5:$E$104)&gt;=FZ$3)*('حجز الإجازات'!$G$5:$G$104="معتمد")*ROW('حجز الإجازات'!$B$5:$B$104)))-5+1))</f>
        <v/>
      </c>
      <c r="GA4" s="62">
        <f>IF(SUMPRODUCT(('حجز الإجازات'!$B$5:$B$104='الموظفون'!$B$2)*('حجز الإجازات'!$D$5:$D$104&lt;=GA$3)*(('حجز الإجازات'!$E$5:$E$104)&gt;=GA$3)*('حجز الإجازات'!$G$5:$G$104="معتمد")*ROW('حجز الإجازات'!$B$5:$B$104))=0,IF(GA$3&lt;'الموظفون'!$D$2,"",IF(ISNUMBER(MATCH(GA$3,Holidays,0)),"عطلة",IF(MOD(GA$3-'الموظفون'!$D$2,CycleWork+CycleRest)&lt;CycleWork,INDEX('الإعدادات والقوائم'!$H$2:$H$4,MOD(INT(MOD(GA$3-'الموظفون'!$D$2,CycleWork+CycleRest)*3/CycleWork)+MATCH(StartShift,'الإعدادات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الإجازات'!$D$5:$D$104&lt;=GA$3)*(('حجز الإجازات'!$E$5:$E$104)&gt;=GA$3)*('حجز الإجازات'!$G$5:$G$104="معتمد")*ROW('حجز الإجازات'!$B$5:$B$104)))-5+1))</f>
        <v/>
      </c>
      <c r="GB4" s="62">
        <f>IF(SUMPRODUCT(('حجز الإجازات'!$B$5:$B$104='الموظفون'!$B$2)*('حجز الإجازات'!$D$5:$D$104&lt;=GB$3)*(('حجز الإجازات'!$E$5:$E$104)&gt;=GB$3)*('حجز الإجازات'!$G$5:$G$104="معتمد")*ROW('حجز الإجازات'!$B$5:$B$104))=0,IF(GB$3&lt;'الموظفون'!$D$2,"",IF(ISNUMBER(MATCH(GB$3,Holidays,0)),"عطلة",IF(MOD(GB$3-'الموظفون'!$D$2,CycleWork+CycleRest)&lt;CycleWork,INDEX('الإعدادات والقوائم'!$H$2:$H$4,MOD(INT(MOD(GB$3-'الموظفون'!$D$2,CycleWork+CycleRest)*3/CycleWork)+MATCH(StartShift,'الإعدادات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الإجازات'!$D$5:$D$104&lt;=GB$3)*(('حجز الإجازات'!$E$5:$E$104)&gt;=GB$3)*('حجز الإجازات'!$G$5:$G$104="معتمد")*ROW('حجز الإجازات'!$B$5:$B$104)))-5+1))</f>
        <v/>
      </c>
      <c r="GC4" s="62">
        <f>IF(SUMPRODUCT(('حجز الإجازات'!$B$5:$B$104='الموظفون'!$B$2)*('حجز الإجازات'!$D$5:$D$104&lt;=GC$3)*(('حجز الإجازات'!$E$5:$E$104)&gt;=GC$3)*('حجز الإجازات'!$G$5:$G$104="معتمد")*ROW('حجز الإجازات'!$B$5:$B$104))=0,IF(GC$3&lt;'الموظفون'!$D$2,"",IF(ISNUMBER(MATCH(GC$3,Holidays,0)),"عطلة",IF(MOD(GC$3-'الموظفون'!$D$2,CycleWork+CycleRest)&lt;CycleWork,INDEX('الإعدادات والقوائم'!$H$2:$H$4,MOD(INT(MOD(GC$3-'الموظفون'!$D$2,CycleWork+CycleRest)*3/CycleWork)+MATCH(StartShift,'الإعدادات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الإجازات'!$D$5:$D$104&lt;=GC$3)*(('حجز الإجازات'!$E$5:$E$104)&gt;=GC$3)*('حجز الإجازات'!$G$5:$G$104="معتمد")*ROW('حجز الإجازات'!$B$5:$B$104)))-5+1))</f>
        <v/>
      </c>
      <c r="GD4" s="62">
        <f>IF(SUMPRODUCT(('حجز الإجازات'!$B$5:$B$104='الموظفون'!$B$2)*('حجز الإجازات'!$D$5:$D$104&lt;=GD$3)*(('حجز الإجازات'!$E$5:$E$104)&gt;=GD$3)*('حجز الإجازات'!$G$5:$G$104="معتمد")*ROW('حجز الإجازات'!$B$5:$B$104))=0,IF(GD$3&lt;'الموظفون'!$D$2,"",IF(ISNUMBER(MATCH(GD$3,Holidays,0)),"عطلة",IF(MOD(GD$3-'الموظفون'!$D$2,CycleWork+CycleRest)&lt;CycleWork,INDEX('الإعدادات والقوائم'!$H$2:$H$4,MOD(INT(MOD(GD$3-'الموظفون'!$D$2,CycleWork+CycleRest)*3/CycleWork)+MATCH(StartShift,'الإعدادات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الإجازات'!$D$5:$D$104&lt;=GD$3)*(('حجز الإجازات'!$E$5:$E$104)&gt;=GD$3)*('حجز الإجازات'!$G$5:$G$104="معتمد")*ROW('حجز الإجازات'!$B$5:$B$104)))-5+1))</f>
        <v/>
      </c>
      <c r="GE4" s="62">
        <f>IF(SUMPRODUCT(('حجز الإجازات'!$B$5:$B$104='الموظفون'!$B$2)*('حجز الإجازات'!$D$5:$D$104&lt;=GE$3)*(('حجز الإجازات'!$E$5:$E$104)&gt;=GE$3)*('حجز الإجازات'!$G$5:$G$104="معتمد")*ROW('حجز الإجازات'!$B$5:$B$104))=0,IF(GE$3&lt;'الموظفون'!$D$2,"",IF(ISNUMBER(MATCH(GE$3,Holidays,0)),"عطلة",IF(MOD(GE$3-'الموظفون'!$D$2,CycleWork+CycleRest)&lt;CycleWork,INDEX('الإعدادات والقوائم'!$H$2:$H$4,MOD(INT(MOD(GE$3-'الموظفون'!$D$2,CycleWork+CycleRest)*3/CycleWork)+MATCH(StartShift,'الإعدادات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الإجازات'!$D$5:$D$104&lt;=GE$3)*(('حجز الإجازات'!$E$5:$E$104)&gt;=GE$3)*('حجز الإجازات'!$G$5:$G$104="معتمد")*ROW('حجز الإجازات'!$B$5:$B$104)))-5+1))</f>
        <v/>
      </c>
      <c r="GF4" s="62">
        <f>IF(SUMPRODUCT(('حجز الإجازات'!$B$5:$B$104='الموظفون'!$B$2)*('حجز الإجازات'!$D$5:$D$104&lt;=GF$3)*(('حجز الإجازات'!$E$5:$E$104)&gt;=GF$3)*('حجز الإجازات'!$G$5:$G$104="معتمد")*ROW('حجز الإجازات'!$B$5:$B$104))=0,IF(GF$3&lt;'الموظفون'!$D$2,"",IF(ISNUMBER(MATCH(GF$3,Holidays,0)),"عطلة",IF(MOD(GF$3-'الموظفون'!$D$2,CycleWork+CycleRest)&lt;CycleWork,INDEX('الإعدادات والقوائم'!$H$2:$H$4,MOD(INT(MOD(GF$3-'الموظفون'!$D$2,CycleWork+CycleRest)*3/CycleWork)+MATCH(StartShift,'الإعدادات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الإجازات'!$D$5:$D$104&lt;=GF$3)*(('حجز الإجازات'!$E$5:$E$104)&gt;=GF$3)*('حجز الإجازات'!$G$5:$G$104="معتمد")*ROW('حجز الإجازات'!$B$5:$B$104)))-5+1))</f>
        <v/>
      </c>
      <c r="GG4" s="62">
        <f>IF(SUMPRODUCT(('حجز الإجازات'!$B$5:$B$104='الموظفون'!$B$2)*('حجز الإجازات'!$D$5:$D$104&lt;=GG$3)*(('حجز الإجازات'!$E$5:$E$104)&gt;=GG$3)*('حجز الإجازات'!$G$5:$G$104="معتمد")*ROW('حجز الإجازات'!$B$5:$B$104))=0,IF(GG$3&lt;'الموظفون'!$D$2,"",IF(ISNUMBER(MATCH(GG$3,Holidays,0)),"عطلة",IF(MOD(GG$3-'الموظفون'!$D$2,CycleWork+CycleRest)&lt;CycleWork,INDEX('الإعدادات والقوائم'!$H$2:$H$4,MOD(INT(MOD(GG$3-'الموظفون'!$D$2,CycleWork+CycleRest)*3/CycleWork)+MATCH(StartShift,'الإعدادات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الإجازات'!$D$5:$D$104&lt;=GG$3)*(('حجز الإجازات'!$E$5:$E$104)&gt;=GG$3)*('حجز الإجازات'!$G$5:$G$104="معتمد")*ROW('حجز الإجازات'!$B$5:$B$104)))-5+1))</f>
        <v/>
      </c>
      <c r="GH4" s="62">
        <f>IF(SUMPRODUCT(('حجز الإجازات'!$B$5:$B$104='الموظفون'!$B$2)*('حجز الإجازات'!$D$5:$D$104&lt;=GH$3)*(('حجز الإجازات'!$E$5:$E$104)&gt;=GH$3)*('حجز الإجازات'!$G$5:$G$104="معتمد")*ROW('حجز الإجازات'!$B$5:$B$104))=0,IF(GH$3&lt;'الموظفون'!$D$2,"",IF(ISNUMBER(MATCH(GH$3,Holidays,0)),"عطلة",IF(MOD(GH$3-'الموظفون'!$D$2,CycleWork+CycleRest)&lt;CycleWork,INDEX('الإعدادات والقوائم'!$H$2:$H$4,MOD(INT(MOD(GH$3-'الموظفون'!$D$2,CycleWork+CycleRest)*3/CycleWork)+MATCH(StartShift,'الإعدادات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الإجازات'!$D$5:$D$104&lt;=GH$3)*(('حجز الإجازات'!$E$5:$E$104)&gt;=GH$3)*('حجز الإجازات'!$G$5:$G$104="معتمد")*ROW('حجز الإجازات'!$B$5:$B$104)))-5+1))</f>
        <v/>
      </c>
      <c r="GI4" s="62">
        <f>IF(SUMPRODUCT(('حجز الإجازات'!$B$5:$B$104='الموظفون'!$B$2)*('حجز الإجازات'!$D$5:$D$104&lt;=GI$3)*(('حجز الإجازات'!$E$5:$E$104)&gt;=GI$3)*('حجز الإجازات'!$G$5:$G$104="معتمد")*ROW('حجز الإجازات'!$B$5:$B$104))=0,IF(GI$3&lt;'الموظفون'!$D$2,"",IF(ISNUMBER(MATCH(GI$3,Holidays,0)),"عطلة",IF(MOD(GI$3-'الموظفون'!$D$2,CycleWork+CycleRest)&lt;CycleWork,INDEX('الإعدادات والقوائم'!$H$2:$H$4,MOD(INT(MOD(GI$3-'الموظفون'!$D$2,CycleWork+CycleRest)*3/CycleWork)+MATCH(StartShift,'الإعدادات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الإجازات'!$D$5:$D$104&lt;=GI$3)*(('حجز الإجازات'!$E$5:$E$104)&gt;=GI$3)*('حجز الإجازات'!$G$5:$G$104="معتمد")*ROW('حجز الإجازات'!$B$5:$B$104)))-5+1))</f>
        <v/>
      </c>
      <c r="GJ4" s="62">
        <f>IF(SUMPRODUCT(('حجز الإجازات'!$B$5:$B$104='الموظفون'!$B$2)*('حجز الإجازات'!$D$5:$D$104&lt;=GJ$3)*(('حجز الإجازات'!$E$5:$E$104)&gt;=GJ$3)*('حجز الإجازات'!$G$5:$G$104="معتمد")*ROW('حجز الإجازات'!$B$5:$B$104))=0,IF(GJ$3&lt;'الموظفون'!$D$2,"",IF(ISNUMBER(MATCH(GJ$3,Holidays,0)),"عطلة",IF(MOD(GJ$3-'الموظفون'!$D$2,CycleWork+CycleRest)&lt;CycleWork,INDEX('الإعدادات والقوائم'!$H$2:$H$4,MOD(INT(MOD(GJ$3-'الموظفون'!$D$2,CycleWork+CycleRest)*3/CycleWork)+MATCH(StartShift,'الإعدادات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الإجازات'!$D$5:$D$104&lt;=GJ$3)*(('حجز الإجازات'!$E$5:$E$104)&gt;=GJ$3)*('حجز الإجازات'!$G$5:$G$104="معتمد")*ROW('حجز الإجازات'!$B$5:$B$104)))-5+1))</f>
        <v/>
      </c>
      <c r="GK4" s="62">
        <f>IF(SUMPRODUCT(('حجز الإجازات'!$B$5:$B$104='الموظفون'!$B$2)*('حجز الإجازات'!$D$5:$D$104&lt;=GK$3)*(('حجز الإجازات'!$E$5:$E$104)&gt;=GK$3)*('حجز الإجازات'!$G$5:$G$104="معتمد")*ROW('حجز الإجازات'!$B$5:$B$104))=0,IF(GK$3&lt;'الموظفون'!$D$2,"",IF(ISNUMBER(MATCH(GK$3,Holidays,0)),"عطلة",IF(MOD(GK$3-'الموظفون'!$D$2,CycleWork+CycleRest)&lt;CycleWork,INDEX('الإعدادات والقوائم'!$H$2:$H$4,MOD(INT(MOD(GK$3-'الموظفون'!$D$2,CycleWork+CycleRest)*3/CycleWork)+MATCH(StartShift,'الإعدادات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الإجازات'!$D$5:$D$104&lt;=GK$3)*(('حجز الإجازات'!$E$5:$E$104)&gt;=GK$3)*('حجز الإجازات'!$G$5:$G$104="معتمد")*ROW('حجز الإجازات'!$B$5:$B$104)))-5+1))</f>
        <v/>
      </c>
      <c r="GL4" s="62">
        <f>IF(SUMPRODUCT(('حجز الإجازات'!$B$5:$B$104='الموظفون'!$B$2)*('حجز الإجازات'!$D$5:$D$104&lt;=GL$3)*(('حجز الإجازات'!$E$5:$E$104)&gt;=GL$3)*('حجز الإجازات'!$G$5:$G$104="معتمد")*ROW('حجز الإجازات'!$B$5:$B$104))=0,IF(GL$3&lt;'الموظفون'!$D$2,"",IF(ISNUMBER(MATCH(GL$3,Holidays,0)),"عطلة",IF(MOD(GL$3-'الموظفون'!$D$2,CycleWork+CycleRest)&lt;CycleWork,INDEX('الإعدادات والقوائم'!$H$2:$H$4,MOD(INT(MOD(GL$3-'الموظفون'!$D$2,CycleWork+CycleRest)*3/CycleWork)+MATCH(StartShift,'الإعدادات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الإجازات'!$D$5:$D$104&lt;=GL$3)*(('حجز الإجازات'!$E$5:$E$104)&gt;=GL$3)*('حجز الإجازات'!$G$5:$G$104="معتمد")*ROW('حجز الإجازات'!$B$5:$B$104)))-5+1))</f>
        <v/>
      </c>
      <c r="GM4" s="62">
        <f>IF(SUMPRODUCT(('حجز الإجازات'!$B$5:$B$104='الموظفون'!$B$2)*('حجز الإجازات'!$D$5:$D$104&lt;=GM$3)*(('حجز الإجازات'!$E$5:$E$104)&gt;=GM$3)*('حجز الإجازات'!$G$5:$G$104="معتمد")*ROW('حجز الإجازات'!$B$5:$B$104))=0,IF(GM$3&lt;'الموظفون'!$D$2,"",IF(ISNUMBER(MATCH(GM$3,Holidays,0)),"عطلة",IF(MOD(GM$3-'الموظفون'!$D$2,CycleWork+CycleRest)&lt;CycleWork,INDEX('الإعدادات والقوائم'!$H$2:$H$4,MOD(INT(MOD(GM$3-'الموظفون'!$D$2,CycleWork+CycleRest)*3/CycleWork)+MATCH(StartShift,'الإعدادات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الإجازات'!$D$5:$D$104&lt;=GM$3)*(('حجز الإجازات'!$E$5:$E$104)&gt;=GM$3)*('حجز الإجازات'!$G$5:$G$104="معتمد")*ROW('حجز الإجازات'!$B$5:$B$104)))-5+1))</f>
        <v/>
      </c>
      <c r="GN4" s="62">
        <f>IF(SUMPRODUCT(('حجز الإجازات'!$B$5:$B$104='الموظفون'!$B$2)*('حجز الإجازات'!$D$5:$D$104&lt;=GN$3)*(('حجز الإجازات'!$E$5:$E$104)&gt;=GN$3)*('حجز الإجازات'!$G$5:$G$104="معتمد")*ROW('حجز الإجازات'!$B$5:$B$104))=0,IF(GN$3&lt;'الموظفون'!$D$2,"",IF(ISNUMBER(MATCH(GN$3,Holidays,0)),"عطلة",IF(MOD(GN$3-'الموظفون'!$D$2,CycleWork+CycleRest)&lt;CycleWork,INDEX('الإعدادات والقوائم'!$H$2:$H$4,MOD(INT(MOD(GN$3-'الموظفون'!$D$2,CycleWork+CycleRest)*3/CycleWork)+MATCH(StartShift,'الإعدادات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الإجازات'!$D$5:$D$104&lt;=GN$3)*(('حجز الإجازات'!$E$5:$E$104)&gt;=GN$3)*('حجز الإجازات'!$G$5:$G$104="معتمد")*ROW('حجز الإجازات'!$B$5:$B$104)))-5+1))</f>
        <v/>
      </c>
      <c r="GO4" s="62">
        <f>IF(SUMPRODUCT(('حجز الإجازات'!$B$5:$B$104='الموظفون'!$B$2)*('حجز الإجازات'!$D$5:$D$104&lt;=GO$3)*(('حجز الإجازات'!$E$5:$E$104)&gt;=GO$3)*('حجز الإجازات'!$G$5:$G$104="معتمد")*ROW('حجز الإجازات'!$B$5:$B$104))=0,IF(GO$3&lt;'الموظفون'!$D$2,"",IF(ISNUMBER(MATCH(GO$3,Holidays,0)),"عطلة",IF(MOD(GO$3-'الموظفون'!$D$2,CycleWork+CycleRest)&lt;CycleWork,INDEX('الإعدادات والقوائم'!$H$2:$H$4,MOD(INT(MOD(GO$3-'الموظفون'!$D$2,CycleWork+CycleRest)*3/CycleWork)+MATCH(StartShift,'الإعدادات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الإجازات'!$D$5:$D$104&lt;=GO$3)*(('حجز الإجازات'!$E$5:$E$104)&gt;=GO$3)*('حجز الإجازات'!$G$5:$G$104="معتمد")*ROW('حجز الإجازات'!$B$5:$B$104)))-5+1))</f>
        <v/>
      </c>
      <c r="GP4" s="62">
        <f>IF(SUMPRODUCT(('حجز الإجازات'!$B$5:$B$104='الموظفون'!$B$2)*('حجز الإجازات'!$D$5:$D$104&lt;=GP$3)*(('حجز الإجازات'!$E$5:$E$104)&gt;=GP$3)*('حجز الإجازات'!$G$5:$G$104="معتمد")*ROW('حجز الإجازات'!$B$5:$B$104))=0,IF(GP$3&lt;'الموظفون'!$D$2,"",IF(ISNUMBER(MATCH(GP$3,Holidays,0)),"عطلة",IF(MOD(GP$3-'الموظفون'!$D$2,CycleWork+CycleRest)&lt;CycleWork,INDEX('الإعدادات والقوائم'!$H$2:$H$4,MOD(INT(MOD(GP$3-'الموظفون'!$D$2,CycleWork+CycleRest)*3/CycleWork)+MATCH(StartShift,'الإعدادات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الإجازات'!$D$5:$D$104&lt;=GP$3)*(('حجز الإجازات'!$E$5:$E$104)&gt;=GP$3)*('حجز الإجازات'!$G$5:$G$104="معتمد")*ROW('حجز الإجازات'!$B$5:$B$104)))-5+1))</f>
        <v/>
      </c>
      <c r="GQ4" s="62">
        <f>IF(SUMPRODUCT(('حجز الإجازات'!$B$5:$B$104='الموظفون'!$B$2)*('حجز الإجازات'!$D$5:$D$104&lt;=GQ$3)*(('حجز الإجازات'!$E$5:$E$104)&gt;=GQ$3)*('حجز الإجازات'!$G$5:$G$104="معتمد")*ROW('حجز الإجازات'!$B$5:$B$104))=0,IF(GQ$3&lt;'الموظفون'!$D$2,"",IF(ISNUMBER(MATCH(GQ$3,Holidays,0)),"عطلة",IF(MOD(GQ$3-'الموظفون'!$D$2,CycleWork+CycleRest)&lt;CycleWork,INDEX('الإعدادات والقوائم'!$H$2:$H$4,MOD(INT(MOD(GQ$3-'الموظفون'!$D$2,CycleWork+CycleRest)*3/CycleWork)+MATCH(StartShift,'الإعدادات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الإجازات'!$D$5:$D$104&lt;=GQ$3)*(('حجز الإجازات'!$E$5:$E$104)&gt;=GQ$3)*('حجز الإجازات'!$G$5:$G$104="معتمد")*ROW('حجز الإجازات'!$B$5:$B$104)))-5+1))</f>
        <v/>
      </c>
      <c r="GR4" s="62">
        <f>IF(SUMPRODUCT(('حجز الإجازات'!$B$5:$B$104='الموظفون'!$B$2)*('حجز الإجازات'!$D$5:$D$104&lt;=GR$3)*(('حجز الإجازات'!$E$5:$E$104)&gt;=GR$3)*('حجز الإجازات'!$G$5:$G$104="معتمد")*ROW('حجز الإجازات'!$B$5:$B$104))=0,IF(GR$3&lt;'الموظفون'!$D$2,"",IF(ISNUMBER(MATCH(GR$3,Holidays,0)),"عطلة",IF(MOD(GR$3-'الموظفون'!$D$2,CycleWork+CycleRest)&lt;CycleWork,INDEX('الإعدادات والقوائم'!$H$2:$H$4,MOD(INT(MOD(GR$3-'الموظفون'!$D$2,CycleWork+CycleRest)*3/CycleWork)+MATCH(StartShift,'الإعدادات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الإجازات'!$D$5:$D$104&lt;=GR$3)*(('حجز الإجازات'!$E$5:$E$104)&gt;=GR$3)*('حجز الإجازات'!$G$5:$G$104="معتمد")*ROW('حجز الإجازات'!$B$5:$B$104)))-5+1))</f>
        <v/>
      </c>
      <c r="GS4" s="62">
        <f>IF(SUMPRODUCT(('حجز الإجازات'!$B$5:$B$104='الموظفون'!$B$2)*('حجز الإجازات'!$D$5:$D$104&lt;=GS$3)*(('حجز الإجازات'!$E$5:$E$104)&gt;=GS$3)*('حجز الإجازات'!$G$5:$G$104="معتمد")*ROW('حجز الإجازات'!$B$5:$B$104))=0,IF(GS$3&lt;'الموظفون'!$D$2,"",IF(ISNUMBER(MATCH(GS$3,Holidays,0)),"عطلة",IF(MOD(GS$3-'الموظفون'!$D$2,CycleWork+CycleRest)&lt;CycleWork,INDEX('الإعدادات والقوائم'!$H$2:$H$4,MOD(INT(MOD(GS$3-'الموظفون'!$D$2,CycleWork+CycleRest)*3/CycleWork)+MATCH(StartShift,'الإعدادات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الإجازات'!$D$5:$D$104&lt;=GS$3)*(('حجز الإجازات'!$E$5:$E$104)&gt;=GS$3)*('حجز الإجازات'!$G$5:$G$104="معتمد")*ROW('حجز الإجازات'!$B$5:$B$104)))-5+1))</f>
        <v/>
      </c>
      <c r="GT4" s="62">
        <f>IF(SUMPRODUCT(('حجز الإجازات'!$B$5:$B$104='الموظفون'!$B$2)*('حجز الإجازات'!$D$5:$D$104&lt;=GT$3)*(('حجز الإجازات'!$E$5:$E$104)&gt;=GT$3)*('حجز الإجازات'!$G$5:$G$104="معتمد")*ROW('حجز الإجازات'!$B$5:$B$104))=0,IF(GT$3&lt;'الموظفون'!$D$2,"",IF(ISNUMBER(MATCH(GT$3,Holidays,0)),"عطلة",IF(MOD(GT$3-'الموظفون'!$D$2,CycleWork+CycleRest)&lt;CycleWork,INDEX('الإعدادات والقوائم'!$H$2:$H$4,MOD(INT(MOD(GT$3-'الموظفون'!$D$2,CycleWork+CycleRest)*3/CycleWork)+MATCH(StartShift,'الإعدادات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الإجازات'!$D$5:$D$104&lt;=GT$3)*(('حجز الإجازات'!$E$5:$E$104)&gt;=GT$3)*('حجز الإجازات'!$G$5:$G$104="معتمد")*ROW('حجز الإجازات'!$B$5:$B$104)))-5+1))</f>
        <v/>
      </c>
      <c r="GU4" s="62">
        <f>IF(SUMPRODUCT(('حجز الإجازات'!$B$5:$B$104='الموظفون'!$B$2)*('حجز الإجازات'!$D$5:$D$104&lt;=GU$3)*(('حجز الإجازات'!$E$5:$E$104)&gt;=GU$3)*('حجز الإجازات'!$G$5:$G$104="معتمد")*ROW('حجز الإجازات'!$B$5:$B$104))=0,IF(GU$3&lt;'الموظفون'!$D$2,"",IF(ISNUMBER(MATCH(GU$3,Holidays,0)),"عطلة",IF(MOD(GU$3-'الموظفون'!$D$2,CycleWork+CycleRest)&lt;CycleWork,INDEX('الإعدادات والقوائم'!$H$2:$H$4,MOD(INT(MOD(GU$3-'الموظفون'!$D$2,CycleWork+CycleRest)*3/CycleWork)+MATCH(StartShift,'الإعدادات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الإجازات'!$D$5:$D$104&lt;=GU$3)*(('حجز الإجازات'!$E$5:$E$104)&gt;=GU$3)*('حجز الإجازات'!$G$5:$G$104="معتمد")*ROW('حجز الإجازات'!$B$5:$B$104)))-5+1))</f>
        <v/>
      </c>
      <c r="GV4" s="62">
        <f>IF(SUMPRODUCT(('حجز الإجازات'!$B$5:$B$104='الموظفون'!$B$2)*('حجز الإجازات'!$D$5:$D$104&lt;=GV$3)*(('حجز الإجازات'!$E$5:$E$104)&gt;=GV$3)*('حجز الإجازات'!$G$5:$G$104="معتمد")*ROW('حجز الإجازات'!$B$5:$B$104))=0,IF(GV$3&lt;'الموظفون'!$D$2,"",IF(ISNUMBER(MATCH(GV$3,Holidays,0)),"عطلة",IF(MOD(GV$3-'الموظفون'!$D$2,CycleWork+CycleRest)&lt;CycleWork,INDEX('الإعدادات والقوائم'!$H$2:$H$4,MOD(INT(MOD(GV$3-'الموظفون'!$D$2,CycleWork+CycleRest)*3/CycleWork)+MATCH(StartShift,'الإعدادات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الإجازات'!$D$5:$D$104&lt;=GV$3)*(('حجز الإجازات'!$E$5:$E$104)&gt;=GV$3)*('حجز الإجازات'!$G$5:$G$104="معتمد")*ROW('حجز الإجازات'!$B$5:$B$104)))-5+1))</f>
        <v/>
      </c>
      <c r="GW4" s="62">
        <f>IF(SUMPRODUCT(('حجز الإجازات'!$B$5:$B$104='الموظفون'!$B$2)*('حجز الإجازات'!$D$5:$D$104&lt;=GW$3)*(('حجز الإجازات'!$E$5:$E$104)&gt;=GW$3)*('حجز الإجازات'!$G$5:$G$104="معتمد")*ROW('حجز الإجازات'!$B$5:$B$104))=0,IF(GW$3&lt;'الموظفون'!$D$2,"",IF(ISNUMBER(MATCH(GW$3,Holidays,0)),"عطلة",IF(MOD(GW$3-'الموظفون'!$D$2,CycleWork+CycleRest)&lt;CycleWork,INDEX('الإعدادات والقوائم'!$H$2:$H$4,MOD(INT(MOD(GW$3-'الموظفون'!$D$2,CycleWork+CycleRest)*3/CycleWork)+MATCH(StartShift,'الإعدادات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الإجازات'!$D$5:$D$104&lt;=GW$3)*(('حجز الإجازات'!$E$5:$E$104)&gt;=GW$3)*('حجز الإجازات'!$G$5:$G$104="معتمد")*ROW('حجز الإجازات'!$B$5:$B$104)))-5+1))</f>
        <v/>
      </c>
      <c r="GX4" s="62">
        <f>IF(SUMPRODUCT(('حجز الإجازات'!$B$5:$B$104='الموظفون'!$B$2)*('حجز الإجازات'!$D$5:$D$104&lt;=GX$3)*(('حجز الإجازات'!$E$5:$E$104)&gt;=GX$3)*('حجز الإجازات'!$G$5:$G$104="معتمد")*ROW('حجز الإجازات'!$B$5:$B$104))=0,IF(GX$3&lt;'الموظفون'!$D$2,"",IF(ISNUMBER(MATCH(GX$3,Holidays,0)),"عطلة",IF(MOD(GX$3-'الموظفون'!$D$2,CycleWork+CycleRest)&lt;CycleWork,INDEX('الإعدادات والقوائم'!$H$2:$H$4,MOD(INT(MOD(GX$3-'الموظفون'!$D$2,CycleWork+CycleRest)*3/CycleWork)+MATCH(StartShift,'الإعدادات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الإجازات'!$D$5:$D$104&lt;=GX$3)*(('حجز الإجازات'!$E$5:$E$104)&gt;=GX$3)*('حجز الإجازات'!$G$5:$G$104="معتمد")*ROW('حجز الإجازات'!$B$5:$B$104)))-5+1))</f>
        <v/>
      </c>
      <c r="GY4" s="62">
        <f>IF(SUMPRODUCT(('حجز الإجازات'!$B$5:$B$104='الموظفون'!$B$2)*('حجز الإجازات'!$D$5:$D$104&lt;=GY$3)*(('حجز الإجازات'!$E$5:$E$104)&gt;=GY$3)*('حجز الإجازات'!$G$5:$G$104="معتمد")*ROW('حجز الإجازات'!$B$5:$B$104))=0,IF(GY$3&lt;'الموظفون'!$D$2,"",IF(ISNUMBER(MATCH(GY$3,Holidays,0)),"عطلة",IF(MOD(GY$3-'الموظفون'!$D$2,CycleWork+CycleRest)&lt;CycleWork,INDEX('الإعدادات والقوائم'!$H$2:$H$4,MOD(INT(MOD(GY$3-'الموظفون'!$D$2,CycleWork+CycleRest)*3/CycleWork)+MATCH(StartShift,'الإعدادات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الإجازات'!$D$5:$D$104&lt;=GY$3)*(('حجز الإجازات'!$E$5:$E$104)&gt;=GY$3)*('حجز الإجازات'!$G$5:$G$104="معتمد")*ROW('حجز الإجازات'!$B$5:$B$104)))-5+1))</f>
        <v/>
      </c>
      <c r="GZ4" s="62">
        <f>IF(SUMPRODUCT(('حجز الإجازات'!$B$5:$B$104='الموظفون'!$B$2)*('حجز الإجازات'!$D$5:$D$104&lt;=GZ$3)*(('حجز الإجازات'!$E$5:$E$104)&gt;=GZ$3)*('حجز الإجازات'!$G$5:$G$104="معتمد")*ROW('حجز الإجازات'!$B$5:$B$104))=0,IF(GZ$3&lt;'الموظفون'!$D$2,"",IF(ISNUMBER(MATCH(GZ$3,Holidays,0)),"عطلة",IF(MOD(GZ$3-'الموظفون'!$D$2,CycleWork+CycleRest)&lt;CycleWork,INDEX('الإعدادات والقوائم'!$H$2:$H$4,MOD(INT(MOD(GZ$3-'الموظفون'!$D$2,CycleWork+CycleRest)*3/CycleWork)+MATCH(StartShift,'الإعدادات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الإجازات'!$D$5:$D$104&lt;=GZ$3)*(('حجز الإجازات'!$E$5:$E$104)&gt;=GZ$3)*('حجز الإجازات'!$G$5:$G$104="معتمد")*ROW('حجز الإجازات'!$B$5:$B$104)))-5+1))</f>
        <v/>
      </c>
      <c r="HA4" s="62">
        <f>IF(SUMPRODUCT(('حجز الإجازات'!$B$5:$B$104='الموظفون'!$B$2)*('حجز الإجازات'!$D$5:$D$104&lt;=HA$3)*(('حجز الإجازات'!$E$5:$E$104)&gt;=HA$3)*('حجز الإجازات'!$G$5:$G$104="معتمد")*ROW('حجز الإجازات'!$B$5:$B$104))=0,IF(HA$3&lt;'الموظفون'!$D$2,"",IF(ISNUMBER(MATCH(HA$3,Holidays,0)),"عطلة",IF(MOD(HA$3-'الموظفون'!$D$2,CycleWork+CycleRest)&lt;CycleWork,INDEX('الإعدادات والقوائم'!$H$2:$H$4,MOD(INT(MOD(HA$3-'الموظفون'!$D$2,CycleWork+CycleRest)*3/CycleWork)+MATCH(StartShift,'الإعدادات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الإجازات'!$D$5:$D$104&lt;=HA$3)*(('حجز الإجازات'!$E$5:$E$104)&gt;=HA$3)*('حجز الإجازات'!$G$5:$G$104="معتمد")*ROW('حجز الإجازات'!$B$5:$B$104)))-5+1))</f>
        <v/>
      </c>
      <c r="HB4" s="62">
        <f>IF(SUMPRODUCT(('حجز الإجازات'!$B$5:$B$104='الموظفون'!$B$2)*('حجز الإجازات'!$D$5:$D$104&lt;=HB$3)*(('حجز الإجازات'!$E$5:$E$104)&gt;=HB$3)*('حجز الإجازات'!$G$5:$G$104="معتمد")*ROW('حجز الإجازات'!$B$5:$B$104))=0,IF(HB$3&lt;'الموظفون'!$D$2,"",IF(ISNUMBER(MATCH(HB$3,Holidays,0)),"عطلة",IF(MOD(HB$3-'الموظفون'!$D$2,CycleWork+CycleRest)&lt;CycleWork,INDEX('الإعدادات والقوائم'!$H$2:$H$4,MOD(INT(MOD(HB$3-'الموظفون'!$D$2,CycleWork+CycleRest)*3/CycleWork)+MATCH(StartShift,'الإعدادات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الإجازات'!$D$5:$D$104&lt;=HB$3)*(('حجز الإجازات'!$E$5:$E$104)&gt;=HB$3)*('حجز الإجازات'!$G$5:$G$104="معتمد")*ROW('حجز الإجازات'!$B$5:$B$104)))-5+1))</f>
        <v/>
      </c>
      <c r="HC4" s="62">
        <f>IF(SUMPRODUCT(('حجز الإجازات'!$B$5:$B$104='الموظفون'!$B$2)*('حجز الإجازات'!$D$5:$D$104&lt;=HC$3)*(('حجز الإجازات'!$E$5:$E$104)&gt;=HC$3)*('حجز الإجازات'!$G$5:$G$104="معتمد")*ROW('حجز الإجازات'!$B$5:$B$104))=0,IF(HC$3&lt;'الموظفون'!$D$2,"",IF(ISNUMBER(MATCH(HC$3,Holidays,0)),"عطلة",IF(MOD(HC$3-'الموظفون'!$D$2,CycleWork+CycleRest)&lt;CycleWork,INDEX('الإعدادات والقوائم'!$H$2:$H$4,MOD(INT(MOD(HC$3-'الموظفون'!$D$2,CycleWork+CycleRest)*3/CycleWork)+MATCH(StartShift,'الإعدادات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الإجازات'!$D$5:$D$104&lt;=HC$3)*(('حجز الإجازات'!$E$5:$E$104)&gt;=HC$3)*('حجز الإجازات'!$G$5:$G$104="معتمد")*ROW('حجز الإجازات'!$B$5:$B$104)))-5+1))</f>
        <v/>
      </c>
      <c r="HD4" s="62">
        <f>IF(SUMPRODUCT(('حجز الإجازات'!$B$5:$B$104='الموظفون'!$B$2)*('حجز الإجازات'!$D$5:$D$104&lt;=HD$3)*(('حجز الإجازات'!$E$5:$E$104)&gt;=HD$3)*('حجز الإجازات'!$G$5:$G$104="معتمد")*ROW('حجز الإجازات'!$B$5:$B$104))=0,IF(HD$3&lt;'الموظفون'!$D$2,"",IF(ISNUMBER(MATCH(HD$3,Holidays,0)),"عطلة",IF(MOD(HD$3-'الموظفون'!$D$2,CycleWork+CycleRest)&lt;CycleWork,INDEX('الإعدادات والقوائم'!$H$2:$H$4,MOD(INT(MOD(HD$3-'الموظفون'!$D$2,CycleWork+CycleRest)*3/CycleWork)+MATCH(StartShift,'الإعدادات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الإجازات'!$D$5:$D$104&lt;=HD$3)*(('حجز الإجازات'!$E$5:$E$104)&gt;=HD$3)*('حجز الإجازات'!$G$5:$G$104="معتمد")*ROW('حجز الإجازات'!$B$5:$B$104)))-5+1))</f>
        <v/>
      </c>
      <c r="HE4" s="62">
        <f>IF(SUMPRODUCT(('حجز الإجازات'!$B$5:$B$104='الموظفون'!$B$2)*('حجز الإجازات'!$D$5:$D$104&lt;=HE$3)*(('حجز الإجازات'!$E$5:$E$104)&gt;=HE$3)*('حجز الإجازات'!$G$5:$G$104="معتمد")*ROW('حجز الإجازات'!$B$5:$B$104))=0,IF(HE$3&lt;'الموظفون'!$D$2,"",IF(ISNUMBER(MATCH(HE$3,Holidays,0)),"عطلة",IF(MOD(HE$3-'الموظفون'!$D$2,CycleWork+CycleRest)&lt;CycleWork,INDEX('الإعدادات والقوائم'!$H$2:$H$4,MOD(INT(MOD(HE$3-'الموظفون'!$D$2,CycleWork+CycleRest)*3/CycleWork)+MATCH(StartShift,'الإعدادات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الإجازات'!$D$5:$D$104&lt;=HE$3)*(('حجز الإجازات'!$E$5:$E$104)&gt;=HE$3)*('حجز الإجازات'!$G$5:$G$104="معتمد")*ROW('حجز الإجازات'!$B$5:$B$104)))-5+1))</f>
        <v/>
      </c>
      <c r="HF4" s="62">
        <f>IF(SUMPRODUCT(('حجز الإجازات'!$B$5:$B$104='الموظفون'!$B$2)*('حجز الإجازات'!$D$5:$D$104&lt;=HF$3)*(('حجز الإجازات'!$E$5:$E$104)&gt;=HF$3)*('حجز الإجازات'!$G$5:$G$104="معتمد")*ROW('حجز الإجازات'!$B$5:$B$104))=0,IF(HF$3&lt;'الموظفون'!$D$2,"",IF(ISNUMBER(MATCH(HF$3,Holidays,0)),"عطلة",IF(MOD(HF$3-'الموظفون'!$D$2,CycleWork+CycleRest)&lt;CycleWork,INDEX('الإعدادات والقوائم'!$H$2:$H$4,MOD(INT(MOD(HF$3-'الموظفون'!$D$2,CycleWork+CycleRest)*3/CycleWork)+MATCH(StartShift,'الإعدادات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الإجازات'!$D$5:$D$104&lt;=HF$3)*(('حجز الإجازات'!$E$5:$E$104)&gt;=HF$3)*('حجز الإجازات'!$G$5:$G$104="معتمد")*ROW('حجز الإجازات'!$B$5:$B$104)))-5+1))</f>
        <v/>
      </c>
      <c r="HG4" s="62">
        <f>IF(SUMPRODUCT(('حجز الإجازات'!$B$5:$B$104='الموظفون'!$B$2)*('حجز الإجازات'!$D$5:$D$104&lt;=HG$3)*(('حجز الإجازات'!$E$5:$E$104)&gt;=HG$3)*('حجز الإجازات'!$G$5:$G$104="معتمد")*ROW('حجز الإجازات'!$B$5:$B$104))=0,IF(HG$3&lt;'الموظفون'!$D$2,"",IF(ISNUMBER(MATCH(HG$3,Holidays,0)),"عطلة",IF(MOD(HG$3-'الموظفون'!$D$2,CycleWork+CycleRest)&lt;CycleWork,INDEX('الإعدادات والقوائم'!$H$2:$H$4,MOD(INT(MOD(HG$3-'الموظفون'!$D$2,CycleWork+CycleRest)*3/CycleWork)+MATCH(StartShift,'الإعدادات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الإجازات'!$D$5:$D$104&lt;=HG$3)*(('حجز الإجازات'!$E$5:$E$104)&gt;=HG$3)*('حجز الإجازات'!$G$5:$G$104="معتمد")*ROW('حجز الإجازات'!$B$5:$B$104)))-5+1))</f>
        <v/>
      </c>
      <c r="HH4" s="62">
        <f>IF(SUMPRODUCT(('حجز الإجازات'!$B$5:$B$104='الموظفون'!$B$2)*('حجز الإجازات'!$D$5:$D$104&lt;=HH$3)*(('حجز الإجازات'!$E$5:$E$104)&gt;=HH$3)*('حجز الإجازات'!$G$5:$G$104="معتمد")*ROW('حجز الإجازات'!$B$5:$B$104))=0,IF(HH$3&lt;'الموظفون'!$D$2,"",IF(ISNUMBER(MATCH(HH$3,Holidays,0)),"عطلة",IF(MOD(HH$3-'الموظفون'!$D$2,CycleWork+CycleRest)&lt;CycleWork,INDEX('الإعدادات والقوائم'!$H$2:$H$4,MOD(INT(MOD(HH$3-'الموظفون'!$D$2,CycleWork+CycleRest)*3/CycleWork)+MATCH(StartShift,'الإعدادات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الإجازات'!$D$5:$D$104&lt;=HH$3)*(('حجز الإجازات'!$E$5:$E$104)&gt;=HH$3)*('حجز الإجازات'!$G$5:$G$104="معتمد")*ROW('حجز الإجازات'!$B$5:$B$104)))-5+1))</f>
        <v/>
      </c>
      <c r="HI4" s="62">
        <f>IF(SUMPRODUCT(('حجز الإجازات'!$B$5:$B$104='الموظفون'!$B$2)*('حجز الإجازات'!$D$5:$D$104&lt;=HI$3)*(('حجز الإجازات'!$E$5:$E$104)&gt;=HI$3)*('حجز الإجازات'!$G$5:$G$104="معتمد")*ROW('حجز الإجازات'!$B$5:$B$104))=0,IF(HI$3&lt;'الموظفون'!$D$2,"",IF(ISNUMBER(MATCH(HI$3,Holidays,0)),"عطلة",IF(MOD(HI$3-'الموظفون'!$D$2,CycleWork+CycleRest)&lt;CycleWork,INDEX('الإعدادات والقوائم'!$H$2:$H$4,MOD(INT(MOD(HI$3-'الموظفون'!$D$2,CycleWork+CycleRest)*3/CycleWork)+MATCH(StartShift,'الإعدادات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الإجازات'!$D$5:$D$104&lt;=HI$3)*(('حجز الإجازات'!$E$5:$E$104)&gt;=HI$3)*('حجز الإجازات'!$G$5:$G$104="معتمد")*ROW('حجز الإجازات'!$B$5:$B$104)))-5+1))</f>
        <v/>
      </c>
      <c r="HJ4" s="62">
        <f>IF(SUMPRODUCT(('حجز الإجازات'!$B$5:$B$104='الموظفون'!$B$2)*('حجز الإجازات'!$D$5:$D$104&lt;=HJ$3)*(('حجز الإجازات'!$E$5:$E$104)&gt;=HJ$3)*('حجز الإجازات'!$G$5:$G$104="معتمد")*ROW('حجز الإجازات'!$B$5:$B$104))=0,IF(HJ$3&lt;'الموظفون'!$D$2,"",IF(ISNUMBER(MATCH(HJ$3,Holidays,0)),"عطلة",IF(MOD(HJ$3-'الموظفون'!$D$2,CycleWork+CycleRest)&lt;CycleWork,INDEX('الإعدادات والقوائم'!$H$2:$H$4,MOD(INT(MOD(HJ$3-'الموظفون'!$D$2,CycleWork+CycleRest)*3/CycleWork)+MATCH(StartShift,'الإعدادات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الإجازات'!$D$5:$D$104&lt;=HJ$3)*(('حجز الإجازات'!$E$5:$E$104)&gt;=HJ$3)*('حجز الإجازات'!$G$5:$G$104="معتمد")*ROW('حجز الإجازات'!$B$5:$B$104)))-5+1))</f>
        <v/>
      </c>
      <c r="HK4" s="62">
        <f>IF(SUMPRODUCT(('حجز الإجازات'!$B$5:$B$104='الموظفون'!$B$2)*('حجز الإجازات'!$D$5:$D$104&lt;=HK$3)*(('حجز الإجازات'!$E$5:$E$104)&gt;=HK$3)*('حجز الإجازات'!$G$5:$G$104="معتمد")*ROW('حجز الإجازات'!$B$5:$B$104))=0,IF(HK$3&lt;'الموظفون'!$D$2,"",IF(ISNUMBER(MATCH(HK$3,Holidays,0)),"عطلة",IF(MOD(HK$3-'الموظفون'!$D$2,CycleWork+CycleRest)&lt;CycleWork,INDEX('الإعدادات والقوائم'!$H$2:$H$4,MOD(INT(MOD(HK$3-'الموظفون'!$D$2,CycleWork+CycleRest)*3/CycleWork)+MATCH(StartShift,'الإعدادات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الإجازات'!$D$5:$D$104&lt;=HK$3)*(('حجز الإجازات'!$E$5:$E$104)&gt;=HK$3)*('حجز الإجازات'!$G$5:$G$104="معتمد")*ROW('حجز الإجازات'!$B$5:$B$104)))-5+1))</f>
        <v/>
      </c>
      <c r="HL4" s="62">
        <f>IF(SUMPRODUCT(('حجز الإجازات'!$B$5:$B$104='الموظفون'!$B$2)*('حجز الإجازات'!$D$5:$D$104&lt;=HL$3)*(('حجز الإجازات'!$E$5:$E$104)&gt;=HL$3)*('حجز الإجازات'!$G$5:$G$104="معتمد")*ROW('حجز الإجازات'!$B$5:$B$104))=0,IF(HL$3&lt;'الموظفون'!$D$2,"",IF(ISNUMBER(MATCH(HL$3,Holidays,0)),"عطلة",IF(MOD(HL$3-'الموظفون'!$D$2,CycleWork+CycleRest)&lt;CycleWork,INDEX('الإعدادات والقوائم'!$H$2:$H$4,MOD(INT(MOD(HL$3-'الموظفون'!$D$2,CycleWork+CycleRest)*3/CycleWork)+MATCH(StartShift,'الإعدادات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الإجازات'!$D$5:$D$104&lt;=HL$3)*(('حجز الإجازات'!$E$5:$E$104)&gt;=HL$3)*('حجز الإجازات'!$G$5:$G$104="معتمد")*ROW('حجز الإجازات'!$B$5:$B$104)))-5+1))</f>
        <v/>
      </c>
      <c r="HM4" s="62">
        <f>IF(SUMPRODUCT(('حجز الإجازات'!$B$5:$B$104='الموظفون'!$B$2)*('حجز الإجازات'!$D$5:$D$104&lt;=HM$3)*(('حجز الإجازات'!$E$5:$E$104)&gt;=HM$3)*('حجز الإجازات'!$G$5:$G$104="معتمد")*ROW('حجز الإجازات'!$B$5:$B$104))=0,IF(HM$3&lt;'الموظفون'!$D$2,"",IF(ISNUMBER(MATCH(HM$3,Holidays,0)),"عطلة",IF(MOD(HM$3-'الموظفون'!$D$2,CycleWork+CycleRest)&lt;CycleWork,INDEX('الإعدادات والقوائم'!$H$2:$H$4,MOD(INT(MOD(HM$3-'الموظفون'!$D$2,CycleWork+CycleRest)*3/CycleWork)+MATCH(StartShift,'الإعدادات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الإجازات'!$D$5:$D$104&lt;=HM$3)*(('حجز الإجازات'!$E$5:$E$104)&gt;=HM$3)*('حجز الإجازات'!$G$5:$G$104="معتمد")*ROW('حجز الإجازات'!$B$5:$B$104)))-5+1))</f>
        <v/>
      </c>
      <c r="HN4" s="62">
        <f>IF(SUMPRODUCT(('حجز الإجازات'!$B$5:$B$104='الموظفون'!$B$2)*('حجز الإجازات'!$D$5:$D$104&lt;=HN$3)*(('حجز الإجازات'!$E$5:$E$104)&gt;=HN$3)*('حجز الإجازات'!$G$5:$G$104="معتمد")*ROW('حجز الإجازات'!$B$5:$B$104))=0,IF(HN$3&lt;'الموظفون'!$D$2,"",IF(ISNUMBER(MATCH(HN$3,Holidays,0)),"عطلة",IF(MOD(HN$3-'الموظفون'!$D$2,CycleWork+CycleRest)&lt;CycleWork,INDEX('الإعدادات والقوائم'!$H$2:$H$4,MOD(INT(MOD(HN$3-'الموظفون'!$D$2,CycleWork+CycleRest)*3/CycleWork)+MATCH(StartShift,'الإعدادات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الإجازات'!$D$5:$D$104&lt;=HN$3)*(('حجز الإجازات'!$E$5:$E$104)&gt;=HN$3)*('حجز الإجازات'!$G$5:$G$104="معتمد")*ROW('حجز الإجازات'!$B$5:$B$104)))-5+1))</f>
        <v/>
      </c>
      <c r="HO4" s="62">
        <f>IF(SUMPRODUCT(('حجز الإجازات'!$B$5:$B$104='الموظفون'!$B$2)*('حجز الإجازات'!$D$5:$D$104&lt;=HO$3)*(('حجز الإجازات'!$E$5:$E$104)&gt;=HO$3)*('حجز الإجازات'!$G$5:$G$104="معتمد")*ROW('حجز الإجازات'!$B$5:$B$104))=0,IF(HO$3&lt;'الموظفون'!$D$2,"",IF(ISNUMBER(MATCH(HO$3,Holidays,0)),"عطلة",IF(MOD(HO$3-'الموظفون'!$D$2,CycleWork+CycleRest)&lt;CycleWork,INDEX('الإعدادات والقوائم'!$H$2:$H$4,MOD(INT(MOD(HO$3-'الموظفون'!$D$2,CycleWork+CycleRest)*3/CycleWork)+MATCH(StartShift,'الإعدادات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الإجازات'!$D$5:$D$104&lt;=HO$3)*(('حجز الإجازات'!$E$5:$E$104)&gt;=HO$3)*('حجز الإجازات'!$G$5:$G$104="معتمد")*ROW('حجز الإجازات'!$B$5:$B$104)))-5+1))</f>
        <v/>
      </c>
      <c r="HP4" s="62">
        <f>IF(SUMPRODUCT(('حجز الإجازات'!$B$5:$B$104='الموظفون'!$B$2)*('حجز الإجازات'!$D$5:$D$104&lt;=HP$3)*(('حجز الإجازات'!$E$5:$E$104)&gt;=HP$3)*('حجز الإجازات'!$G$5:$G$104="معتمد")*ROW('حجز الإجازات'!$B$5:$B$104))=0,IF(HP$3&lt;'الموظفون'!$D$2,"",IF(ISNUMBER(MATCH(HP$3,Holidays,0)),"عطلة",IF(MOD(HP$3-'الموظفون'!$D$2,CycleWork+CycleRest)&lt;CycleWork,INDEX('الإعدادات والقوائم'!$H$2:$H$4,MOD(INT(MOD(HP$3-'الموظفون'!$D$2,CycleWork+CycleRest)*3/CycleWork)+MATCH(StartShift,'الإعدادات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الإجازات'!$D$5:$D$104&lt;=HP$3)*(('حجز الإجازات'!$E$5:$E$104)&gt;=HP$3)*('حجز الإجازات'!$G$5:$G$104="معتمد")*ROW('حجز الإجازات'!$B$5:$B$104)))-5+1))</f>
        <v/>
      </c>
      <c r="HQ4" s="62">
        <f>IF(SUMPRODUCT(('حجز الإجازات'!$B$5:$B$104='الموظفون'!$B$2)*('حجز الإجازات'!$D$5:$D$104&lt;=HQ$3)*(('حجز الإجازات'!$E$5:$E$104)&gt;=HQ$3)*('حجز الإجازات'!$G$5:$G$104="معتمد")*ROW('حجز الإجازات'!$B$5:$B$104))=0,IF(HQ$3&lt;'الموظفون'!$D$2,"",IF(ISNUMBER(MATCH(HQ$3,Holidays,0)),"عطلة",IF(MOD(HQ$3-'الموظفون'!$D$2,CycleWork+CycleRest)&lt;CycleWork,INDEX('الإعدادات والقوائم'!$H$2:$H$4,MOD(INT(MOD(HQ$3-'الموظفون'!$D$2,CycleWork+CycleRest)*3/CycleWork)+MATCH(StartShift,'الإعدادات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الإجازات'!$D$5:$D$104&lt;=HQ$3)*(('حجز الإجازات'!$E$5:$E$104)&gt;=HQ$3)*('حجز الإجازات'!$G$5:$G$104="معتمد")*ROW('حجز الإجازات'!$B$5:$B$104)))-5+1))</f>
        <v/>
      </c>
      <c r="HR4" s="62">
        <f>IF(SUMPRODUCT(('حجز الإجازات'!$B$5:$B$104='الموظفون'!$B$2)*('حجز الإجازات'!$D$5:$D$104&lt;=HR$3)*(('حجز الإجازات'!$E$5:$E$104)&gt;=HR$3)*('حجز الإجازات'!$G$5:$G$104="معتمد")*ROW('حجز الإجازات'!$B$5:$B$104))=0,IF(HR$3&lt;'الموظفون'!$D$2,"",IF(ISNUMBER(MATCH(HR$3,Holidays,0)),"عطلة",IF(MOD(HR$3-'الموظفون'!$D$2,CycleWork+CycleRest)&lt;CycleWork,INDEX('الإعدادات والقوائم'!$H$2:$H$4,MOD(INT(MOD(HR$3-'الموظفون'!$D$2,CycleWork+CycleRest)*3/CycleWork)+MATCH(StartShift,'الإعدادات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الإجازات'!$D$5:$D$104&lt;=HR$3)*(('حجز الإجازات'!$E$5:$E$104)&gt;=HR$3)*('حجز الإجازات'!$G$5:$G$104="معتمد")*ROW('حجز الإجازات'!$B$5:$B$104)))-5+1))</f>
        <v/>
      </c>
      <c r="HS4" s="62">
        <f>IF(SUMPRODUCT(('حجز الإجازات'!$B$5:$B$104='الموظفون'!$B$2)*('حجز الإجازات'!$D$5:$D$104&lt;=HS$3)*(('حجز الإجازات'!$E$5:$E$104)&gt;=HS$3)*('حجز الإجازات'!$G$5:$G$104="معتمد")*ROW('حجز الإجازات'!$B$5:$B$104))=0,IF(HS$3&lt;'الموظفون'!$D$2,"",IF(ISNUMBER(MATCH(HS$3,Holidays,0)),"عطلة",IF(MOD(HS$3-'الموظفون'!$D$2,CycleWork+CycleRest)&lt;CycleWork,INDEX('الإعدادات والقوائم'!$H$2:$H$4,MOD(INT(MOD(HS$3-'الموظفون'!$D$2,CycleWork+CycleRest)*3/CycleWork)+MATCH(StartShift,'الإعدادات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الإجازات'!$D$5:$D$104&lt;=HS$3)*(('حجز الإجازات'!$E$5:$E$104)&gt;=HS$3)*('حجز الإجازات'!$G$5:$G$104="معتمد")*ROW('حجز الإجازات'!$B$5:$B$104)))-5+1))</f>
        <v/>
      </c>
      <c r="HT4" s="62">
        <f>IF(SUMPRODUCT(('حجز الإجازات'!$B$5:$B$104='الموظفون'!$B$2)*('حجز الإجازات'!$D$5:$D$104&lt;=HT$3)*(('حجز الإجازات'!$E$5:$E$104)&gt;=HT$3)*('حجز الإجازات'!$G$5:$G$104="معتمد")*ROW('حجز الإجازات'!$B$5:$B$104))=0,IF(HT$3&lt;'الموظفون'!$D$2,"",IF(ISNUMBER(MATCH(HT$3,Holidays,0)),"عطلة",IF(MOD(HT$3-'الموظفون'!$D$2,CycleWork+CycleRest)&lt;CycleWork,INDEX('الإعدادات والقوائم'!$H$2:$H$4,MOD(INT(MOD(HT$3-'الموظفون'!$D$2,CycleWork+CycleRest)*3/CycleWork)+MATCH(StartShift,'الإعدادات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الإجازات'!$D$5:$D$104&lt;=HT$3)*(('حجز الإجازات'!$E$5:$E$104)&gt;=HT$3)*('حجز الإجازات'!$G$5:$G$104="معتمد")*ROW('حجز الإجازات'!$B$5:$B$104)))-5+1))</f>
        <v/>
      </c>
      <c r="HU4" s="62">
        <f>IF(SUMPRODUCT(('حجز الإجازات'!$B$5:$B$104='الموظفون'!$B$2)*('حجز الإجازات'!$D$5:$D$104&lt;=HU$3)*(('حجز الإجازات'!$E$5:$E$104)&gt;=HU$3)*('حجز الإجازات'!$G$5:$G$104="معتمد")*ROW('حجز الإجازات'!$B$5:$B$104))=0,IF(HU$3&lt;'الموظفون'!$D$2,"",IF(ISNUMBER(MATCH(HU$3,Holidays,0)),"عطلة",IF(MOD(HU$3-'الموظفون'!$D$2,CycleWork+CycleRest)&lt;CycleWork,INDEX('الإعدادات والقوائم'!$H$2:$H$4,MOD(INT(MOD(HU$3-'الموظفون'!$D$2,CycleWork+CycleRest)*3/CycleWork)+MATCH(StartShift,'الإعدادات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الإجازات'!$D$5:$D$104&lt;=HU$3)*(('حجز الإجازات'!$E$5:$E$104)&gt;=HU$3)*('حجز الإجازات'!$G$5:$G$104="معتمد")*ROW('حجز الإجازات'!$B$5:$B$104)))-5+1))</f>
        <v/>
      </c>
      <c r="HV4" s="62">
        <f>IF(SUMPRODUCT(('حجز الإجازات'!$B$5:$B$104='الموظفون'!$B$2)*('حجز الإجازات'!$D$5:$D$104&lt;=HV$3)*(('حجز الإجازات'!$E$5:$E$104)&gt;=HV$3)*('حجز الإجازات'!$G$5:$G$104="معتمد")*ROW('حجز الإجازات'!$B$5:$B$104))=0,IF(HV$3&lt;'الموظفون'!$D$2,"",IF(ISNUMBER(MATCH(HV$3,Holidays,0)),"عطلة",IF(MOD(HV$3-'الموظفون'!$D$2,CycleWork+CycleRest)&lt;CycleWork,INDEX('الإعدادات والقوائم'!$H$2:$H$4,MOD(INT(MOD(HV$3-'الموظفون'!$D$2,CycleWork+CycleRest)*3/CycleWork)+MATCH(StartShift,'الإعدادات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الإجازات'!$D$5:$D$104&lt;=HV$3)*(('حجز الإجازات'!$E$5:$E$104)&gt;=HV$3)*('حجز الإجازات'!$G$5:$G$104="معتمد")*ROW('حجز الإجازات'!$B$5:$B$104)))-5+1))</f>
        <v/>
      </c>
      <c r="HW4" s="62">
        <f>IF(SUMPRODUCT(('حجز الإجازات'!$B$5:$B$104='الموظفون'!$B$2)*('حجز الإجازات'!$D$5:$D$104&lt;=HW$3)*(('حجز الإجازات'!$E$5:$E$104)&gt;=HW$3)*('حجز الإجازات'!$G$5:$G$104="معتمد")*ROW('حجز الإجازات'!$B$5:$B$104))=0,IF(HW$3&lt;'الموظفون'!$D$2,"",IF(ISNUMBER(MATCH(HW$3,Holidays,0)),"عطلة",IF(MOD(HW$3-'الموظفون'!$D$2,CycleWork+CycleRest)&lt;CycleWork,INDEX('الإعدادات والقوائم'!$H$2:$H$4,MOD(INT(MOD(HW$3-'الموظفون'!$D$2,CycleWork+CycleRest)*3/CycleWork)+MATCH(StartShift,'الإعدادات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الإجازات'!$D$5:$D$104&lt;=HW$3)*(('حجز الإجازات'!$E$5:$E$104)&gt;=HW$3)*('حجز الإجازات'!$G$5:$G$104="معتمد")*ROW('حجز الإجازات'!$B$5:$B$104)))-5+1))</f>
        <v/>
      </c>
      <c r="HX4" s="62">
        <f>IF(SUMPRODUCT(('حجز الإجازات'!$B$5:$B$104='الموظفون'!$B$2)*('حجز الإجازات'!$D$5:$D$104&lt;=HX$3)*(('حجز الإجازات'!$E$5:$E$104)&gt;=HX$3)*('حجز الإجازات'!$G$5:$G$104="معتمد")*ROW('حجز الإجازات'!$B$5:$B$104))=0,IF(HX$3&lt;'الموظفون'!$D$2,"",IF(ISNUMBER(MATCH(HX$3,Holidays,0)),"عطلة",IF(MOD(HX$3-'الموظفون'!$D$2,CycleWork+CycleRest)&lt;CycleWork,INDEX('الإعدادات والقوائم'!$H$2:$H$4,MOD(INT(MOD(HX$3-'الموظفون'!$D$2,CycleWork+CycleRest)*3/CycleWork)+MATCH(StartShift,'الإعدادات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الإجازات'!$D$5:$D$104&lt;=HX$3)*(('حجز الإجازات'!$E$5:$E$104)&gt;=HX$3)*('حجز الإجازات'!$G$5:$G$104="معتمد")*ROW('حجز الإجازات'!$B$5:$B$104)))-5+1))</f>
        <v/>
      </c>
      <c r="HY4" s="62">
        <f>IF(SUMPRODUCT(('حجز الإجازات'!$B$5:$B$104='الموظفون'!$B$2)*('حجز الإجازات'!$D$5:$D$104&lt;=HY$3)*(('حجز الإجازات'!$E$5:$E$104)&gt;=HY$3)*('حجز الإجازات'!$G$5:$G$104="معتمد")*ROW('حجز الإجازات'!$B$5:$B$104))=0,IF(HY$3&lt;'الموظفون'!$D$2,"",IF(ISNUMBER(MATCH(HY$3,Holidays,0)),"عطلة",IF(MOD(HY$3-'الموظفون'!$D$2,CycleWork+CycleRest)&lt;CycleWork,INDEX('الإعدادات والقوائم'!$H$2:$H$4,MOD(INT(MOD(HY$3-'الموظفون'!$D$2,CycleWork+CycleRest)*3/CycleWork)+MATCH(StartShift,'الإعدادات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الإجازات'!$D$5:$D$104&lt;=HY$3)*(('حجز الإجازات'!$E$5:$E$104)&gt;=HY$3)*('حجز الإجازات'!$G$5:$G$104="معتمد")*ROW('حجز الإجازات'!$B$5:$B$104)))-5+1))</f>
        <v/>
      </c>
      <c r="HZ4" s="62">
        <f>IF(SUMPRODUCT(('حجز الإجازات'!$B$5:$B$104='الموظفون'!$B$2)*('حجز الإجازات'!$D$5:$D$104&lt;=HZ$3)*(('حجز الإجازات'!$E$5:$E$104)&gt;=HZ$3)*('حجز الإجازات'!$G$5:$G$104="معتمد")*ROW('حجز الإجازات'!$B$5:$B$104))=0,IF(HZ$3&lt;'الموظفون'!$D$2,"",IF(ISNUMBER(MATCH(HZ$3,Holidays,0)),"عطلة",IF(MOD(HZ$3-'الموظفون'!$D$2,CycleWork+CycleRest)&lt;CycleWork,INDEX('الإعدادات والقوائم'!$H$2:$H$4,MOD(INT(MOD(HZ$3-'الموظفون'!$D$2,CycleWork+CycleRest)*3/CycleWork)+MATCH(StartShift,'الإعدادات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الإجازات'!$D$5:$D$104&lt;=HZ$3)*(('حجز الإجازات'!$E$5:$E$104)&gt;=HZ$3)*('حجز الإجازات'!$G$5:$G$104="معتمد")*ROW('حجز الإجازات'!$B$5:$B$104)))-5+1))</f>
        <v/>
      </c>
      <c r="IA4" s="62">
        <f>IF(SUMPRODUCT(('حجز الإجازات'!$B$5:$B$104='الموظفون'!$B$2)*('حجز الإجازات'!$D$5:$D$104&lt;=IA$3)*(('حجز الإجازات'!$E$5:$E$104)&gt;=IA$3)*('حجز الإجازات'!$G$5:$G$104="معتمد")*ROW('حجز الإجازات'!$B$5:$B$104))=0,IF(IA$3&lt;'الموظفون'!$D$2,"",IF(ISNUMBER(MATCH(IA$3,Holidays,0)),"عطلة",IF(MOD(IA$3-'الموظفون'!$D$2,CycleWork+CycleRest)&lt;CycleWork,INDEX('الإعدادات والقوائم'!$H$2:$H$4,MOD(INT(MOD(IA$3-'الموظفون'!$D$2,CycleWork+CycleRest)*3/CycleWork)+MATCH(StartShift,'الإعدادات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الإجازات'!$D$5:$D$104&lt;=IA$3)*(('حجز الإجازات'!$E$5:$E$104)&gt;=IA$3)*('حجز الإجازات'!$G$5:$G$104="معتمد")*ROW('حجز الإجازات'!$B$5:$B$104)))-5+1))</f>
        <v/>
      </c>
      <c r="IB4" s="62">
        <f>IF(SUMPRODUCT(('حجز الإجازات'!$B$5:$B$104='الموظفون'!$B$2)*('حجز الإجازات'!$D$5:$D$104&lt;=IB$3)*(('حجز الإجازات'!$E$5:$E$104)&gt;=IB$3)*('حجز الإجازات'!$G$5:$G$104="معتمد")*ROW('حجز الإجازات'!$B$5:$B$104))=0,IF(IB$3&lt;'الموظفون'!$D$2,"",IF(ISNUMBER(MATCH(IB$3,Holidays,0)),"عطلة",IF(MOD(IB$3-'الموظفون'!$D$2,CycleWork+CycleRest)&lt;CycleWork,INDEX('الإعدادات والقوائم'!$H$2:$H$4,MOD(INT(MOD(IB$3-'الموظفون'!$D$2,CycleWork+CycleRest)*3/CycleWork)+MATCH(StartShift,'الإعدادات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الإجازات'!$D$5:$D$104&lt;=IB$3)*(('حجز الإجازات'!$E$5:$E$104)&gt;=IB$3)*('حجز الإجازات'!$G$5:$G$104="معتمد")*ROW('حجز الإجازات'!$B$5:$B$104)))-5+1))</f>
        <v/>
      </c>
      <c r="IC4" s="62">
        <f>IF(SUMPRODUCT(('حجز الإجازات'!$B$5:$B$104='الموظفون'!$B$2)*('حجز الإجازات'!$D$5:$D$104&lt;=IC$3)*(('حجز الإجازات'!$E$5:$E$104)&gt;=IC$3)*('حجز الإجازات'!$G$5:$G$104="معتمد")*ROW('حجز الإجازات'!$B$5:$B$104))=0,IF(IC$3&lt;'الموظفون'!$D$2,"",IF(ISNUMBER(MATCH(IC$3,Holidays,0)),"عطلة",IF(MOD(IC$3-'الموظفون'!$D$2,CycleWork+CycleRest)&lt;CycleWork,INDEX('الإعدادات والقوائم'!$H$2:$H$4,MOD(INT(MOD(IC$3-'الموظفون'!$D$2,CycleWork+CycleRest)*3/CycleWork)+MATCH(StartShift,'الإعدادات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الإجازات'!$D$5:$D$104&lt;=IC$3)*(('حجز الإجازات'!$E$5:$E$104)&gt;=IC$3)*('حجز الإجازات'!$G$5:$G$104="معتمد")*ROW('حجز الإجازات'!$B$5:$B$104)))-5+1))</f>
        <v/>
      </c>
      <c r="ID4" s="62">
        <f>IF(SUMPRODUCT(('حجز الإجازات'!$B$5:$B$104='الموظفون'!$B$2)*('حجز الإجازات'!$D$5:$D$104&lt;=ID$3)*(('حجز الإجازات'!$E$5:$E$104)&gt;=ID$3)*('حجز الإجازات'!$G$5:$G$104="معتمد")*ROW('حجز الإجازات'!$B$5:$B$104))=0,IF(ID$3&lt;'الموظفون'!$D$2,"",IF(ISNUMBER(MATCH(ID$3,Holidays,0)),"عطلة",IF(MOD(ID$3-'الموظفون'!$D$2,CycleWork+CycleRest)&lt;CycleWork,INDEX('الإعدادات والقوائم'!$H$2:$H$4,MOD(INT(MOD(ID$3-'الموظفون'!$D$2,CycleWork+CycleRest)*3/CycleWork)+MATCH(StartShift,'الإعدادات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الإجازات'!$D$5:$D$104&lt;=ID$3)*(('حجز الإجازات'!$E$5:$E$104)&gt;=ID$3)*('حجز الإجازات'!$G$5:$G$104="معتمد")*ROW('حجز الإجازات'!$B$5:$B$104)))-5+1))</f>
        <v/>
      </c>
      <c r="IE4" s="62">
        <f>IF(SUMPRODUCT(('حجز الإجازات'!$B$5:$B$104='الموظفون'!$B$2)*('حجز الإجازات'!$D$5:$D$104&lt;=IE$3)*(('حجز الإجازات'!$E$5:$E$104)&gt;=IE$3)*('حجز الإجازات'!$G$5:$G$104="معتمد")*ROW('حجز الإجازات'!$B$5:$B$104))=0,IF(IE$3&lt;'الموظفون'!$D$2,"",IF(ISNUMBER(MATCH(IE$3,Holidays,0)),"عطلة",IF(MOD(IE$3-'الموظفون'!$D$2,CycleWork+CycleRest)&lt;CycleWork,INDEX('الإعدادات والقوائم'!$H$2:$H$4,MOD(INT(MOD(IE$3-'الموظفون'!$D$2,CycleWork+CycleRest)*3/CycleWork)+MATCH(StartShift,'الإعدادات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الإجازات'!$D$5:$D$104&lt;=IE$3)*(('حجز الإجازات'!$E$5:$E$104)&gt;=IE$3)*('حجز الإجازات'!$G$5:$G$104="معتمد")*ROW('حجز الإجازات'!$B$5:$B$104)))-5+1))</f>
        <v/>
      </c>
      <c r="IF4" s="62">
        <f>IF(SUMPRODUCT(('حجز الإجازات'!$B$5:$B$104='الموظفون'!$B$2)*('حجز الإجازات'!$D$5:$D$104&lt;=IF$3)*(('حجز الإجازات'!$E$5:$E$104)&gt;=IF$3)*('حجز الإجازات'!$G$5:$G$104="معتمد")*ROW('حجز الإجازات'!$B$5:$B$104))=0,IF(IF$3&lt;'الموظفون'!$D$2,"",IF(ISNUMBER(MATCH(IF$3,Holidays,0)),"عطلة",IF(MOD(IF$3-'الموظفون'!$D$2,CycleWork+CycleRest)&lt;CycleWork,INDEX('الإعدادات والقوائم'!$H$2:$H$4,MOD(INT(MOD(IF$3-'الموظفون'!$D$2,CycleWork+CycleRest)*3/CycleWork)+MATCH(StartShift,'الإعدادات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الإجازات'!$D$5:$D$104&lt;=IF$3)*(('حجز الإجازات'!$E$5:$E$104)&gt;=IF$3)*('حجز الإجازات'!$G$5:$G$104="معتمد")*ROW('حجز الإجازات'!$B$5:$B$104)))-5+1))</f>
        <v/>
      </c>
      <c r="IG4" s="62">
        <f>IF(SUMPRODUCT(('حجز الإجازات'!$B$5:$B$104='الموظفون'!$B$2)*('حجز الإجازات'!$D$5:$D$104&lt;=IG$3)*(('حجز الإجازات'!$E$5:$E$104)&gt;=IG$3)*('حجز الإجازات'!$G$5:$G$104="معتمد")*ROW('حجز الإجازات'!$B$5:$B$104))=0,IF(IG$3&lt;'الموظفون'!$D$2,"",IF(ISNUMBER(MATCH(IG$3,Holidays,0)),"عطلة",IF(MOD(IG$3-'الموظفون'!$D$2,CycleWork+CycleRest)&lt;CycleWork,INDEX('الإعدادات والقوائم'!$H$2:$H$4,MOD(INT(MOD(IG$3-'الموظفون'!$D$2,CycleWork+CycleRest)*3/CycleWork)+MATCH(StartShift,'الإعدادات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الإجازات'!$D$5:$D$104&lt;=IG$3)*(('حجز الإجازات'!$E$5:$E$104)&gt;=IG$3)*('حجز الإجازات'!$G$5:$G$104="معتمد")*ROW('حجز الإجازات'!$B$5:$B$104)))-5+1))</f>
        <v/>
      </c>
      <c r="IH4" s="62">
        <f>IF(SUMPRODUCT(('حجز الإجازات'!$B$5:$B$104='الموظفون'!$B$2)*('حجز الإجازات'!$D$5:$D$104&lt;=IH$3)*(('حجز الإجازات'!$E$5:$E$104)&gt;=IH$3)*('حجز الإجازات'!$G$5:$G$104="معتمد")*ROW('حجز الإجازات'!$B$5:$B$104))=0,IF(IH$3&lt;'الموظفون'!$D$2,"",IF(ISNUMBER(MATCH(IH$3,Holidays,0)),"عطلة",IF(MOD(IH$3-'الموظفون'!$D$2,CycleWork+CycleRest)&lt;CycleWork,INDEX('الإعدادات والقوائم'!$H$2:$H$4,MOD(INT(MOD(IH$3-'الموظفون'!$D$2,CycleWork+CycleRest)*3/CycleWork)+MATCH(StartShift,'الإعدادات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الإجازات'!$D$5:$D$104&lt;=IH$3)*(('حجز الإجازات'!$E$5:$E$104)&gt;=IH$3)*('حجز الإجازات'!$G$5:$G$104="معتمد")*ROW('حجز الإجازات'!$B$5:$B$104)))-5+1))</f>
        <v/>
      </c>
      <c r="II4" s="62">
        <f>IF(SUMPRODUCT(('حجز الإجازات'!$B$5:$B$104='الموظفون'!$B$2)*('حجز الإجازات'!$D$5:$D$104&lt;=II$3)*(('حجز الإجازات'!$E$5:$E$104)&gt;=II$3)*('حجز الإجازات'!$G$5:$G$104="معتمد")*ROW('حجز الإجازات'!$B$5:$B$104))=0,IF(II$3&lt;'الموظفون'!$D$2,"",IF(ISNUMBER(MATCH(II$3,Holidays,0)),"عطلة",IF(MOD(II$3-'الموظفون'!$D$2,CycleWork+CycleRest)&lt;CycleWork,INDEX('الإعدادات والقوائم'!$H$2:$H$4,MOD(INT(MOD(II$3-'الموظفون'!$D$2,CycleWork+CycleRest)*3/CycleWork)+MATCH(StartShift,'الإعدادات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الإجازات'!$D$5:$D$104&lt;=II$3)*(('حجز الإجازات'!$E$5:$E$104)&gt;=II$3)*('حجز الإجازات'!$G$5:$G$104="معتمد")*ROW('حجز الإجازات'!$B$5:$B$104)))-5+1))</f>
        <v/>
      </c>
      <c r="IJ4" s="62">
        <f>IF(SUMPRODUCT(('حجز الإجازات'!$B$5:$B$104='الموظفون'!$B$2)*('حجز الإجازات'!$D$5:$D$104&lt;=IJ$3)*(('حجز الإجازات'!$E$5:$E$104)&gt;=IJ$3)*('حجز الإجازات'!$G$5:$G$104="معتمد")*ROW('حجز الإجازات'!$B$5:$B$104))=0,IF(IJ$3&lt;'الموظفون'!$D$2,"",IF(ISNUMBER(MATCH(IJ$3,Holidays,0)),"عطلة",IF(MOD(IJ$3-'الموظفون'!$D$2,CycleWork+CycleRest)&lt;CycleWork,INDEX('الإعدادات والقوائم'!$H$2:$H$4,MOD(INT(MOD(IJ$3-'الموظفون'!$D$2,CycleWork+CycleRest)*3/CycleWork)+MATCH(StartShift,'الإعدادات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الإجازات'!$D$5:$D$104&lt;=IJ$3)*(('حجز الإجازات'!$E$5:$E$104)&gt;=IJ$3)*('حجز الإجازات'!$G$5:$G$104="معتمد")*ROW('حجز الإجازات'!$B$5:$B$104)))-5+1))</f>
        <v/>
      </c>
      <c r="IK4" s="62">
        <f>IF(SUMPRODUCT(('حجز الإجازات'!$B$5:$B$104='الموظفون'!$B$2)*('حجز الإجازات'!$D$5:$D$104&lt;=IK$3)*(('حجز الإجازات'!$E$5:$E$104)&gt;=IK$3)*('حجز الإجازات'!$G$5:$G$104="معتمد")*ROW('حجز الإجازات'!$B$5:$B$104))=0,IF(IK$3&lt;'الموظفون'!$D$2,"",IF(ISNUMBER(MATCH(IK$3,Holidays,0)),"عطلة",IF(MOD(IK$3-'الموظفون'!$D$2,CycleWork+CycleRest)&lt;CycleWork,INDEX('الإعدادات والقوائم'!$H$2:$H$4,MOD(INT(MOD(IK$3-'الموظفون'!$D$2,CycleWork+CycleRest)*3/CycleWork)+MATCH(StartShift,'الإعدادات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الإجازات'!$D$5:$D$104&lt;=IK$3)*(('حجز الإجازات'!$E$5:$E$104)&gt;=IK$3)*('حجز الإجازات'!$G$5:$G$104="معتمد")*ROW('حجز الإجازات'!$B$5:$B$104)))-5+1))</f>
        <v/>
      </c>
      <c r="IL4" s="62">
        <f>IF(SUMPRODUCT(('حجز الإجازات'!$B$5:$B$104='الموظفون'!$B$2)*('حجز الإجازات'!$D$5:$D$104&lt;=IL$3)*(('حجز الإجازات'!$E$5:$E$104)&gt;=IL$3)*('حجز الإجازات'!$G$5:$G$104="معتمد")*ROW('حجز الإجازات'!$B$5:$B$104))=0,IF(IL$3&lt;'الموظفون'!$D$2,"",IF(ISNUMBER(MATCH(IL$3,Holidays,0)),"عطلة",IF(MOD(IL$3-'الموظفون'!$D$2,CycleWork+CycleRest)&lt;CycleWork,INDEX('الإعدادات والقوائم'!$H$2:$H$4,MOD(INT(MOD(IL$3-'الموظفون'!$D$2,CycleWork+CycleRest)*3/CycleWork)+MATCH(StartShift,'الإعدادات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الإجازات'!$D$5:$D$104&lt;=IL$3)*(('حجز الإجازات'!$E$5:$E$104)&gt;=IL$3)*('حجز الإجازات'!$G$5:$G$104="معتمد")*ROW('حجز الإجازات'!$B$5:$B$104)))-5+1))</f>
        <v/>
      </c>
      <c r="IM4" s="62">
        <f>IF(SUMPRODUCT(('حجز الإجازات'!$B$5:$B$104='الموظفون'!$B$2)*('حجز الإجازات'!$D$5:$D$104&lt;=IM$3)*(('حجز الإجازات'!$E$5:$E$104)&gt;=IM$3)*('حجز الإجازات'!$G$5:$G$104="معتمد")*ROW('حجز الإجازات'!$B$5:$B$104))=0,IF(IM$3&lt;'الموظفون'!$D$2,"",IF(ISNUMBER(MATCH(IM$3,Holidays,0)),"عطلة",IF(MOD(IM$3-'الموظفون'!$D$2,CycleWork+CycleRest)&lt;CycleWork,INDEX('الإعدادات والقوائم'!$H$2:$H$4,MOD(INT(MOD(IM$3-'الموظفون'!$D$2,CycleWork+CycleRest)*3/CycleWork)+MATCH(StartShift,'الإعدادات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الإجازات'!$D$5:$D$104&lt;=IM$3)*(('حجز الإجازات'!$E$5:$E$104)&gt;=IM$3)*('حجز الإجازات'!$G$5:$G$104="معتمد")*ROW('حجز الإجازات'!$B$5:$B$104)))-5+1))</f>
        <v/>
      </c>
      <c r="IN4" s="62">
        <f>IF(SUMPRODUCT(('حجز الإجازات'!$B$5:$B$104='الموظفون'!$B$2)*('حجز الإجازات'!$D$5:$D$104&lt;=IN$3)*(('حجز الإجازات'!$E$5:$E$104)&gt;=IN$3)*('حجز الإجازات'!$G$5:$G$104="معتمد")*ROW('حجز الإجازات'!$B$5:$B$104))=0,IF(IN$3&lt;'الموظفون'!$D$2,"",IF(ISNUMBER(MATCH(IN$3,Holidays,0)),"عطلة",IF(MOD(IN$3-'الموظفون'!$D$2,CycleWork+CycleRest)&lt;CycleWork,INDEX('الإعدادات والقوائم'!$H$2:$H$4,MOD(INT(MOD(IN$3-'الموظفون'!$D$2,CycleWork+CycleRest)*3/CycleWork)+MATCH(StartShift,'الإعدادات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الإجازات'!$D$5:$D$104&lt;=IN$3)*(('حجز الإجازات'!$E$5:$E$104)&gt;=IN$3)*('حجز الإجازات'!$G$5:$G$104="معتمد")*ROW('حجز الإجازات'!$B$5:$B$104)))-5+1))</f>
        <v/>
      </c>
      <c r="IO4" s="62">
        <f>IF(SUMPRODUCT(('حجز الإجازات'!$B$5:$B$104='الموظفون'!$B$2)*('حجز الإجازات'!$D$5:$D$104&lt;=IO$3)*(('حجز الإجازات'!$E$5:$E$104)&gt;=IO$3)*('حجز الإجازات'!$G$5:$G$104="معتمد")*ROW('حجز الإجازات'!$B$5:$B$104))=0,IF(IO$3&lt;'الموظفون'!$D$2,"",IF(ISNUMBER(MATCH(IO$3,Holidays,0)),"عطلة",IF(MOD(IO$3-'الموظفون'!$D$2,CycleWork+CycleRest)&lt;CycleWork,INDEX('الإعدادات والقوائم'!$H$2:$H$4,MOD(INT(MOD(IO$3-'الموظفون'!$D$2,CycleWork+CycleRest)*3/CycleWork)+MATCH(StartShift,'الإعدادات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الإجازات'!$D$5:$D$104&lt;=IO$3)*(('حجز الإجازات'!$E$5:$E$104)&gt;=IO$3)*('حجز الإجازات'!$G$5:$G$104="معتمد")*ROW('حجز الإجازات'!$B$5:$B$104)))-5+1))</f>
        <v/>
      </c>
      <c r="IP4" s="62">
        <f>IF(SUMPRODUCT(('حجز الإجازات'!$B$5:$B$104='الموظفون'!$B$2)*('حجز الإجازات'!$D$5:$D$104&lt;=IP$3)*(('حجز الإجازات'!$E$5:$E$104)&gt;=IP$3)*('حجز الإجازات'!$G$5:$G$104="معتمد")*ROW('حجز الإجازات'!$B$5:$B$104))=0,IF(IP$3&lt;'الموظفون'!$D$2,"",IF(ISNUMBER(MATCH(IP$3,Holidays,0)),"عطلة",IF(MOD(IP$3-'الموظفون'!$D$2,CycleWork+CycleRest)&lt;CycleWork,INDEX('الإعدادات والقوائم'!$H$2:$H$4,MOD(INT(MOD(IP$3-'الموظفون'!$D$2,CycleWork+CycleRest)*3/CycleWork)+MATCH(StartShift,'الإعدادات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الإجازات'!$D$5:$D$104&lt;=IP$3)*(('حجز الإجازات'!$E$5:$E$104)&gt;=IP$3)*('حجز الإجازات'!$G$5:$G$104="معتمد")*ROW('حجز الإجازات'!$B$5:$B$104)))-5+1))</f>
        <v/>
      </c>
      <c r="IQ4" s="62">
        <f>IF(SUMPRODUCT(('حجز الإجازات'!$B$5:$B$104='الموظفون'!$B$2)*('حجز الإجازات'!$D$5:$D$104&lt;=IQ$3)*(('حجز الإجازات'!$E$5:$E$104)&gt;=IQ$3)*('حجز الإجازات'!$G$5:$G$104="معتمد")*ROW('حجز الإجازات'!$B$5:$B$104))=0,IF(IQ$3&lt;'الموظفون'!$D$2,"",IF(ISNUMBER(MATCH(IQ$3,Holidays,0)),"عطلة",IF(MOD(IQ$3-'الموظفون'!$D$2,CycleWork+CycleRest)&lt;CycleWork,INDEX('الإعدادات والقوائم'!$H$2:$H$4,MOD(INT(MOD(IQ$3-'الموظفون'!$D$2,CycleWork+CycleRest)*3/CycleWork)+MATCH(StartShift,'الإعدادات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الإجازات'!$D$5:$D$104&lt;=IQ$3)*(('حجز الإجازات'!$E$5:$E$104)&gt;=IQ$3)*('حجز الإجازات'!$G$5:$G$104="معتمد")*ROW('حجز الإجازات'!$B$5:$B$104)))-5+1))</f>
        <v/>
      </c>
      <c r="IR4" s="62">
        <f>IF(SUMPRODUCT(('حجز الإجازات'!$B$5:$B$104='الموظفون'!$B$2)*('حجز الإجازات'!$D$5:$D$104&lt;=IR$3)*(('حجز الإجازات'!$E$5:$E$104)&gt;=IR$3)*('حجز الإجازات'!$G$5:$G$104="معتمد")*ROW('حجز الإجازات'!$B$5:$B$104))=0,IF(IR$3&lt;'الموظفون'!$D$2,"",IF(ISNUMBER(MATCH(IR$3,Holidays,0)),"عطلة",IF(MOD(IR$3-'الموظفون'!$D$2,CycleWork+CycleRest)&lt;CycleWork,INDEX('الإعدادات والقوائم'!$H$2:$H$4,MOD(INT(MOD(IR$3-'الموظفون'!$D$2,CycleWork+CycleRest)*3/CycleWork)+MATCH(StartShift,'الإعدادات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الإجازات'!$D$5:$D$104&lt;=IR$3)*(('حجز الإجازات'!$E$5:$E$104)&gt;=IR$3)*('حجز الإجازات'!$G$5:$G$104="معتمد")*ROW('حجز الإجازات'!$B$5:$B$104)))-5+1))</f>
        <v/>
      </c>
      <c r="IS4" s="62">
        <f>IF(SUMPRODUCT(('حجز الإجازات'!$B$5:$B$104='الموظفون'!$B$2)*('حجز الإجازات'!$D$5:$D$104&lt;=IS$3)*(('حجز الإجازات'!$E$5:$E$104)&gt;=IS$3)*('حجز الإجازات'!$G$5:$G$104="معتمد")*ROW('حجز الإجازات'!$B$5:$B$104))=0,IF(IS$3&lt;'الموظفون'!$D$2,"",IF(ISNUMBER(MATCH(IS$3,Holidays,0)),"عطلة",IF(MOD(IS$3-'الموظفون'!$D$2,CycleWork+CycleRest)&lt;CycleWork,INDEX('الإعدادات والقوائم'!$H$2:$H$4,MOD(INT(MOD(IS$3-'الموظفون'!$D$2,CycleWork+CycleRest)*3/CycleWork)+MATCH(StartShift,'الإعدادات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الإجازات'!$D$5:$D$104&lt;=IS$3)*(('حجز الإجازات'!$E$5:$E$104)&gt;=IS$3)*('حجز الإجازات'!$G$5:$G$104="معتمد")*ROW('حجز الإجازات'!$B$5:$B$104)))-5+1))</f>
        <v/>
      </c>
      <c r="IT4" s="62">
        <f>IF(SUMPRODUCT(('حجز الإجازات'!$B$5:$B$104='الموظفون'!$B$2)*('حجز الإجازات'!$D$5:$D$104&lt;=IT$3)*(('حجز الإجازات'!$E$5:$E$104)&gt;=IT$3)*('حجز الإجازات'!$G$5:$G$104="معتمد")*ROW('حجز الإجازات'!$B$5:$B$104))=0,IF(IT$3&lt;'الموظفون'!$D$2,"",IF(ISNUMBER(MATCH(IT$3,Holidays,0)),"عطلة",IF(MOD(IT$3-'الموظفون'!$D$2,CycleWork+CycleRest)&lt;CycleWork,INDEX('الإعدادات والقوائم'!$H$2:$H$4,MOD(INT(MOD(IT$3-'الموظفون'!$D$2,CycleWork+CycleRest)*3/CycleWork)+MATCH(StartShift,'الإعدادات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الإجازات'!$D$5:$D$104&lt;=IT$3)*(('حجز الإجازات'!$E$5:$E$104)&gt;=IT$3)*('حجز الإجازات'!$G$5:$G$104="معتمد")*ROW('حجز الإجازات'!$B$5:$B$104)))-5+1))</f>
        <v/>
      </c>
      <c r="IU4" s="62">
        <f>IF(SUMPRODUCT(('حجز الإجازات'!$B$5:$B$104='الموظفون'!$B$2)*('حجز الإجازات'!$D$5:$D$104&lt;=IU$3)*(('حجز الإجازات'!$E$5:$E$104)&gt;=IU$3)*('حجز الإجازات'!$G$5:$G$104="معتمد")*ROW('حجز الإجازات'!$B$5:$B$104))=0,IF(IU$3&lt;'الموظفون'!$D$2,"",IF(ISNUMBER(MATCH(IU$3,Holidays,0)),"عطلة",IF(MOD(IU$3-'الموظفون'!$D$2,CycleWork+CycleRest)&lt;CycleWork,INDEX('الإعدادات والقوائم'!$H$2:$H$4,MOD(INT(MOD(IU$3-'الموظفون'!$D$2,CycleWork+CycleRest)*3/CycleWork)+MATCH(StartShift,'الإعدادات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الإجازات'!$D$5:$D$104&lt;=IU$3)*(('حجز الإجازات'!$E$5:$E$104)&gt;=IU$3)*('حجز الإجازات'!$G$5:$G$104="معتمد")*ROW('حجز الإجازات'!$B$5:$B$104)))-5+1))</f>
        <v/>
      </c>
      <c r="IV4" s="62">
        <f>IF(SUMPRODUCT(('حجز الإجازات'!$B$5:$B$104='الموظفون'!$B$2)*('حجز الإجازات'!$D$5:$D$104&lt;=IV$3)*(('حجز الإجازات'!$E$5:$E$104)&gt;=IV$3)*('حجز الإجازات'!$G$5:$G$104="معتمد")*ROW('حجز الإجازات'!$B$5:$B$104))=0,IF(IV$3&lt;'الموظفون'!$D$2,"",IF(ISNUMBER(MATCH(IV$3,Holidays,0)),"عطلة",IF(MOD(IV$3-'الموظفون'!$D$2,CycleWork+CycleRest)&lt;CycleWork,INDEX('الإعدادات والقوائم'!$H$2:$H$4,MOD(INT(MOD(IV$3-'الموظفون'!$D$2,CycleWork+CycleRest)*3/CycleWork)+MATCH(StartShift,'الإعدادات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الإجازات'!$D$5:$D$104&lt;=IV$3)*(('حجز الإجازات'!$E$5:$E$104)&gt;=IV$3)*('حجز الإجازات'!$G$5:$G$104="معتمد")*ROW('حجز الإجازات'!$B$5:$B$104)))-5+1))</f>
        <v/>
      </c>
      <c r="IW4" s="62">
        <f>IF(SUMPRODUCT(('حجز الإجازات'!$B$5:$B$104='الموظفون'!$B$2)*('حجز الإجازات'!$D$5:$D$104&lt;=IW$3)*(('حجز الإجازات'!$E$5:$E$104)&gt;=IW$3)*('حجز الإجازات'!$G$5:$G$104="معتمد")*ROW('حجز الإجازات'!$B$5:$B$104))=0,IF(IW$3&lt;'الموظفون'!$D$2,"",IF(ISNUMBER(MATCH(IW$3,Holidays,0)),"عطلة",IF(MOD(IW$3-'الموظفون'!$D$2,CycleWork+CycleRest)&lt;CycleWork,INDEX('الإعدادات والقوائم'!$H$2:$H$4,MOD(INT(MOD(IW$3-'الموظفون'!$D$2,CycleWork+CycleRest)*3/CycleWork)+MATCH(StartShift,'الإعدادات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الإجازات'!$D$5:$D$104&lt;=IW$3)*(('حجز الإجازات'!$E$5:$E$104)&gt;=IW$3)*('حجز الإجازات'!$G$5:$G$104="معتمد")*ROW('حجز الإجازات'!$B$5:$B$104)))-5+1))</f>
        <v/>
      </c>
      <c r="IX4" s="62">
        <f>IF(SUMPRODUCT(('حجز الإجازات'!$B$5:$B$104='الموظفون'!$B$2)*('حجز الإجازات'!$D$5:$D$104&lt;=IX$3)*(('حجز الإجازات'!$E$5:$E$104)&gt;=IX$3)*('حجز الإجازات'!$G$5:$G$104="معتمد")*ROW('حجز الإجازات'!$B$5:$B$104))=0,IF(IX$3&lt;'الموظفون'!$D$2,"",IF(ISNUMBER(MATCH(IX$3,Holidays,0)),"عطلة",IF(MOD(IX$3-'الموظفون'!$D$2,CycleWork+CycleRest)&lt;CycleWork,INDEX('الإعدادات والقوائم'!$H$2:$H$4,MOD(INT(MOD(IX$3-'الموظفون'!$D$2,CycleWork+CycleRest)*3/CycleWork)+MATCH(StartShift,'الإعدادات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الإجازات'!$D$5:$D$104&lt;=IX$3)*(('حجز الإجازات'!$E$5:$E$104)&gt;=IX$3)*('حجز الإجازات'!$G$5:$G$104="معتمد")*ROW('حجز الإجازات'!$B$5:$B$104)))-5+1))</f>
        <v/>
      </c>
      <c r="IY4" s="62">
        <f>IF(SUMPRODUCT(('حجز الإجازات'!$B$5:$B$104='الموظفون'!$B$2)*('حجز الإجازات'!$D$5:$D$104&lt;=IY$3)*(('حجز الإجازات'!$E$5:$E$104)&gt;=IY$3)*('حجز الإجازات'!$G$5:$G$104="معتمد")*ROW('حجز الإجازات'!$B$5:$B$104))=0,IF(IY$3&lt;'الموظفون'!$D$2,"",IF(ISNUMBER(MATCH(IY$3,Holidays,0)),"عطلة",IF(MOD(IY$3-'الموظفون'!$D$2,CycleWork+CycleRest)&lt;CycleWork,INDEX('الإعدادات والقوائم'!$H$2:$H$4,MOD(INT(MOD(IY$3-'الموظفون'!$D$2,CycleWork+CycleRest)*3/CycleWork)+MATCH(StartShift,'الإعدادات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الإجازات'!$D$5:$D$104&lt;=IY$3)*(('حجز الإجازات'!$E$5:$E$104)&gt;=IY$3)*('حجز الإجازات'!$G$5:$G$104="معتمد")*ROW('حجز الإجازات'!$B$5:$B$104)))-5+1))</f>
        <v/>
      </c>
      <c r="IZ4" s="62">
        <f>IF(SUMPRODUCT(('حجز الإجازات'!$B$5:$B$104='الموظفون'!$B$2)*('حجز الإجازات'!$D$5:$D$104&lt;=IZ$3)*(('حجز الإجازات'!$E$5:$E$104)&gt;=IZ$3)*('حجز الإجازات'!$G$5:$G$104="معتمد")*ROW('حجز الإجازات'!$B$5:$B$104))=0,IF(IZ$3&lt;'الموظفون'!$D$2,"",IF(ISNUMBER(MATCH(IZ$3,Holidays,0)),"عطلة",IF(MOD(IZ$3-'الموظفون'!$D$2,CycleWork+CycleRest)&lt;CycleWork,INDEX('الإعدادات والقوائم'!$H$2:$H$4,MOD(INT(MOD(IZ$3-'الموظفون'!$D$2,CycleWork+CycleRest)*3/CycleWork)+MATCH(StartShift,'الإعدادات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الإجازات'!$D$5:$D$104&lt;=IZ$3)*(('حجز الإجازات'!$E$5:$E$104)&gt;=IZ$3)*('حجز الإجازات'!$G$5:$G$104="معتمد")*ROW('حجز الإجازات'!$B$5:$B$104)))-5+1))</f>
        <v/>
      </c>
      <c r="JA4" s="62">
        <f>IF(SUMPRODUCT(('حجز الإجازات'!$B$5:$B$104='الموظفون'!$B$2)*('حجز الإجازات'!$D$5:$D$104&lt;=JA$3)*(('حجز الإجازات'!$E$5:$E$104)&gt;=JA$3)*('حجز الإجازات'!$G$5:$G$104="معتمد")*ROW('حجز الإجازات'!$B$5:$B$104))=0,IF(JA$3&lt;'الموظفون'!$D$2,"",IF(ISNUMBER(MATCH(JA$3,Holidays,0)),"عطلة",IF(MOD(JA$3-'الموظفون'!$D$2,CycleWork+CycleRest)&lt;CycleWork,INDEX('الإعدادات والقوائم'!$H$2:$H$4,MOD(INT(MOD(JA$3-'الموظفون'!$D$2,CycleWork+CycleRest)*3/CycleWork)+MATCH(StartShift,'الإعدادات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الإجازات'!$D$5:$D$104&lt;=JA$3)*(('حجز الإجازات'!$E$5:$E$104)&gt;=JA$3)*('حجز الإجازات'!$G$5:$G$104="معتمد")*ROW('حجز الإجازات'!$B$5:$B$104)))-5+1))</f>
        <v/>
      </c>
      <c r="JB4" s="62">
        <f>IF(SUMPRODUCT(('حجز الإجازات'!$B$5:$B$104='الموظفون'!$B$2)*('حجز الإجازات'!$D$5:$D$104&lt;=JB$3)*(('حجز الإجازات'!$E$5:$E$104)&gt;=JB$3)*('حجز الإجازات'!$G$5:$G$104="معتمد")*ROW('حجز الإجازات'!$B$5:$B$104))=0,IF(JB$3&lt;'الموظفون'!$D$2,"",IF(ISNUMBER(MATCH(JB$3,Holidays,0)),"عطلة",IF(MOD(JB$3-'الموظفون'!$D$2,CycleWork+CycleRest)&lt;CycleWork,INDEX('الإعدادات والقوائم'!$H$2:$H$4,MOD(INT(MOD(JB$3-'الموظفون'!$D$2,CycleWork+CycleRest)*3/CycleWork)+MATCH(StartShift,'الإعدادات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الإجازات'!$D$5:$D$104&lt;=JB$3)*(('حجز الإجازات'!$E$5:$E$104)&gt;=JB$3)*('حجز الإجازات'!$G$5:$G$104="معتمد")*ROW('حجز الإجازات'!$B$5:$B$104)))-5+1))</f>
        <v/>
      </c>
      <c r="JC4" s="62">
        <f>IF(SUMPRODUCT(('حجز الإجازات'!$B$5:$B$104='الموظفون'!$B$2)*('حجز الإجازات'!$D$5:$D$104&lt;=JC$3)*(('حجز الإجازات'!$E$5:$E$104)&gt;=JC$3)*('حجز الإجازات'!$G$5:$G$104="معتمد")*ROW('حجز الإجازات'!$B$5:$B$104))=0,IF(JC$3&lt;'الموظفون'!$D$2,"",IF(ISNUMBER(MATCH(JC$3,Holidays,0)),"عطلة",IF(MOD(JC$3-'الموظفون'!$D$2,CycleWork+CycleRest)&lt;CycleWork,INDEX('الإعدادات والقوائم'!$H$2:$H$4,MOD(INT(MOD(JC$3-'الموظفون'!$D$2,CycleWork+CycleRest)*3/CycleWork)+MATCH(StartShift,'الإعدادات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الإجازات'!$D$5:$D$104&lt;=JC$3)*(('حجز الإجازات'!$E$5:$E$104)&gt;=JC$3)*('حجز الإجازات'!$G$5:$G$104="معتمد")*ROW('حجز الإجازات'!$B$5:$B$104)))-5+1))</f>
        <v/>
      </c>
      <c r="JD4" s="62">
        <f>IF(SUMPRODUCT(('حجز الإجازات'!$B$5:$B$104='الموظفون'!$B$2)*('حجز الإجازات'!$D$5:$D$104&lt;=JD$3)*(('حجز الإجازات'!$E$5:$E$104)&gt;=JD$3)*('حجز الإجازات'!$G$5:$G$104="معتمد")*ROW('حجز الإجازات'!$B$5:$B$104))=0,IF(JD$3&lt;'الموظفون'!$D$2,"",IF(ISNUMBER(MATCH(JD$3,Holidays,0)),"عطلة",IF(MOD(JD$3-'الموظفون'!$D$2,CycleWork+CycleRest)&lt;CycleWork,INDEX('الإعدادات والقوائم'!$H$2:$H$4,MOD(INT(MOD(JD$3-'الموظفون'!$D$2,CycleWork+CycleRest)*3/CycleWork)+MATCH(StartShift,'الإعدادات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الإجازات'!$D$5:$D$104&lt;=JD$3)*(('حجز الإجازات'!$E$5:$E$104)&gt;=JD$3)*('حجز الإجازات'!$G$5:$G$104="معتمد")*ROW('حجز الإجازات'!$B$5:$B$104)))-5+1))</f>
        <v/>
      </c>
      <c r="JE4" s="62">
        <f>IF(SUMPRODUCT(('حجز الإجازات'!$B$5:$B$104='الموظفون'!$B$2)*('حجز الإجازات'!$D$5:$D$104&lt;=JE$3)*(('حجز الإجازات'!$E$5:$E$104)&gt;=JE$3)*('حجز الإجازات'!$G$5:$G$104="معتمد")*ROW('حجز الإجازات'!$B$5:$B$104))=0,IF(JE$3&lt;'الموظفون'!$D$2,"",IF(ISNUMBER(MATCH(JE$3,Holidays,0)),"عطلة",IF(MOD(JE$3-'الموظفون'!$D$2,CycleWork+CycleRest)&lt;CycleWork,INDEX('الإعدادات والقوائم'!$H$2:$H$4,MOD(INT(MOD(JE$3-'الموظفون'!$D$2,CycleWork+CycleRest)*3/CycleWork)+MATCH(StartShift,'الإعدادات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الإجازات'!$D$5:$D$104&lt;=JE$3)*(('حجز الإجازات'!$E$5:$E$104)&gt;=JE$3)*('حجز الإجازات'!$G$5:$G$104="معتمد")*ROW('حجز الإجازات'!$B$5:$B$104)))-5+1))</f>
        <v/>
      </c>
      <c r="JF4" s="62">
        <f>IF(SUMPRODUCT(('حجز الإجازات'!$B$5:$B$104='الموظفون'!$B$2)*('حجز الإجازات'!$D$5:$D$104&lt;=JF$3)*(('حجز الإجازات'!$E$5:$E$104)&gt;=JF$3)*('حجز الإجازات'!$G$5:$G$104="معتمد")*ROW('حجز الإجازات'!$B$5:$B$104))=0,IF(JF$3&lt;'الموظفون'!$D$2,"",IF(ISNUMBER(MATCH(JF$3,Holidays,0)),"عطلة",IF(MOD(JF$3-'الموظفون'!$D$2,CycleWork+CycleRest)&lt;CycleWork,INDEX('الإعدادات والقوائم'!$H$2:$H$4,MOD(INT(MOD(JF$3-'الموظفون'!$D$2,CycleWork+CycleRest)*3/CycleWork)+MATCH(StartShift,'الإعدادات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الإجازات'!$D$5:$D$104&lt;=JF$3)*(('حجز الإجازات'!$E$5:$E$104)&gt;=JF$3)*('حجز الإجازات'!$G$5:$G$104="معتمد")*ROW('حجز الإجازات'!$B$5:$B$104)))-5+1))</f>
        <v/>
      </c>
      <c r="JG4" s="62">
        <f>IF(SUMPRODUCT(('حجز الإجازات'!$B$5:$B$104='الموظفون'!$B$2)*('حجز الإجازات'!$D$5:$D$104&lt;=JG$3)*(('حجز الإجازات'!$E$5:$E$104)&gt;=JG$3)*('حجز الإجازات'!$G$5:$G$104="معتمد")*ROW('حجز الإجازات'!$B$5:$B$104))=0,IF(JG$3&lt;'الموظفون'!$D$2,"",IF(ISNUMBER(MATCH(JG$3,Holidays,0)),"عطلة",IF(MOD(JG$3-'الموظفون'!$D$2,CycleWork+CycleRest)&lt;CycleWork,INDEX('الإعدادات والقوائم'!$H$2:$H$4,MOD(INT(MOD(JG$3-'الموظفون'!$D$2,CycleWork+CycleRest)*3/CycleWork)+MATCH(StartShift,'الإعدادات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الإجازات'!$D$5:$D$104&lt;=JG$3)*(('حجز الإجازات'!$E$5:$E$104)&gt;=JG$3)*('حجز الإجازات'!$G$5:$G$104="معتمد")*ROW('حجز الإجازات'!$B$5:$B$104)))-5+1))</f>
        <v/>
      </c>
      <c r="JH4" s="62">
        <f>IF(SUMPRODUCT(('حجز الإجازات'!$B$5:$B$104='الموظفون'!$B$2)*('حجز الإجازات'!$D$5:$D$104&lt;=JH$3)*(('حجز الإجازات'!$E$5:$E$104)&gt;=JH$3)*('حجز الإجازات'!$G$5:$G$104="معتمد")*ROW('حجز الإجازات'!$B$5:$B$104))=0,IF(JH$3&lt;'الموظفون'!$D$2,"",IF(ISNUMBER(MATCH(JH$3,Holidays,0)),"عطلة",IF(MOD(JH$3-'الموظفون'!$D$2,CycleWork+CycleRest)&lt;CycleWork,INDEX('الإعدادات والقوائم'!$H$2:$H$4,MOD(INT(MOD(JH$3-'الموظفون'!$D$2,CycleWork+CycleRest)*3/CycleWork)+MATCH(StartShift,'الإعدادات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الإجازات'!$D$5:$D$104&lt;=JH$3)*(('حجز الإجازات'!$E$5:$E$104)&gt;=JH$3)*('حجز الإجازات'!$G$5:$G$104="معتمد")*ROW('حجز الإجازات'!$B$5:$B$104)))-5+1))</f>
        <v/>
      </c>
      <c r="JI4" s="62">
        <f>IF(SUMPRODUCT(('حجز الإجازات'!$B$5:$B$104='الموظفون'!$B$2)*('حجز الإجازات'!$D$5:$D$104&lt;=JI$3)*(('حجز الإجازات'!$E$5:$E$104)&gt;=JI$3)*('حجز الإجازات'!$G$5:$G$104="معتمد")*ROW('حجز الإجازات'!$B$5:$B$104))=0,IF(JI$3&lt;'الموظفون'!$D$2,"",IF(ISNUMBER(MATCH(JI$3,Holidays,0)),"عطلة",IF(MOD(JI$3-'الموظفون'!$D$2,CycleWork+CycleRest)&lt;CycleWork,INDEX('الإعدادات والقوائم'!$H$2:$H$4,MOD(INT(MOD(JI$3-'الموظفون'!$D$2,CycleWork+CycleRest)*3/CycleWork)+MATCH(StartShift,'الإعدادات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الإجازات'!$D$5:$D$104&lt;=JI$3)*(('حجز الإجازات'!$E$5:$E$104)&gt;=JI$3)*('حجز الإجازات'!$G$5:$G$104="معتمد")*ROW('حجز الإجازات'!$B$5:$B$104)))-5+1))</f>
        <v/>
      </c>
      <c r="JJ4" s="62">
        <f>IF(SUMPRODUCT(('حجز الإجازات'!$B$5:$B$104='الموظفون'!$B$2)*('حجز الإجازات'!$D$5:$D$104&lt;=JJ$3)*(('حجز الإجازات'!$E$5:$E$104)&gt;=JJ$3)*('حجز الإجازات'!$G$5:$G$104="معتمد")*ROW('حجز الإجازات'!$B$5:$B$104))=0,IF(JJ$3&lt;'الموظفون'!$D$2,"",IF(ISNUMBER(MATCH(JJ$3,Holidays,0)),"عطلة",IF(MOD(JJ$3-'الموظفون'!$D$2,CycleWork+CycleRest)&lt;CycleWork,INDEX('الإعدادات والقوائم'!$H$2:$H$4,MOD(INT(MOD(JJ$3-'الموظفون'!$D$2,CycleWork+CycleRest)*3/CycleWork)+MATCH(StartShift,'الإعدادات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الإجازات'!$D$5:$D$104&lt;=JJ$3)*(('حجز الإجازات'!$E$5:$E$104)&gt;=JJ$3)*('حجز الإجازات'!$G$5:$G$104="معتمد")*ROW('حجز الإجازات'!$B$5:$B$104)))-5+1))</f>
        <v/>
      </c>
      <c r="JK4" s="62">
        <f>IF(SUMPRODUCT(('حجز الإجازات'!$B$5:$B$104='الموظفون'!$B$2)*('حجز الإجازات'!$D$5:$D$104&lt;=JK$3)*(('حجز الإجازات'!$E$5:$E$104)&gt;=JK$3)*('حجز الإجازات'!$G$5:$G$104="معتمد")*ROW('حجز الإجازات'!$B$5:$B$104))=0,IF(JK$3&lt;'الموظفون'!$D$2,"",IF(ISNUMBER(MATCH(JK$3,Holidays,0)),"عطلة",IF(MOD(JK$3-'الموظفون'!$D$2,CycleWork+CycleRest)&lt;CycleWork,INDEX('الإعدادات والقوائم'!$H$2:$H$4,MOD(INT(MOD(JK$3-'الموظفون'!$D$2,CycleWork+CycleRest)*3/CycleWork)+MATCH(StartShift,'الإعدادات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الإجازات'!$D$5:$D$104&lt;=JK$3)*(('حجز الإجازات'!$E$5:$E$104)&gt;=JK$3)*('حجز الإجازات'!$G$5:$G$104="معتمد")*ROW('حجز الإجازات'!$B$5:$B$104)))-5+1))</f>
        <v/>
      </c>
      <c r="JL4" s="62">
        <f>IF(SUMPRODUCT(('حجز الإجازات'!$B$5:$B$104='الموظفون'!$B$2)*('حجز الإجازات'!$D$5:$D$104&lt;=JL$3)*(('حجز الإجازات'!$E$5:$E$104)&gt;=JL$3)*('حجز الإجازات'!$G$5:$G$104="معتمد")*ROW('حجز الإجازات'!$B$5:$B$104))=0,IF(JL$3&lt;'الموظفون'!$D$2,"",IF(ISNUMBER(MATCH(JL$3,Holidays,0)),"عطلة",IF(MOD(JL$3-'الموظفون'!$D$2,CycleWork+CycleRest)&lt;CycleWork,INDEX('الإعدادات والقوائم'!$H$2:$H$4,MOD(INT(MOD(JL$3-'الموظفون'!$D$2,CycleWork+CycleRest)*3/CycleWork)+MATCH(StartShift,'الإعدادات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الإجازات'!$D$5:$D$104&lt;=JL$3)*(('حجز الإجازات'!$E$5:$E$104)&gt;=JL$3)*('حجز الإجازات'!$G$5:$G$104="معتمد")*ROW('حجز الإجازات'!$B$5:$B$104)))-5+1))</f>
        <v/>
      </c>
      <c r="JM4" s="62">
        <f>IF(SUMPRODUCT(('حجز الإجازات'!$B$5:$B$104='الموظفون'!$B$2)*('حجز الإجازات'!$D$5:$D$104&lt;=JM$3)*(('حجز الإجازات'!$E$5:$E$104)&gt;=JM$3)*('حجز الإجازات'!$G$5:$G$104="معتمد")*ROW('حجز الإجازات'!$B$5:$B$104))=0,IF(JM$3&lt;'الموظفون'!$D$2,"",IF(ISNUMBER(MATCH(JM$3,Holidays,0)),"عطلة",IF(MOD(JM$3-'الموظفون'!$D$2,CycleWork+CycleRest)&lt;CycleWork,INDEX('الإعدادات والقوائم'!$H$2:$H$4,MOD(INT(MOD(JM$3-'الموظفون'!$D$2,CycleWork+CycleRest)*3/CycleWork)+MATCH(StartShift,'الإعدادات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الإجازات'!$D$5:$D$104&lt;=JM$3)*(('حجز الإجازات'!$E$5:$E$104)&gt;=JM$3)*('حجز الإجازات'!$G$5:$G$104="معتمد")*ROW('حجز الإجازات'!$B$5:$B$104)))-5+1))</f>
        <v/>
      </c>
      <c r="JN4" s="62">
        <f>IF(SUMPRODUCT(('حجز الإجازات'!$B$5:$B$104='الموظفون'!$B$2)*('حجز الإجازات'!$D$5:$D$104&lt;=JN$3)*(('حجز الإجازات'!$E$5:$E$104)&gt;=JN$3)*('حجز الإجازات'!$G$5:$G$104="معتمد")*ROW('حجز الإجازات'!$B$5:$B$104))=0,IF(JN$3&lt;'الموظفون'!$D$2,"",IF(ISNUMBER(MATCH(JN$3,Holidays,0)),"عطلة",IF(MOD(JN$3-'الموظفون'!$D$2,CycleWork+CycleRest)&lt;CycleWork,INDEX('الإعدادات والقوائم'!$H$2:$H$4,MOD(INT(MOD(JN$3-'الموظفون'!$D$2,CycleWork+CycleRest)*3/CycleWork)+MATCH(StartShift,'الإعدادات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الإجازات'!$D$5:$D$104&lt;=JN$3)*(('حجز الإجازات'!$E$5:$E$104)&gt;=JN$3)*('حجز الإجازات'!$G$5:$G$104="معتمد")*ROW('حجز الإجازات'!$B$5:$B$104)))-5+1))</f>
        <v/>
      </c>
      <c r="JO4" s="62">
        <f>IF(SUMPRODUCT(('حجز الإجازات'!$B$5:$B$104='الموظفون'!$B$2)*('حجز الإجازات'!$D$5:$D$104&lt;=JO$3)*(('حجز الإجازات'!$E$5:$E$104)&gt;=JO$3)*('حجز الإجازات'!$G$5:$G$104="معتمد")*ROW('حجز الإجازات'!$B$5:$B$104))=0,IF(JO$3&lt;'الموظفون'!$D$2,"",IF(ISNUMBER(MATCH(JO$3,Holidays,0)),"عطلة",IF(MOD(JO$3-'الموظفون'!$D$2,CycleWork+CycleRest)&lt;CycleWork,INDEX('الإعدادات والقوائم'!$H$2:$H$4,MOD(INT(MOD(JO$3-'الموظفون'!$D$2,CycleWork+CycleRest)*3/CycleWork)+MATCH(StartShift,'الإعدادات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الإجازات'!$D$5:$D$104&lt;=JO$3)*(('حجز الإجازات'!$E$5:$E$104)&gt;=JO$3)*('حجز الإجازات'!$G$5:$G$104="معتمد")*ROW('حجز الإجازات'!$B$5:$B$104)))-5+1))</f>
        <v/>
      </c>
      <c r="JP4" s="62">
        <f>IF(SUMPRODUCT(('حجز الإجازات'!$B$5:$B$104='الموظفون'!$B$2)*('حجز الإجازات'!$D$5:$D$104&lt;=JP$3)*(('حجز الإجازات'!$E$5:$E$104)&gt;=JP$3)*('حجز الإجازات'!$G$5:$G$104="معتمد")*ROW('حجز الإجازات'!$B$5:$B$104))=0,IF(JP$3&lt;'الموظفون'!$D$2,"",IF(ISNUMBER(MATCH(JP$3,Holidays,0)),"عطلة",IF(MOD(JP$3-'الموظفون'!$D$2,CycleWork+CycleRest)&lt;CycleWork,INDEX('الإعدادات والقوائم'!$H$2:$H$4,MOD(INT(MOD(JP$3-'الموظفون'!$D$2,CycleWork+CycleRest)*3/CycleWork)+MATCH(StartShift,'الإعدادات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الإجازات'!$D$5:$D$104&lt;=JP$3)*(('حجز الإجازات'!$E$5:$E$104)&gt;=JP$3)*('حجز الإجازات'!$G$5:$G$104="معتمد")*ROW('حجز الإجازات'!$B$5:$B$104)))-5+1))</f>
        <v/>
      </c>
      <c r="JQ4" s="62">
        <f>IF(SUMPRODUCT(('حجز الإجازات'!$B$5:$B$104='الموظفون'!$B$2)*('حجز الإجازات'!$D$5:$D$104&lt;=JQ$3)*(('حجز الإجازات'!$E$5:$E$104)&gt;=JQ$3)*('حجز الإجازات'!$G$5:$G$104="معتمد")*ROW('حجز الإجازات'!$B$5:$B$104))=0,IF(JQ$3&lt;'الموظفون'!$D$2,"",IF(ISNUMBER(MATCH(JQ$3,Holidays,0)),"عطلة",IF(MOD(JQ$3-'الموظفون'!$D$2,CycleWork+CycleRest)&lt;CycleWork,INDEX('الإعدادات والقوائم'!$H$2:$H$4,MOD(INT(MOD(JQ$3-'الموظفون'!$D$2,CycleWork+CycleRest)*3/CycleWork)+MATCH(StartShift,'الإعدادات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الإجازات'!$D$5:$D$104&lt;=JQ$3)*(('حجز الإجازات'!$E$5:$E$104)&gt;=JQ$3)*('حجز الإجازات'!$G$5:$G$104="معتمد")*ROW('حجز الإجازات'!$B$5:$B$104)))-5+1))</f>
        <v/>
      </c>
      <c r="JR4" s="62">
        <f>IF(SUMPRODUCT(('حجز الإجازات'!$B$5:$B$104='الموظفون'!$B$2)*('حجز الإجازات'!$D$5:$D$104&lt;=JR$3)*(('حجز الإجازات'!$E$5:$E$104)&gt;=JR$3)*('حجز الإجازات'!$G$5:$G$104="معتمد")*ROW('حجز الإجازات'!$B$5:$B$104))=0,IF(JR$3&lt;'الموظفون'!$D$2,"",IF(ISNUMBER(MATCH(JR$3,Holidays,0)),"عطلة",IF(MOD(JR$3-'الموظفون'!$D$2,CycleWork+CycleRest)&lt;CycleWork,INDEX('الإعدادات والقوائم'!$H$2:$H$4,MOD(INT(MOD(JR$3-'الموظفون'!$D$2,CycleWork+CycleRest)*3/CycleWork)+MATCH(StartShift,'الإعدادات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الإجازات'!$D$5:$D$104&lt;=JR$3)*(('حجز الإجازات'!$E$5:$E$104)&gt;=JR$3)*('حجز الإجازات'!$G$5:$G$104="معتمد")*ROW('حجز الإجازات'!$B$5:$B$104)))-5+1))</f>
        <v/>
      </c>
      <c r="JS4" s="62">
        <f>IF(SUMPRODUCT(('حجز الإجازات'!$B$5:$B$104='الموظفون'!$B$2)*('حجز الإجازات'!$D$5:$D$104&lt;=JS$3)*(('حجز الإجازات'!$E$5:$E$104)&gt;=JS$3)*('حجز الإجازات'!$G$5:$G$104="معتمد")*ROW('حجز الإجازات'!$B$5:$B$104))=0,IF(JS$3&lt;'الموظفون'!$D$2,"",IF(ISNUMBER(MATCH(JS$3,Holidays,0)),"عطلة",IF(MOD(JS$3-'الموظفون'!$D$2,CycleWork+CycleRest)&lt;CycleWork,INDEX('الإعدادات والقوائم'!$H$2:$H$4,MOD(INT(MOD(JS$3-'الموظفون'!$D$2,CycleWork+CycleRest)*3/CycleWork)+MATCH(StartShift,'الإعدادات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الإجازات'!$D$5:$D$104&lt;=JS$3)*(('حجز الإجازات'!$E$5:$E$104)&gt;=JS$3)*('حجز الإجازات'!$G$5:$G$104="معتمد")*ROW('حجز الإجازات'!$B$5:$B$104)))-5+1))</f>
        <v/>
      </c>
      <c r="JT4" s="62">
        <f>IF(SUMPRODUCT(('حجز الإجازات'!$B$5:$B$104='الموظفون'!$B$2)*('حجز الإجازات'!$D$5:$D$104&lt;=JT$3)*(('حجز الإجازات'!$E$5:$E$104)&gt;=JT$3)*('حجز الإجازات'!$G$5:$G$104="معتمد")*ROW('حجز الإجازات'!$B$5:$B$104))=0,IF(JT$3&lt;'الموظفون'!$D$2,"",IF(ISNUMBER(MATCH(JT$3,Holidays,0)),"عطلة",IF(MOD(JT$3-'الموظفون'!$D$2,CycleWork+CycleRest)&lt;CycleWork,INDEX('الإعدادات والقوائم'!$H$2:$H$4,MOD(INT(MOD(JT$3-'الموظفون'!$D$2,CycleWork+CycleRest)*3/CycleWork)+MATCH(StartShift,'الإعدادات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الإجازات'!$D$5:$D$104&lt;=JT$3)*(('حجز الإجازات'!$E$5:$E$104)&gt;=JT$3)*('حجز الإجازات'!$G$5:$G$104="معتمد")*ROW('حجز الإجازات'!$B$5:$B$104)))-5+1))</f>
        <v/>
      </c>
      <c r="JU4" s="62">
        <f>IF(SUMPRODUCT(('حجز الإجازات'!$B$5:$B$104='الموظفون'!$B$2)*('حجز الإجازات'!$D$5:$D$104&lt;=JU$3)*(('حجز الإجازات'!$E$5:$E$104)&gt;=JU$3)*('حجز الإجازات'!$G$5:$G$104="معتمد")*ROW('حجز الإجازات'!$B$5:$B$104))=0,IF(JU$3&lt;'الموظفون'!$D$2,"",IF(ISNUMBER(MATCH(JU$3,Holidays,0)),"عطلة",IF(MOD(JU$3-'الموظفون'!$D$2,CycleWork+CycleRest)&lt;CycleWork,INDEX('الإعدادات والقوائم'!$H$2:$H$4,MOD(INT(MOD(JU$3-'الموظفون'!$D$2,CycleWork+CycleRest)*3/CycleWork)+MATCH(StartShift,'الإعدادات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الإجازات'!$D$5:$D$104&lt;=JU$3)*(('حجز الإجازات'!$E$5:$E$104)&gt;=JU$3)*('حجز الإجازات'!$G$5:$G$104="معتمد")*ROW('حجز الإجازات'!$B$5:$B$104)))-5+1))</f>
        <v/>
      </c>
      <c r="JV4" s="62">
        <f>IF(SUMPRODUCT(('حجز الإجازات'!$B$5:$B$104='الموظفون'!$B$2)*('حجز الإجازات'!$D$5:$D$104&lt;=JV$3)*(('حجز الإجازات'!$E$5:$E$104)&gt;=JV$3)*('حجز الإجازات'!$G$5:$G$104="معتمد")*ROW('حجز الإجازات'!$B$5:$B$104))=0,IF(JV$3&lt;'الموظفون'!$D$2,"",IF(ISNUMBER(MATCH(JV$3,Holidays,0)),"عطلة",IF(MOD(JV$3-'الموظفون'!$D$2,CycleWork+CycleRest)&lt;CycleWork,INDEX('الإعدادات والقوائم'!$H$2:$H$4,MOD(INT(MOD(JV$3-'الموظفون'!$D$2,CycleWork+CycleRest)*3/CycleWork)+MATCH(StartShift,'الإعدادات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الإجازات'!$D$5:$D$104&lt;=JV$3)*(('حجز الإجازات'!$E$5:$E$104)&gt;=JV$3)*('حجز الإجازات'!$G$5:$G$104="معتمد")*ROW('حجز الإجازات'!$B$5:$B$104)))-5+1))</f>
        <v/>
      </c>
      <c r="JW4" s="62">
        <f>IF(SUMPRODUCT(('حجز الإجازات'!$B$5:$B$104='الموظفون'!$B$2)*('حجز الإجازات'!$D$5:$D$104&lt;=JW$3)*(('حجز الإجازات'!$E$5:$E$104)&gt;=JW$3)*('حجز الإجازات'!$G$5:$G$104="معتمد")*ROW('حجز الإجازات'!$B$5:$B$104))=0,IF(JW$3&lt;'الموظفون'!$D$2,"",IF(ISNUMBER(MATCH(JW$3,Holidays,0)),"عطلة",IF(MOD(JW$3-'الموظفون'!$D$2,CycleWork+CycleRest)&lt;CycleWork,INDEX('الإعدادات والقوائم'!$H$2:$H$4,MOD(INT(MOD(JW$3-'الموظفون'!$D$2,CycleWork+CycleRest)*3/CycleWork)+MATCH(StartShift,'الإعدادات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الإجازات'!$D$5:$D$104&lt;=JW$3)*(('حجز الإجازات'!$E$5:$E$104)&gt;=JW$3)*('حجز الإجازات'!$G$5:$G$104="معتمد")*ROW('حجز الإجازات'!$B$5:$B$104)))-5+1))</f>
        <v/>
      </c>
      <c r="JX4" s="62">
        <f>IF(SUMPRODUCT(('حجز الإجازات'!$B$5:$B$104='الموظفون'!$B$2)*('حجز الإجازات'!$D$5:$D$104&lt;=JX$3)*(('حجز الإجازات'!$E$5:$E$104)&gt;=JX$3)*('حجز الإجازات'!$G$5:$G$104="معتمد")*ROW('حجز الإجازات'!$B$5:$B$104))=0,IF(JX$3&lt;'الموظفون'!$D$2,"",IF(ISNUMBER(MATCH(JX$3,Holidays,0)),"عطلة",IF(MOD(JX$3-'الموظفون'!$D$2,CycleWork+CycleRest)&lt;CycleWork,INDEX('الإعدادات والقوائم'!$H$2:$H$4,MOD(INT(MOD(JX$3-'الموظفون'!$D$2,CycleWork+CycleRest)*3/CycleWork)+MATCH(StartShift,'الإعدادات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الإجازات'!$D$5:$D$104&lt;=JX$3)*(('حجز الإجازات'!$E$5:$E$104)&gt;=JX$3)*('حجز الإجازات'!$G$5:$G$104="معتمد")*ROW('حجز الإجازات'!$B$5:$B$104)))-5+1))</f>
        <v/>
      </c>
      <c r="JY4" s="62">
        <f>IF(SUMPRODUCT(('حجز الإجازات'!$B$5:$B$104='الموظفون'!$B$2)*('حجز الإجازات'!$D$5:$D$104&lt;=JY$3)*(('حجز الإجازات'!$E$5:$E$104)&gt;=JY$3)*('حجز الإجازات'!$G$5:$G$104="معتمد")*ROW('حجز الإجازات'!$B$5:$B$104))=0,IF(JY$3&lt;'الموظفون'!$D$2,"",IF(ISNUMBER(MATCH(JY$3,Holidays,0)),"عطلة",IF(MOD(JY$3-'الموظفون'!$D$2,CycleWork+CycleRest)&lt;CycleWork,INDEX('الإعدادات والقوائم'!$H$2:$H$4,MOD(INT(MOD(JY$3-'الموظفون'!$D$2,CycleWork+CycleRest)*3/CycleWork)+MATCH(StartShift,'الإعدادات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الإجازات'!$D$5:$D$104&lt;=JY$3)*(('حجز الإجازات'!$E$5:$E$104)&gt;=JY$3)*('حجز الإجازات'!$G$5:$G$104="معتمد")*ROW('حجز الإجازات'!$B$5:$B$104)))-5+1))</f>
        <v/>
      </c>
      <c r="JZ4" s="62">
        <f>IF(SUMPRODUCT(('حجز الإجازات'!$B$5:$B$104='الموظفون'!$B$2)*('حجز الإجازات'!$D$5:$D$104&lt;=JZ$3)*(('حجز الإجازات'!$E$5:$E$104)&gt;=JZ$3)*('حجز الإجازات'!$G$5:$G$104="معتمد")*ROW('حجز الإجازات'!$B$5:$B$104))=0,IF(JZ$3&lt;'الموظفون'!$D$2,"",IF(ISNUMBER(MATCH(JZ$3,Holidays,0)),"عطلة",IF(MOD(JZ$3-'الموظفون'!$D$2,CycleWork+CycleRest)&lt;CycleWork,INDEX('الإعدادات والقوائم'!$H$2:$H$4,MOD(INT(MOD(JZ$3-'الموظفون'!$D$2,CycleWork+CycleRest)*3/CycleWork)+MATCH(StartShift,'الإعدادات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الإجازات'!$D$5:$D$104&lt;=JZ$3)*(('حجز الإجازات'!$E$5:$E$104)&gt;=JZ$3)*('حجز الإجازات'!$G$5:$G$104="معتمد")*ROW('حجز الإجازات'!$B$5:$B$104)))-5+1))</f>
        <v/>
      </c>
      <c r="KA4" s="62">
        <f>IF(SUMPRODUCT(('حجز الإجازات'!$B$5:$B$104='الموظفون'!$B$2)*('حجز الإجازات'!$D$5:$D$104&lt;=KA$3)*(('حجز الإجازات'!$E$5:$E$104)&gt;=KA$3)*('حجز الإجازات'!$G$5:$G$104="معتمد")*ROW('حجز الإجازات'!$B$5:$B$104))=0,IF(KA$3&lt;'الموظفون'!$D$2,"",IF(ISNUMBER(MATCH(KA$3,Holidays,0)),"عطلة",IF(MOD(KA$3-'الموظفون'!$D$2,CycleWork+CycleRest)&lt;CycleWork,INDEX('الإعدادات والقوائم'!$H$2:$H$4,MOD(INT(MOD(KA$3-'الموظفون'!$D$2,CycleWork+CycleRest)*3/CycleWork)+MATCH(StartShift,'الإعدادات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الإجازات'!$D$5:$D$104&lt;=KA$3)*(('حجز الإجازات'!$E$5:$E$104)&gt;=KA$3)*('حجز الإجازات'!$G$5:$G$104="معتمد")*ROW('حجز الإجازات'!$B$5:$B$104)))-5+1))</f>
        <v/>
      </c>
      <c r="KB4" s="62">
        <f>IF(SUMPRODUCT(('حجز الإجازات'!$B$5:$B$104='الموظفون'!$B$2)*('حجز الإجازات'!$D$5:$D$104&lt;=KB$3)*(('حجز الإجازات'!$E$5:$E$104)&gt;=KB$3)*('حجز الإجازات'!$G$5:$G$104="معتمد")*ROW('حجز الإجازات'!$B$5:$B$104))=0,IF(KB$3&lt;'الموظفون'!$D$2,"",IF(ISNUMBER(MATCH(KB$3,Holidays,0)),"عطلة",IF(MOD(KB$3-'الموظفون'!$D$2,CycleWork+CycleRest)&lt;CycleWork,INDEX('الإعدادات والقوائم'!$H$2:$H$4,MOD(INT(MOD(KB$3-'الموظفون'!$D$2,CycleWork+CycleRest)*3/CycleWork)+MATCH(StartShift,'الإعدادات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الإجازات'!$D$5:$D$104&lt;=KB$3)*(('حجز الإجازات'!$E$5:$E$104)&gt;=KB$3)*('حجز الإجازات'!$G$5:$G$104="معتمد")*ROW('حجز الإجازات'!$B$5:$B$104)))-5+1))</f>
        <v/>
      </c>
      <c r="KC4" s="62">
        <f>IF(SUMPRODUCT(('حجز الإجازات'!$B$5:$B$104='الموظفون'!$B$2)*('حجز الإجازات'!$D$5:$D$104&lt;=KC$3)*(('حجز الإجازات'!$E$5:$E$104)&gt;=KC$3)*('حجز الإجازات'!$G$5:$G$104="معتمد")*ROW('حجز الإجازات'!$B$5:$B$104))=0,IF(KC$3&lt;'الموظفون'!$D$2,"",IF(ISNUMBER(MATCH(KC$3,Holidays,0)),"عطلة",IF(MOD(KC$3-'الموظفون'!$D$2,CycleWork+CycleRest)&lt;CycleWork,INDEX('الإعدادات والقوائم'!$H$2:$H$4,MOD(INT(MOD(KC$3-'الموظفون'!$D$2,CycleWork+CycleRest)*3/CycleWork)+MATCH(StartShift,'الإعدادات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الإجازات'!$D$5:$D$104&lt;=KC$3)*(('حجز الإجازات'!$E$5:$E$104)&gt;=KC$3)*('حجز الإجازات'!$G$5:$G$104="معتمد")*ROW('حجز الإجازات'!$B$5:$B$104)))-5+1))</f>
        <v/>
      </c>
      <c r="KD4" s="62">
        <f>IF(SUMPRODUCT(('حجز الإجازات'!$B$5:$B$104='الموظفون'!$B$2)*('حجز الإجازات'!$D$5:$D$104&lt;=KD$3)*(('حجز الإجازات'!$E$5:$E$104)&gt;=KD$3)*('حجز الإجازات'!$G$5:$G$104="معتمد")*ROW('حجز الإجازات'!$B$5:$B$104))=0,IF(KD$3&lt;'الموظفون'!$D$2,"",IF(ISNUMBER(MATCH(KD$3,Holidays,0)),"عطلة",IF(MOD(KD$3-'الموظفون'!$D$2,CycleWork+CycleRest)&lt;CycleWork,INDEX('الإعدادات والقوائم'!$H$2:$H$4,MOD(INT(MOD(KD$3-'الموظفون'!$D$2,CycleWork+CycleRest)*3/CycleWork)+MATCH(StartShift,'الإعدادات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الإجازات'!$D$5:$D$104&lt;=KD$3)*(('حجز الإجازات'!$E$5:$E$104)&gt;=KD$3)*('حجز الإجازات'!$G$5:$G$104="معتمد")*ROW('حجز الإجازات'!$B$5:$B$104)))-5+1))</f>
        <v/>
      </c>
      <c r="KE4" s="62">
        <f>IF(SUMPRODUCT(('حجز الإجازات'!$B$5:$B$104='الموظفون'!$B$2)*('حجز الإجازات'!$D$5:$D$104&lt;=KE$3)*(('حجز الإجازات'!$E$5:$E$104)&gt;=KE$3)*('حجز الإجازات'!$G$5:$G$104="معتمد")*ROW('حجز الإجازات'!$B$5:$B$104))=0,IF(KE$3&lt;'الموظفون'!$D$2,"",IF(ISNUMBER(MATCH(KE$3,Holidays,0)),"عطلة",IF(MOD(KE$3-'الموظفون'!$D$2,CycleWork+CycleRest)&lt;CycleWork,INDEX('الإعدادات والقوائم'!$H$2:$H$4,MOD(INT(MOD(KE$3-'الموظفون'!$D$2,CycleWork+CycleRest)*3/CycleWork)+MATCH(StartShift,'الإعدادات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الإجازات'!$D$5:$D$104&lt;=KE$3)*(('حجز الإجازات'!$E$5:$E$104)&gt;=KE$3)*('حجز الإجازات'!$G$5:$G$104="معتمد")*ROW('حجز الإجازات'!$B$5:$B$104)))-5+1))</f>
        <v/>
      </c>
      <c r="KF4" s="62">
        <f>IF(SUMPRODUCT(('حجز الإجازات'!$B$5:$B$104='الموظفون'!$B$2)*('حجز الإجازات'!$D$5:$D$104&lt;=KF$3)*(('حجز الإجازات'!$E$5:$E$104)&gt;=KF$3)*('حجز الإجازات'!$G$5:$G$104="معتمد")*ROW('حجز الإجازات'!$B$5:$B$104))=0,IF(KF$3&lt;'الموظفون'!$D$2,"",IF(ISNUMBER(MATCH(KF$3,Holidays,0)),"عطلة",IF(MOD(KF$3-'الموظفون'!$D$2,CycleWork+CycleRest)&lt;CycleWork,INDEX('الإعدادات والقوائم'!$H$2:$H$4,MOD(INT(MOD(KF$3-'الموظفون'!$D$2,CycleWork+CycleRest)*3/CycleWork)+MATCH(StartShift,'الإعدادات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الإجازات'!$D$5:$D$104&lt;=KF$3)*(('حجز الإجازات'!$E$5:$E$104)&gt;=KF$3)*('حجز الإجازات'!$G$5:$G$104="معتمد")*ROW('حجز الإجازات'!$B$5:$B$104)))-5+1))</f>
        <v/>
      </c>
      <c r="KG4" s="62">
        <f>IF(SUMPRODUCT(('حجز الإجازات'!$B$5:$B$104='الموظفون'!$B$2)*('حجز الإجازات'!$D$5:$D$104&lt;=KG$3)*(('حجز الإجازات'!$E$5:$E$104)&gt;=KG$3)*('حجز الإجازات'!$G$5:$G$104="معتمد")*ROW('حجز الإجازات'!$B$5:$B$104))=0,IF(KG$3&lt;'الموظفون'!$D$2,"",IF(ISNUMBER(MATCH(KG$3,Holidays,0)),"عطلة",IF(MOD(KG$3-'الموظفون'!$D$2,CycleWork+CycleRest)&lt;CycleWork,INDEX('الإعدادات والقوائم'!$H$2:$H$4,MOD(INT(MOD(KG$3-'الموظفون'!$D$2,CycleWork+CycleRest)*3/CycleWork)+MATCH(StartShift,'الإعدادات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الإجازات'!$D$5:$D$104&lt;=KG$3)*(('حجز الإجازات'!$E$5:$E$104)&gt;=KG$3)*('حجز الإجازات'!$G$5:$G$104="معتمد")*ROW('حجز الإجازات'!$B$5:$B$104)))-5+1))</f>
        <v/>
      </c>
      <c r="KH4" s="62">
        <f>IF(SUMPRODUCT(('حجز الإجازات'!$B$5:$B$104='الموظفون'!$B$2)*('حجز الإجازات'!$D$5:$D$104&lt;=KH$3)*(('حجز الإجازات'!$E$5:$E$104)&gt;=KH$3)*('حجز الإجازات'!$G$5:$G$104="معتمد")*ROW('حجز الإجازات'!$B$5:$B$104))=0,IF(KH$3&lt;'الموظفون'!$D$2,"",IF(ISNUMBER(MATCH(KH$3,Holidays,0)),"عطلة",IF(MOD(KH$3-'الموظفون'!$D$2,CycleWork+CycleRest)&lt;CycleWork,INDEX('الإعدادات والقوائم'!$H$2:$H$4,MOD(INT(MOD(KH$3-'الموظفون'!$D$2,CycleWork+CycleRest)*3/CycleWork)+MATCH(StartShift,'الإعدادات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الإجازات'!$D$5:$D$104&lt;=KH$3)*(('حجز الإجازات'!$E$5:$E$104)&gt;=KH$3)*('حجز الإجازات'!$G$5:$G$104="معتمد")*ROW('حجز الإجازات'!$B$5:$B$104)))-5+1))</f>
        <v/>
      </c>
      <c r="KI4" s="62">
        <f>IF(SUMPRODUCT(('حجز الإجازات'!$B$5:$B$104='الموظفون'!$B$2)*('حجز الإجازات'!$D$5:$D$104&lt;=KI$3)*(('حجز الإجازات'!$E$5:$E$104)&gt;=KI$3)*('حجز الإجازات'!$G$5:$G$104="معتمد")*ROW('حجز الإجازات'!$B$5:$B$104))=0,IF(KI$3&lt;'الموظفون'!$D$2,"",IF(ISNUMBER(MATCH(KI$3,Holidays,0)),"عطلة",IF(MOD(KI$3-'الموظفون'!$D$2,CycleWork+CycleRest)&lt;CycleWork,INDEX('الإعدادات والقوائم'!$H$2:$H$4,MOD(INT(MOD(KI$3-'الموظفون'!$D$2,CycleWork+CycleRest)*3/CycleWork)+MATCH(StartShift,'الإعدادات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الإجازات'!$D$5:$D$104&lt;=KI$3)*(('حجز الإجازات'!$E$5:$E$104)&gt;=KI$3)*('حجز الإجازات'!$G$5:$G$104="معتمد")*ROW('حجز الإجازات'!$B$5:$B$104)))-5+1))</f>
        <v/>
      </c>
      <c r="KJ4" s="62">
        <f>IF(SUMPRODUCT(('حجز الإجازات'!$B$5:$B$104='الموظفون'!$B$2)*('حجز الإجازات'!$D$5:$D$104&lt;=KJ$3)*(('حجز الإجازات'!$E$5:$E$104)&gt;=KJ$3)*('حجز الإجازات'!$G$5:$G$104="معتمد")*ROW('حجز الإجازات'!$B$5:$B$104))=0,IF(KJ$3&lt;'الموظفون'!$D$2,"",IF(ISNUMBER(MATCH(KJ$3,Holidays,0)),"عطلة",IF(MOD(KJ$3-'الموظفون'!$D$2,CycleWork+CycleRest)&lt;CycleWork,INDEX('الإعدادات والقوائم'!$H$2:$H$4,MOD(INT(MOD(KJ$3-'الموظفون'!$D$2,CycleWork+CycleRest)*3/CycleWork)+MATCH(StartShift,'الإعدادات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الإجازات'!$D$5:$D$104&lt;=KJ$3)*(('حجز الإجازات'!$E$5:$E$104)&gt;=KJ$3)*('حجز الإجازات'!$G$5:$G$104="معتمد")*ROW('حجز الإجازات'!$B$5:$B$104)))-5+1))</f>
        <v/>
      </c>
      <c r="KK4" s="62">
        <f>IF(SUMPRODUCT(('حجز الإجازات'!$B$5:$B$104='الموظفون'!$B$2)*('حجز الإجازات'!$D$5:$D$104&lt;=KK$3)*(('حجز الإجازات'!$E$5:$E$104)&gt;=KK$3)*('حجز الإجازات'!$G$5:$G$104="معتمد")*ROW('حجز الإجازات'!$B$5:$B$104))=0,IF(KK$3&lt;'الموظفون'!$D$2,"",IF(ISNUMBER(MATCH(KK$3,Holidays,0)),"عطلة",IF(MOD(KK$3-'الموظفون'!$D$2,CycleWork+CycleRest)&lt;CycleWork,INDEX('الإعدادات والقوائم'!$H$2:$H$4,MOD(INT(MOD(KK$3-'الموظفون'!$D$2,CycleWork+CycleRest)*3/CycleWork)+MATCH(StartShift,'الإعدادات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الإجازات'!$D$5:$D$104&lt;=KK$3)*(('حجز الإجازات'!$E$5:$E$104)&gt;=KK$3)*('حجز الإجازات'!$G$5:$G$104="معتمد")*ROW('حجز الإجازات'!$B$5:$B$104)))-5+1))</f>
        <v/>
      </c>
      <c r="KL4" s="62">
        <f>IF(SUMPRODUCT(('حجز الإجازات'!$B$5:$B$104='الموظفون'!$B$2)*('حجز الإجازات'!$D$5:$D$104&lt;=KL$3)*(('حجز الإجازات'!$E$5:$E$104)&gt;=KL$3)*('حجز الإجازات'!$G$5:$G$104="معتمد")*ROW('حجز الإجازات'!$B$5:$B$104))=0,IF(KL$3&lt;'الموظفون'!$D$2,"",IF(ISNUMBER(MATCH(KL$3,Holidays,0)),"عطلة",IF(MOD(KL$3-'الموظفون'!$D$2,CycleWork+CycleRest)&lt;CycleWork,INDEX('الإعدادات والقوائم'!$H$2:$H$4,MOD(INT(MOD(KL$3-'الموظفون'!$D$2,CycleWork+CycleRest)*3/CycleWork)+MATCH(StartShift,'الإعدادات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الإجازات'!$D$5:$D$104&lt;=KL$3)*(('حجز الإجازات'!$E$5:$E$104)&gt;=KL$3)*('حجز الإجازات'!$G$5:$G$104="معتمد")*ROW('حجز الإجازات'!$B$5:$B$104)))-5+1))</f>
        <v/>
      </c>
      <c r="KM4" s="62">
        <f>IF(SUMPRODUCT(('حجز الإجازات'!$B$5:$B$104='الموظفون'!$B$2)*('حجز الإجازات'!$D$5:$D$104&lt;=KM$3)*(('حجز الإجازات'!$E$5:$E$104)&gt;=KM$3)*('حجز الإجازات'!$G$5:$G$104="معتمد")*ROW('حجز الإجازات'!$B$5:$B$104))=0,IF(KM$3&lt;'الموظفون'!$D$2,"",IF(ISNUMBER(MATCH(KM$3,Holidays,0)),"عطلة",IF(MOD(KM$3-'الموظفون'!$D$2,CycleWork+CycleRest)&lt;CycleWork,INDEX('الإعدادات والقوائم'!$H$2:$H$4,MOD(INT(MOD(KM$3-'الموظفون'!$D$2,CycleWork+CycleRest)*3/CycleWork)+MATCH(StartShift,'الإعدادات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الإجازات'!$D$5:$D$104&lt;=KM$3)*(('حجز الإجازات'!$E$5:$E$104)&gt;=KM$3)*('حجز الإجازات'!$G$5:$G$104="معتمد")*ROW('حجز الإجازات'!$B$5:$B$104)))-5+1))</f>
        <v/>
      </c>
      <c r="KN4" s="62">
        <f>IF(SUMPRODUCT(('حجز الإجازات'!$B$5:$B$104='الموظفون'!$B$2)*('حجز الإجازات'!$D$5:$D$104&lt;=KN$3)*(('حجز الإجازات'!$E$5:$E$104)&gt;=KN$3)*('حجز الإجازات'!$G$5:$G$104="معتمد")*ROW('حجز الإجازات'!$B$5:$B$104))=0,IF(KN$3&lt;'الموظفون'!$D$2,"",IF(ISNUMBER(MATCH(KN$3,Holidays,0)),"عطلة",IF(MOD(KN$3-'الموظفون'!$D$2,CycleWork+CycleRest)&lt;CycleWork,INDEX('الإعدادات والقوائم'!$H$2:$H$4,MOD(INT(MOD(KN$3-'الموظفون'!$D$2,CycleWork+CycleRest)*3/CycleWork)+MATCH(StartShift,'الإعدادات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الإجازات'!$D$5:$D$104&lt;=KN$3)*(('حجز الإجازات'!$E$5:$E$104)&gt;=KN$3)*('حجز الإجازات'!$G$5:$G$104="معتمد")*ROW('حجز الإجازات'!$B$5:$B$104)))-5+1))</f>
        <v/>
      </c>
      <c r="KO4" s="62">
        <f>IF(SUMPRODUCT(('حجز الإجازات'!$B$5:$B$104='الموظفون'!$B$2)*('حجز الإجازات'!$D$5:$D$104&lt;=KO$3)*(('حجز الإجازات'!$E$5:$E$104)&gt;=KO$3)*('حجز الإجازات'!$G$5:$G$104="معتمد")*ROW('حجز الإجازات'!$B$5:$B$104))=0,IF(KO$3&lt;'الموظفون'!$D$2,"",IF(ISNUMBER(MATCH(KO$3,Holidays,0)),"عطلة",IF(MOD(KO$3-'الموظفون'!$D$2,CycleWork+CycleRest)&lt;CycleWork,INDEX('الإعدادات والقوائم'!$H$2:$H$4,MOD(INT(MOD(KO$3-'الموظفون'!$D$2,CycleWork+CycleRest)*3/CycleWork)+MATCH(StartShift,'الإعدادات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الإجازات'!$D$5:$D$104&lt;=KO$3)*(('حجز الإجازات'!$E$5:$E$104)&gt;=KO$3)*('حجز الإجازات'!$G$5:$G$104="معتمد")*ROW('حجز الإجازات'!$B$5:$B$104)))-5+1))</f>
        <v/>
      </c>
      <c r="KP4" s="62">
        <f>IF(SUMPRODUCT(('حجز الإجازات'!$B$5:$B$104='الموظفون'!$B$2)*('حجز الإجازات'!$D$5:$D$104&lt;=KP$3)*(('حجز الإجازات'!$E$5:$E$104)&gt;=KP$3)*('حجز الإجازات'!$G$5:$G$104="معتمد")*ROW('حجز الإجازات'!$B$5:$B$104))=0,IF(KP$3&lt;'الموظفون'!$D$2,"",IF(ISNUMBER(MATCH(KP$3,Holidays,0)),"عطلة",IF(MOD(KP$3-'الموظفون'!$D$2,CycleWork+CycleRest)&lt;CycleWork,INDEX('الإعدادات والقوائم'!$H$2:$H$4,MOD(INT(MOD(KP$3-'الموظفون'!$D$2,CycleWork+CycleRest)*3/CycleWork)+MATCH(StartShift,'الإعدادات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الإجازات'!$D$5:$D$104&lt;=KP$3)*(('حجز الإجازات'!$E$5:$E$104)&gt;=KP$3)*('حجز الإجازات'!$G$5:$G$104="معتمد")*ROW('حجز الإجازات'!$B$5:$B$104)))-5+1))</f>
        <v/>
      </c>
      <c r="KQ4" s="62">
        <f>IF(SUMPRODUCT(('حجز الإجازات'!$B$5:$B$104='الموظفون'!$B$2)*('حجز الإجازات'!$D$5:$D$104&lt;=KQ$3)*(('حجز الإجازات'!$E$5:$E$104)&gt;=KQ$3)*('حجز الإجازات'!$G$5:$G$104="معتمد")*ROW('حجز الإجازات'!$B$5:$B$104))=0,IF(KQ$3&lt;'الموظفون'!$D$2,"",IF(ISNUMBER(MATCH(KQ$3,Holidays,0)),"عطلة",IF(MOD(KQ$3-'الموظفون'!$D$2,CycleWork+CycleRest)&lt;CycleWork,INDEX('الإعدادات والقوائم'!$H$2:$H$4,MOD(INT(MOD(KQ$3-'الموظفون'!$D$2,CycleWork+CycleRest)*3/CycleWork)+MATCH(StartShift,'الإعدادات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الإجازات'!$D$5:$D$104&lt;=KQ$3)*(('حجز الإجازات'!$E$5:$E$104)&gt;=KQ$3)*('حجز الإجازات'!$G$5:$G$104="معتمد")*ROW('حجز الإجازات'!$B$5:$B$104)))-5+1))</f>
        <v/>
      </c>
      <c r="KR4" s="62">
        <f>IF(SUMPRODUCT(('حجز الإجازات'!$B$5:$B$104='الموظفون'!$B$2)*('حجز الإجازات'!$D$5:$D$104&lt;=KR$3)*(('حجز الإجازات'!$E$5:$E$104)&gt;=KR$3)*('حجز الإجازات'!$G$5:$G$104="معتمد")*ROW('حجز الإجازات'!$B$5:$B$104))=0,IF(KR$3&lt;'الموظفون'!$D$2,"",IF(ISNUMBER(MATCH(KR$3,Holidays,0)),"عطلة",IF(MOD(KR$3-'الموظفون'!$D$2,CycleWork+CycleRest)&lt;CycleWork,INDEX('الإعدادات والقوائم'!$H$2:$H$4,MOD(INT(MOD(KR$3-'الموظفون'!$D$2,CycleWork+CycleRest)*3/CycleWork)+MATCH(StartShift,'الإعدادات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الإجازات'!$D$5:$D$104&lt;=KR$3)*(('حجز الإجازات'!$E$5:$E$104)&gt;=KR$3)*('حجز الإجازات'!$G$5:$G$104="معتمد")*ROW('حجز الإجازات'!$B$5:$B$104)))-5+1))</f>
        <v/>
      </c>
      <c r="KS4" s="62">
        <f>IF(SUMPRODUCT(('حجز الإجازات'!$B$5:$B$104='الموظفون'!$B$2)*('حجز الإجازات'!$D$5:$D$104&lt;=KS$3)*(('حجز الإجازات'!$E$5:$E$104)&gt;=KS$3)*('حجز الإجازات'!$G$5:$G$104="معتمد")*ROW('حجز الإجازات'!$B$5:$B$104))=0,IF(KS$3&lt;'الموظفون'!$D$2,"",IF(ISNUMBER(MATCH(KS$3,Holidays,0)),"عطلة",IF(MOD(KS$3-'الموظفون'!$D$2,CycleWork+CycleRest)&lt;CycleWork,INDEX('الإعدادات والقوائم'!$H$2:$H$4,MOD(INT(MOD(KS$3-'الموظفون'!$D$2,CycleWork+CycleRest)*3/CycleWork)+MATCH(StartShift,'الإعدادات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الإجازات'!$D$5:$D$104&lt;=KS$3)*(('حجز الإجازات'!$E$5:$E$104)&gt;=KS$3)*('حجز الإجازات'!$G$5:$G$104="معتمد")*ROW('حجز الإجازات'!$B$5:$B$104)))-5+1))</f>
        <v/>
      </c>
      <c r="KT4" s="62">
        <f>IF(SUMPRODUCT(('حجز الإجازات'!$B$5:$B$104='الموظفون'!$B$2)*('حجز الإجازات'!$D$5:$D$104&lt;=KT$3)*(('حجز الإجازات'!$E$5:$E$104)&gt;=KT$3)*('حجز الإجازات'!$G$5:$G$104="معتمد")*ROW('حجز الإجازات'!$B$5:$B$104))=0,IF(KT$3&lt;'الموظفون'!$D$2,"",IF(ISNUMBER(MATCH(KT$3,Holidays,0)),"عطلة",IF(MOD(KT$3-'الموظفون'!$D$2,CycleWork+CycleRest)&lt;CycleWork,INDEX('الإعدادات والقوائم'!$H$2:$H$4,MOD(INT(MOD(KT$3-'الموظفون'!$D$2,CycleWork+CycleRest)*3/CycleWork)+MATCH(StartShift,'الإعدادات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الإجازات'!$D$5:$D$104&lt;=KT$3)*(('حجز الإجازات'!$E$5:$E$104)&gt;=KT$3)*('حجز الإجازات'!$G$5:$G$104="معتمد")*ROW('حجز الإجازات'!$B$5:$B$104)))-5+1))</f>
        <v/>
      </c>
      <c r="KU4" s="62">
        <f>IF(SUMPRODUCT(('حجز الإجازات'!$B$5:$B$104='الموظفون'!$B$2)*('حجز الإجازات'!$D$5:$D$104&lt;=KU$3)*(('حجز الإجازات'!$E$5:$E$104)&gt;=KU$3)*('حجز الإجازات'!$G$5:$G$104="معتمد")*ROW('حجز الإجازات'!$B$5:$B$104))=0,IF(KU$3&lt;'الموظفون'!$D$2,"",IF(ISNUMBER(MATCH(KU$3,Holidays,0)),"عطلة",IF(MOD(KU$3-'الموظفون'!$D$2,CycleWork+CycleRest)&lt;CycleWork,INDEX('الإعدادات والقوائم'!$H$2:$H$4,MOD(INT(MOD(KU$3-'الموظفون'!$D$2,CycleWork+CycleRest)*3/CycleWork)+MATCH(StartShift,'الإعدادات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الإجازات'!$D$5:$D$104&lt;=KU$3)*(('حجز الإجازات'!$E$5:$E$104)&gt;=KU$3)*('حجز الإجازات'!$G$5:$G$104="معتمد")*ROW('حجز الإجازات'!$B$5:$B$104)))-5+1))</f>
        <v/>
      </c>
      <c r="KV4" s="62">
        <f>IF(SUMPRODUCT(('حجز الإجازات'!$B$5:$B$104='الموظفون'!$B$2)*('حجز الإجازات'!$D$5:$D$104&lt;=KV$3)*(('حجز الإجازات'!$E$5:$E$104)&gt;=KV$3)*('حجز الإجازات'!$G$5:$G$104="معتمد")*ROW('حجز الإجازات'!$B$5:$B$104))=0,IF(KV$3&lt;'الموظفون'!$D$2,"",IF(ISNUMBER(MATCH(KV$3,Holidays,0)),"عطلة",IF(MOD(KV$3-'الموظفون'!$D$2,CycleWork+CycleRest)&lt;CycleWork,INDEX('الإعدادات والقوائم'!$H$2:$H$4,MOD(INT(MOD(KV$3-'الموظفون'!$D$2,CycleWork+CycleRest)*3/CycleWork)+MATCH(StartShift,'الإعدادات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الإجازات'!$D$5:$D$104&lt;=KV$3)*(('حجز الإجازات'!$E$5:$E$104)&gt;=KV$3)*('حجز الإجازات'!$G$5:$G$104="معتمد")*ROW('حجز الإجازات'!$B$5:$B$104)))-5+1))</f>
        <v/>
      </c>
      <c r="KW4" s="62">
        <f>IF(SUMPRODUCT(('حجز الإجازات'!$B$5:$B$104='الموظفون'!$B$2)*('حجز الإجازات'!$D$5:$D$104&lt;=KW$3)*(('حجز الإجازات'!$E$5:$E$104)&gt;=KW$3)*('حجز الإجازات'!$G$5:$G$104="معتمد")*ROW('حجز الإجازات'!$B$5:$B$104))=0,IF(KW$3&lt;'الموظفون'!$D$2,"",IF(ISNUMBER(MATCH(KW$3,Holidays,0)),"عطلة",IF(MOD(KW$3-'الموظفون'!$D$2,CycleWork+CycleRest)&lt;CycleWork,INDEX('الإعدادات والقوائم'!$H$2:$H$4,MOD(INT(MOD(KW$3-'الموظفون'!$D$2,CycleWork+CycleRest)*3/CycleWork)+MATCH(StartShift,'الإعدادات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الإجازات'!$D$5:$D$104&lt;=KW$3)*(('حجز الإجازات'!$E$5:$E$104)&gt;=KW$3)*('حجز الإجازات'!$G$5:$G$104="معتمد")*ROW('حجز الإجازات'!$B$5:$B$104)))-5+1))</f>
        <v/>
      </c>
      <c r="KX4" s="62">
        <f>IF(SUMPRODUCT(('حجز الإجازات'!$B$5:$B$104='الموظفون'!$B$2)*('حجز الإجازات'!$D$5:$D$104&lt;=KX$3)*(('حجز الإجازات'!$E$5:$E$104)&gt;=KX$3)*('حجز الإجازات'!$G$5:$G$104="معتمد")*ROW('حجز الإجازات'!$B$5:$B$104))=0,IF(KX$3&lt;'الموظفون'!$D$2,"",IF(ISNUMBER(MATCH(KX$3,Holidays,0)),"عطلة",IF(MOD(KX$3-'الموظفون'!$D$2,CycleWork+CycleRest)&lt;CycleWork,INDEX('الإعدادات والقوائم'!$H$2:$H$4,MOD(INT(MOD(KX$3-'الموظفون'!$D$2,CycleWork+CycleRest)*3/CycleWork)+MATCH(StartShift,'الإعدادات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الإجازات'!$D$5:$D$104&lt;=KX$3)*(('حجز الإجازات'!$E$5:$E$104)&gt;=KX$3)*('حجز الإجازات'!$G$5:$G$104="معتمد")*ROW('حجز الإجازات'!$B$5:$B$104)))-5+1))</f>
        <v/>
      </c>
      <c r="KY4" s="62">
        <f>IF(SUMPRODUCT(('حجز الإجازات'!$B$5:$B$104='الموظفون'!$B$2)*('حجز الإجازات'!$D$5:$D$104&lt;=KY$3)*(('حجز الإجازات'!$E$5:$E$104)&gt;=KY$3)*('حجز الإجازات'!$G$5:$G$104="معتمد")*ROW('حجز الإجازات'!$B$5:$B$104))=0,IF(KY$3&lt;'الموظفون'!$D$2,"",IF(ISNUMBER(MATCH(KY$3,Holidays,0)),"عطلة",IF(MOD(KY$3-'الموظفون'!$D$2,CycleWork+CycleRest)&lt;CycleWork,INDEX('الإعدادات والقوائم'!$H$2:$H$4,MOD(INT(MOD(KY$3-'الموظفون'!$D$2,CycleWork+CycleRest)*3/CycleWork)+MATCH(StartShift,'الإعدادات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الإجازات'!$D$5:$D$104&lt;=KY$3)*(('حجز الإجازات'!$E$5:$E$104)&gt;=KY$3)*('حجز الإجازات'!$G$5:$G$104="معتمد")*ROW('حجز الإجازات'!$B$5:$B$104)))-5+1))</f>
        <v/>
      </c>
      <c r="KZ4" s="62">
        <f>IF(SUMPRODUCT(('حجز الإجازات'!$B$5:$B$104='الموظفون'!$B$2)*('حجز الإجازات'!$D$5:$D$104&lt;=KZ$3)*(('حجز الإجازات'!$E$5:$E$104)&gt;=KZ$3)*('حجز الإجازات'!$G$5:$G$104="معتمد")*ROW('حجز الإجازات'!$B$5:$B$104))=0,IF(KZ$3&lt;'الموظفون'!$D$2,"",IF(ISNUMBER(MATCH(KZ$3,Holidays,0)),"عطلة",IF(MOD(KZ$3-'الموظفون'!$D$2,CycleWork+CycleRest)&lt;CycleWork,INDEX('الإعدادات والقوائم'!$H$2:$H$4,MOD(INT(MOD(KZ$3-'الموظفون'!$D$2,CycleWork+CycleRest)*3/CycleWork)+MATCH(StartShift,'الإعدادات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الإجازات'!$D$5:$D$104&lt;=KZ$3)*(('حجز الإجازات'!$E$5:$E$104)&gt;=KZ$3)*('حجز الإجازات'!$G$5:$G$104="معتمد")*ROW('حجز الإجازات'!$B$5:$B$104)))-5+1))</f>
        <v/>
      </c>
      <c r="LA4" s="62">
        <f>IF(SUMPRODUCT(('حجز الإجازات'!$B$5:$B$104='الموظفون'!$B$2)*('حجز الإجازات'!$D$5:$D$104&lt;=LA$3)*(('حجز الإجازات'!$E$5:$E$104)&gt;=LA$3)*('حجز الإجازات'!$G$5:$G$104="معتمد")*ROW('حجز الإجازات'!$B$5:$B$104))=0,IF(LA$3&lt;'الموظفون'!$D$2,"",IF(ISNUMBER(MATCH(LA$3,Holidays,0)),"عطلة",IF(MOD(LA$3-'الموظفون'!$D$2,CycleWork+CycleRest)&lt;CycleWork,INDEX('الإعدادات والقوائم'!$H$2:$H$4,MOD(INT(MOD(LA$3-'الموظفون'!$D$2,CycleWork+CycleRest)*3/CycleWork)+MATCH(StartShift,'الإعدادات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الإجازات'!$D$5:$D$104&lt;=LA$3)*(('حجز الإجازات'!$E$5:$E$104)&gt;=LA$3)*('حجز الإجازات'!$G$5:$G$104="معتمد")*ROW('حجز الإجازات'!$B$5:$B$104)))-5+1))</f>
        <v/>
      </c>
      <c r="LB4" s="62">
        <f>IF(SUMPRODUCT(('حجز الإجازات'!$B$5:$B$104='الموظفون'!$B$2)*('حجز الإجازات'!$D$5:$D$104&lt;=LB$3)*(('حجز الإجازات'!$E$5:$E$104)&gt;=LB$3)*('حجز الإجازات'!$G$5:$G$104="معتمد")*ROW('حجز الإجازات'!$B$5:$B$104))=0,IF(LB$3&lt;'الموظفون'!$D$2,"",IF(ISNUMBER(MATCH(LB$3,Holidays,0)),"عطلة",IF(MOD(LB$3-'الموظفون'!$D$2,CycleWork+CycleRest)&lt;CycleWork,INDEX('الإعدادات والقوائم'!$H$2:$H$4,MOD(INT(MOD(LB$3-'الموظفون'!$D$2,CycleWork+CycleRest)*3/CycleWork)+MATCH(StartShift,'الإعدادات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الإجازات'!$D$5:$D$104&lt;=LB$3)*(('حجز الإجازات'!$E$5:$E$104)&gt;=LB$3)*('حجز الإجازات'!$G$5:$G$104="معتمد")*ROW('حجز الإجازات'!$B$5:$B$104)))-5+1))</f>
        <v/>
      </c>
      <c r="LC4" s="62">
        <f>IF(SUMPRODUCT(('حجز الإجازات'!$B$5:$B$104='الموظفون'!$B$2)*('حجز الإجازات'!$D$5:$D$104&lt;=LC$3)*(('حجز الإجازات'!$E$5:$E$104)&gt;=LC$3)*('حجز الإجازات'!$G$5:$G$104="معتمد")*ROW('حجز الإجازات'!$B$5:$B$104))=0,IF(LC$3&lt;'الموظفون'!$D$2,"",IF(ISNUMBER(MATCH(LC$3,Holidays,0)),"عطلة",IF(MOD(LC$3-'الموظفون'!$D$2,CycleWork+CycleRest)&lt;CycleWork,INDEX('الإعدادات والقوائم'!$H$2:$H$4,MOD(INT(MOD(LC$3-'الموظفون'!$D$2,CycleWork+CycleRest)*3/CycleWork)+MATCH(StartShift,'الإعدادات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الإجازات'!$D$5:$D$104&lt;=LC$3)*(('حجز الإجازات'!$E$5:$E$104)&gt;=LC$3)*('حجز الإجازات'!$G$5:$G$104="معتمد")*ROW('حجز الإجازات'!$B$5:$B$104)))-5+1))</f>
        <v/>
      </c>
      <c r="LD4" s="62">
        <f>IF(SUMPRODUCT(('حجز الإجازات'!$B$5:$B$104='الموظفون'!$B$2)*('حجز الإجازات'!$D$5:$D$104&lt;=LD$3)*(('حجز الإجازات'!$E$5:$E$104)&gt;=LD$3)*('حجز الإجازات'!$G$5:$G$104="معتمد")*ROW('حجز الإجازات'!$B$5:$B$104))=0,IF(LD$3&lt;'الموظفون'!$D$2,"",IF(ISNUMBER(MATCH(LD$3,Holidays,0)),"عطلة",IF(MOD(LD$3-'الموظفون'!$D$2,CycleWork+CycleRest)&lt;CycleWork,INDEX('الإعدادات والقوائم'!$H$2:$H$4,MOD(INT(MOD(LD$3-'الموظفون'!$D$2,CycleWork+CycleRest)*3/CycleWork)+MATCH(StartShift,'الإعدادات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الإجازات'!$D$5:$D$104&lt;=LD$3)*(('حجز الإجازات'!$E$5:$E$104)&gt;=LD$3)*('حجز الإجازات'!$G$5:$G$104="معتمد")*ROW('حجز الإجازات'!$B$5:$B$104)))-5+1))</f>
        <v/>
      </c>
      <c r="LE4" s="62">
        <f>IF(SUMPRODUCT(('حجز الإجازات'!$B$5:$B$104='الموظفون'!$B$2)*('حجز الإجازات'!$D$5:$D$104&lt;=LE$3)*(('حجز الإجازات'!$E$5:$E$104)&gt;=LE$3)*('حجز الإجازات'!$G$5:$G$104="معتمد")*ROW('حجز الإجازات'!$B$5:$B$104))=0,IF(LE$3&lt;'الموظفون'!$D$2,"",IF(ISNUMBER(MATCH(LE$3,Holidays,0)),"عطلة",IF(MOD(LE$3-'الموظفون'!$D$2,CycleWork+CycleRest)&lt;CycleWork,INDEX('الإعدادات والقوائم'!$H$2:$H$4,MOD(INT(MOD(LE$3-'الموظفون'!$D$2,CycleWork+CycleRest)*3/CycleWork)+MATCH(StartShift,'الإعدادات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الإجازات'!$D$5:$D$104&lt;=LE$3)*(('حجز الإجازات'!$E$5:$E$104)&gt;=LE$3)*('حجز الإجازات'!$G$5:$G$104="معتمد")*ROW('حجز الإجازات'!$B$5:$B$104)))-5+1))</f>
        <v/>
      </c>
      <c r="LF4" s="62">
        <f>IF(SUMPRODUCT(('حجز الإجازات'!$B$5:$B$104='الموظفون'!$B$2)*('حجز الإجازات'!$D$5:$D$104&lt;=LF$3)*(('حجز الإجازات'!$E$5:$E$104)&gt;=LF$3)*('حجز الإجازات'!$G$5:$G$104="معتمد")*ROW('حجز الإجازات'!$B$5:$B$104))=0,IF(LF$3&lt;'الموظفون'!$D$2,"",IF(ISNUMBER(MATCH(LF$3,Holidays,0)),"عطلة",IF(MOD(LF$3-'الموظفون'!$D$2,CycleWork+CycleRest)&lt;CycleWork,INDEX('الإعدادات والقوائم'!$H$2:$H$4,MOD(INT(MOD(LF$3-'الموظفون'!$D$2,CycleWork+CycleRest)*3/CycleWork)+MATCH(StartShift,'الإعدادات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الإجازات'!$D$5:$D$104&lt;=LF$3)*(('حجز الإجازات'!$E$5:$E$104)&gt;=LF$3)*('حجز الإجازات'!$G$5:$G$104="معتمد")*ROW('حجز الإجازات'!$B$5:$B$104)))-5+1))</f>
        <v/>
      </c>
      <c r="LG4" s="62">
        <f>IF(SUMPRODUCT(('حجز الإجازات'!$B$5:$B$104='الموظفون'!$B$2)*('حجز الإجازات'!$D$5:$D$104&lt;=LG$3)*(('حجز الإجازات'!$E$5:$E$104)&gt;=LG$3)*('حجز الإجازات'!$G$5:$G$104="معتمد")*ROW('حجز الإجازات'!$B$5:$B$104))=0,IF(LG$3&lt;'الموظفون'!$D$2,"",IF(ISNUMBER(MATCH(LG$3,Holidays,0)),"عطلة",IF(MOD(LG$3-'الموظفون'!$D$2,CycleWork+CycleRest)&lt;CycleWork,INDEX('الإعدادات والقوائم'!$H$2:$H$4,MOD(INT(MOD(LG$3-'الموظفون'!$D$2,CycleWork+CycleRest)*3/CycleWork)+MATCH(StartShift,'الإعدادات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الإجازات'!$D$5:$D$104&lt;=LG$3)*(('حجز الإجازات'!$E$5:$E$104)&gt;=LG$3)*('حجز الإجازات'!$G$5:$G$104="معتمد")*ROW('حجز الإجازات'!$B$5:$B$104)))-5+1))</f>
        <v/>
      </c>
      <c r="LH4" s="62">
        <f>IF(SUMPRODUCT(('حجز الإجازات'!$B$5:$B$104='الموظفون'!$B$2)*('حجز الإجازات'!$D$5:$D$104&lt;=LH$3)*(('حجز الإجازات'!$E$5:$E$104)&gt;=LH$3)*('حجز الإجازات'!$G$5:$G$104="معتمد")*ROW('حجز الإجازات'!$B$5:$B$104))=0,IF(LH$3&lt;'الموظفون'!$D$2,"",IF(ISNUMBER(MATCH(LH$3,Holidays,0)),"عطلة",IF(MOD(LH$3-'الموظفون'!$D$2,CycleWork+CycleRest)&lt;CycleWork,INDEX('الإعدادات والقوائم'!$H$2:$H$4,MOD(INT(MOD(LH$3-'الموظفون'!$D$2,CycleWork+CycleRest)*3/CycleWork)+MATCH(StartShift,'الإعدادات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الإجازات'!$D$5:$D$104&lt;=LH$3)*(('حجز الإجازات'!$E$5:$E$104)&gt;=LH$3)*('حجز الإجازات'!$G$5:$G$104="معتمد")*ROW('حجز الإجازات'!$B$5:$B$104)))-5+1))</f>
        <v/>
      </c>
      <c r="LI4" s="62">
        <f>IF(SUMPRODUCT(('حجز الإجازات'!$B$5:$B$104='الموظفون'!$B$2)*('حجز الإجازات'!$D$5:$D$104&lt;=LI$3)*(('حجز الإجازات'!$E$5:$E$104)&gt;=LI$3)*('حجز الإجازات'!$G$5:$G$104="معتمد")*ROW('حجز الإجازات'!$B$5:$B$104))=0,IF(LI$3&lt;'الموظفون'!$D$2,"",IF(ISNUMBER(MATCH(LI$3,Holidays,0)),"عطلة",IF(MOD(LI$3-'الموظفون'!$D$2,CycleWork+CycleRest)&lt;CycleWork,INDEX('الإعدادات والقوائم'!$H$2:$H$4,MOD(INT(MOD(LI$3-'الموظفون'!$D$2,CycleWork+CycleRest)*3/CycleWork)+MATCH(StartShift,'الإعدادات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الإجازات'!$D$5:$D$104&lt;=LI$3)*(('حجز الإجازات'!$E$5:$E$104)&gt;=LI$3)*('حجز الإجازات'!$G$5:$G$104="معتمد")*ROW('حجز الإجازات'!$B$5:$B$104)))-5+1))</f>
        <v/>
      </c>
      <c r="LJ4" s="62">
        <f>IF(SUMPRODUCT(('حجز الإجازات'!$B$5:$B$104='الموظفون'!$B$2)*('حجز الإجازات'!$D$5:$D$104&lt;=LJ$3)*(('حجز الإجازات'!$E$5:$E$104)&gt;=LJ$3)*('حجز الإجازات'!$G$5:$G$104="معتمد")*ROW('حجز الإجازات'!$B$5:$B$104))=0,IF(LJ$3&lt;'الموظفون'!$D$2,"",IF(ISNUMBER(MATCH(LJ$3,Holidays,0)),"عطلة",IF(MOD(LJ$3-'الموظفون'!$D$2,CycleWork+CycleRest)&lt;CycleWork,INDEX('الإعدادات والقوائم'!$H$2:$H$4,MOD(INT(MOD(LJ$3-'الموظفون'!$D$2,CycleWork+CycleRest)*3/CycleWork)+MATCH(StartShift,'الإعدادات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الإجازات'!$D$5:$D$104&lt;=LJ$3)*(('حجز الإجازات'!$E$5:$E$104)&gt;=LJ$3)*('حجز الإجازات'!$G$5:$G$104="معتمد")*ROW('حجز الإجازات'!$B$5:$B$104)))-5+1))</f>
        <v/>
      </c>
      <c r="LK4" s="62">
        <f>IF(SUMPRODUCT(('حجز الإجازات'!$B$5:$B$104='الموظفون'!$B$2)*('حجز الإجازات'!$D$5:$D$104&lt;=LK$3)*(('حجز الإجازات'!$E$5:$E$104)&gt;=LK$3)*('حجز الإجازات'!$G$5:$G$104="معتمد")*ROW('حجز الإجازات'!$B$5:$B$104))=0,IF(LK$3&lt;'الموظفون'!$D$2,"",IF(ISNUMBER(MATCH(LK$3,Holidays,0)),"عطلة",IF(MOD(LK$3-'الموظفون'!$D$2,CycleWork+CycleRest)&lt;CycleWork,INDEX('الإعدادات والقوائم'!$H$2:$H$4,MOD(INT(MOD(LK$3-'الموظفون'!$D$2,CycleWork+CycleRest)*3/CycleWork)+MATCH(StartShift,'الإعدادات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الإجازات'!$D$5:$D$104&lt;=LK$3)*(('حجز الإجازات'!$E$5:$E$104)&gt;=LK$3)*('حجز الإجازات'!$G$5:$G$104="معتمد")*ROW('حجز الإجازات'!$B$5:$B$104)))-5+1))</f>
        <v/>
      </c>
      <c r="LL4" s="62">
        <f>IF(SUMPRODUCT(('حجز الإجازات'!$B$5:$B$104='الموظفون'!$B$2)*('حجز الإجازات'!$D$5:$D$104&lt;=LL$3)*(('حجز الإجازات'!$E$5:$E$104)&gt;=LL$3)*('حجز الإجازات'!$G$5:$G$104="معتمد")*ROW('حجز الإجازات'!$B$5:$B$104))=0,IF(LL$3&lt;'الموظفون'!$D$2,"",IF(ISNUMBER(MATCH(LL$3,Holidays,0)),"عطلة",IF(MOD(LL$3-'الموظفون'!$D$2,CycleWork+CycleRest)&lt;CycleWork,INDEX('الإعدادات والقوائم'!$H$2:$H$4,MOD(INT(MOD(LL$3-'الموظفون'!$D$2,CycleWork+CycleRest)*3/CycleWork)+MATCH(StartShift,'الإعدادات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الإجازات'!$D$5:$D$104&lt;=LL$3)*(('حجز الإجازات'!$E$5:$E$104)&gt;=LL$3)*('حجز الإجازات'!$G$5:$G$104="معتمد")*ROW('حجز الإجازات'!$B$5:$B$104)))-5+1))</f>
        <v/>
      </c>
      <c r="LM4" s="62">
        <f>IF(SUMPRODUCT(('حجز الإجازات'!$B$5:$B$104='الموظفون'!$B$2)*('حجز الإجازات'!$D$5:$D$104&lt;=LM$3)*(('حجز الإجازات'!$E$5:$E$104)&gt;=LM$3)*('حجز الإجازات'!$G$5:$G$104="معتمد")*ROW('حجز الإجازات'!$B$5:$B$104))=0,IF(LM$3&lt;'الموظفون'!$D$2,"",IF(ISNUMBER(MATCH(LM$3,Holidays,0)),"عطلة",IF(MOD(LM$3-'الموظفون'!$D$2,CycleWork+CycleRest)&lt;CycleWork,INDEX('الإعدادات والقوائم'!$H$2:$H$4,MOD(INT(MOD(LM$3-'الموظفون'!$D$2,CycleWork+CycleRest)*3/CycleWork)+MATCH(StartShift,'الإعدادات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الإجازات'!$D$5:$D$104&lt;=LM$3)*(('حجز الإجازات'!$E$5:$E$104)&gt;=LM$3)*('حجز الإجازات'!$G$5:$G$104="معتمد")*ROW('حجز الإجازات'!$B$5:$B$104)))-5+1))</f>
        <v/>
      </c>
      <c r="LN4" s="62">
        <f>IF(SUMPRODUCT(('حجز الإجازات'!$B$5:$B$104='الموظفون'!$B$2)*('حجز الإجازات'!$D$5:$D$104&lt;=LN$3)*(('حجز الإجازات'!$E$5:$E$104)&gt;=LN$3)*('حجز الإجازات'!$G$5:$G$104="معتمد")*ROW('حجز الإجازات'!$B$5:$B$104))=0,IF(LN$3&lt;'الموظفون'!$D$2,"",IF(ISNUMBER(MATCH(LN$3,Holidays,0)),"عطلة",IF(MOD(LN$3-'الموظفون'!$D$2,CycleWork+CycleRest)&lt;CycleWork,INDEX('الإعدادات والقوائم'!$H$2:$H$4,MOD(INT(MOD(LN$3-'الموظفون'!$D$2,CycleWork+CycleRest)*3/CycleWork)+MATCH(StartShift,'الإعدادات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الإجازات'!$D$5:$D$104&lt;=LN$3)*(('حجز الإجازات'!$E$5:$E$104)&gt;=LN$3)*('حجز الإجازات'!$G$5:$G$104="معتمد")*ROW('حجز الإجازات'!$B$5:$B$104)))-5+1))</f>
        <v/>
      </c>
      <c r="LO4" s="62">
        <f>IF(SUMPRODUCT(('حجز الإجازات'!$B$5:$B$104='الموظفون'!$B$2)*('حجز الإجازات'!$D$5:$D$104&lt;=LO$3)*(('حجز الإجازات'!$E$5:$E$104)&gt;=LO$3)*('حجز الإجازات'!$G$5:$G$104="معتمد")*ROW('حجز الإجازات'!$B$5:$B$104))=0,IF(LO$3&lt;'الموظفون'!$D$2,"",IF(ISNUMBER(MATCH(LO$3,Holidays,0)),"عطلة",IF(MOD(LO$3-'الموظفون'!$D$2,CycleWork+CycleRest)&lt;CycleWork,INDEX('الإعدادات والقوائم'!$H$2:$H$4,MOD(INT(MOD(LO$3-'الموظفون'!$D$2,CycleWork+CycleRest)*3/CycleWork)+MATCH(StartShift,'الإعدادات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الإجازات'!$D$5:$D$104&lt;=LO$3)*(('حجز الإجازات'!$E$5:$E$104)&gt;=LO$3)*('حجز الإجازات'!$G$5:$G$104="معتمد")*ROW('حجز الإجازات'!$B$5:$B$104)))-5+1))</f>
        <v/>
      </c>
      <c r="LP4" s="62">
        <f>IF(SUMPRODUCT(('حجز الإجازات'!$B$5:$B$104='الموظفون'!$B$2)*('حجز الإجازات'!$D$5:$D$104&lt;=LP$3)*(('حجز الإجازات'!$E$5:$E$104)&gt;=LP$3)*('حجز الإجازات'!$G$5:$G$104="معتمد")*ROW('حجز الإجازات'!$B$5:$B$104))=0,IF(LP$3&lt;'الموظفون'!$D$2,"",IF(ISNUMBER(MATCH(LP$3,Holidays,0)),"عطلة",IF(MOD(LP$3-'الموظفون'!$D$2,CycleWork+CycleRest)&lt;CycleWork,INDEX('الإعدادات والقوائم'!$H$2:$H$4,MOD(INT(MOD(LP$3-'الموظفون'!$D$2,CycleWork+CycleRest)*3/CycleWork)+MATCH(StartShift,'الإعدادات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الإجازات'!$D$5:$D$104&lt;=LP$3)*(('حجز الإجازات'!$E$5:$E$104)&gt;=LP$3)*('حجز الإجازات'!$G$5:$G$104="معتمد")*ROW('حجز الإجازات'!$B$5:$B$104)))-5+1))</f>
        <v/>
      </c>
      <c r="LQ4" s="62">
        <f>IF(SUMPRODUCT(('حجز الإجازات'!$B$5:$B$104='الموظفون'!$B$2)*('حجز الإجازات'!$D$5:$D$104&lt;=LQ$3)*(('حجز الإجازات'!$E$5:$E$104)&gt;=LQ$3)*('حجز الإجازات'!$G$5:$G$104="معتمد")*ROW('حجز الإجازات'!$B$5:$B$104))=0,IF(LQ$3&lt;'الموظفون'!$D$2,"",IF(ISNUMBER(MATCH(LQ$3,Holidays,0)),"عطلة",IF(MOD(LQ$3-'الموظفون'!$D$2,CycleWork+CycleRest)&lt;CycleWork,INDEX('الإعدادات والقوائم'!$H$2:$H$4,MOD(INT(MOD(LQ$3-'الموظفون'!$D$2,CycleWork+CycleRest)*3/CycleWork)+MATCH(StartShift,'الإعدادات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الإجازات'!$D$5:$D$104&lt;=LQ$3)*(('حجز الإجازات'!$E$5:$E$104)&gt;=LQ$3)*('حجز الإجازات'!$G$5:$G$104="معتمد")*ROW('حجز الإجازات'!$B$5:$B$104)))-5+1))</f>
        <v/>
      </c>
      <c r="LR4" s="62">
        <f>IF(SUMPRODUCT(('حجز الإجازات'!$B$5:$B$104='الموظفون'!$B$2)*('حجز الإجازات'!$D$5:$D$104&lt;=LR$3)*(('حجز الإجازات'!$E$5:$E$104)&gt;=LR$3)*('حجز الإجازات'!$G$5:$G$104="معتمد")*ROW('حجز الإجازات'!$B$5:$B$104))=0,IF(LR$3&lt;'الموظفون'!$D$2,"",IF(ISNUMBER(MATCH(LR$3,Holidays,0)),"عطلة",IF(MOD(LR$3-'الموظفون'!$D$2,CycleWork+CycleRest)&lt;CycleWork,INDEX('الإعدادات والقوائم'!$H$2:$H$4,MOD(INT(MOD(LR$3-'الموظفون'!$D$2,CycleWork+CycleRest)*3/CycleWork)+MATCH(StartShift,'الإعدادات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الإجازات'!$D$5:$D$104&lt;=LR$3)*(('حجز الإجازات'!$E$5:$E$104)&gt;=LR$3)*('حجز الإجازات'!$G$5:$G$104="معتمد")*ROW('حجز الإجازات'!$B$5:$B$104)))-5+1))</f>
        <v/>
      </c>
      <c r="LS4" s="62">
        <f>IF(SUMPRODUCT(('حجز الإجازات'!$B$5:$B$104='الموظفون'!$B$2)*('حجز الإجازات'!$D$5:$D$104&lt;=LS$3)*(('حجز الإجازات'!$E$5:$E$104)&gt;=LS$3)*('حجز الإجازات'!$G$5:$G$104="معتمد")*ROW('حجز الإجازات'!$B$5:$B$104))=0,IF(LS$3&lt;'الموظفون'!$D$2,"",IF(ISNUMBER(MATCH(LS$3,Holidays,0)),"عطلة",IF(MOD(LS$3-'الموظفون'!$D$2,CycleWork+CycleRest)&lt;CycleWork,INDEX('الإعدادات والقوائم'!$H$2:$H$4,MOD(INT(MOD(LS$3-'الموظفون'!$D$2,CycleWork+CycleRest)*3/CycleWork)+MATCH(StartShift,'الإعدادات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الإجازات'!$D$5:$D$104&lt;=LS$3)*(('حجز الإجازات'!$E$5:$E$104)&gt;=LS$3)*('حجز الإجازات'!$G$5:$G$104="معتمد")*ROW('حجز الإجازات'!$B$5:$B$104)))-5+1))</f>
        <v/>
      </c>
      <c r="LT4" s="62">
        <f>IF(SUMPRODUCT(('حجز الإجازات'!$B$5:$B$104='الموظفون'!$B$2)*('حجز الإجازات'!$D$5:$D$104&lt;=LT$3)*(('حجز الإجازات'!$E$5:$E$104)&gt;=LT$3)*('حجز الإجازات'!$G$5:$G$104="معتمد")*ROW('حجز الإجازات'!$B$5:$B$104))=0,IF(LT$3&lt;'الموظفون'!$D$2,"",IF(ISNUMBER(MATCH(LT$3,Holidays,0)),"عطلة",IF(MOD(LT$3-'الموظفون'!$D$2,CycleWork+CycleRest)&lt;CycleWork,INDEX('الإعدادات والقوائم'!$H$2:$H$4,MOD(INT(MOD(LT$3-'الموظفون'!$D$2,CycleWork+CycleRest)*3/CycleWork)+MATCH(StartShift,'الإعدادات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الإجازات'!$D$5:$D$104&lt;=LT$3)*(('حجز الإجازات'!$E$5:$E$104)&gt;=LT$3)*('حجز الإجازات'!$G$5:$G$104="معتمد")*ROW('حجز الإجازات'!$B$5:$B$104)))-5+1))</f>
        <v/>
      </c>
      <c r="LU4" s="62">
        <f>IF(SUMPRODUCT(('حجز الإجازات'!$B$5:$B$104='الموظفون'!$B$2)*('حجز الإجازات'!$D$5:$D$104&lt;=LU$3)*(('حجز الإجازات'!$E$5:$E$104)&gt;=LU$3)*('حجز الإجازات'!$G$5:$G$104="معتمد")*ROW('حجز الإجازات'!$B$5:$B$104))=0,IF(LU$3&lt;'الموظفون'!$D$2,"",IF(ISNUMBER(MATCH(LU$3,Holidays,0)),"عطلة",IF(MOD(LU$3-'الموظفون'!$D$2,CycleWork+CycleRest)&lt;CycleWork,INDEX('الإعدادات والقوائم'!$H$2:$H$4,MOD(INT(MOD(LU$3-'الموظفون'!$D$2,CycleWork+CycleRest)*3/CycleWork)+MATCH(StartShift,'الإعدادات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الإجازات'!$D$5:$D$104&lt;=LU$3)*(('حجز الإجازات'!$E$5:$E$104)&gt;=LU$3)*('حجز الإجازات'!$G$5:$G$104="معتمد")*ROW('حجز الإجازات'!$B$5:$B$104)))-5+1))</f>
        <v/>
      </c>
      <c r="LV4" s="62">
        <f>IF(SUMPRODUCT(('حجز الإجازات'!$B$5:$B$104='الموظفون'!$B$2)*('حجز الإجازات'!$D$5:$D$104&lt;=LV$3)*(('حجز الإجازات'!$E$5:$E$104)&gt;=LV$3)*('حجز الإجازات'!$G$5:$G$104="معتمد")*ROW('حجز الإجازات'!$B$5:$B$104))=0,IF(LV$3&lt;'الموظفون'!$D$2,"",IF(ISNUMBER(MATCH(LV$3,Holidays,0)),"عطلة",IF(MOD(LV$3-'الموظفون'!$D$2,CycleWork+CycleRest)&lt;CycleWork,INDEX('الإعدادات والقوائم'!$H$2:$H$4,MOD(INT(MOD(LV$3-'الموظفون'!$D$2,CycleWork+CycleRest)*3/CycleWork)+MATCH(StartShift,'الإعدادات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الإجازات'!$D$5:$D$104&lt;=LV$3)*(('حجز الإجازات'!$E$5:$E$104)&gt;=LV$3)*('حجز الإجازات'!$G$5:$G$104="معتمد")*ROW('حجز الإجازات'!$B$5:$B$104)))-5+1))</f>
        <v/>
      </c>
      <c r="LW4" s="62">
        <f>IF(SUMPRODUCT(('حجز الإجازات'!$B$5:$B$104='الموظفون'!$B$2)*('حجز الإجازات'!$D$5:$D$104&lt;=LW$3)*(('حجز الإجازات'!$E$5:$E$104)&gt;=LW$3)*('حجز الإجازات'!$G$5:$G$104="معتمد")*ROW('حجز الإجازات'!$B$5:$B$104))=0,IF(LW$3&lt;'الموظفون'!$D$2,"",IF(ISNUMBER(MATCH(LW$3,Holidays,0)),"عطلة",IF(MOD(LW$3-'الموظفون'!$D$2,CycleWork+CycleRest)&lt;CycleWork,INDEX('الإعدادات والقوائم'!$H$2:$H$4,MOD(INT(MOD(LW$3-'الموظفون'!$D$2,CycleWork+CycleRest)*3/CycleWork)+MATCH(StartShift,'الإعدادات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الإجازات'!$D$5:$D$104&lt;=LW$3)*(('حجز الإجازات'!$E$5:$E$104)&gt;=LW$3)*('حجز الإجازات'!$G$5:$G$104="معتمد")*ROW('حجز الإجازات'!$B$5:$B$104)))-5+1))</f>
        <v/>
      </c>
      <c r="LX4" s="62">
        <f>IF(SUMPRODUCT(('حجز الإجازات'!$B$5:$B$104='الموظفون'!$B$2)*('حجز الإجازات'!$D$5:$D$104&lt;=LX$3)*(('حجز الإجازات'!$E$5:$E$104)&gt;=LX$3)*('حجز الإجازات'!$G$5:$G$104="معتمد")*ROW('حجز الإجازات'!$B$5:$B$104))=0,IF(LX$3&lt;'الموظفون'!$D$2,"",IF(ISNUMBER(MATCH(LX$3,Holidays,0)),"عطلة",IF(MOD(LX$3-'الموظفون'!$D$2,CycleWork+CycleRest)&lt;CycleWork,INDEX('الإعدادات والقوائم'!$H$2:$H$4,MOD(INT(MOD(LX$3-'الموظفون'!$D$2,CycleWork+CycleRest)*3/CycleWork)+MATCH(StartShift,'الإعدادات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الإجازات'!$D$5:$D$104&lt;=LX$3)*(('حجز الإجازات'!$E$5:$E$104)&gt;=LX$3)*('حجز الإجازات'!$G$5:$G$104="معتمد")*ROW('حجز الإجازات'!$B$5:$B$104)))-5+1))</f>
        <v/>
      </c>
      <c r="LY4" s="62">
        <f>IF(SUMPRODUCT(('حجز الإجازات'!$B$5:$B$104='الموظفون'!$B$2)*('حجز الإجازات'!$D$5:$D$104&lt;=LY$3)*(('حجز الإجازات'!$E$5:$E$104)&gt;=LY$3)*('حجز الإجازات'!$G$5:$G$104="معتمد")*ROW('حجز الإجازات'!$B$5:$B$104))=0,IF(LY$3&lt;'الموظفون'!$D$2,"",IF(ISNUMBER(MATCH(LY$3,Holidays,0)),"عطلة",IF(MOD(LY$3-'الموظفون'!$D$2,CycleWork+CycleRest)&lt;CycleWork,INDEX('الإعدادات والقوائم'!$H$2:$H$4,MOD(INT(MOD(LY$3-'الموظفون'!$D$2,CycleWork+CycleRest)*3/CycleWork)+MATCH(StartShift,'الإعدادات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الإجازات'!$D$5:$D$104&lt;=LY$3)*(('حجز الإجازات'!$E$5:$E$104)&gt;=LY$3)*('حجز الإجازات'!$G$5:$G$104="معتمد")*ROW('حجز الإجازات'!$B$5:$B$104)))-5+1))</f>
        <v/>
      </c>
      <c r="LZ4" s="62">
        <f>IF(SUMPRODUCT(('حجز الإجازات'!$B$5:$B$104='الموظفون'!$B$2)*('حجز الإجازات'!$D$5:$D$104&lt;=LZ$3)*(('حجز الإجازات'!$E$5:$E$104)&gt;=LZ$3)*('حجز الإجازات'!$G$5:$G$104="معتمد")*ROW('حجز الإجازات'!$B$5:$B$104))=0,IF(LZ$3&lt;'الموظفون'!$D$2,"",IF(ISNUMBER(MATCH(LZ$3,Holidays,0)),"عطلة",IF(MOD(LZ$3-'الموظفون'!$D$2,CycleWork+CycleRest)&lt;CycleWork,INDEX('الإعدادات والقوائم'!$H$2:$H$4,MOD(INT(MOD(LZ$3-'الموظفون'!$D$2,CycleWork+CycleRest)*3/CycleWork)+MATCH(StartShift,'الإعدادات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الإجازات'!$D$5:$D$104&lt;=LZ$3)*(('حجز الإجازات'!$E$5:$E$104)&gt;=LZ$3)*('حجز الإجازات'!$G$5:$G$104="معتمد")*ROW('حجز الإجازات'!$B$5:$B$104)))-5+1))</f>
        <v/>
      </c>
      <c r="MA4" s="62">
        <f>IF(SUMPRODUCT(('حجز الإجازات'!$B$5:$B$104='الموظفون'!$B$2)*('حجز الإجازات'!$D$5:$D$104&lt;=MA$3)*(('حجز الإجازات'!$E$5:$E$104)&gt;=MA$3)*('حجز الإجازات'!$G$5:$G$104="معتمد")*ROW('حجز الإجازات'!$B$5:$B$104))=0,IF(MA$3&lt;'الموظفون'!$D$2,"",IF(ISNUMBER(MATCH(MA$3,Holidays,0)),"عطلة",IF(MOD(MA$3-'الموظفون'!$D$2,CycleWork+CycleRest)&lt;CycleWork,INDEX('الإعدادات والقوائم'!$H$2:$H$4,MOD(INT(MOD(MA$3-'الموظفون'!$D$2,CycleWork+CycleRest)*3/CycleWork)+MATCH(StartShift,'الإعدادات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الإجازات'!$D$5:$D$104&lt;=MA$3)*(('حجز الإجازات'!$E$5:$E$104)&gt;=MA$3)*('حجز الإجازات'!$G$5:$G$104="معتمد")*ROW('حجز الإجازات'!$B$5:$B$104)))-5+1))</f>
        <v/>
      </c>
      <c r="MB4" s="62">
        <f>IF(SUMPRODUCT(('حجز الإجازات'!$B$5:$B$104='الموظفون'!$B$2)*('حجز الإجازات'!$D$5:$D$104&lt;=MB$3)*(('حجز الإجازات'!$E$5:$E$104)&gt;=MB$3)*('حجز الإجازات'!$G$5:$G$104="معتمد")*ROW('حجز الإجازات'!$B$5:$B$104))=0,IF(MB$3&lt;'الموظفون'!$D$2,"",IF(ISNUMBER(MATCH(MB$3,Holidays,0)),"عطلة",IF(MOD(MB$3-'الموظفون'!$D$2,CycleWork+CycleRest)&lt;CycleWork,INDEX('الإعدادات والقوائم'!$H$2:$H$4,MOD(INT(MOD(MB$3-'الموظفون'!$D$2,CycleWork+CycleRest)*3/CycleWork)+MATCH(StartShift,'الإعدادات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الإجازات'!$D$5:$D$104&lt;=MB$3)*(('حجز الإجازات'!$E$5:$E$104)&gt;=MB$3)*('حجز الإجازات'!$G$5:$G$104="معتمد")*ROW('حجز الإجازات'!$B$5:$B$104)))-5+1))</f>
        <v/>
      </c>
      <c r="MC4" s="62">
        <f>IF(SUMPRODUCT(('حجز الإجازات'!$B$5:$B$104='الموظفون'!$B$2)*('حجز الإجازات'!$D$5:$D$104&lt;=MC$3)*(('حجز الإجازات'!$E$5:$E$104)&gt;=MC$3)*('حجز الإجازات'!$G$5:$G$104="معتمد")*ROW('حجز الإجازات'!$B$5:$B$104))=0,IF(MC$3&lt;'الموظفون'!$D$2,"",IF(ISNUMBER(MATCH(MC$3,Holidays,0)),"عطلة",IF(MOD(MC$3-'الموظفون'!$D$2,CycleWork+CycleRest)&lt;CycleWork,INDEX('الإعدادات والقوائم'!$H$2:$H$4,MOD(INT(MOD(MC$3-'الموظفون'!$D$2,CycleWork+CycleRest)*3/CycleWork)+MATCH(StartShift,'الإعدادات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الإجازات'!$D$5:$D$104&lt;=MC$3)*(('حجز الإجازات'!$E$5:$E$104)&gt;=MC$3)*('حجز الإجازات'!$G$5:$G$104="معتمد")*ROW('حجز الإجازات'!$B$5:$B$104)))-5+1))</f>
        <v/>
      </c>
      <c r="MD4" s="62">
        <f>IF(SUMPRODUCT(('حجز الإجازات'!$B$5:$B$104='الموظفون'!$B$2)*('حجز الإجازات'!$D$5:$D$104&lt;=MD$3)*(('حجز الإجازات'!$E$5:$E$104)&gt;=MD$3)*('حجز الإجازات'!$G$5:$G$104="معتمد")*ROW('حجز الإجازات'!$B$5:$B$104))=0,IF(MD$3&lt;'الموظفون'!$D$2,"",IF(ISNUMBER(MATCH(MD$3,Holidays,0)),"عطلة",IF(MOD(MD$3-'الموظفون'!$D$2,CycleWork+CycleRest)&lt;CycleWork,INDEX('الإعدادات والقوائم'!$H$2:$H$4,MOD(INT(MOD(MD$3-'الموظفون'!$D$2,CycleWork+CycleRest)*3/CycleWork)+MATCH(StartShift,'الإعدادات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الإجازات'!$D$5:$D$104&lt;=MD$3)*(('حجز الإجازات'!$E$5:$E$104)&gt;=MD$3)*('حجز الإجازات'!$G$5:$G$104="معتمد")*ROW('حجز الإجازات'!$B$5:$B$104)))-5+1))</f>
        <v/>
      </c>
      <c r="ME4" s="62">
        <f>IF(SUMPRODUCT(('حجز الإجازات'!$B$5:$B$104='الموظفون'!$B$2)*('حجز الإجازات'!$D$5:$D$104&lt;=ME$3)*(('حجز الإجازات'!$E$5:$E$104)&gt;=ME$3)*('حجز الإجازات'!$G$5:$G$104="معتمد")*ROW('حجز الإجازات'!$B$5:$B$104))=0,IF(ME$3&lt;'الموظفون'!$D$2,"",IF(ISNUMBER(MATCH(ME$3,Holidays,0)),"عطلة",IF(MOD(ME$3-'الموظفون'!$D$2,CycleWork+CycleRest)&lt;CycleWork,INDEX('الإعدادات والقوائم'!$H$2:$H$4,MOD(INT(MOD(ME$3-'الموظفون'!$D$2,CycleWork+CycleRest)*3/CycleWork)+MATCH(StartShift,'الإعدادات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الإجازات'!$D$5:$D$104&lt;=ME$3)*(('حجز الإجازات'!$E$5:$E$104)&gt;=ME$3)*('حجز الإجازات'!$G$5:$G$104="معتمد")*ROW('حجز الإجازات'!$B$5:$B$104)))-5+1))</f>
        <v/>
      </c>
      <c r="MF4" s="62">
        <f>IF(SUMPRODUCT(('حجز الإجازات'!$B$5:$B$104='الموظفون'!$B$2)*('حجز الإجازات'!$D$5:$D$104&lt;=MF$3)*(('حجز الإجازات'!$E$5:$E$104)&gt;=MF$3)*('حجز الإجازات'!$G$5:$G$104="معتمد")*ROW('حجز الإجازات'!$B$5:$B$104))=0,IF(MF$3&lt;'الموظفون'!$D$2,"",IF(ISNUMBER(MATCH(MF$3,Holidays,0)),"عطلة",IF(MOD(MF$3-'الموظفون'!$D$2,CycleWork+CycleRest)&lt;CycleWork,INDEX('الإعدادات والقوائم'!$H$2:$H$4,MOD(INT(MOD(MF$3-'الموظفون'!$D$2,CycleWork+CycleRest)*3/CycleWork)+MATCH(StartShift,'الإعدادات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الإجازات'!$D$5:$D$104&lt;=MF$3)*(('حجز الإجازات'!$E$5:$E$104)&gt;=MF$3)*('حجز الإجازات'!$G$5:$G$104="معتمد")*ROW('حجز الإجازات'!$B$5:$B$104)))-5+1))</f>
        <v/>
      </c>
      <c r="MG4" s="62">
        <f>IF(SUMPRODUCT(('حجز الإجازات'!$B$5:$B$104='الموظفون'!$B$2)*('حجز الإجازات'!$D$5:$D$104&lt;=MG$3)*(('حجز الإجازات'!$E$5:$E$104)&gt;=MG$3)*('حجز الإجازات'!$G$5:$G$104="معتمد")*ROW('حجز الإجازات'!$B$5:$B$104))=0,IF(MG$3&lt;'الموظفون'!$D$2,"",IF(ISNUMBER(MATCH(MG$3,Holidays,0)),"عطلة",IF(MOD(MG$3-'الموظفون'!$D$2,CycleWork+CycleRest)&lt;CycleWork,INDEX('الإعدادات والقوائم'!$H$2:$H$4,MOD(INT(MOD(MG$3-'الموظفون'!$D$2,CycleWork+CycleRest)*3/CycleWork)+MATCH(StartShift,'الإعدادات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الإجازات'!$D$5:$D$104&lt;=MG$3)*(('حجز الإجازات'!$E$5:$E$104)&gt;=MG$3)*('حجز الإجازات'!$G$5:$G$104="معتمد")*ROW('حجز الإجازات'!$B$5:$B$104)))-5+1))</f>
        <v/>
      </c>
      <c r="MH4" s="62">
        <f>IF(SUMPRODUCT(('حجز الإجازات'!$B$5:$B$104='الموظفون'!$B$2)*('حجز الإجازات'!$D$5:$D$104&lt;=MH$3)*(('حجز الإجازات'!$E$5:$E$104)&gt;=MH$3)*('حجز الإجازات'!$G$5:$G$104="معتمد")*ROW('حجز الإجازات'!$B$5:$B$104))=0,IF(MH$3&lt;'الموظفون'!$D$2,"",IF(ISNUMBER(MATCH(MH$3,Holidays,0)),"عطلة",IF(MOD(MH$3-'الموظفون'!$D$2,CycleWork+CycleRest)&lt;CycleWork,INDEX('الإعدادات والقوائم'!$H$2:$H$4,MOD(INT(MOD(MH$3-'الموظفون'!$D$2,CycleWork+CycleRest)*3/CycleWork)+MATCH(StartShift,'الإعدادات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الإجازات'!$D$5:$D$104&lt;=MH$3)*(('حجز الإجازات'!$E$5:$E$104)&gt;=MH$3)*('حجز الإجازات'!$G$5:$G$104="معتمد")*ROW('حجز الإجازات'!$B$5:$B$104)))-5+1))</f>
        <v/>
      </c>
      <c r="MI4" s="62">
        <f>IF(SUMPRODUCT(('حجز الإجازات'!$B$5:$B$104='الموظفون'!$B$2)*('حجز الإجازات'!$D$5:$D$104&lt;=MI$3)*(('حجز الإجازات'!$E$5:$E$104)&gt;=MI$3)*('حجز الإجازات'!$G$5:$G$104="معتمد")*ROW('حجز الإجازات'!$B$5:$B$104))=0,IF(MI$3&lt;'الموظفون'!$D$2,"",IF(ISNUMBER(MATCH(MI$3,Holidays,0)),"عطلة",IF(MOD(MI$3-'الموظفون'!$D$2,CycleWork+CycleRest)&lt;CycleWork,INDEX('الإعدادات والقوائم'!$H$2:$H$4,MOD(INT(MOD(MI$3-'الموظفون'!$D$2,CycleWork+CycleRest)*3/CycleWork)+MATCH(StartShift,'الإعدادات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الإجازات'!$D$5:$D$104&lt;=MI$3)*(('حجز الإجازات'!$E$5:$E$104)&gt;=MI$3)*('حجز الإجازات'!$G$5:$G$104="معتمد")*ROW('حجز الإجازات'!$B$5:$B$104)))-5+1))</f>
        <v/>
      </c>
      <c r="MJ4" s="62">
        <f>IF(SUMPRODUCT(('حجز الإجازات'!$B$5:$B$104='الموظفون'!$B$2)*('حجز الإجازات'!$D$5:$D$104&lt;=MJ$3)*(('حجز الإجازات'!$E$5:$E$104)&gt;=MJ$3)*('حجز الإجازات'!$G$5:$G$104="معتمد")*ROW('حجز الإجازات'!$B$5:$B$104))=0,IF(MJ$3&lt;'الموظفون'!$D$2,"",IF(ISNUMBER(MATCH(MJ$3,Holidays,0)),"عطلة",IF(MOD(MJ$3-'الموظفون'!$D$2,CycleWork+CycleRest)&lt;CycleWork,INDEX('الإعدادات والقوائم'!$H$2:$H$4,MOD(INT(MOD(MJ$3-'الموظفون'!$D$2,CycleWork+CycleRest)*3/CycleWork)+MATCH(StartShift,'الإعدادات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الإجازات'!$D$5:$D$104&lt;=MJ$3)*(('حجز الإجازات'!$E$5:$E$104)&gt;=MJ$3)*('حجز الإجازات'!$G$5:$G$104="معتمد")*ROW('حجز الإجازات'!$B$5:$B$104)))-5+1))</f>
        <v/>
      </c>
      <c r="MK4" s="62">
        <f>IF(SUMPRODUCT(('حجز الإجازات'!$B$5:$B$104='الموظفون'!$B$2)*('حجز الإجازات'!$D$5:$D$104&lt;=MK$3)*(('حجز الإجازات'!$E$5:$E$104)&gt;=MK$3)*('حجز الإجازات'!$G$5:$G$104="معتمد")*ROW('حجز الإجازات'!$B$5:$B$104))=0,IF(MK$3&lt;'الموظفون'!$D$2,"",IF(ISNUMBER(MATCH(MK$3,Holidays,0)),"عطلة",IF(MOD(MK$3-'الموظفون'!$D$2,CycleWork+CycleRest)&lt;CycleWork,INDEX('الإعدادات والقوائم'!$H$2:$H$4,MOD(INT(MOD(MK$3-'الموظفون'!$D$2,CycleWork+CycleRest)*3/CycleWork)+MATCH(StartShift,'الإعدادات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الإجازات'!$D$5:$D$104&lt;=MK$3)*(('حجز الإجازات'!$E$5:$E$104)&gt;=MK$3)*('حجز الإجازات'!$G$5:$G$104="معتمد")*ROW('حجز الإجازات'!$B$5:$B$104)))-5+1))</f>
        <v/>
      </c>
      <c r="ML4" s="62">
        <f>IF(SUMPRODUCT(('حجز الإجازات'!$B$5:$B$104='الموظفون'!$B$2)*('حجز الإجازات'!$D$5:$D$104&lt;=ML$3)*(('حجز الإجازات'!$E$5:$E$104)&gt;=ML$3)*('حجز الإجازات'!$G$5:$G$104="معتمد")*ROW('حجز الإجازات'!$B$5:$B$104))=0,IF(ML$3&lt;'الموظفون'!$D$2,"",IF(ISNUMBER(MATCH(ML$3,Holidays,0)),"عطلة",IF(MOD(ML$3-'الموظفون'!$D$2,CycleWork+CycleRest)&lt;CycleWork,INDEX('الإعدادات والقوائم'!$H$2:$H$4,MOD(INT(MOD(ML$3-'الموظفون'!$D$2,CycleWork+CycleRest)*3/CycleWork)+MATCH(StartShift,'الإعدادات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الإجازات'!$D$5:$D$104&lt;=ML$3)*(('حجز الإجازات'!$E$5:$E$104)&gt;=ML$3)*('حجز الإجازات'!$G$5:$G$104="معتمد")*ROW('حجز الإجازات'!$B$5:$B$104)))-5+1))</f>
        <v/>
      </c>
      <c r="MM4" s="62">
        <f>IF(SUMPRODUCT(('حجز الإجازات'!$B$5:$B$104='الموظفون'!$B$2)*('حجز الإجازات'!$D$5:$D$104&lt;=MM$3)*(('حجز الإجازات'!$E$5:$E$104)&gt;=MM$3)*('حجز الإجازات'!$G$5:$G$104="معتمد")*ROW('حجز الإجازات'!$B$5:$B$104))=0,IF(MM$3&lt;'الموظفون'!$D$2,"",IF(ISNUMBER(MATCH(MM$3,Holidays,0)),"عطلة",IF(MOD(MM$3-'الموظفون'!$D$2,CycleWork+CycleRest)&lt;CycleWork,INDEX('الإعدادات والقوائم'!$H$2:$H$4,MOD(INT(MOD(MM$3-'الموظفون'!$D$2,CycleWork+CycleRest)*3/CycleWork)+MATCH(StartShift,'الإعدادات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الإجازات'!$D$5:$D$104&lt;=MM$3)*(('حجز الإجازات'!$E$5:$E$104)&gt;=MM$3)*('حجز الإجازات'!$G$5:$G$104="معتمد")*ROW('حجز الإجازات'!$B$5:$B$104)))-5+1))</f>
        <v/>
      </c>
      <c r="MN4" s="62">
        <f>IF(SUMPRODUCT(('حجز الإجازات'!$B$5:$B$104='الموظفون'!$B$2)*('حجز الإجازات'!$D$5:$D$104&lt;=MN$3)*(('حجز الإجازات'!$E$5:$E$104)&gt;=MN$3)*('حجز الإجازات'!$G$5:$G$104="معتمد")*ROW('حجز الإجازات'!$B$5:$B$104))=0,IF(MN$3&lt;'الموظفون'!$D$2,"",IF(ISNUMBER(MATCH(MN$3,Holidays,0)),"عطلة",IF(MOD(MN$3-'الموظفون'!$D$2,CycleWork+CycleRest)&lt;CycleWork,INDEX('الإعدادات والقوائم'!$H$2:$H$4,MOD(INT(MOD(MN$3-'الموظفون'!$D$2,CycleWork+CycleRest)*3/CycleWork)+MATCH(StartShift,'الإعدادات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الإجازات'!$D$5:$D$104&lt;=MN$3)*(('حجز الإجازات'!$E$5:$E$104)&gt;=MN$3)*('حجز الإجازات'!$G$5:$G$104="معتمد")*ROW('حجز الإجازات'!$B$5:$B$104)))-5+1))</f>
        <v/>
      </c>
      <c r="MO4" s="62">
        <f>IF(SUMPRODUCT(('حجز الإجازات'!$B$5:$B$104='الموظفون'!$B$2)*('حجز الإجازات'!$D$5:$D$104&lt;=MO$3)*(('حجز الإجازات'!$E$5:$E$104)&gt;=MO$3)*('حجز الإجازات'!$G$5:$G$104="معتمد")*ROW('حجز الإجازات'!$B$5:$B$104))=0,IF(MO$3&lt;'الموظفون'!$D$2,"",IF(ISNUMBER(MATCH(MO$3,Holidays,0)),"عطلة",IF(MOD(MO$3-'الموظفون'!$D$2,CycleWork+CycleRest)&lt;CycleWork,INDEX('الإعدادات والقوائم'!$H$2:$H$4,MOD(INT(MOD(MO$3-'الموظفون'!$D$2,CycleWork+CycleRest)*3/CycleWork)+MATCH(StartShift,'الإعدادات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الإجازات'!$D$5:$D$104&lt;=MO$3)*(('حجز الإجازات'!$E$5:$E$104)&gt;=MO$3)*('حجز الإجازات'!$G$5:$G$104="معتمد")*ROW('حجز الإجازات'!$B$5:$B$104)))-5+1))</f>
        <v/>
      </c>
      <c r="MP4" s="62">
        <f>IF(SUMPRODUCT(('حجز الإجازات'!$B$5:$B$104='الموظفون'!$B$2)*('حجز الإجازات'!$D$5:$D$104&lt;=MP$3)*(('حجز الإجازات'!$E$5:$E$104)&gt;=MP$3)*('حجز الإجازات'!$G$5:$G$104="معتمد")*ROW('حجز الإجازات'!$B$5:$B$104))=0,IF(MP$3&lt;'الموظفون'!$D$2,"",IF(ISNUMBER(MATCH(MP$3,Holidays,0)),"عطلة",IF(MOD(MP$3-'الموظفون'!$D$2,CycleWork+CycleRest)&lt;CycleWork,INDEX('الإعدادات والقوائم'!$H$2:$H$4,MOD(INT(MOD(MP$3-'الموظفون'!$D$2,CycleWork+CycleRest)*3/CycleWork)+MATCH(StartShift,'الإعدادات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الإجازات'!$D$5:$D$104&lt;=MP$3)*(('حجز الإجازات'!$E$5:$E$104)&gt;=MP$3)*('حجز الإجازات'!$G$5:$G$104="معتمد")*ROW('حجز الإجازات'!$B$5:$B$104)))-5+1))</f>
        <v/>
      </c>
      <c r="MQ4" s="62">
        <f>IF(SUMPRODUCT(('حجز الإجازات'!$B$5:$B$104='الموظفون'!$B$2)*('حجز الإجازات'!$D$5:$D$104&lt;=MQ$3)*(('حجز الإجازات'!$E$5:$E$104)&gt;=MQ$3)*('حجز الإجازات'!$G$5:$G$104="معتمد")*ROW('حجز الإجازات'!$B$5:$B$104))=0,IF(MQ$3&lt;'الموظفون'!$D$2,"",IF(ISNUMBER(MATCH(MQ$3,Holidays,0)),"عطلة",IF(MOD(MQ$3-'الموظفون'!$D$2,CycleWork+CycleRest)&lt;CycleWork,INDEX('الإعدادات والقوائم'!$H$2:$H$4,MOD(INT(MOD(MQ$3-'الموظفون'!$D$2,CycleWork+CycleRest)*3/CycleWork)+MATCH(StartShift,'الإعدادات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الإجازات'!$D$5:$D$104&lt;=MQ$3)*(('حجز الإجازات'!$E$5:$E$104)&gt;=MQ$3)*('حجز الإجازات'!$G$5:$G$104="معتمد")*ROW('حجز الإجازات'!$B$5:$B$104)))-5+1))</f>
        <v/>
      </c>
      <c r="MR4" s="62">
        <f>IF(SUMPRODUCT(('حجز الإجازات'!$B$5:$B$104='الموظفون'!$B$2)*('حجز الإجازات'!$D$5:$D$104&lt;=MR$3)*(('حجز الإجازات'!$E$5:$E$104)&gt;=MR$3)*('حجز الإجازات'!$G$5:$G$104="معتمد")*ROW('حجز الإجازات'!$B$5:$B$104))=0,IF(MR$3&lt;'الموظفون'!$D$2,"",IF(ISNUMBER(MATCH(MR$3,Holidays,0)),"عطلة",IF(MOD(MR$3-'الموظفون'!$D$2,CycleWork+CycleRest)&lt;CycleWork,INDEX('الإعدادات والقوائم'!$H$2:$H$4,MOD(INT(MOD(MR$3-'الموظفون'!$D$2,CycleWork+CycleRest)*3/CycleWork)+MATCH(StartShift,'الإعدادات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الإجازات'!$D$5:$D$104&lt;=MR$3)*(('حجز الإجازات'!$E$5:$E$104)&gt;=MR$3)*('حجز الإجازات'!$G$5:$G$104="معتمد")*ROW('حجز الإجازات'!$B$5:$B$104)))-5+1))</f>
        <v/>
      </c>
      <c r="MS4" s="62">
        <f>IF(SUMPRODUCT(('حجز الإجازات'!$B$5:$B$104='الموظفون'!$B$2)*('حجز الإجازات'!$D$5:$D$104&lt;=MS$3)*(('حجز الإجازات'!$E$5:$E$104)&gt;=MS$3)*('حجز الإجازات'!$G$5:$G$104="معتمد")*ROW('حجز الإجازات'!$B$5:$B$104))=0,IF(MS$3&lt;'الموظفون'!$D$2,"",IF(ISNUMBER(MATCH(MS$3,Holidays,0)),"عطلة",IF(MOD(MS$3-'الموظفون'!$D$2,CycleWork+CycleRest)&lt;CycleWork,INDEX('الإعدادات والقوائم'!$H$2:$H$4,MOD(INT(MOD(MS$3-'الموظفون'!$D$2,CycleWork+CycleRest)*3/CycleWork)+MATCH(StartShift,'الإعدادات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الإجازات'!$D$5:$D$104&lt;=MS$3)*(('حجز الإجازات'!$E$5:$E$104)&gt;=MS$3)*('حجز الإجازات'!$G$5:$G$104="معتمد")*ROW('حجز الإجازات'!$B$5:$B$104)))-5+1))</f>
        <v/>
      </c>
      <c r="MT4" s="62">
        <f>IF(SUMPRODUCT(('حجز الإجازات'!$B$5:$B$104='الموظفون'!$B$2)*('حجز الإجازات'!$D$5:$D$104&lt;=MT$3)*(('حجز الإجازات'!$E$5:$E$104)&gt;=MT$3)*('حجز الإجازات'!$G$5:$G$104="معتمد")*ROW('حجز الإجازات'!$B$5:$B$104))=0,IF(MT$3&lt;'الموظفون'!$D$2,"",IF(ISNUMBER(MATCH(MT$3,Holidays,0)),"عطلة",IF(MOD(MT$3-'الموظفون'!$D$2,CycleWork+CycleRest)&lt;CycleWork,INDEX('الإعدادات والقوائم'!$H$2:$H$4,MOD(INT(MOD(MT$3-'الموظفون'!$D$2,CycleWork+CycleRest)*3/CycleWork)+MATCH(StartShift,'الإعدادات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الإجازات'!$D$5:$D$104&lt;=MT$3)*(('حجز الإجازات'!$E$5:$E$104)&gt;=MT$3)*('حجز الإجازات'!$G$5:$G$104="معتمد")*ROW('حجز الإجازات'!$B$5:$B$104)))-5+1))</f>
        <v/>
      </c>
      <c r="MU4" s="62">
        <f>IF(SUMPRODUCT(('حجز الإجازات'!$B$5:$B$104='الموظفون'!$B$2)*('حجز الإجازات'!$D$5:$D$104&lt;=MU$3)*(('حجز الإجازات'!$E$5:$E$104)&gt;=MU$3)*('حجز الإجازات'!$G$5:$G$104="معتمد")*ROW('حجز الإجازات'!$B$5:$B$104))=0,IF(MU$3&lt;'الموظفون'!$D$2,"",IF(ISNUMBER(MATCH(MU$3,Holidays,0)),"عطلة",IF(MOD(MU$3-'الموظفون'!$D$2,CycleWork+CycleRest)&lt;CycleWork,INDEX('الإعدادات والقوائم'!$H$2:$H$4,MOD(INT(MOD(MU$3-'الموظفون'!$D$2,CycleWork+CycleRest)*3/CycleWork)+MATCH(StartShift,'الإعدادات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الإجازات'!$D$5:$D$104&lt;=MU$3)*(('حجز الإجازات'!$E$5:$E$104)&gt;=MU$3)*('حجز الإجازات'!$G$5:$G$104="معتمد")*ROW('حجز الإجازات'!$B$5:$B$104)))-5+1))</f>
        <v/>
      </c>
      <c r="MV4" s="62">
        <f>IF(SUMPRODUCT(('حجز الإجازات'!$B$5:$B$104='الموظفون'!$B$2)*('حجز الإجازات'!$D$5:$D$104&lt;=MV$3)*(('حجز الإجازات'!$E$5:$E$104)&gt;=MV$3)*('حجز الإجازات'!$G$5:$G$104="معتمد")*ROW('حجز الإجازات'!$B$5:$B$104))=0,IF(MV$3&lt;'الموظفون'!$D$2,"",IF(ISNUMBER(MATCH(MV$3,Holidays,0)),"عطلة",IF(MOD(MV$3-'الموظفون'!$D$2,CycleWork+CycleRest)&lt;CycleWork,INDEX('الإعدادات والقوائم'!$H$2:$H$4,MOD(INT(MOD(MV$3-'الموظفون'!$D$2,CycleWork+CycleRest)*3/CycleWork)+MATCH(StartShift,'الإعدادات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الإجازات'!$D$5:$D$104&lt;=MV$3)*(('حجز الإجازات'!$E$5:$E$104)&gt;=MV$3)*('حجز الإجازات'!$G$5:$G$104="معتمد")*ROW('حجز الإجازات'!$B$5:$B$104)))-5+1))</f>
        <v/>
      </c>
      <c r="MW4" s="62">
        <f>IF(SUMPRODUCT(('حجز الإجازات'!$B$5:$B$104='الموظفون'!$B$2)*('حجز الإجازات'!$D$5:$D$104&lt;=MW$3)*(('حجز الإجازات'!$E$5:$E$104)&gt;=MW$3)*('حجز الإجازات'!$G$5:$G$104="معتمد")*ROW('حجز الإجازات'!$B$5:$B$104))=0,IF(MW$3&lt;'الموظفون'!$D$2,"",IF(ISNUMBER(MATCH(MW$3,Holidays,0)),"عطلة",IF(MOD(MW$3-'الموظفون'!$D$2,CycleWork+CycleRest)&lt;CycleWork,INDEX('الإعدادات والقوائم'!$H$2:$H$4,MOD(INT(MOD(MW$3-'الموظفون'!$D$2,CycleWork+CycleRest)*3/CycleWork)+MATCH(StartShift,'الإعدادات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الإجازات'!$D$5:$D$104&lt;=MW$3)*(('حجز الإجازات'!$E$5:$E$104)&gt;=MW$3)*('حجز الإجازات'!$G$5:$G$104="معتمد")*ROW('حجز الإجازات'!$B$5:$B$104)))-5+1))</f>
        <v/>
      </c>
      <c r="MX4" s="62">
        <f>IF(SUMPRODUCT(('حجز الإجازات'!$B$5:$B$104='الموظفون'!$B$2)*('حجز الإجازات'!$D$5:$D$104&lt;=MX$3)*(('حجز الإجازات'!$E$5:$E$104)&gt;=MX$3)*('حجز الإجازات'!$G$5:$G$104="معتمد")*ROW('حجز الإجازات'!$B$5:$B$104))=0,IF(MX$3&lt;'الموظفون'!$D$2,"",IF(ISNUMBER(MATCH(MX$3,Holidays,0)),"عطلة",IF(MOD(MX$3-'الموظفون'!$D$2,CycleWork+CycleRest)&lt;CycleWork,INDEX('الإعدادات والقوائم'!$H$2:$H$4,MOD(INT(MOD(MX$3-'الموظفون'!$D$2,CycleWork+CycleRest)*3/CycleWork)+MATCH(StartShift,'الإعدادات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الإجازات'!$D$5:$D$104&lt;=MX$3)*(('حجز الإجازات'!$E$5:$E$104)&gt;=MX$3)*('حجز الإجازات'!$G$5:$G$104="معتمد")*ROW('حجز الإجازات'!$B$5:$B$104)))-5+1))</f>
        <v/>
      </c>
      <c r="MY4" s="62">
        <f>IF(SUMPRODUCT(('حجز الإجازات'!$B$5:$B$104='الموظفون'!$B$2)*('حجز الإجازات'!$D$5:$D$104&lt;=MY$3)*(('حجز الإجازات'!$E$5:$E$104)&gt;=MY$3)*('حجز الإجازات'!$G$5:$G$104="معتمد")*ROW('حجز الإجازات'!$B$5:$B$104))=0,IF(MY$3&lt;'الموظفون'!$D$2,"",IF(ISNUMBER(MATCH(MY$3,Holidays,0)),"عطلة",IF(MOD(MY$3-'الموظفون'!$D$2,CycleWork+CycleRest)&lt;CycleWork,INDEX('الإعدادات والقوائم'!$H$2:$H$4,MOD(INT(MOD(MY$3-'الموظفون'!$D$2,CycleWork+CycleRest)*3/CycleWork)+MATCH(StartShift,'الإعدادات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الإجازات'!$D$5:$D$104&lt;=MY$3)*(('حجز الإجازات'!$E$5:$E$104)&gt;=MY$3)*('حجز الإجازات'!$G$5:$G$104="معتمد")*ROW('حجز الإجازات'!$B$5:$B$104)))-5+1))</f>
        <v/>
      </c>
      <c r="MZ4" s="62">
        <f>IF(SUMPRODUCT(('حجز الإجازات'!$B$5:$B$104='الموظفون'!$B$2)*('حجز الإجازات'!$D$5:$D$104&lt;=MZ$3)*(('حجز الإجازات'!$E$5:$E$104)&gt;=MZ$3)*('حجز الإجازات'!$G$5:$G$104="معتمد")*ROW('حجز الإجازات'!$B$5:$B$104))=0,IF(MZ$3&lt;'الموظفون'!$D$2,"",IF(ISNUMBER(MATCH(MZ$3,Holidays,0)),"عطلة",IF(MOD(MZ$3-'الموظفون'!$D$2,CycleWork+CycleRest)&lt;CycleWork,INDEX('الإعدادات والقوائم'!$H$2:$H$4,MOD(INT(MOD(MZ$3-'الموظفون'!$D$2,CycleWork+CycleRest)*3/CycleWork)+MATCH(StartShift,'الإعدادات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الإجازات'!$D$5:$D$104&lt;=MZ$3)*(('حجز الإجازات'!$E$5:$E$104)&gt;=MZ$3)*('حجز الإجازات'!$G$5:$G$104="معتمد")*ROW('حجز الإجازات'!$B$5:$B$104)))-5+1))</f>
        <v/>
      </c>
      <c r="NA4" s="62">
        <f>IF(SUMPRODUCT(('حجز الإجازات'!$B$5:$B$104='الموظفون'!$B$2)*('حجز الإجازات'!$D$5:$D$104&lt;=NA$3)*(('حجز الإجازات'!$E$5:$E$104)&gt;=NA$3)*('حجز الإجازات'!$G$5:$G$104="معتمد")*ROW('حجز الإجازات'!$B$5:$B$104))=0,IF(NA$3&lt;'الموظفون'!$D$2,"",IF(ISNUMBER(MATCH(NA$3,Holidays,0)),"عطلة",IF(MOD(NA$3-'الموظفون'!$D$2,CycleWork+CycleRest)&lt;CycleWork,INDEX('الإعدادات والقوائم'!$H$2:$H$4,MOD(INT(MOD(NA$3-'الموظفون'!$D$2,CycleWork+CycleRest)*3/CycleWork)+MATCH(StartShift,'الإعدادات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الإجازات'!$D$5:$D$104&lt;=NA$3)*(('حجز الإجازات'!$E$5:$E$104)&gt;=NA$3)*('حجز الإجازات'!$G$5:$G$104="معتمد")*ROW('حجز الإجازات'!$B$5:$B$104)))-5+1))</f>
        <v/>
      </c>
      <c r="NB4" s="62">
        <f>IF(SUMPRODUCT(('حجز الإجازات'!$B$5:$B$104='الموظفون'!$B$2)*('حجز الإجازات'!$D$5:$D$104&lt;=NB$3)*(('حجز الإجازات'!$E$5:$E$104)&gt;=NB$3)*('حجز الإجازات'!$G$5:$G$104="معتمد")*ROW('حجز الإجازات'!$B$5:$B$104))=0,IF(NB$3&lt;'الموظفون'!$D$2,"",IF(ISNUMBER(MATCH(NB$3,Holidays,0)),"عطلة",IF(MOD(NB$3-'الموظفون'!$D$2,CycleWork+CycleRest)&lt;CycleWork,INDEX('الإعدادات والقوائم'!$H$2:$H$4,MOD(INT(MOD(NB$3-'الموظفون'!$D$2,CycleWork+CycleRest)*3/CycleWork)+MATCH(StartShift,'الإعدادات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الإجازات'!$D$5:$D$104&lt;=NB$3)*(('حجز الإجازات'!$E$5:$E$104)&gt;=NB$3)*('حجز الإجازات'!$G$5:$G$104="معتمد")*ROW('حجز الإجازات'!$B$5:$B$104)))-5+1))</f>
        <v/>
      </c>
      <c r="NC4" s="62">
        <f>IF(SUMPRODUCT(('حجز الإجازات'!$B$5:$B$104='الموظفون'!$B$2)*('حجز الإجازات'!$D$5:$D$104&lt;=NC$3)*(('حجز الإجازات'!$E$5:$E$104)&gt;=NC$3)*('حجز الإجازات'!$G$5:$G$104="معتمد")*ROW('حجز الإجازات'!$B$5:$B$104))=0,IF(NC$3&lt;'الموظفون'!$D$2,"",IF(ISNUMBER(MATCH(NC$3,Holidays,0)),"عطلة",IF(MOD(NC$3-'الموظفون'!$D$2,CycleWork+CycleRest)&lt;CycleWork,INDEX('الإعدادات والقوائم'!$H$2:$H$4,MOD(INT(MOD(NC$3-'الموظفون'!$D$2,CycleWork+CycleRest)*3/CycleWork)+MATCH(StartShift,'الإعدادات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الإجازات'!$D$5:$D$104&lt;=NC$3)*(('حجز الإجازات'!$E$5:$E$104)&gt;=NC$3)*('حجز الإجازات'!$G$5:$G$104="معتمد")*ROW('حجز الإجازات'!$B$5:$B$104)))-5+1))</f>
        <v/>
      </c>
      <c r="ND4" s="62">
        <f>IF(SUMPRODUCT(('حجز الإجازات'!$B$5:$B$104='الموظفون'!$B$2)*('حجز الإجازات'!$D$5:$D$104&lt;=ND$3)*(('حجز الإجازات'!$E$5:$E$104)&gt;=ND$3)*('حجز الإجازات'!$G$5:$G$104="معتمد")*ROW('حجز الإجازات'!$B$5:$B$104))=0,IF(ND$3&lt;'الموظفون'!$D$2,"",IF(ISNUMBER(MATCH(ND$3,Holidays,0)),"عطلة",IF(MOD(ND$3-'الموظفون'!$D$2,CycleWork+CycleRest)&lt;CycleWork,INDEX('الإعدادات والقوائم'!$H$2:$H$4,MOD(INT(MOD(ND$3-'الموظفون'!$D$2,CycleWork+CycleRest)*3/CycleWork)+MATCH(StartShift,'الإعدادات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الإجازات'!$D$5:$D$104&lt;=ND$3)*(('حجز الإجازات'!$E$5:$E$104)&gt;=ND$3)*('حجز الإجازات'!$G$5:$G$104="معتمد")*ROW('حجز الإجازات'!$B$5:$B$104)))-5+1))</f>
        <v/>
      </c>
    </row>
    <row r="5">
      <c r="A5" s="16" t="n">
        <v>2</v>
      </c>
      <c r="B5" s="22">
        <f>'الموظفون'!B3</f>
        <v/>
      </c>
      <c r="C5" s="16">
        <f>'الموظفون'!C3</f>
        <v/>
      </c>
      <c r="D5" s="62">
        <f>IF(SUMPRODUCT(('حجز الإجازات'!$B$5:$B$104='الموظفون'!$B$3)*('حجز الإجازات'!$D$5:$D$104&lt;=D$3)*(('حجز الإجازات'!$E$5:$E$104)&gt;=D$3)*('حجز الإجازات'!$G$5:$G$104="معتمد")*ROW('حجز الإجازات'!$B$5:$B$104))=0,IF(D$3&lt;'الموظفون'!$D$3,"",IF(ISNUMBER(MATCH(D$3,Holidays,0)),"عطلة",IF(MOD(D$3-'الموظفون'!$D$3,CycleWork+CycleRest)&lt;CycleWork,INDEX('الإعدادات والقوائم'!$H$2:$H$4,MOD(INT(MOD(D$3-'الموظفون'!$D$3,CycleWork+CycleRest)*3/CycleWork)+MATCH(StartShift,'الإعدادات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الإجازات'!$D$5:$D$104&lt;=D$3)*(('حجز الإجازات'!$E$5:$E$104)&gt;=D$3)*('حجز الإجازات'!$G$5:$G$104="معتمد")*ROW('حجز الإجازات'!$B$5:$B$104)))-5+1))</f>
        <v/>
      </c>
      <c r="E5" s="62">
        <f>IF(SUMPRODUCT(('حجز الإجازات'!$B$5:$B$104='الموظفون'!$B$3)*('حجز الإجازات'!$D$5:$D$104&lt;=E$3)*(('حجز الإجازات'!$E$5:$E$104)&gt;=E$3)*('حجز الإجازات'!$G$5:$G$104="معتمد")*ROW('حجز الإجازات'!$B$5:$B$104))=0,IF(E$3&lt;'الموظفون'!$D$3,"",IF(ISNUMBER(MATCH(E$3,Holidays,0)),"عطلة",IF(MOD(E$3-'الموظفون'!$D$3,CycleWork+CycleRest)&lt;CycleWork,INDEX('الإعدادات والقوائم'!$H$2:$H$4,MOD(INT(MOD(E$3-'الموظفون'!$D$3,CycleWork+CycleRest)*3/CycleWork)+MATCH(StartShift,'الإعدادات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الإجازات'!$D$5:$D$104&lt;=E$3)*(('حجز الإجازات'!$E$5:$E$104)&gt;=E$3)*('حجز الإجازات'!$G$5:$G$104="معتمد")*ROW('حجز الإجازات'!$B$5:$B$104)))-5+1))</f>
        <v/>
      </c>
      <c r="F5" s="62">
        <f>IF(SUMPRODUCT(('حجز الإجازات'!$B$5:$B$104='الموظفون'!$B$3)*('حجز الإجازات'!$D$5:$D$104&lt;=F$3)*(('حجز الإجازات'!$E$5:$E$104)&gt;=F$3)*('حجز الإجازات'!$G$5:$G$104="معتمد")*ROW('حجز الإجازات'!$B$5:$B$104))=0,IF(F$3&lt;'الموظفون'!$D$3,"",IF(ISNUMBER(MATCH(F$3,Holidays,0)),"عطلة",IF(MOD(F$3-'الموظفون'!$D$3,CycleWork+CycleRest)&lt;CycleWork,INDEX('الإعدادات والقوائم'!$H$2:$H$4,MOD(INT(MOD(F$3-'الموظفون'!$D$3,CycleWork+CycleRest)*3/CycleWork)+MATCH(StartShift,'الإعدادات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الإجازات'!$D$5:$D$104&lt;=F$3)*(('حجز الإجازات'!$E$5:$E$104)&gt;=F$3)*('حجز الإجازات'!$G$5:$G$104="معتمد")*ROW('حجز الإجازات'!$B$5:$B$104)))-5+1))</f>
        <v/>
      </c>
      <c r="G5" s="62">
        <f>IF(SUMPRODUCT(('حجز الإجازات'!$B$5:$B$104='الموظفون'!$B$3)*('حجز الإجازات'!$D$5:$D$104&lt;=G$3)*(('حجز الإجازات'!$E$5:$E$104)&gt;=G$3)*('حجز الإجازات'!$G$5:$G$104="معتمد")*ROW('حجز الإجازات'!$B$5:$B$104))=0,IF(G$3&lt;'الموظفون'!$D$3,"",IF(ISNUMBER(MATCH(G$3,Holidays,0)),"عطلة",IF(MOD(G$3-'الموظفون'!$D$3,CycleWork+CycleRest)&lt;CycleWork,INDEX('الإعدادات والقوائم'!$H$2:$H$4,MOD(INT(MOD(G$3-'الموظفون'!$D$3,CycleWork+CycleRest)*3/CycleWork)+MATCH(StartShift,'الإعدادات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الإجازات'!$D$5:$D$104&lt;=G$3)*(('حجز الإجازات'!$E$5:$E$104)&gt;=G$3)*('حجز الإجازات'!$G$5:$G$104="معتمد")*ROW('حجز الإجازات'!$B$5:$B$104)))-5+1))</f>
        <v/>
      </c>
      <c r="H5" s="62">
        <f>IF(SUMPRODUCT(('حجز الإجازات'!$B$5:$B$104='الموظفون'!$B$3)*('حجز الإجازات'!$D$5:$D$104&lt;=H$3)*(('حجز الإجازات'!$E$5:$E$104)&gt;=H$3)*('حجز الإجازات'!$G$5:$G$104="معتمد")*ROW('حجز الإجازات'!$B$5:$B$104))=0,IF(H$3&lt;'الموظفون'!$D$3,"",IF(ISNUMBER(MATCH(H$3,Holidays,0)),"عطلة",IF(MOD(H$3-'الموظفون'!$D$3,CycleWork+CycleRest)&lt;CycleWork,INDEX('الإعدادات والقوائم'!$H$2:$H$4,MOD(INT(MOD(H$3-'الموظفون'!$D$3,CycleWork+CycleRest)*3/CycleWork)+MATCH(StartShift,'الإعدادات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الإجازات'!$D$5:$D$104&lt;=H$3)*(('حجز الإجازات'!$E$5:$E$104)&gt;=H$3)*('حجز الإجازات'!$G$5:$G$104="معتمد")*ROW('حجز الإجازات'!$B$5:$B$104)))-5+1))</f>
        <v/>
      </c>
      <c r="I5" s="62">
        <f>IF(SUMPRODUCT(('حجز الإجازات'!$B$5:$B$104='الموظفون'!$B$3)*('حجز الإجازات'!$D$5:$D$104&lt;=I$3)*(('حجز الإجازات'!$E$5:$E$104)&gt;=I$3)*('حجز الإجازات'!$G$5:$G$104="معتمد")*ROW('حجز الإجازات'!$B$5:$B$104))=0,IF(I$3&lt;'الموظفون'!$D$3,"",IF(ISNUMBER(MATCH(I$3,Holidays,0)),"عطلة",IF(MOD(I$3-'الموظفون'!$D$3,CycleWork+CycleRest)&lt;CycleWork,INDEX('الإعدادات والقوائم'!$H$2:$H$4,MOD(INT(MOD(I$3-'الموظفون'!$D$3,CycleWork+CycleRest)*3/CycleWork)+MATCH(StartShift,'الإعدادات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الإجازات'!$D$5:$D$104&lt;=I$3)*(('حجز الإجازات'!$E$5:$E$104)&gt;=I$3)*('حجز الإجازات'!$G$5:$G$104="معتمد")*ROW('حجز الإجازات'!$B$5:$B$104)))-5+1))</f>
        <v/>
      </c>
      <c r="J5" s="62">
        <f>IF(SUMPRODUCT(('حجز الإجازات'!$B$5:$B$104='الموظفون'!$B$3)*('حجز الإجازات'!$D$5:$D$104&lt;=J$3)*(('حجز الإجازات'!$E$5:$E$104)&gt;=J$3)*('حجز الإجازات'!$G$5:$G$104="معتمد")*ROW('حجز الإجازات'!$B$5:$B$104))=0,IF(J$3&lt;'الموظفون'!$D$3,"",IF(ISNUMBER(MATCH(J$3,Holidays,0)),"عطلة",IF(MOD(J$3-'الموظفون'!$D$3,CycleWork+CycleRest)&lt;CycleWork,INDEX('الإعدادات والقوائم'!$H$2:$H$4,MOD(INT(MOD(J$3-'الموظفون'!$D$3,CycleWork+CycleRest)*3/CycleWork)+MATCH(StartShift,'الإعدادات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الإجازات'!$D$5:$D$104&lt;=J$3)*(('حجز الإجازات'!$E$5:$E$104)&gt;=J$3)*('حجز الإجازات'!$G$5:$G$104="معتمد")*ROW('حجز الإجازات'!$B$5:$B$104)))-5+1))</f>
        <v/>
      </c>
      <c r="K5" s="62">
        <f>IF(SUMPRODUCT(('حجز الإجازات'!$B$5:$B$104='الموظفون'!$B$3)*('حجز الإجازات'!$D$5:$D$104&lt;=K$3)*(('حجز الإجازات'!$E$5:$E$104)&gt;=K$3)*('حجز الإجازات'!$G$5:$G$104="معتمد")*ROW('حجز الإجازات'!$B$5:$B$104))=0,IF(K$3&lt;'الموظفون'!$D$3,"",IF(ISNUMBER(MATCH(K$3,Holidays,0)),"عطلة",IF(MOD(K$3-'الموظفون'!$D$3,CycleWork+CycleRest)&lt;CycleWork,INDEX('الإعدادات والقوائم'!$H$2:$H$4,MOD(INT(MOD(K$3-'الموظفون'!$D$3,CycleWork+CycleRest)*3/CycleWork)+MATCH(StartShift,'الإعدادات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الإجازات'!$D$5:$D$104&lt;=K$3)*(('حجز الإجازات'!$E$5:$E$104)&gt;=K$3)*('حجز الإجازات'!$G$5:$G$104="معتمد")*ROW('حجز الإجازات'!$B$5:$B$104)))-5+1))</f>
        <v/>
      </c>
      <c r="L5" s="62">
        <f>IF(SUMPRODUCT(('حجز الإجازات'!$B$5:$B$104='الموظفون'!$B$3)*('حجز الإجازات'!$D$5:$D$104&lt;=L$3)*(('حجز الإجازات'!$E$5:$E$104)&gt;=L$3)*('حجز الإجازات'!$G$5:$G$104="معتمد")*ROW('حجز الإجازات'!$B$5:$B$104))=0,IF(L$3&lt;'الموظفون'!$D$3,"",IF(ISNUMBER(MATCH(L$3,Holidays,0)),"عطلة",IF(MOD(L$3-'الموظفون'!$D$3,CycleWork+CycleRest)&lt;CycleWork,INDEX('الإعدادات والقوائم'!$H$2:$H$4,MOD(INT(MOD(L$3-'الموظفون'!$D$3,CycleWork+CycleRest)*3/CycleWork)+MATCH(StartShift,'الإعدادات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الإجازات'!$D$5:$D$104&lt;=L$3)*(('حجز الإجازات'!$E$5:$E$104)&gt;=L$3)*('حجز الإجازات'!$G$5:$G$104="معتمد")*ROW('حجز الإجازات'!$B$5:$B$104)))-5+1))</f>
        <v/>
      </c>
      <c r="M5" s="62">
        <f>IF(SUMPRODUCT(('حجز الإجازات'!$B$5:$B$104='الموظفون'!$B$3)*('حجز الإجازات'!$D$5:$D$104&lt;=M$3)*(('حجز الإجازات'!$E$5:$E$104)&gt;=M$3)*('حجز الإجازات'!$G$5:$G$104="معتمد")*ROW('حجز الإجازات'!$B$5:$B$104))=0,IF(M$3&lt;'الموظفون'!$D$3,"",IF(ISNUMBER(MATCH(M$3,Holidays,0)),"عطلة",IF(MOD(M$3-'الموظفون'!$D$3,CycleWork+CycleRest)&lt;CycleWork,INDEX('الإعدادات والقوائم'!$H$2:$H$4,MOD(INT(MOD(M$3-'الموظفون'!$D$3,CycleWork+CycleRest)*3/CycleWork)+MATCH(StartShift,'الإعدادات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الإجازات'!$D$5:$D$104&lt;=M$3)*(('حجز الإجازات'!$E$5:$E$104)&gt;=M$3)*('حجز الإجازات'!$G$5:$G$104="معتمد")*ROW('حجز الإجازات'!$B$5:$B$104)))-5+1))</f>
        <v/>
      </c>
      <c r="N5" s="62">
        <f>IF(SUMPRODUCT(('حجز الإجازات'!$B$5:$B$104='الموظفون'!$B$3)*('حجز الإجازات'!$D$5:$D$104&lt;=N$3)*(('حجز الإجازات'!$E$5:$E$104)&gt;=N$3)*('حجز الإجازات'!$G$5:$G$104="معتمد")*ROW('حجز الإجازات'!$B$5:$B$104))=0,IF(N$3&lt;'الموظفون'!$D$3,"",IF(ISNUMBER(MATCH(N$3,Holidays,0)),"عطلة",IF(MOD(N$3-'الموظفون'!$D$3,CycleWork+CycleRest)&lt;CycleWork,INDEX('الإعدادات والقوائم'!$H$2:$H$4,MOD(INT(MOD(N$3-'الموظفون'!$D$3,CycleWork+CycleRest)*3/CycleWork)+MATCH(StartShift,'الإعدادات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الإجازات'!$D$5:$D$104&lt;=N$3)*(('حجز الإجازات'!$E$5:$E$104)&gt;=N$3)*('حجز الإجازات'!$G$5:$G$104="معتمد")*ROW('حجز الإجازات'!$B$5:$B$104)))-5+1))</f>
        <v/>
      </c>
      <c r="O5" s="62">
        <f>IF(SUMPRODUCT(('حجز الإجازات'!$B$5:$B$104='الموظفون'!$B$3)*('حجز الإجازات'!$D$5:$D$104&lt;=O$3)*(('حجز الإجازات'!$E$5:$E$104)&gt;=O$3)*('حجز الإجازات'!$G$5:$G$104="معتمد")*ROW('حجز الإجازات'!$B$5:$B$104))=0,IF(O$3&lt;'الموظفون'!$D$3,"",IF(ISNUMBER(MATCH(O$3,Holidays,0)),"عطلة",IF(MOD(O$3-'الموظفون'!$D$3,CycleWork+CycleRest)&lt;CycleWork,INDEX('الإعدادات والقوائم'!$H$2:$H$4,MOD(INT(MOD(O$3-'الموظفون'!$D$3,CycleWork+CycleRest)*3/CycleWork)+MATCH(StartShift,'الإعدادات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الإجازات'!$D$5:$D$104&lt;=O$3)*(('حجز الإجازات'!$E$5:$E$104)&gt;=O$3)*('حجز الإجازات'!$G$5:$G$104="معتمد")*ROW('حجز الإجازات'!$B$5:$B$104)))-5+1))</f>
        <v/>
      </c>
      <c r="P5" s="62">
        <f>IF(SUMPRODUCT(('حجز الإجازات'!$B$5:$B$104='الموظفون'!$B$3)*('حجز الإجازات'!$D$5:$D$104&lt;=P$3)*(('حجز الإجازات'!$E$5:$E$104)&gt;=P$3)*('حجز الإجازات'!$G$5:$G$104="معتمد")*ROW('حجز الإجازات'!$B$5:$B$104))=0,IF(P$3&lt;'الموظفون'!$D$3,"",IF(ISNUMBER(MATCH(P$3,Holidays,0)),"عطلة",IF(MOD(P$3-'الموظفون'!$D$3,CycleWork+CycleRest)&lt;CycleWork,INDEX('الإعدادات والقوائم'!$H$2:$H$4,MOD(INT(MOD(P$3-'الموظفون'!$D$3,CycleWork+CycleRest)*3/CycleWork)+MATCH(StartShift,'الإعدادات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الإجازات'!$D$5:$D$104&lt;=P$3)*(('حجز الإجازات'!$E$5:$E$104)&gt;=P$3)*('حجز الإجازات'!$G$5:$G$104="معتمد")*ROW('حجز الإجازات'!$B$5:$B$104)))-5+1))</f>
        <v/>
      </c>
      <c r="Q5" s="62">
        <f>IF(SUMPRODUCT(('حجز الإجازات'!$B$5:$B$104='الموظفون'!$B$3)*('حجز الإجازات'!$D$5:$D$104&lt;=Q$3)*(('حجز الإجازات'!$E$5:$E$104)&gt;=Q$3)*('حجز الإجازات'!$G$5:$G$104="معتمد")*ROW('حجز الإجازات'!$B$5:$B$104))=0,IF(Q$3&lt;'الموظفون'!$D$3,"",IF(ISNUMBER(MATCH(Q$3,Holidays,0)),"عطلة",IF(MOD(Q$3-'الموظفون'!$D$3,CycleWork+CycleRest)&lt;CycleWork,INDEX('الإعدادات والقوائم'!$H$2:$H$4,MOD(INT(MOD(Q$3-'الموظفون'!$D$3,CycleWork+CycleRest)*3/CycleWork)+MATCH(StartShift,'الإعدادات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الإجازات'!$D$5:$D$104&lt;=Q$3)*(('حجز الإجازات'!$E$5:$E$104)&gt;=Q$3)*('حجز الإجازات'!$G$5:$G$104="معتمد")*ROW('حجز الإجازات'!$B$5:$B$104)))-5+1))</f>
        <v/>
      </c>
      <c r="R5" s="62">
        <f>IF(SUMPRODUCT(('حجز الإجازات'!$B$5:$B$104='الموظفون'!$B$3)*('حجز الإجازات'!$D$5:$D$104&lt;=R$3)*(('حجز الإجازات'!$E$5:$E$104)&gt;=R$3)*('حجز الإجازات'!$G$5:$G$104="معتمد")*ROW('حجز الإجازات'!$B$5:$B$104))=0,IF(R$3&lt;'الموظفون'!$D$3,"",IF(ISNUMBER(MATCH(R$3,Holidays,0)),"عطلة",IF(MOD(R$3-'الموظفون'!$D$3,CycleWork+CycleRest)&lt;CycleWork,INDEX('الإعدادات والقوائم'!$H$2:$H$4,MOD(INT(MOD(R$3-'الموظفون'!$D$3,CycleWork+CycleRest)*3/CycleWork)+MATCH(StartShift,'الإعدادات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الإجازات'!$D$5:$D$104&lt;=R$3)*(('حجز الإجازات'!$E$5:$E$104)&gt;=R$3)*('حجز الإجازات'!$G$5:$G$104="معتمد")*ROW('حجز الإجازات'!$B$5:$B$104)))-5+1))</f>
        <v/>
      </c>
      <c r="S5" s="62">
        <f>IF(SUMPRODUCT(('حجز الإجازات'!$B$5:$B$104='الموظفون'!$B$3)*('حجز الإجازات'!$D$5:$D$104&lt;=S$3)*(('حجز الإجازات'!$E$5:$E$104)&gt;=S$3)*('حجز الإجازات'!$G$5:$G$104="معتمد")*ROW('حجز الإجازات'!$B$5:$B$104))=0,IF(S$3&lt;'الموظفون'!$D$3,"",IF(ISNUMBER(MATCH(S$3,Holidays,0)),"عطلة",IF(MOD(S$3-'الموظفون'!$D$3,CycleWork+CycleRest)&lt;CycleWork,INDEX('الإعدادات والقوائم'!$H$2:$H$4,MOD(INT(MOD(S$3-'الموظفون'!$D$3,CycleWork+CycleRest)*3/CycleWork)+MATCH(StartShift,'الإعدادات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الإجازات'!$D$5:$D$104&lt;=S$3)*(('حجز الإجازات'!$E$5:$E$104)&gt;=S$3)*('حجز الإجازات'!$G$5:$G$104="معتمد")*ROW('حجز الإجازات'!$B$5:$B$104)))-5+1))</f>
        <v/>
      </c>
      <c r="T5" s="62">
        <f>IF(SUMPRODUCT(('حجز الإجازات'!$B$5:$B$104='الموظفون'!$B$3)*('حجز الإجازات'!$D$5:$D$104&lt;=T$3)*(('حجز الإجازات'!$E$5:$E$104)&gt;=T$3)*('حجز الإجازات'!$G$5:$G$104="معتمد")*ROW('حجز الإجازات'!$B$5:$B$104))=0,IF(T$3&lt;'الموظفون'!$D$3,"",IF(ISNUMBER(MATCH(T$3,Holidays,0)),"عطلة",IF(MOD(T$3-'الموظفون'!$D$3,CycleWork+CycleRest)&lt;CycleWork,INDEX('الإعدادات والقوائم'!$H$2:$H$4,MOD(INT(MOD(T$3-'الموظفون'!$D$3,CycleWork+CycleRest)*3/CycleWork)+MATCH(StartShift,'الإعدادات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الإجازات'!$D$5:$D$104&lt;=T$3)*(('حجز الإجازات'!$E$5:$E$104)&gt;=T$3)*('حجز الإجازات'!$G$5:$G$104="معتمد")*ROW('حجز الإجازات'!$B$5:$B$104)))-5+1))</f>
        <v/>
      </c>
      <c r="U5" s="62">
        <f>IF(SUMPRODUCT(('حجز الإجازات'!$B$5:$B$104='الموظفون'!$B$3)*('حجز الإجازات'!$D$5:$D$104&lt;=U$3)*(('حجز الإجازات'!$E$5:$E$104)&gt;=U$3)*('حجز الإجازات'!$G$5:$G$104="معتمد")*ROW('حجز الإجازات'!$B$5:$B$104))=0,IF(U$3&lt;'الموظفون'!$D$3,"",IF(ISNUMBER(MATCH(U$3,Holidays,0)),"عطلة",IF(MOD(U$3-'الموظفون'!$D$3,CycleWork+CycleRest)&lt;CycleWork,INDEX('الإعدادات والقوائم'!$H$2:$H$4,MOD(INT(MOD(U$3-'الموظفون'!$D$3,CycleWork+CycleRest)*3/CycleWork)+MATCH(StartShift,'الإعدادات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الإجازات'!$D$5:$D$104&lt;=U$3)*(('حجز الإجازات'!$E$5:$E$104)&gt;=U$3)*('حجز الإجازات'!$G$5:$G$104="معتمد")*ROW('حجز الإجازات'!$B$5:$B$104)))-5+1))</f>
        <v/>
      </c>
      <c r="V5" s="62">
        <f>IF(SUMPRODUCT(('حجز الإجازات'!$B$5:$B$104='الموظفون'!$B$3)*('حجز الإجازات'!$D$5:$D$104&lt;=V$3)*(('حجز الإجازات'!$E$5:$E$104)&gt;=V$3)*('حجز الإجازات'!$G$5:$G$104="معتمد")*ROW('حجز الإجازات'!$B$5:$B$104))=0,IF(V$3&lt;'الموظفون'!$D$3,"",IF(ISNUMBER(MATCH(V$3,Holidays,0)),"عطلة",IF(MOD(V$3-'الموظفون'!$D$3,CycleWork+CycleRest)&lt;CycleWork,INDEX('الإعدادات والقوائم'!$H$2:$H$4,MOD(INT(MOD(V$3-'الموظفون'!$D$3,CycleWork+CycleRest)*3/CycleWork)+MATCH(StartShift,'الإعدادات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الإجازات'!$D$5:$D$104&lt;=V$3)*(('حجز الإجازات'!$E$5:$E$104)&gt;=V$3)*('حجز الإجازات'!$G$5:$G$104="معتمد")*ROW('حجز الإجازات'!$B$5:$B$104)))-5+1))</f>
        <v/>
      </c>
      <c r="W5" s="62">
        <f>IF(SUMPRODUCT(('حجز الإجازات'!$B$5:$B$104='الموظفون'!$B$3)*('حجز الإجازات'!$D$5:$D$104&lt;=W$3)*(('حجز الإجازات'!$E$5:$E$104)&gt;=W$3)*('حجز الإجازات'!$G$5:$G$104="معتمد")*ROW('حجز الإجازات'!$B$5:$B$104))=0,IF(W$3&lt;'الموظفون'!$D$3,"",IF(ISNUMBER(MATCH(W$3,Holidays,0)),"عطلة",IF(MOD(W$3-'الموظفون'!$D$3,CycleWork+CycleRest)&lt;CycleWork,INDEX('الإعدادات والقوائم'!$H$2:$H$4,MOD(INT(MOD(W$3-'الموظفون'!$D$3,CycleWork+CycleRest)*3/CycleWork)+MATCH(StartShift,'الإعدادات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الإجازات'!$D$5:$D$104&lt;=W$3)*(('حجز الإجازات'!$E$5:$E$104)&gt;=W$3)*('حجز الإجازات'!$G$5:$G$104="معتمد")*ROW('حجز الإجازات'!$B$5:$B$104)))-5+1))</f>
        <v/>
      </c>
      <c r="X5" s="62">
        <f>IF(SUMPRODUCT(('حجز الإجازات'!$B$5:$B$104='الموظفون'!$B$3)*('حجز الإجازات'!$D$5:$D$104&lt;=X$3)*(('حجز الإجازات'!$E$5:$E$104)&gt;=X$3)*('حجز الإجازات'!$G$5:$G$104="معتمد")*ROW('حجز الإجازات'!$B$5:$B$104))=0,IF(X$3&lt;'الموظفون'!$D$3,"",IF(ISNUMBER(MATCH(X$3,Holidays,0)),"عطلة",IF(MOD(X$3-'الموظفون'!$D$3,CycleWork+CycleRest)&lt;CycleWork,INDEX('الإعدادات والقوائم'!$H$2:$H$4,MOD(INT(MOD(X$3-'الموظفون'!$D$3,CycleWork+CycleRest)*3/CycleWork)+MATCH(StartShift,'الإعدادات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الإجازات'!$D$5:$D$104&lt;=X$3)*(('حجز الإجازات'!$E$5:$E$104)&gt;=X$3)*('حجز الإجازات'!$G$5:$G$104="معتمد")*ROW('حجز الإجازات'!$B$5:$B$104)))-5+1))</f>
        <v/>
      </c>
      <c r="Y5" s="62">
        <f>IF(SUMPRODUCT(('حجز الإجازات'!$B$5:$B$104='الموظفون'!$B$3)*('حجز الإجازات'!$D$5:$D$104&lt;=Y$3)*(('حجز الإجازات'!$E$5:$E$104)&gt;=Y$3)*('حجز الإجازات'!$G$5:$G$104="معتمد")*ROW('حجز الإجازات'!$B$5:$B$104))=0,IF(Y$3&lt;'الموظفون'!$D$3,"",IF(ISNUMBER(MATCH(Y$3,Holidays,0)),"عطلة",IF(MOD(Y$3-'الموظفون'!$D$3,CycleWork+CycleRest)&lt;CycleWork,INDEX('الإعدادات والقوائم'!$H$2:$H$4,MOD(INT(MOD(Y$3-'الموظفون'!$D$3,CycleWork+CycleRest)*3/CycleWork)+MATCH(StartShift,'الإعدادات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الإجازات'!$D$5:$D$104&lt;=Y$3)*(('حجز الإجازات'!$E$5:$E$104)&gt;=Y$3)*('حجز الإجازات'!$G$5:$G$104="معتمد")*ROW('حجز الإجازات'!$B$5:$B$104)))-5+1))</f>
        <v/>
      </c>
      <c r="Z5" s="62">
        <f>IF(SUMPRODUCT(('حجز الإجازات'!$B$5:$B$104='الموظفون'!$B$3)*('حجز الإجازات'!$D$5:$D$104&lt;=Z$3)*(('حجز الإجازات'!$E$5:$E$104)&gt;=Z$3)*('حجز الإجازات'!$G$5:$G$104="معتمد")*ROW('حجز الإجازات'!$B$5:$B$104))=0,IF(Z$3&lt;'الموظفون'!$D$3,"",IF(ISNUMBER(MATCH(Z$3,Holidays,0)),"عطلة",IF(MOD(Z$3-'الموظفون'!$D$3,CycleWork+CycleRest)&lt;CycleWork,INDEX('الإعدادات والقوائم'!$H$2:$H$4,MOD(INT(MOD(Z$3-'الموظفون'!$D$3,CycleWork+CycleRest)*3/CycleWork)+MATCH(StartShift,'الإعدادات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الإجازات'!$D$5:$D$104&lt;=Z$3)*(('حجز الإجازات'!$E$5:$E$104)&gt;=Z$3)*('حجز الإجازات'!$G$5:$G$104="معتمد")*ROW('حجز الإجازات'!$B$5:$B$104)))-5+1))</f>
        <v/>
      </c>
      <c r="AA5" s="62">
        <f>IF(SUMPRODUCT(('حجز الإجازات'!$B$5:$B$104='الموظفون'!$B$3)*('حجز الإجازات'!$D$5:$D$104&lt;=AA$3)*(('حجز الإجازات'!$E$5:$E$104)&gt;=AA$3)*('حجز الإجازات'!$G$5:$G$104="معتمد")*ROW('حجز الإجازات'!$B$5:$B$104))=0,IF(AA$3&lt;'الموظفون'!$D$3,"",IF(ISNUMBER(MATCH(AA$3,Holidays,0)),"عطلة",IF(MOD(AA$3-'الموظفون'!$D$3,CycleWork+CycleRest)&lt;CycleWork,INDEX('الإعدادات والقوائم'!$H$2:$H$4,MOD(INT(MOD(AA$3-'الموظفون'!$D$3,CycleWork+CycleRest)*3/CycleWork)+MATCH(StartShift,'الإعدادات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الإجازات'!$D$5:$D$104&lt;=AA$3)*(('حجز الإجازات'!$E$5:$E$104)&gt;=AA$3)*('حجز الإجازات'!$G$5:$G$104="معتمد")*ROW('حجز الإجازات'!$B$5:$B$104)))-5+1))</f>
        <v/>
      </c>
      <c r="AB5" s="62">
        <f>IF(SUMPRODUCT(('حجز الإجازات'!$B$5:$B$104='الموظفون'!$B$3)*('حجز الإجازات'!$D$5:$D$104&lt;=AB$3)*(('حجز الإجازات'!$E$5:$E$104)&gt;=AB$3)*('حجز الإجازات'!$G$5:$G$104="معتمد")*ROW('حجز الإجازات'!$B$5:$B$104))=0,IF(AB$3&lt;'الموظفون'!$D$3,"",IF(ISNUMBER(MATCH(AB$3,Holidays,0)),"عطلة",IF(MOD(AB$3-'الموظفون'!$D$3,CycleWork+CycleRest)&lt;CycleWork,INDEX('الإعدادات والقوائم'!$H$2:$H$4,MOD(INT(MOD(AB$3-'الموظفون'!$D$3,CycleWork+CycleRest)*3/CycleWork)+MATCH(StartShift,'الإعدادات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الإجازات'!$D$5:$D$104&lt;=AB$3)*(('حجز الإجازات'!$E$5:$E$104)&gt;=AB$3)*('حجز الإجازات'!$G$5:$G$104="معتمد")*ROW('حجز الإجازات'!$B$5:$B$104)))-5+1))</f>
        <v/>
      </c>
      <c r="AC5" s="62">
        <f>IF(SUMPRODUCT(('حجز الإجازات'!$B$5:$B$104='الموظفون'!$B$3)*('حجز الإجازات'!$D$5:$D$104&lt;=AC$3)*(('حجز الإجازات'!$E$5:$E$104)&gt;=AC$3)*('حجز الإجازات'!$G$5:$G$104="معتمد")*ROW('حجز الإجازات'!$B$5:$B$104))=0,IF(AC$3&lt;'الموظفون'!$D$3,"",IF(ISNUMBER(MATCH(AC$3,Holidays,0)),"عطلة",IF(MOD(AC$3-'الموظفون'!$D$3,CycleWork+CycleRest)&lt;CycleWork,INDEX('الإعدادات والقوائم'!$H$2:$H$4,MOD(INT(MOD(AC$3-'الموظفون'!$D$3,CycleWork+CycleRest)*3/CycleWork)+MATCH(StartShift,'الإعدادات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الإجازات'!$D$5:$D$104&lt;=AC$3)*(('حجز الإجازات'!$E$5:$E$104)&gt;=AC$3)*('حجز الإجازات'!$G$5:$G$104="معتمد")*ROW('حجز الإجازات'!$B$5:$B$104)))-5+1))</f>
        <v/>
      </c>
      <c r="AD5" s="62">
        <f>IF(SUMPRODUCT(('حجز الإجازات'!$B$5:$B$104='الموظفون'!$B$3)*('حجز الإجازات'!$D$5:$D$104&lt;=AD$3)*(('حجز الإجازات'!$E$5:$E$104)&gt;=AD$3)*('حجز الإجازات'!$G$5:$G$104="معتمد")*ROW('حجز الإجازات'!$B$5:$B$104))=0,IF(AD$3&lt;'الموظفون'!$D$3,"",IF(ISNUMBER(MATCH(AD$3,Holidays,0)),"عطلة",IF(MOD(AD$3-'الموظفون'!$D$3,CycleWork+CycleRest)&lt;CycleWork,INDEX('الإعدادات والقوائم'!$H$2:$H$4,MOD(INT(MOD(AD$3-'الموظفون'!$D$3,CycleWork+CycleRest)*3/CycleWork)+MATCH(StartShift,'الإعدادات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الإجازات'!$D$5:$D$104&lt;=AD$3)*(('حجز الإجازات'!$E$5:$E$104)&gt;=AD$3)*('حجز الإجازات'!$G$5:$G$104="معتمد")*ROW('حجز الإجازات'!$B$5:$B$104)))-5+1))</f>
        <v/>
      </c>
      <c r="AE5" s="62">
        <f>IF(SUMPRODUCT(('حجز الإجازات'!$B$5:$B$104='الموظفون'!$B$3)*('حجز الإجازات'!$D$5:$D$104&lt;=AE$3)*(('حجز الإجازات'!$E$5:$E$104)&gt;=AE$3)*('حجز الإجازات'!$G$5:$G$104="معتمد")*ROW('حجز الإجازات'!$B$5:$B$104))=0,IF(AE$3&lt;'الموظفون'!$D$3,"",IF(ISNUMBER(MATCH(AE$3,Holidays,0)),"عطلة",IF(MOD(AE$3-'الموظفون'!$D$3,CycleWork+CycleRest)&lt;CycleWork,INDEX('الإعدادات والقوائم'!$H$2:$H$4,MOD(INT(MOD(AE$3-'الموظفون'!$D$3,CycleWork+CycleRest)*3/CycleWork)+MATCH(StartShift,'الإعدادات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الإجازات'!$D$5:$D$104&lt;=AE$3)*(('حجز الإجازات'!$E$5:$E$104)&gt;=AE$3)*('حجز الإجازات'!$G$5:$G$104="معتمد")*ROW('حجز الإجازات'!$B$5:$B$104)))-5+1))</f>
        <v/>
      </c>
      <c r="AF5" s="62">
        <f>IF(SUMPRODUCT(('حجز الإجازات'!$B$5:$B$104='الموظفون'!$B$3)*('حجز الإجازات'!$D$5:$D$104&lt;=AF$3)*(('حجز الإجازات'!$E$5:$E$104)&gt;=AF$3)*('حجز الإجازات'!$G$5:$G$104="معتمد")*ROW('حجز الإجازات'!$B$5:$B$104))=0,IF(AF$3&lt;'الموظفون'!$D$3,"",IF(ISNUMBER(MATCH(AF$3,Holidays,0)),"عطلة",IF(MOD(AF$3-'الموظفون'!$D$3,CycleWork+CycleRest)&lt;CycleWork,INDEX('الإعدادات والقوائم'!$H$2:$H$4,MOD(INT(MOD(AF$3-'الموظفون'!$D$3,CycleWork+CycleRest)*3/CycleWork)+MATCH(StartShift,'الإعدادات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الإجازات'!$D$5:$D$104&lt;=AF$3)*(('حجز الإجازات'!$E$5:$E$104)&gt;=AF$3)*('حجز الإجازات'!$G$5:$G$104="معتمد")*ROW('حجز الإجازات'!$B$5:$B$104)))-5+1))</f>
        <v/>
      </c>
      <c r="AG5" s="62">
        <f>IF(SUMPRODUCT(('حجز الإجازات'!$B$5:$B$104='الموظفون'!$B$3)*('حجز الإجازات'!$D$5:$D$104&lt;=AG$3)*(('حجز الإجازات'!$E$5:$E$104)&gt;=AG$3)*('حجز الإجازات'!$G$5:$G$104="معتمد")*ROW('حجز الإجازات'!$B$5:$B$104))=0,IF(AG$3&lt;'الموظفون'!$D$3,"",IF(ISNUMBER(MATCH(AG$3,Holidays,0)),"عطلة",IF(MOD(AG$3-'الموظفون'!$D$3,CycleWork+CycleRest)&lt;CycleWork,INDEX('الإعدادات والقوائم'!$H$2:$H$4,MOD(INT(MOD(AG$3-'الموظفون'!$D$3,CycleWork+CycleRest)*3/CycleWork)+MATCH(StartShift,'الإعدادات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الإجازات'!$D$5:$D$104&lt;=AG$3)*(('حجز الإجازات'!$E$5:$E$104)&gt;=AG$3)*('حجز الإجازات'!$G$5:$G$104="معتمد")*ROW('حجز الإجازات'!$B$5:$B$104)))-5+1))</f>
        <v/>
      </c>
      <c r="AH5" s="62">
        <f>IF(SUMPRODUCT(('حجز الإجازات'!$B$5:$B$104='الموظفون'!$B$3)*('حجز الإجازات'!$D$5:$D$104&lt;=AH$3)*(('حجز الإجازات'!$E$5:$E$104)&gt;=AH$3)*('حجز الإجازات'!$G$5:$G$104="معتمد")*ROW('حجز الإجازات'!$B$5:$B$104))=0,IF(AH$3&lt;'الموظفون'!$D$3,"",IF(ISNUMBER(MATCH(AH$3,Holidays,0)),"عطلة",IF(MOD(AH$3-'الموظفون'!$D$3,CycleWork+CycleRest)&lt;CycleWork,INDEX('الإعدادات والقوائم'!$H$2:$H$4,MOD(INT(MOD(AH$3-'الموظفون'!$D$3,CycleWork+CycleRest)*3/CycleWork)+MATCH(StartShift,'الإعدادات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الإجازات'!$D$5:$D$104&lt;=AH$3)*(('حجز الإجازات'!$E$5:$E$104)&gt;=AH$3)*('حجز الإجازات'!$G$5:$G$104="معتمد")*ROW('حجز الإجازات'!$B$5:$B$104)))-5+1))</f>
        <v/>
      </c>
      <c r="AI5" s="62">
        <f>IF(SUMPRODUCT(('حجز الإجازات'!$B$5:$B$104='الموظفون'!$B$3)*('حجز الإجازات'!$D$5:$D$104&lt;=AI$3)*(('حجز الإجازات'!$E$5:$E$104)&gt;=AI$3)*('حجز الإجازات'!$G$5:$G$104="معتمد")*ROW('حجز الإجازات'!$B$5:$B$104))=0,IF(AI$3&lt;'الموظفون'!$D$3,"",IF(ISNUMBER(MATCH(AI$3,Holidays,0)),"عطلة",IF(MOD(AI$3-'الموظفون'!$D$3,CycleWork+CycleRest)&lt;CycleWork,INDEX('الإعدادات والقوائم'!$H$2:$H$4,MOD(INT(MOD(AI$3-'الموظفون'!$D$3,CycleWork+CycleRest)*3/CycleWork)+MATCH(StartShift,'الإعدادات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الإجازات'!$D$5:$D$104&lt;=AI$3)*(('حجز الإجازات'!$E$5:$E$104)&gt;=AI$3)*('حجز الإجازات'!$G$5:$G$104="معتمد")*ROW('حجز الإجازات'!$B$5:$B$104)))-5+1))</f>
        <v/>
      </c>
      <c r="AJ5" s="62">
        <f>IF(SUMPRODUCT(('حجز الإجازات'!$B$5:$B$104='الموظفون'!$B$3)*('حجز الإجازات'!$D$5:$D$104&lt;=AJ$3)*(('حجز الإجازات'!$E$5:$E$104)&gt;=AJ$3)*('حجز الإجازات'!$G$5:$G$104="معتمد")*ROW('حجز الإجازات'!$B$5:$B$104))=0,IF(AJ$3&lt;'الموظفون'!$D$3,"",IF(ISNUMBER(MATCH(AJ$3,Holidays,0)),"عطلة",IF(MOD(AJ$3-'الموظفون'!$D$3,CycleWork+CycleRest)&lt;CycleWork,INDEX('الإعدادات والقوائم'!$H$2:$H$4,MOD(INT(MOD(AJ$3-'الموظفون'!$D$3,CycleWork+CycleRest)*3/CycleWork)+MATCH(StartShift,'الإعدادات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الإجازات'!$D$5:$D$104&lt;=AJ$3)*(('حجز الإجازات'!$E$5:$E$104)&gt;=AJ$3)*('حجز الإجازات'!$G$5:$G$104="معتمد")*ROW('حجز الإجازات'!$B$5:$B$104)))-5+1))</f>
        <v/>
      </c>
      <c r="AK5" s="62">
        <f>IF(SUMPRODUCT(('حجز الإجازات'!$B$5:$B$104='الموظفون'!$B$3)*('حجز الإجازات'!$D$5:$D$104&lt;=AK$3)*(('حجز الإجازات'!$E$5:$E$104)&gt;=AK$3)*('حجز الإجازات'!$G$5:$G$104="معتمد")*ROW('حجز الإجازات'!$B$5:$B$104))=0,IF(AK$3&lt;'الموظفون'!$D$3,"",IF(ISNUMBER(MATCH(AK$3,Holidays,0)),"عطلة",IF(MOD(AK$3-'الموظفون'!$D$3,CycleWork+CycleRest)&lt;CycleWork,INDEX('الإعدادات والقوائم'!$H$2:$H$4,MOD(INT(MOD(AK$3-'الموظفون'!$D$3,CycleWork+CycleRest)*3/CycleWork)+MATCH(StartShift,'الإعدادات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الإجازات'!$D$5:$D$104&lt;=AK$3)*(('حجز الإجازات'!$E$5:$E$104)&gt;=AK$3)*('حجز الإجازات'!$G$5:$G$104="معتمد")*ROW('حجز الإجازات'!$B$5:$B$104)))-5+1))</f>
        <v/>
      </c>
      <c r="AL5" s="62">
        <f>IF(SUMPRODUCT(('حجز الإجازات'!$B$5:$B$104='الموظفون'!$B$3)*('حجز الإجازات'!$D$5:$D$104&lt;=AL$3)*(('حجز الإجازات'!$E$5:$E$104)&gt;=AL$3)*('حجز الإجازات'!$G$5:$G$104="معتمد")*ROW('حجز الإجازات'!$B$5:$B$104))=0,IF(AL$3&lt;'الموظفون'!$D$3,"",IF(ISNUMBER(MATCH(AL$3,Holidays,0)),"عطلة",IF(MOD(AL$3-'الموظفون'!$D$3,CycleWork+CycleRest)&lt;CycleWork,INDEX('الإعدادات والقوائم'!$H$2:$H$4,MOD(INT(MOD(AL$3-'الموظفون'!$D$3,CycleWork+CycleRest)*3/CycleWork)+MATCH(StartShift,'الإعدادات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الإجازات'!$D$5:$D$104&lt;=AL$3)*(('حجز الإجازات'!$E$5:$E$104)&gt;=AL$3)*('حجز الإجازات'!$G$5:$G$104="معتمد")*ROW('حجز الإجازات'!$B$5:$B$104)))-5+1))</f>
        <v/>
      </c>
      <c r="AM5" s="62">
        <f>IF(SUMPRODUCT(('حجز الإجازات'!$B$5:$B$104='الموظفون'!$B$3)*('حجز الإجازات'!$D$5:$D$104&lt;=AM$3)*(('حجز الإجازات'!$E$5:$E$104)&gt;=AM$3)*('حجز الإجازات'!$G$5:$G$104="معتمد")*ROW('حجز الإجازات'!$B$5:$B$104))=0,IF(AM$3&lt;'الموظفون'!$D$3,"",IF(ISNUMBER(MATCH(AM$3,Holidays,0)),"عطلة",IF(MOD(AM$3-'الموظفون'!$D$3,CycleWork+CycleRest)&lt;CycleWork,INDEX('الإعدادات والقوائم'!$H$2:$H$4,MOD(INT(MOD(AM$3-'الموظفون'!$D$3,CycleWork+CycleRest)*3/CycleWork)+MATCH(StartShift,'الإعدادات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الإجازات'!$D$5:$D$104&lt;=AM$3)*(('حجز الإجازات'!$E$5:$E$104)&gt;=AM$3)*('حجز الإجازات'!$G$5:$G$104="معتمد")*ROW('حجز الإجازات'!$B$5:$B$104)))-5+1))</f>
        <v/>
      </c>
      <c r="AN5" s="62">
        <f>IF(SUMPRODUCT(('حجز الإجازات'!$B$5:$B$104='الموظفون'!$B$3)*('حجز الإجازات'!$D$5:$D$104&lt;=AN$3)*(('حجز الإجازات'!$E$5:$E$104)&gt;=AN$3)*('حجز الإجازات'!$G$5:$G$104="معتمد")*ROW('حجز الإجازات'!$B$5:$B$104))=0,IF(AN$3&lt;'الموظفون'!$D$3,"",IF(ISNUMBER(MATCH(AN$3,Holidays,0)),"عطلة",IF(MOD(AN$3-'الموظفون'!$D$3,CycleWork+CycleRest)&lt;CycleWork,INDEX('الإعدادات والقوائم'!$H$2:$H$4,MOD(INT(MOD(AN$3-'الموظفون'!$D$3,CycleWork+CycleRest)*3/CycleWork)+MATCH(StartShift,'الإعدادات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الإجازات'!$D$5:$D$104&lt;=AN$3)*(('حجز الإجازات'!$E$5:$E$104)&gt;=AN$3)*('حجز الإجازات'!$G$5:$G$104="معتمد")*ROW('حجز الإجازات'!$B$5:$B$104)))-5+1))</f>
        <v/>
      </c>
      <c r="AO5" s="62">
        <f>IF(SUMPRODUCT(('حجز الإجازات'!$B$5:$B$104='الموظفون'!$B$3)*('حجز الإجازات'!$D$5:$D$104&lt;=AO$3)*(('حجز الإجازات'!$E$5:$E$104)&gt;=AO$3)*('حجز الإجازات'!$G$5:$G$104="معتمد")*ROW('حجز الإجازات'!$B$5:$B$104))=0,IF(AO$3&lt;'الموظفون'!$D$3,"",IF(ISNUMBER(MATCH(AO$3,Holidays,0)),"عطلة",IF(MOD(AO$3-'الموظفون'!$D$3,CycleWork+CycleRest)&lt;CycleWork,INDEX('الإعدادات والقوائم'!$H$2:$H$4,MOD(INT(MOD(AO$3-'الموظفون'!$D$3,CycleWork+CycleRest)*3/CycleWork)+MATCH(StartShift,'الإعدادات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الإجازات'!$D$5:$D$104&lt;=AO$3)*(('حجز الإجازات'!$E$5:$E$104)&gt;=AO$3)*('حجز الإجازات'!$G$5:$G$104="معتمد")*ROW('حجز الإجازات'!$B$5:$B$104)))-5+1))</f>
        <v/>
      </c>
      <c r="AP5" s="62">
        <f>IF(SUMPRODUCT(('حجز الإجازات'!$B$5:$B$104='الموظفون'!$B$3)*('حجز الإجازات'!$D$5:$D$104&lt;=AP$3)*(('حجز الإجازات'!$E$5:$E$104)&gt;=AP$3)*('حجز الإجازات'!$G$5:$G$104="معتمد")*ROW('حجز الإجازات'!$B$5:$B$104))=0,IF(AP$3&lt;'الموظفون'!$D$3,"",IF(ISNUMBER(MATCH(AP$3,Holidays,0)),"عطلة",IF(MOD(AP$3-'الموظفون'!$D$3,CycleWork+CycleRest)&lt;CycleWork,INDEX('الإعدادات والقوائم'!$H$2:$H$4,MOD(INT(MOD(AP$3-'الموظفون'!$D$3,CycleWork+CycleRest)*3/CycleWork)+MATCH(StartShift,'الإعدادات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الإجازات'!$D$5:$D$104&lt;=AP$3)*(('حجز الإجازات'!$E$5:$E$104)&gt;=AP$3)*('حجز الإجازات'!$G$5:$G$104="معتمد")*ROW('حجز الإجازات'!$B$5:$B$104)))-5+1))</f>
        <v/>
      </c>
      <c r="AQ5" s="62">
        <f>IF(SUMPRODUCT(('حجز الإجازات'!$B$5:$B$104='الموظفون'!$B$3)*('حجز الإجازات'!$D$5:$D$104&lt;=AQ$3)*(('حجز الإجازات'!$E$5:$E$104)&gt;=AQ$3)*('حجز الإجازات'!$G$5:$G$104="معتمد")*ROW('حجز الإجازات'!$B$5:$B$104))=0,IF(AQ$3&lt;'الموظفون'!$D$3,"",IF(ISNUMBER(MATCH(AQ$3,Holidays,0)),"عطلة",IF(MOD(AQ$3-'الموظفون'!$D$3,CycleWork+CycleRest)&lt;CycleWork,INDEX('الإعدادات والقوائم'!$H$2:$H$4,MOD(INT(MOD(AQ$3-'الموظفون'!$D$3,CycleWork+CycleRest)*3/CycleWork)+MATCH(StartShift,'الإعدادات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الإجازات'!$D$5:$D$104&lt;=AQ$3)*(('حجز الإجازات'!$E$5:$E$104)&gt;=AQ$3)*('حجز الإجازات'!$G$5:$G$104="معتمد")*ROW('حجز الإجازات'!$B$5:$B$104)))-5+1))</f>
        <v/>
      </c>
      <c r="AR5" s="62">
        <f>IF(SUMPRODUCT(('حجز الإجازات'!$B$5:$B$104='الموظفون'!$B$3)*('حجز الإجازات'!$D$5:$D$104&lt;=AR$3)*(('حجز الإجازات'!$E$5:$E$104)&gt;=AR$3)*('حجز الإجازات'!$G$5:$G$104="معتمد")*ROW('حجز الإجازات'!$B$5:$B$104))=0,IF(AR$3&lt;'الموظفون'!$D$3,"",IF(ISNUMBER(MATCH(AR$3,Holidays,0)),"عطلة",IF(MOD(AR$3-'الموظفون'!$D$3,CycleWork+CycleRest)&lt;CycleWork,INDEX('الإعدادات والقوائم'!$H$2:$H$4,MOD(INT(MOD(AR$3-'الموظفون'!$D$3,CycleWork+CycleRest)*3/CycleWork)+MATCH(StartShift,'الإعدادات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الإجازات'!$D$5:$D$104&lt;=AR$3)*(('حجز الإجازات'!$E$5:$E$104)&gt;=AR$3)*('حجز الإجازات'!$G$5:$G$104="معتمد")*ROW('حجز الإجازات'!$B$5:$B$104)))-5+1))</f>
        <v/>
      </c>
      <c r="AS5" s="62">
        <f>IF(SUMPRODUCT(('حجز الإجازات'!$B$5:$B$104='الموظفون'!$B$3)*('حجز الإجازات'!$D$5:$D$104&lt;=AS$3)*(('حجز الإجازات'!$E$5:$E$104)&gt;=AS$3)*('حجز الإجازات'!$G$5:$G$104="معتمد")*ROW('حجز الإجازات'!$B$5:$B$104))=0,IF(AS$3&lt;'الموظفون'!$D$3,"",IF(ISNUMBER(MATCH(AS$3,Holidays,0)),"عطلة",IF(MOD(AS$3-'الموظفون'!$D$3,CycleWork+CycleRest)&lt;CycleWork,INDEX('الإعدادات والقوائم'!$H$2:$H$4,MOD(INT(MOD(AS$3-'الموظفون'!$D$3,CycleWork+CycleRest)*3/CycleWork)+MATCH(StartShift,'الإعدادات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الإجازات'!$D$5:$D$104&lt;=AS$3)*(('حجز الإجازات'!$E$5:$E$104)&gt;=AS$3)*('حجز الإجازات'!$G$5:$G$104="معتمد")*ROW('حجز الإجازات'!$B$5:$B$104)))-5+1))</f>
        <v/>
      </c>
      <c r="AT5" s="62">
        <f>IF(SUMPRODUCT(('حجز الإجازات'!$B$5:$B$104='الموظفون'!$B$3)*('حجز الإجازات'!$D$5:$D$104&lt;=AT$3)*(('حجز الإجازات'!$E$5:$E$104)&gt;=AT$3)*('حجز الإجازات'!$G$5:$G$104="معتمد")*ROW('حجز الإجازات'!$B$5:$B$104))=0,IF(AT$3&lt;'الموظفون'!$D$3,"",IF(ISNUMBER(MATCH(AT$3,Holidays,0)),"عطلة",IF(MOD(AT$3-'الموظفون'!$D$3,CycleWork+CycleRest)&lt;CycleWork,INDEX('الإعدادات والقوائم'!$H$2:$H$4,MOD(INT(MOD(AT$3-'الموظفون'!$D$3,CycleWork+CycleRest)*3/CycleWork)+MATCH(StartShift,'الإعدادات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الإجازات'!$D$5:$D$104&lt;=AT$3)*(('حجز الإجازات'!$E$5:$E$104)&gt;=AT$3)*('حجز الإجازات'!$G$5:$G$104="معتمد")*ROW('حجز الإجازات'!$B$5:$B$104)))-5+1))</f>
        <v/>
      </c>
      <c r="AU5" s="62">
        <f>IF(SUMPRODUCT(('حجز الإجازات'!$B$5:$B$104='الموظفون'!$B$3)*('حجز الإجازات'!$D$5:$D$104&lt;=AU$3)*(('حجز الإجازات'!$E$5:$E$104)&gt;=AU$3)*('حجز الإجازات'!$G$5:$G$104="معتمد")*ROW('حجز الإجازات'!$B$5:$B$104))=0,IF(AU$3&lt;'الموظفون'!$D$3,"",IF(ISNUMBER(MATCH(AU$3,Holidays,0)),"عطلة",IF(MOD(AU$3-'الموظفون'!$D$3,CycleWork+CycleRest)&lt;CycleWork,INDEX('الإعدادات والقوائم'!$H$2:$H$4,MOD(INT(MOD(AU$3-'الموظفون'!$D$3,CycleWork+CycleRest)*3/CycleWork)+MATCH(StartShift,'الإعدادات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الإجازات'!$D$5:$D$104&lt;=AU$3)*(('حجز الإجازات'!$E$5:$E$104)&gt;=AU$3)*('حجز الإجازات'!$G$5:$G$104="معتمد")*ROW('حجز الإجازات'!$B$5:$B$104)))-5+1))</f>
        <v/>
      </c>
      <c r="AV5" s="62">
        <f>IF(SUMPRODUCT(('حجز الإجازات'!$B$5:$B$104='الموظفون'!$B$3)*('حجز الإجازات'!$D$5:$D$104&lt;=AV$3)*(('حجز الإجازات'!$E$5:$E$104)&gt;=AV$3)*('حجز الإجازات'!$G$5:$G$104="معتمد")*ROW('حجز الإجازات'!$B$5:$B$104))=0,IF(AV$3&lt;'الموظفون'!$D$3,"",IF(ISNUMBER(MATCH(AV$3,Holidays,0)),"عطلة",IF(MOD(AV$3-'الموظفون'!$D$3,CycleWork+CycleRest)&lt;CycleWork,INDEX('الإعدادات والقوائم'!$H$2:$H$4,MOD(INT(MOD(AV$3-'الموظفون'!$D$3,CycleWork+CycleRest)*3/CycleWork)+MATCH(StartShift,'الإعدادات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الإجازات'!$D$5:$D$104&lt;=AV$3)*(('حجز الإجازات'!$E$5:$E$104)&gt;=AV$3)*('حجز الإجازات'!$G$5:$G$104="معتمد")*ROW('حجز الإجازات'!$B$5:$B$104)))-5+1))</f>
        <v/>
      </c>
      <c r="AW5" s="62">
        <f>IF(SUMPRODUCT(('حجز الإجازات'!$B$5:$B$104='الموظفون'!$B$3)*('حجز الإجازات'!$D$5:$D$104&lt;=AW$3)*(('حجز الإجازات'!$E$5:$E$104)&gt;=AW$3)*('حجز الإجازات'!$G$5:$G$104="معتمد")*ROW('حجز الإجازات'!$B$5:$B$104))=0,IF(AW$3&lt;'الموظفون'!$D$3,"",IF(ISNUMBER(MATCH(AW$3,Holidays,0)),"عطلة",IF(MOD(AW$3-'الموظفون'!$D$3,CycleWork+CycleRest)&lt;CycleWork,INDEX('الإعدادات والقوائم'!$H$2:$H$4,MOD(INT(MOD(AW$3-'الموظفون'!$D$3,CycleWork+CycleRest)*3/CycleWork)+MATCH(StartShift,'الإعدادات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الإجازات'!$D$5:$D$104&lt;=AW$3)*(('حجز الإجازات'!$E$5:$E$104)&gt;=AW$3)*('حجز الإجازات'!$G$5:$G$104="معتمد")*ROW('حجز الإجازات'!$B$5:$B$104)))-5+1))</f>
        <v/>
      </c>
      <c r="AX5" s="62">
        <f>IF(SUMPRODUCT(('حجز الإجازات'!$B$5:$B$104='الموظفون'!$B$3)*('حجز الإجازات'!$D$5:$D$104&lt;=AX$3)*(('حجز الإجازات'!$E$5:$E$104)&gt;=AX$3)*('حجز الإجازات'!$G$5:$G$104="معتمد")*ROW('حجز الإجازات'!$B$5:$B$104))=0,IF(AX$3&lt;'الموظفون'!$D$3,"",IF(ISNUMBER(MATCH(AX$3,Holidays,0)),"عطلة",IF(MOD(AX$3-'الموظفون'!$D$3,CycleWork+CycleRest)&lt;CycleWork,INDEX('الإعدادات والقوائم'!$H$2:$H$4,MOD(INT(MOD(AX$3-'الموظفون'!$D$3,CycleWork+CycleRest)*3/CycleWork)+MATCH(StartShift,'الإعدادات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الإجازات'!$D$5:$D$104&lt;=AX$3)*(('حجز الإجازات'!$E$5:$E$104)&gt;=AX$3)*('حجز الإجازات'!$G$5:$G$104="معتمد")*ROW('حجز الإجازات'!$B$5:$B$104)))-5+1))</f>
        <v/>
      </c>
      <c r="AY5" s="62">
        <f>IF(SUMPRODUCT(('حجز الإجازات'!$B$5:$B$104='الموظفون'!$B$3)*('حجز الإجازات'!$D$5:$D$104&lt;=AY$3)*(('حجز الإجازات'!$E$5:$E$104)&gt;=AY$3)*('حجز الإجازات'!$G$5:$G$104="معتمد")*ROW('حجز الإجازات'!$B$5:$B$104))=0,IF(AY$3&lt;'الموظفون'!$D$3,"",IF(ISNUMBER(MATCH(AY$3,Holidays,0)),"عطلة",IF(MOD(AY$3-'الموظفون'!$D$3,CycleWork+CycleRest)&lt;CycleWork,INDEX('الإعدادات والقوائم'!$H$2:$H$4,MOD(INT(MOD(AY$3-'الموظفون'!$D$3,CycleWork+CycleRest)*3/CycleWork)+MATCH(StartShift,'الإعدادات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الإجازات'!$D$5:$D$104&lt;=AY$3)*(('حجز الإجازات'!$E$5:$E$104)&gt;=AY$3)*('حجز الإجازات'!$G$5:$G$104="معتمد")*ROW('حجز الإجازات'!$B$5:$B$104)))-5+1))</f>
        <v/>
      </c>
      <c r="AZ5" s="62">
        <f>IF(SUMPRODUCT(('حجز الإجازات'!$B$5:$B$104='الموظفون'!$B$3)*('حجز الإجازات'!$D$5:$D$104&lt;=AZ$3)*(('حجز الإجازات'!$E$5:$E$104)&gt;=AZ$3)*('حجز الإجازات'!$G$5:$G$104="معتمد")*ROW('حجز الإجازات'!$B$5:$B$104))=0,IF(AZ$3&lt;'الموظفون'!$D$3,"",IF(ISNUMBER(MATCH(AZ$3,Holidays,0)),"عطلة",IF(MOD(AZ$3-'الموظفون'!$D$3,CycleWork+CycleRest)&lt;CycleWork,INDEX('الإعدادات والقوائم'!$H$2:$H$4,MOD(INT(MOD(AZ$3-'الموظفون'!$D$3,CycleWork+CycleRest)*3/CycleWork)+MATCH(StartShift,'الإعدادات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الإجازات'!$D$5:$D$104&lt;=AZ$3)*(('حجز الإجازات'!$E$5:$E$104)&gt;=AZ$3)*('حجز الإجازات'!$G$5:$G$104="معتمد")*ROW('حجز الإجازات'!$B$5:$B$104)))-5+1))</f>
        <v/>
      </c>
      <c r="BA5" s="62">
        <f>IF(SUMPRODUCT(('حجز الإجازات'!$B$5:$B$104='الموظفون'!$B$3)*('حجز الإجازات'!$D$5:$D$104&lt;=BA$3)*(('حجز الإجازات'!$E$5:$E$104)&gt;=BA$3)*('حجز الإجازات'!$G$5:$G$104="معتمد")*ROW('حجز الإجازات'!$B$5:$B$104))=0,IF(BA$3&lt;'الموظفون'!$D$3,"",IF(ISNUMBER(MATCH(BA$3,Holidays,0)),"عطلة",IF(MOD(BA$3-'الموظفون'!$D$3,CycleWork+CycleRest)&lt;CycleWork,INDEX('الإعدادات والقوائم'!$H$2:$H$4,MOD(INT(MOD(BA$3-'الموظفون'!$D$3,CycleWork+CycleRest)*3/CycleWork)+MATCH(StartShift,'الإعدادات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الإجازات'!$D$5:$D$104&lt;=BA$3)*(('حجز الإجازات'!$E$5:$E$104)&gt;=BA$3)*('حجز الإجازات'!$G$5:$G$104="معتمد")*ROW('حجز الإجازات'!$B$5:$B$104)))-5+1))</f>
        <v/>
      </c>
      <c r="BB5" s="62">
        <f>IF(SUMPRODUCT(('حجز الإجازات'!$B$5:$B$104='الموظفون'!$B$3)*('حجز الإجازات'!$D$5:$D$104&lt;=BB$3)*(('حجز الإجازات'!$E$5:$E$104)&gt;=BB$3)*('حجز الإجازات'!$G$5:$G$104="معتمد")*ROW('حجز الإجازات'!$B$5:$B$104))=0,IF(BB$3&lt;'الموظفون'!$D$3,"",IF(ISNUMBER(MATCH(BB$3,Holidays,0)),"عطلة",IF(MOD(BB$3-'الموظفون'!$D$3,CycleWork+CycleRest)&lt;CycleWork,INDEX('الإعدادات والقوائم'!$H$2:$H$4,MOD(INT(MOD(BB$3-'الموظفون'!$D$3,CycleWork+CycleRest)*3/CycleWork)+MATCH(StartShift,'الإعدادات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الإجازات'!$D$5:$D$104&lt;=BB$3)*(('حجز الإجازات'!$E$5:$E$104)&gt;=BB$3)*('حجز الإجازات'!$G$5:$G$104="معتمد")*ROW('حجز الإجازات'!$B$5:$B$104)))-5+1))</f>
        <v/>
      </c>
      <c r="BC5" s="62">
        <f>IF(SUMPRODUCT(('حجز الإجازات'!$B$5:$B$104='الموظفون'!$B$3)*('حجز الإجازات'!$D$5:$D$104&lt;=BC$3)*(('حجز الإجازات'!$E$5:$E$104)&gt;=BC$3)*('حجز الإجازات'!$G$5:$G$104="معتمد")*ROW('حجز الإجازات'!$B$5:$B$104))=0,IF(BC$3&lt;'الموظفون'!$D$3,"",IF(ISNUMBER(MATCH(BC$3,Holidays,0)),"عطلة",IF(MOD(BC$3-'الموظفون'!$D$3,CycleWork+CycleRest)&lt;CycleWork,INDEX('الإعدادات والقوائم'!$H$2:$H$4,MOD(INT(MOD(BC$3-'الموظفون'!$D$3,CycleWork+CycleRest)*3/CycleWork)+MATCH(StartShift,'الإعدادات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الإجازات'!$D$5:$D$104&lt;=BC$3)*(('حجز الإجازات'!$E$5:$E$104)&gt;=BC$3)*('حجز الإجازات'!$G$5:$G$104="معتمد")*ROW('حجز الإجازات'!$B$5:$B$104)))-5+1))</f>
        <v/>
      </c>
      <c r="BD5" s="62">
        <f>IF(SUMPRODUCT(('حجز الإجازات'!$B$5:$B$104='الموظفون'!$B$3)*('حجز الإجازات'!$D$5:$D$104&lt;=BD$3)*(('حجز الإجازات'!$E$5:$E$104)&gt;=BD$3)*('حجز الإجازات'!$G$5:$G$104="معتمد")*ROW('حجز الإجازات'!$B$5:$B$104))=0,IF(BD$3&lt;'الموظفون'!$D$3,"",IF(ISNUMBER(MATCH(BD$3,Holidays,0)),"عطلة",IF(MOD(BD$3-'الموظفون'!$D$3,CycleWork+CycleRest)&lt;CycleWork,INDEX('الإعدادات والقوائم'!$H$2:$H$4,MOD(INT(MOD(BD$3-'الموظفون'!$D$3,CycleWork+CycleRest)*3/CycleWork)+MATCH(StartShift,'الإعدادات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الإجازات'!$D$5:$D$104&lt;=BD$3)*(('حجز الإجازات'!$E$5:$E$104)&gt;=BD$3)*('حجز الإجازات'!$G$5:$G$104="معتمد")*ROW('حجز الإجازات'!$B$5:$B$104)))-5+1))</f>
        <v/>
      </c>
      <c r="BE5" s="62">
        <f>IF(SUMPRODUCT(('حجز الإجازات'!$B$5:$B$104='الموظفون'!$B$3)*('حجز الإجازات'!$D$5:$D$104&lt;=BE$3)*(('حجز الإجازات'!$E$5:$E$104)&gt;=BE$3)*('حجز الإجازات'!$G$5:$G$104="معتمد")*ROW('حجز الإجازات'!$B$5:$B$104))=0,IF(BE$3&lt;'الموظفون'!$D$3,"",IF(ISNUMBER(MATCH(BE$3,Holidays,0)),"عطلة",IF(MOD(BE$3-'الموظفون'!$D$3,CycleWork+CycleRest)&lt;CycleWork,INDEX('الإعدادات والقوائم'!$H$2:$H$4,MOD(INT(MOD(BE$3-'الموظفون'!$D$3,CycleWork+CycleRest)*3/CycleWork)+MATCH(StartShift,'الإعدادات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الإجازات'!$D$5:$D$104&lt;=BE$3)*(('حجز الإجازات'!$E$5:$E$104)&gt;=BE$3)*('حجز الإجازات'!$G$5:$G$104="معتمد")*ROW('حجز الإجازات'!$B$5:$B$104)))-5+1))</f>
        <v/>
      </c>
      <c r="BF5" s="62">
        <f>IF(SUMPRODUCT(('حجز الإجازات'!$B$5:$B$104='الموظفون'!$B$3)*('حجز الإجازات'!$D$5:$D$104&lt;=BF$3)*(('حجز الإجازات'!$E$5:$E$104)&gt;=BF$3)*('حجز الإجازات'!$G$5:$G$104="معتمد")*ROW('حجز الإجازات'!$B$5:$B$104))=0,IF(BF$3&lt;'الموظفون'!$D$3,"",IF(ISNUMBER(MATCH(BF$3,Holidays,0)),"عطلة",IF(MOD(BF$3-'الموظفون'!$D$3,CycleWork+CycleRest)&lt;CycleWork,INDEX('الإعدادات والقوائم'!$H$2:$H$4,MOD(INT(MOD(BF$3-'الموظفون'!$D$3,CycleWork+CycleRest)*3/CycleWork)+MATCH(StartShift,'الإعدادات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الإجازات'!$D$5:$D$104&lt;=BF$3)*(('حجز الإجازات'!$E$5:$E$104)&gt;=BF$3)*('حجز الإجازات'!$G$5:$G$104="معتمد")*ROW('حجز الإجازات'!$B$5:$B$104)))-5+1))</f>
        <v/>
      </c>
      <c r="BG5" s="62">
        <f>IF(SUMPRODUCT(('حجز الإجازات'!$B$5:$B$104='الموظفون'!$B$3)*('حجز الإجازات'!$D$5:$D$104&lt;=BG$3)*(('حجز الإجازات'!$E$5:$E$104)&gt;=BG$3)*('حجز الإجازات'!$G$5:$G$104="معتمد")*ROW('حجز الإجازات'!$B$5:$B$104))=0,IF(BG$3&lt;'الموظفون'!$D$3,"",IF(ISNUMBER(MATCH(BG$3,Holidays,0)),"عطلة",IF(MOD(BG$3-'الموظفون'!$D$3,CycleWork+CycleRest)&lt;CycleWork,INDEX('الإعدادات والقوائم'!$H$2:$H$4,MOD(INT(MOD(BG$3-'الموظفون'!$D$3,CycleWork+CycleRest)*3/CycleWork)+MATCH(StartShift,'الإعدادات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الإجازات'!$D$5:$D$104&lt;=BG$3)*(('حجز الإجازات'!$E$5:$E$104)&gt;=BG$3)*('حجز الإجازات'!$G$5:$G$104="معتمد")*ROW('حجز الإجازات'!$B$5:$B$104)))-5+1))</f>
        <v/>
      </c>
      <c r="BH5" s="62">
        <f>IF(SUMPRODUCT(('حجز الإجازات'!$B$5:$B$104='الموظفون'!$B$3)*('حجز الإجازات'!$D$5:$D$104&lt;=BH$3)*(('حجز الإجازات'!$E$5:$E$104)&gt;=BH$3)*('حجز الإجازات'!$G$5:$G$104="معتمد")*ROW('حجز الإجازات'!$B$5:$B$104))=0,IF(BH$3&lt;'الموظفون'!$D$3,"",IF(ISNUMBER(MATCH(BH$3,Holidays,0)),"عطلة",IF(MOD(BH$3-'الموظفون'!$D$3,CycleWork+CycleRest)&lt;CycleWork,INDEX('الإعدادات والقوائم'!$H$2:$H$4,MOD(INT(MOD(BH$3-'الموظفون'!$D$3,CycleWork+CycleRest)*3/CycleWork)+MATCH(StartShift,'الإعدادات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الإجازات'!$D$5:$D$104&lt;=BH$3)*(('حجز الإجازات'!$E$5:$E$104)&gt;=BH$3)*('حجز الإجازات'!$G$5:$G$104="معتمد")*ROW('حجز الإجازات'!$B$5:$B$104)))-5+1))</f>
        <v/>
      </c>
      <c r="BI5" s="62">
        <f>IF(SUMPRODUCT(('حجز الإجازات'!$B$5:$B$104='الموظفون'!$B$3)*('حجز الإجازات'!$D$5:$D$104&lt;=BI$3)*(('حجز الإجازات'!$E$5:$E$104)&gt;=BI$3)*('حجز الإجازات'!$G$5:$G$104="معتمد")*ROW('حجز الإجازات'!$B$5:$B$104))=0,IF(BI$3&lt;'الموظفون'!$D$3,"",IF(ISNUMBER(MATCH(BI$3,Holidays,0)),"عطلة",IF(MOD(BI$3-'الموظفون'!$D$3,CycleWork+CycleRest)&lt;CycleWork,INDEX('الإعدادات والقوائم'!$H$2:$H$4,MOD(INT(MOD(BI$3-'الموظفون'!$D$3,CycleWork+CycleRest)*3/CycleWork)+MATCH(StartShift,'الإعدادات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الإجازات'!$D$5:$D$104&lt;=BI$3)*(('حجز الإجازات'!$E$5:$E$104)&gt;=BI$3)*('حجز الإجازات'!$G$5:$G$104="معتمد")*ROW('حجز الإجازات'!$B$5:$B$104)))-5+1))</f>
        <v/>
      </c>
      <c r="BJ5" s="62">
        <f>IF(SUMPRODUCT(('حجز الإجازات'!$B$5:$B$104='الموظفون'!$B$3)*('حجز الإجازات'!$D$5:$D$104&lt;=BJ$3)*(('حجز الإجازات'!$E$5:$E$104)&gt;=BJ$3)*('حجز الإجازات'!$G$5:$G$104="معتمد")*ROW('حجز الإجازات'!$B$5:$B$104))=0,IF(BJ$3&lt;'الموظفون'!$D$3,"",IF(ISNUMBER(MATCH(BJ$3,Holidays,0)),"عطلة",IF(MOD(BJ$3-'الموظفون'!$D$3,CycleWork+CycleRest)&lt;CycleWork,INDEX('الإعدادات والقوائم'!$H$2:$H$4,MOD(INT(MOD(BJ$3-'الموظفون'!$D$3,CycleWork+CycleRest)*3/CycleWork)+MATCH(StartShift,'الإعدادات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الإجازات'!$D$5:$D$104&lt;=BJ$3)*(('حجز الإجازات'!$E$5:$E$104)&gt;=BJ$3)*('حجز الإجازات'!$G$5:$G$104="معتمد")*ROW('حجز الإجازات'!$B$5:$B$104)))-5+1))</f>
        <v/>
      </c>
      <c r="BK5" s="62">
        <f>IF(SUMPRODUCT(('حجز الإجازات'!$B$5:$B$104='الموظفون'!$B$3)*('حجز الإجازات'!$D$5:$D$104&lt;=BK$3)*(('حجز الإجازات'!$E$5:$E$104)&gt;=BK$3)*('حجز الإجازات'!$G$5:$G$104="معتمد")*ROW('حجز الإجازات'!$B$5:$B$104))=0,IF(BK$3&lt;'الموظفون'!$D$3,"",IF(ISNUMBER(MATCH(BK$3,Holidays,0)),"عطلة",IF(MOD(BK$3-'الموظفون'!$D$3,CycleWork+CycleRest)&lt;CycleWork,INDEX('الإعدادات والقوائم'!$H$2:$H$4,MOD(INT(MOD(BK$3-'الموظفون'!$D$3,CycleWork+CycleRest)*3/CycleWork)+MATCH(StartShift,'الإعدادات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الإجازات'!$D$5:$D$104&lt;=BK$3)*(('حجز الإجازات'!$E$5:$E$104)&gt;=BK$3)*('حجز الإجازات'!$G$5:$G$104="معتمد")*ROW('حجز الإجازات'!$B$5:$B$104)))-5+1))</f>
        <v/>
      </c>
      <c r="BL5" s="62">
        <f>IF(SUMPRODUCT(('حجز الإجازات'!$B$5:$B$104='الموظفون'!$B$3)*('حجز الإجازات'!$D$5:$D$104&lt;=BL$3)*(('حجز الإجازات'!$E$5:$E$104)&gt;=BL$3)*('حجز الإجازات'!$G$5:$G$104="معتمد")*ROW('حجز الإجازات'!$B$5:$B$104))=0,IF(BL$3&lt;'الموظفون'!$D$3,"",IF(ISNUMBER(MATCH(BL$3,Holidays,0)),"عطلة",IF(MOD(BL$3-'الموظفون'!$D$3,CycleWork+CycleRest)&lt;CycleWork,INDEX('الإعدادات والقوائم'!$H$2:$H$4,MOD(INT(MOD(BL$3-'الموظفون'!$D$3,CycleWork+CycleRest)*3/CycleWork)+MATCH(StartShift,'الإعدادات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الإجازات'!$D$5:$D$104&lt;=BL$3)*(('حجز الإجازات'!$E$5:$E$104)&gt;=BL$3)*('حجز الإجازات'!$G$5:$G$104="معتمد")*ROW('حجز الإجازات'!$B$5:$B$104)))-5+1))</f>
        <v/>
      </c>
      <c r="BM5" s="62">
        <f>IF(SUMPRODUCT(('حجز الإجازات'!$B$5:$B$104='الموظفون'!$B$3)*('حجز الإجازات'!$D$5:$D$104&lt;=BM$3)*(('حجز الإجازات'!$E$5:$E$104)&gt;=BM$3)*('حجز الإجازات'!$G$5:$G$104="معتمد")*ROW('حجز الإجازات'!$B$5:$B$104))=0,IF(BM$3&lt;'الموظفون'!$D$3,"",IF(ISNUMBER(MATCH(BM$3,Holidays,0)),"عطلة",IF(MOD(BM$3-'الموظفون'!$D$3,CycleWork+CycleRest)&lt;CycleWork,INDEX('الإعدادات والقوائم'!$H$2:$H$4,MOD(INT(MOD(BM$3-'الموظفون'!$D$3,CycleWork+CycleRest)*3/CycleWork)+MATCH(StartShift,'الإعدادات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الإجازات'!$D$5:$D$104&lt;=BM$3)*(('حجز الإجازات'!$E$5:$E$104)&gt;=BM$3)*('حجز الإجازات'!$G$5:$G$104="معتمد")*ROW('حجز الإجازات'!$B$5:$B$104)))-5+1))</f>
        <v/>
      </c>
      <c r="BN5" s="62">
        <f>IF(SUMPRODUCT(('حجز الإجازات'!$B$5:$B$104='الموظفون'!$B$3)*('حجز الإجازات'!$D$5:$D$104&lt;=BN$3)*(('حجز الإجازات'!$E$5:$E$104)&gt;=BN$3)*('حجز الإجازات'!$G$5:$G$104="معتمد")*ROW('حجز الإجازات'!$B$5:$B$104))=0,IF(BN$3&lt;'الموظفون'!$D$3,"",IF(ISNUMBER(MATCH(BN$3,Holidays,0)),"عطلة",IF(MOD(BN$3-'الموظفون'!$D$3,CycleWork+CycleRest)&lt;CycleWork,INDEX('الإعدادات والقوائم'!$H$2:$H$4,MOD(INT(MOD(BN$3-'الموظفون'!$D$3,CycleWork+CycleRest)*3/CycleWork)+MATCH(StartShift,'الإعدادات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الإجازات'!$D$5:$D$104&lt;=BN$3)*(('حجز الإجازات'!$E$5:$E$104)&gt;=BN$3)*('حجز الإجازات'!$G$5:$G$104="معتمد")*ROW('حجز الإجازات'!$B$5:$B$104)))-5+1))</f>
        <v/>
      </c>
      <c r="BO5" s="62">
        <f>IF(SUMPRODUCT(('حجز الإجازات'!$B$5:$B$104='الموظفون'!$B$3)*('حجز الإجازات'!$D$5:$D$104&lt;=BO$3)*(('حجز الإجازات'!$E$5:$E$104)&gt;=BO$3)*('حجز الإجازات'!$G$5:$G$104="معتمد")*ROW('حجز الإجازات'!$B$5:$B$104))=0,IF(BO$3&lt;'الموظفون'!$D$3,"",IF(ISNUMBER(MATCH(BO$3,Holidays,0)),"عطلة",IF(MOD(BO$3-'الموظفون'!$D$3,CycleWork+CycleRest)&lt;CycleWork,INDEX('الإعدادات والقوائم'!$H$2:$H$4,MOD(INT(MOD(BO$3-'الموظفون'!$D$3,CycleWork+CycleRest)*3/CycleWork)+MATCH(StartShift,'الإعدادات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الإجازات'!$D$5:$D$104&lt;=BO$3)*(('حجز الإجازات'!$E$5:$E$104)&gt;=BO$3)*('حجز الإجازات'!$G$5:$G$104="معتمد")*ROW('حجز الإجازات'!$B$5:$B$104)))-5+1))</f>
        <v/>
      </c>
      <c r="BP5" s="62">
        <f>IF(SUMPRODUCT(('حجز الإجازات'!$B$5:$B$104='الموظفون'!$B$3)*('حجز الإجازات'!$D$5:$D$104&lt;=BP$3)*(('حجز الإجازات'!$E$5:$E$104)&gt;=BP$3)*('حجز الإجازات'!$G$5:$G$104="معتمد")*ROW('حجز الإجازات'!$B$5:$B$104))=0,IF(BP$3&lt;'الموظفون'!$D$3,"",IF(ISNUMBER(MATCH(BP$3,Holidays,0)),"عطلة",IF(MOD(BP$3-'الموظفون'!$D$3,CycleWork+CycleRest)&lt;CycleWork,INDEX('الإعدادات والقوائم'!$H$2:$H$4,MOD(INT(MOD(BP$3-'الموظفون'!$D$3,CycleWork+CycleRest)*3/CycleWork)+MATCH(StartShift,'الإعدادات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الإجازات'!$D$5:$D$104&lt;=BP$3)*(('حجز الإجازات'!$E$5:$E$104)&gt;=BP$3)*('حجز الإجازات'!$G$5:$G$104="معتمد")*ROW('حجز الإجازات'!$B$5:$B$104)))-5+1))</f>
        <v/>
      </c>
      <c r="BQ5" s="62">
        <f>IF(SUMPRODUCT(('حجز الإجازات'!$B$5:$B$104='الموظفون'!$B$3)*('حجز الإجازات'!$D$5:$D$104&lt;=BQ$3)*(('حجز الإجازات'!$E$5:$E$104)&gt;=BQ$3)*('حجز الإجازات'!$G$5:$G$104="معتمد")*ROW('حجز الإجازات'!$B$5:$B$104))=0,IF(BQ$3&lt;'الموظفون'!$D$3,"",IF(ISNUMBER(MATCH(BQ$3,Holidays,0)),"عطلة",IF(MOD(BQ$3-'الموظفون'!$D$3,CycleWork+CycleRest)&lt;CycleWork,INDEX('الإعدادات والقوائم'!$H$2:$H$4,MOD(INT(MOD(BQ$3-'الموظفون'!$D$3,CycleWork+CycleRest)*3/CycleWork)+MATCH(StartShift,'الإعدادات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الإجازات'!$D$5:$D$104&lt;=BQ$3)*(('حجز الإجازات'!$E$5:$E$104)&gt;=BQ$3)*('حجز الإجازات'!$G$5:$G$104="معتمد")*ROW('حجز الإجازات'!$B$5:$B$104)))-5+1))</f>
        <v/>
      </c>
      <c r="BR5" s="62">
        <f>IF(SUMPRODUCT(('حجز الإجازات'!$B$5:$B$104='الموظفون'!$B$3)*('حجز الإجازات'!$D$5:$D$104&lt;=BR$3)*(('حجز الإجازات'!$E$5:$E$104)&gt;=BR$3)*('حجز الإجازات'!$G$5:$G$104="معتمد")*ROW('حجز الإجازات'!$B$5:$B$104))=0,IF(BR$3&lt;'الموظفون'!$D$3,"",IF(ISNUMBER(MATCH(BR$3,Holidays,0)),"عطلة",IF(MOD(BR$3-'الموظفون'!$D$3,CycleWork+CycleRest)&lt;CycleWork,INDEX('الإعدادات والقوائم'!$H$2:$H$4,MOD(INT(MOD(BR$3-'الموظفون'!$D$3,CycleWork+CycleRest)*3/CycleWork)+MATCH(StartShift,'الإعدادات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الإجازات'!$D$5:$D$104&lt;=BR$3)*(('حجز الإجازات'!$E$5:$E$104)&gt;=BR$3)*('حجز الإجازات'!$G$5:$G$104="معتمد")*ROW('حجز الإجازات'!$B$5:$B$104)))-5+1))</f>
        <v/>
      </c>
      <c r="BS5" s="62">
        <f>IF(SUMPRODUCT(('حجز الإجازات'!$B$5:$B$104='الموظفون'!$B$3)*('حجز الإجازات'!$D$5:$D$104&lt;=BS$3)*(('حجز الإجازات'!$E$5:$E$104)&gt;=BS$3)*('حجز الإجازات'!$G$5:$G$104="معتمد")*ROW('حجز الإجازات'!$B$5:$B$104))=0,IF(BS$3&lt;'الموظفون'!$D$3,"",IF(ISNUMBER(MATCH(BS$3,Holidays,0)),"عطلة",IF(MOD(BS$3-'الموظفون'!$D$3,CycleWork+CycleRest)&lt;CycleWork,INDEX('الإعدادات والقوائم'!$H$2:$H$4,MOD(INT(MOD(BS$3-'الموظفون'!$D$3,CycleWork+CycleRest)*3/CycleWork)+MATCH(StartShift,'الإعدادات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الإجازات'!$D$5:$D$104&lt;=BS$3)*(('حجز الإجازات'!$E$5:$E$104)&gt;=BS$3)*('حجز الإجازات'!$G$5:$G$104="معتمد")*ROW('حجز الإجازات'!$B$5:$B$104)))-5+1))</f>
        <v/>
      </c>
      <c r="BT5" s="62">
        <f>IF(SUMPRODUCT(('حجز الإجازات'!$B$5:$B$104='الموظفون'!$B$3)*('حجز الإجازات'!$D$5:$D$104&lt;=BT$3)*(('حجز الإجازات'!$E$5:$E$104)&gt;=BT$3)*('حجز الإجازات'!$G$5:$G$104="معتمد")*ROW('حجز الإجازات'!$B$5:$B$104))=0,IF(BT$3&lt;'الموظفون'!$D$3,"",IF(ISNUMBER(MATCH(BT$3,Holidays,0)),"عطلة",IF(MOD(BT$3-'الموظفون'!$D$3,CycleWork+CycleRest)&lt;CycleWork,INDEX('الإعدادات والقوائم'!$H$2:$H$4,MOD(INT(MOD(BT$3-'الموظفون'!$D$3,CycleWork+CycleRest)*3/CycleWork)+MATCH(StartShift,'الإعدادات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الإجازات'!$D$5:$D$104&lt;=BT$3)*(('حجز الإجازات'!$E$5:$E$104)&gt;=BT$3)*('حجز الإجازات'!$G$5:$G$104="معتمد")*ROW('حجز الإجازات'!$B$5:$B$104)))-5+1))</f>
        <v/>
      </c>
      <c r="BU5" s="62">
        <f>IF(SUMPRODUCT(('حجز الإجازات'!$B$5:$B$104='الموظفون'!$B$3)*('حجز الإجازات'!$D$5:$D$104&lt;=BU$3)*(('حجز الإجازات'!$E$5:$E$104)&gt;=BU$3)*('حجز الإجازات'!$G$5:$G$104="معتمد")*ROW('حجز الإجازات'!$B$5:$B$104))=0,IF(BU$3&lt;'الموظفون'!$D$3,"",IF(ISNUMBER(MATCH(BU$3,Holidays,0)),"عطلة",IF(MOD(BU$3-'الموظفون'!$D$3,CycleWork+CycleRest)&lt;CycleWork,INDEX('الإعدادات والقوائم'!$H$2:$H$4,MOD(INT(MOD(BU$3-'الموظفون'!$D$3,CycleWork+CycleRest)*3/CycleWork)+MATCH(StartShift,'الإعدادات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الإجازات'!$D$5:$D$104&lt;=BU$3)*(('حجز الإجازات'!$E$5:$E$104)&gt;=BU$3)*('حجز الإجازات'!$G$5:$G$104="معتمد")*ROW('حجز الإجازات'!$B$5:$B$104)))-5+1))</f>
        <v/>
      </c>
      <c r="BV5" s="62">
        <f>IF(SUMPRODUCT(('حجز الإجازات'!$B$5:$B$104='الموظفون'!$B$3)*('حجز الإجازات'!$D$5:$D$104&lt;=BV$3)*(('حجز الإجازات'!$E$5:$E$104)&gt;=BV$3)*('حجز الإجازات'!$G$5:$G$104="معتمد")*ROW('حجز الإجازات'!$B$5:$B$104))=0,IF(BV$3&lt;'الموظفون'!$D$3,"",IF(ISNUMBER(MATCH(BV$3,Holidays,0)),"عطلة",IF(MOD(BV$3-'الموظفون'!$D$3,CycleWork+CycleRest)&lt;CycleWork,INDEX('الإعدادات والقوائم'!$H$2:$H$4,MOD(INT(MOD(BV$3-'الموظفون'!$D$3,CycleWork+CycleRest)*3/CycleWork)+MATCH(StartShift,'الإعدادات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الإجازات'!$D$5:$D$104&lt;=BV$3)*(('حجز الإجازات'!$E$5:$E$104)&gt;=BV$3)*('حجز الإجازات'!$G$5:$G$104="معتمد")*ROW('حجز الإجازات'!$B$5:$B$104)))-5+1))</f>
        <v/>
      </c>
      <c r="BW5" s="62">
        <f>IF(SUMPRODUCT(('حجز الإجازات'!$B$5:$B$104='الموظفون'!$B$3)*('حجز الإجازات'!$D$5:$D$104&lt;=BW$3)*(('حجز الإجازات'!$E$5:$E$104)&gt;=BW$3)*('حجز الإجازات'!$G$5:$G$104="معتمد")*ROW('حجز الإجازات'!$B$5:$B$104))=0,IF(BW$3&lt;'الموظفون'!$D$3,"",IF(ISNUMBER(MATCH(BW$3,Holidays,0)),"عطلة",IF(MOD(BW$3-'الموظفون'!$D$3,CycleWork+CycleRest)&lt;CycleWork,INDEX('الإعدادات والقوائم'!$H$2:$H$4,MOD(INT(MOD(BW$3-'الموظفون'!$D$3,CycleWork+CycleRest)*3/CycleWork)+MATCH(StartShift,'الإعدادات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الإجازات'!$D$5:$D$104&lt;=BW$3)*(('حجز الإجازات'!$E$5:$E$104)&gt;=BW$3)*('حجز الإجازات'!$G$5:$G$104="معتمد")*ROW('حجز الإجازات'!$B$5:$B$104)))-5+1))</f>
        <v/>
      </c>
      <c r="BX5" s="62">
        <f>IF(SUMPRODUCT(('حجز الإجازات'!$B$5:$B$104='الموظفون'!$B$3)*('حجز الإجازات'!$D$5:$D$104&lt;=BX$3)*(('حجز الإجازات'!$E$5:$E$104)&gt;=BX$3)*('حجز الإجازات'!$G$5:$G$104="معتمد")*ROW('حجز الإجازات'!$B$5:$B$104))=0,IF(BX$3&lt;'الموظفون'!$D$3,"",IF(ISNUMBER(MATCH(BX$3,Holidays,0)),"عطلة",IF(MOD(BX$3-'الموظفون'!$D$3,CycleWork+CycleRest)&lt;CycleWork,INDEX('الإعدادات والقوائم'!$H$2:$H$4,MOD(INT(MOD(BX$3-'الموظفون'!$D$3,CycleWork+CycleRest)*3/CycleWork)+MATCH(StartShift,'الإعدادات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الإجازات'!$D$5:$D$104&lt;=BX$3)*(('حجز الإجازات'!$E$5:$E$104)&gt;=BX$3)*('حجز الإجازات'!$G$5:$G$104="معتمد")*ROW('حجز الإجازات'!$B$5:$B$104)))-5+1))</f>
        <v/>
      </c>
      <c r="BY5" s="62">
        <f>IF(SUMPRODUCT(('حجز الإجازات'!$B$5:$B$104='الموظفون'!$B$3)*('حجز الإجازات'!$D$5:$D$104&lt;=BY$3)*(('حجز الإجازات'!$E$5:$E$104)&gt;=BY$3)*('حجز الإجازات'!$G$5:$G$104="معتمد")*ROW('حجز الإجازات'!$B$5:$B$104))=0,IF(BY$3&lt;'الموظفون'!$D$3,"",IF(ISNUMBER(MATCH(BY$3,Holidays,0)),"عطلة",IF(MOD(BY$3-'الموظفون'!$D$3,CycleWork+CycleRest)&lt;CycleWork,INDEX('الإعدادات والقوائم'!$H$2:$H$4,MOD(INT(MOD(BY$3-'الموظفون'!$D$3,CycleWork+CycleRest)*3/CycleWork)+MATCH(StartShift,'الإعدادات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الإجازات'!$D$5:$D$104&lt;=BY$3)*(('حجز الإجازات'!$E$5:$E$104)&gt;=BY$3)*('حجز الإجازات'!$G$5:$G$104="معتمد")*ROW('حجز الإجازات'!$B$5:$B$104)))-5+1))</f>
        <v/>
      </c>
      <c r="BZ5" s="62">
        <f>IF(SUMPRODUCT(('حجز الإجازات'!$B$5:$B$104='الموظفون'!$B$3)*('حجز الإجازات'!$D$5:$D$104&lt;=BZ$3)*(('حجز الإجازات'!$E$5:$E$104)&gt;=BZ$3)*('حجز الإجازات'!$G$5:$G$104="معتمد")*ROW('حجز الإجازات'!$B$5:$B$104))=0,IF(BZ$3&lt;'الموظفون'!$D$3,"",IF(ISNUMBER(MATCH(BZ$3,Holidays,0)),"عطلة",IF(MOD(BZ$3-'الموظفون'!$D$3,CycleWork+CycleRest)&lt;CycleWork,INDEX('الإعدادات والقوائم'!$H$2:$H$4,MOD(INT(MOD(BZ$3-'الموظفون'!$D$3,CycleWork+CycleRest)*3/CycleWork)+MATCH(StartShift,'الإعدادات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الإجازات'!$D$5:$D$104&lt;=BZ$3)*(('حجز الإجازات'!$E$5:$E$104)&gt;=BZ$3)*('حجز الإجازات'!$G$5:$G$104="معتمد")*ROW('حجز الإجازات'!$B$5:$B$104)))-5+1))</f>
        <v/>
      </c>
      <c r="CA5" s="62">
        <f>IF(SUMPRODUCT(('حجز الإجازات'!$B$5:$B$104='الموظفون'!$B$3)*('حجز الإجازات'!$D$5:$D$104&lt;=CA$3)*(('حجز الإجازات'!$E$5:$E$104)&gt;=CA$3)*('حجز الإجازات'!$G$5:$G$104="معتمد")*ROW('حجز الإجازات'!$B$5:$B$104))=0,IF(CA$3&lt;'الموظفون'!$D$3,"",IF(ISNUMBER(MATCH(CA$3,Holidays,0)),"عطلة",IF(MOD(CA$3-'الموظفون'!$D$3,CycleWork+CycleRest)&lt;CycleWork,INDEX('الإعدادات والقوائم'!$H$2:$H$4,MOD(INT(MOD(CA$3-'الموظفون'!$D$3,CycleWork+CycleRest)*3/CycleWork)+MATCH(StartShift,'الإعدادات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الإجازات'!$D$5:$D$104&lt;=CA$3)*(('حجز الإجازات'!$E$5:$E$104)&gt;=CA$3)*('حجز الإجازات'!$G$5:$G$104="معتمد")*ROW('حجز الإجازات'!$B$5:$B$104)))-5+1))</f>
        <v/>
      </c>
      <c r="CB5" s="62">
        <f>IF(SUMPRODUCT(('حجز الإجازات'!$B$5:$B$104='الموظفون'!$B$3)*('حجز الإجازات'!$D$5:$D$104&lt;=CB$3)*(('حجز الإجازات'!$E$5:$E$104)&gt;=CB$3)*('حجز الإجازات'!$G$5:$G$104="معتمد")*ROW('حجز الإجازات'!$B$5:$B$104))=0,IF(CB$3&lt;'الموظفون'!$D$3,"",IF(ISNUMBER(MATCH(CB$3,Holidays,0)),"عطلة",IF(MOD(CB$3-'الموظفون'!$D$3,CycleWork+CycleRest)&lt;CycleWork,INDEX('الإعدادات والقوائم'!$H$2:$H$4,MOD(INT(MOD(CB$3-'الموظفون'!$D$3,CycleWork+CycleRest)*3/CycleWork)+MATCH(StartShift,'الإعدادات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الإجازات'!$D$5:$D$104&lt;=CB$3)*(('حجز الإجازات'!$E$5:$E$104)&gt;=CB$3)*('حجز الإجازات'!$G$5:$G$104="معتمد")*ROW('حجز الإجازات'!$B$5:$B$104)))-5+1))</f>
        <v/>
      </c>
      <c r="CC5" s="62">
        <f>IF(SUMPRODUCT(('حجز الإجازات'!$B$5:$B$104='الموظفون'!$B$3)*('حجز الإجازات'!$D$5:$D$104&lt;=CC$3)*(('حجز الإجازات'!$E$5:$E$104)&gt;=CC$3)*('حجز الإجازات'!$G$5:$G$104="معتمد")*ROW('حجز الإجازات'!$B$5:$B$104))=0,IF(CC$3&lt;'الموظفون'!$D$3,"",IF(ISNUMBER(MATCH(CC$3,Holidays,0)),"عطلة",IF(MOD(CC$3-'الموظفون'!$D$3,CycleWork+CycleRest)&lt;CycleWork,INDEX('الإعدادات والقوائم'!$H$2:$H$4,MOD(INT(MOD(CC$3-'الموظفون'!$D$3,CycleWork+CycleRest)*3/CycleWork)+MATCH(StartShift,'الإعدادات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الإجازات'!$D$5:$D$104&lt;=CC$3)*(('حجز الإجازات'!$E$5:$E$104)&gt;=CC$3)*('حجز الإجازات'!$G$5:$G$104="معتمد")*ROW('حجز الإجازات'!$B$5:$B$104)))-5+1))</f>
        <v/>
      </c>
      <c r="CD5" s="62">
        <f>IF(SUMPRODUCT(('حجز الإجازات'!$B$5:$B$104='الموظفون'!$B$3)*('حجز الإجازات'!$D$5:$D$104&lt;=CD$3)*(('حجز الإجازات'!$E$5:$E$104)&gt;=CD$3)*('حجز الإجازات'!$G$5:$G$104="معتمد")*ROW('حجز الإجازات'!$B$5:$B$104))=0,IF(CD$3&lt;'الموظفون'!$D$3,"",IF(ISNUMBER(MATCH(CD$3,Holidays,0)),"عطلة",IF(MOD(CD$3-'الموظفون'!$D$3,CycleWork+CycleRest)&lt;CycleWork,INDEX('الإعدادات والقوائم'!$H$2:$H$4,MOD(INT(MOD(CD$3-'الموظفون'!$D$3,CycleWork+CycleRest)*3/CycleWork)+MATCH(StartShift,'الإعدادات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الإجازات'!$D$5:$D$104&lt;=CD$3)*(('حجز الإجازات'!$E$5:$E$104)&gt;=CD$3)*('حجز الإجازات'!$G$5:$G$104="معتمد")*ROW('حجز الإجازات'!$B$5:$B$104)))-5+1))</f>
        <v/>
      </c>
      <c r="CE5" s="62">
        <f>IF(SUMPRODUCT(('حجز الإجازات'!$B$5:$B$104='الموظفون'!$B$3)*('حجز الإجازات'!$D$5:$D$104&lt;=CE$3)*(('حجز الإجازات'!$E$5:$E$104)&gt;=CE$3)*('حجز الإجازات'!$G$5:$G$104="معتمد")*ROW('حجز الإجازات'!$B$5:$B$104))=0,IF(CE$3&lt;'الموظفون'!$D$3,"",IF(ISNUMBER(MATCH(CE$3,Holidays,0)),"عطلة",IF(MOD(CE$3-'الموظفون'!$D$3,CycleWork+CycleRest)&lt;CycleWork,INDEX('الإعدادات والقوائم'!$H$2:$H$4,MOD(INT(MOD(CE$3-'الموظفون'!$D$3,CycleWork+CycleRest)*3/CycleWork)+MATCH(StartShift,'الإعدادات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الإجازات'!$D$5:$D$104&lt;=CE$3)*(('حجز الإجازات'!$E$5:$E$104)&gt;=CE$3)*('حجز الإجازات'!$G$5:$G$104="معتمد")*ROW('حجز الإجازات'!$B$5:$B$104)))-5+1))</f>
        <v/>
      </c>
      <c r="CF5" s="62">
        <f>IF(SUMPRODUCT(('حجز الإجازات'!$B$5:$B$104='الموظفون'!$B$3)*('حجز الإجازات'!$D$5:$D$104&lt;=CF$3)*(('حجز الإجازات'!$E$5:$E$104)&gt;=CF$3)*('حجز الإجازات'!$G$5:$G$104="معتمد")*ROW('حجز الإجازات'!$B$5:$B$104))=0,IF(CF$3&lt;'الموظفون'!$D$3,"",IF(ISNUMBER(MATCH(CF$3,Holidays,0)),"عطلة",IF(MOD(CF$3-'الموظفون'!$D$3,CycleWork+CycleRest)&lt;CycleWork,INDEX('الإعدادات والقوائم'!$H$2:$H$4,MOD(INT(MOD(CF$3-'الموظفون'!$D$3,CycleWork+CycleRest)*3/CycleWork)+MATCH(StartShift,'الإعدادات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الإجازات'!$D$5:$D$104&lt;=CF$3)*(('حجز الإجازات'!$E$5:$E$104)&gt;=CF$3)*('حجز الإجازات'!$G$5:$G$104="معتمد")*ROW('حجز الإجازات'!$B$5:$B$104)))-5+1))</f>
        <v/>
      </c>
      <c r="CG5" s="62">
        <f>IF(SUMPRODUCT(('حجز الإجازات'!$B$5:$B$104='الموظفون'!$B$3)*('حجز الإجازات'!$D$5:$D$104&lt;=CG$3)*(('حجز الإجازات'!$E$5:$E$104)&gt;=CG$3)*('حجز الإجازات'!$G$5:$G$104="معتمد")*ROW('حجز الإجازات'!$B$5:$B$104))=0,IF(CG$3&lt;'الموظفون'!$D$3,"",IF(ISNUMBER(MATCH(CG$3,Holidays,0)),"عطلة",IF(MOD(CG$3-'الموظفون'!$D$3,CycleWork+CycleRest)&lt;CycleWork,INDEX('الإعدادات والقوائم'!$H$2:$H$4,MOD(INT(MOD(CG$3-'الموظفون'!$D$3,CycleWork+CycleRest)*3/CycleWork)+MATCH(StartShift,'الإعدادات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الإجازات'!$D$5:$D$104&lt;=CG$3)*(('حجز الإجازات'!$E$5:$E$104)&gt;=CG$3)*('حجز الإجازات'!$G$5:$G$104="معتمد")*ROW('حجز الإجازات'!$B$5:$B$104)))-5+1))</f>
        <v/>
      </c>
      <c r="CH5" s="62">
        <f>IF(SUMPRODUCT(('حجز الإجازات'!$B$5:$B$104='الموظفون'!$B$3)*('حجز الإجازات'!$D$5:$D$104&lt;=CH$3)*(('حجز الإجازات'!$E$5:$E$104)&gt;=CH$3)*('حجز الإجازات'!$G$5:$G$104="معتمد")*ROW('حجز الإجازات'!$B$5:$B$104))=0,IF(CH$3&lt;'الموظفون'!$D$3,"",IF(ISNUMBER(MATCH(CH$3,Holidays,0)),"عطلة",IF(MOD(CH$3-'الموظفون'!$D$3,CycleWork+CycleRest)&lt;CycleWork,INDEX('الإعدادات والقوائم'!$H$2:$H$4,MOD(INT(MOD(CH$3-'الموظفون'!$D$3,CycleWork+CycleRest)*3/CycleWork)+MATCH(StartShift,'الإعدادات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الإجازات'!$D$5:$D$104&lt;=CH$3)*(('حجز الإجازات'!$E$5:$E$104)&gt;=CH$3)*('حجز الإجازات'!$G$5:$G$104="معتمد")*ROW('حجز الإجازات'!$B$5:$B$104)))-5+1))</f>
        <v/>
      </c>
      <c r="CI5" s="62">
        <f>IF(SUMPRODUCT(('حجز الإجازات'!$B$5:$B$104='الموظفون'!$B$3)*('حجز الإجازات'!$D$5:$D$104&lt;=CI$3)*(('حجز الإجازات'!$E$5:$E$104)&gt;=CI$3)*('حجز الإجازات'!$G$5:$G$104="معتمد")*ROW('حجز الإجازات'!$B$5:$B$104))=0,IF(CI$3&lt;'الموظفون'!$D$3,"",IF(ISNUMBER(MATCH(CI$3,Holidays,0)),"عطلة",IF(MOD(CI$3-'الموظفون'!$D$3,CycleWork+CycleRest)&lt;CycleWork,INDEX('الإعدادات والقوائم'!$H$2:$H$4,MOD(INT(MOD(CI$3-'الموظفون'!$D$3,CycleWork+CycleRest)*3/CycleWork)+MATCH(StartShift,'الإعدادات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الإجازات'!$D$5:$D$104&lt;=CI$3)*(('حجز الإجازات'!$E$5:$E$104)&gt;=CI$3)*('حجز الإجازات'!$G$5:$G$104="معتمد")*ROW('حجز الإجازات'!$B$5:$B$104)))-5+1))</f>
        <v/>
      </c>
      <c r="CJ5" s="62">
        <f>IF(SUMPRODUCT(('حجز الإجازات'!$B$5:$B$104='الموظفون'!$B$3)*('حجز الإجازات'!$D$5:$D$104&lt;=CJ$3)*(('حجز الإجازات'!$E$5:$E$104)&gt;=CJ$3)*('حجز الإجازات'!$G$5:$G$104="معتمد")*ROW('حجز الإجازات'!$B$5:$B$104))=0,IF(CJ$3&lt;'الموظفون'!$D$3,"",IF(ISNUMBER(MATCH(CJ$3,Holidays,0)),"عطلة",IF(MOD(CJ$3-'الموظفون'!$D$3,CycleWork+CycleRest)&lt;CycleWork,INDEX('الإعدادات والقوائم'!$H$2:$H$4,MOD(INT(MOD(CJ$3-'الموظفون'!$D$3,CycleWork+CycleRest)*3/CycleWork)+MATCH(StartShift,'الإعدادات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الإجازات'!$D$5:$D$104&lt;=CJ$3)*(('حجز الإجازات'!$E$5:$E$104)&gt;=CJ$3)*('حجز الإجازات'!$G$5:$G$104="معتمد")*ROW('حجز الإجازات'!$B$5:$B$104)))-5+1))</f>
        <v/>
      </c>
      <c r="CK5" s="62">
        <f>IF(SUMPRODUCT(('حجز الإجازات'!$B$5:$B$104='الموظفون'!$B$3)*('حجز الإجازات'!$D$5:$D$104&lt;=CK$3)*(('حجز الإجازات'!$E$5:$E$104)&gt;=CK$3)*('حجز الإجازات'!$G$5:$G$104="معتمد")*ROW('حجز الإجازات'!$B$5:$B$104))=0,IF(CK$3&lt;'الموظفون'!$D$3,"",IF(ISNUMBER(MATCH(CK$3,Holidays,0)),"عطلة",IF(MOD(CK$3-'الموظفون'!$D$3,CycleWork+CycleRest)&lt;CycleWork,INDEX('الإعدادات والقوائم'!$H$2:$H$4,MOD(INT(MOD(CK$3-'الموظفون'!$D$3,CycleWork+CycleRest)*3/CycleWork)+MATCH(StartShift,'الإعدادات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الإجازات'!$D$5:$D$104&lt;=CK$3)*(('حجز الإجازات'!$E$5:$E$104)&gt;=CK$3)*('حجز الإجازات'!$G$5:$G$104="معتمد")*ROW('حجز الإجازات'!$B$5:$B$104)))-5+1))</f>
        <v/>
      </c>
      <c r="CL5" s="62">
        <f>IF(SUMPRODUCT(('حجز الإجازات'!$B$5:$B$104='الموظفون'!$B$3)*('حجز الإجازات'!$D$5:$D$104&lt;=CL$3)*(('حجز الإجازات'!$E$5:$E$104)&gt;=CL$3)*('حجز الإجازات'!$G$5:$G$104="معتمد")*ROW('حجز الإجازات'!$B$5:$B$104))=0,IF(CL$3&lt;'الموظفون'!$D$3,"",IF(ISNUMBER(MATCH(CL$3,Holidays,0)),"عطلة",IF(MOD(CL$3-'الموظفون'!$D$3,CycleWork+CycleRest)&lt;CycleWork,INDEX('الإعدادات والقوائم'!$H$2:$H$4,MOD(INT(MOD(CL$3-'الموظفون'!$D$3,CycleWork+CycleRest)*3/CycleWork)+MATCH(StartShift,'الإعدادات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الإجازات'!$D$5:$D$104&lt;=CL$3)*(('حجز الإجازات'!$E$5:$E$104)&gt;=CL$3)*('حجز الإجازات'!$G$5:$G$104="معتمد")*ROW('حجز الإجازات'!$B$5:$B$104)))-5+1))</f>
        <v/>
      </c>
      <c r="CM5" s="62">
        <f>IF(SUMPRODUCT(('حجز الإجازات'!$B$5:$B$104='الموظفون'!$B$3)*('حجز الإجازات'!$D$5:$D$104&lt;=CM$3)*(('حجز الإجازات'!$E$5:$E$104)&gt;=CM$3)*('حجز الإجازات'!$G$5:$G$104="معتمد")*ROW('حجز الإجازات'!$B$5:$B$104))=0,IF(CM$3&lt;'الموظفون'!$D$3,"",IF(ISNUMBER(MATCH(CM$3,Holidays,0)),"عطلة",IF(MOD(CM$3-'الموظفون'!$D$3,CycleWork+CycleRest)&lt;CycleWork,INDEX('الإعدادات والقوائم'!$H$2:$H$4,MOD(INT(MOD(CM$3-'الموظفون'!$D$3,CycleWork+CycleRest)*3/CycleWork)+MATCH(StartShift,'الإعدادات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الإجازات'!$D$5:$D$104&lt;=CM$3)*(('حجز الإجازات'!$E$5:$E$104)&gt;=CM$3)*('حجز الإجازات'!$G$5:$G$104="معتمد")*ROW('حجز الإجازات'!$B$5:$B$104)))-5+1))</f>
        <v/>
      </c>
      <c r="CN5" s="62">
        <f>IF(SUMPRODUCT(('حجز الإجازات'!$B$5:$B$104='الموظفون'!$B$3)*('حجز الإجازات'!$D$5:$D$104&lt;=CN$3)*(('حجز الإجازات'!$E$5:$E$104)&gt;=CN$3)*('حجز الإجازات'!$G$5:$G$104="معتمد")*ROW('حجز الإجازات'!$B$5:$B$104))=0,IF(CN$3&lt;'الموظفون'!$D$3,"",IF(ISNUMBER(MATCH(CN$3,Holidays,0)),"عطلة",IF(MOD(CN$3-'الموظفون'!$D$3,CycleWork+CycleRest)&lt;CycleWork,INDEX('الإعدادات والقوائم'!$H$2:$H$4,MOD(INT(MOD(CN$3-'الموظفون'!$D$3,CycleWork+CycleRest)*3/CycleWork)+MATCH(StartShift,'الإعدادات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الإجازات'!$D$5:$D$104&lt;=CN$3)*(('حجز الإجازات'!$E$5:$E$104)&gt;=CN$3)*('حجز الإجازات'!$G$5:$G$104="معتمد")*ROW('حجز الإجازات'!$B$5:$B$104)))-5+1))</f>
        <v/>
      </c>
      <c r="CO5" s="62">
        <f>IF(SUMPRODUCT(('حجز الإجازات'!$B$5:$B$104='الموظفون'!$B$3)*('حجز الإجازات'!$D$5:$D$104&lt;=CO$3)*(('حجز الإجازات'!$E$5:$E$104)&gt;=CO$3)*('حجز الإجازات'!$G$5:$G$104="معتمد")*ROW('حجز الإجازات'!$B$5:$B$104))=0,IF(CO$3&lt;'الموظفون'!$D$3,"",IF(ISNUMBER(MATCH(CO$3,Holidays,0)),"عطلة",IF(MOD(CO$3-'الموظفون'!$D$3,CycleWork+CycleRest)&lt;CycleWork,INDEX('الإعدادات والقوائم'!$H$2:$H$4,MOD(INT(MOD(CO$3-'الموظفون'!$D$3,CycleWork+CycleRest)*3/CycleWork)+MATCH(StartShift,'الإعدادات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الإجازات'!$D$5:$D$104&lt;=CO$3)*(('حجز الإجازات'!$E$5:$E$104)&gt;=CO$3)*('حجز الإجازات'!$G$5:$G$104="معتمد")*ROW('حجز الإجازات'!$B$5:$B$104)))-5+1))</f>
        <v/>
      </c>
      <c r="CP5" s="62">
        <f>IF(SUMPRODUCT(('حجز الإجازات'!$B$5:$B$104='الموظفون'!$B$3)*('حجز الإجازات'!$D$5:$D$104&lt;=CP$3)*(('حجز الإجازات'!$E$5:$E$104)&gt;=CP$3)*('حجز الإجازات'!$G$5:$G$104="معتمد")*ROW('حجز الإجازات'!$B$5:$B$104))=0,IF(CP$3&lt;'الموظفون'!$D$3,"",IF(ISNUMBER(MATCH(CP$3,Holidays,0)),"عطلة",IF(MOD(CP$3-'الموظفون'!$D$3,CycleWork+CycleRest)&lt;CycleWork,INDEX('الإعدادات والقوائم'!$H$2:$H$4,MOD(INT(MOD(CP$3-'الموظفون'!$D$3,CycleWork+CycleRest)*3/CycleWork)+MATCH(StartShift,'الإعدادات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الإجازات'!$D$5:$D$104&lt;=CP$3)*(('حجز الإجازات'!$E$5:$E$104)&gt;=CP$3)*('حجز الإجازات'!$G$5:$G$104="معتمد")*ROW('حجز الإجازات'!$B$5:$B$104)))-5+1))</f>
        <v/>
      </c>
      <c r="CQ5" s="62">
        <f>IF(SUMPRODUCT(('حجز الإجازات'!$B$5:$B$104='الموظفون'!$B$3)*('حجز الإجازات'!$D$5:$D$104&lt;=CQ$3)*(('حجز الإجازات'!$E$5:$E$104)&gt;=CQ$3)*('حجز الإجازات'!$G$5:$G$104="معتمد")*ROW('حجز الإجازات'!$B$5:$B$104))=0,IF(CQ$3&lt;'الموظفون'!$D$3,"",IF(ISNUMBER(MATCH(CQ$3,Holidays,0)),"عطلة",IF(MOD(CQ$3-'الموظفون'!$D$3,CycleWork+CycleRest)&lt;CycleWork,INDEX('الإعدادات والقوائم'!$H$2:$H$4,MOD(INT(MOD(CQ$3-'الموظفون'!$D$3,CycleWork+CycleRest)*3/CycleWork)+MATCH(StartShift,'الإعدادات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الإجازات'!$D$5:$D$104&lt;=CQ$3)*(('حجز الإجازات'!$E$5:$E$104)&gt;=CQ$3)*('حجز الإجازات'!$G$5:$G$104="معتمد")*ROW('حجز الإجازات'!$B$5:$B$104)))-5+1))</f>
        <v/>
      </c>
      <c r="CR5" s="62">
        <f>IF(SUMPRODUCT(('حجز الإجازات'!$B$5:$B$104='الموظفون'!$B$3)*('حجز الإجازات'!$D$5:$D$104&lt;=CR$3)*(('حجز الإجازات'!$E$5:$E$104)&gt;=CR$3)*('حجز الإجازات'!$G$5:$G$104="معتمد")*ROW('حجز الإجازات'!$B$5:$B$104))=0,IF(CR$3&lt;'الموظفون'!$D$3,"",IF(ISNUMBER(MATCH(CR$3,Holidays,0)),"عطلة",IF(MOD(CR$3-'الموظفون'!$D$3,CycleWork+CycleRest)&lt;CycleWork,INDEX('الإعدادات والقوائم'!$H$2:$H$4,MOD(INT(MOD(CR$3-'الموظفون'!$D$3,CycleWork+CycleRest)*3/CycleWork)+MATCH(StartShift,'الإعدادات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الإجازات'!$D$5:$D$104&lt;=CR$3)*(('حجز الإجازات'!$E$5:$E$104)&gt;=CR$3)*('حجز الإجازات'!$G$5:$G$104="معتمد")*ROW('حجز الإجازات'!$B$5:$B$104)))-5+1))</f>
        <v/>
      </c>
      <c r="CS5" s="62">
        <f>IF(SUMPRODUCT(('حجز الإجازات'!$B$5:$B$104='الموظفون'!$B$3)*('حجز الإجازات'!$D$5:$D$104&lt;=CS$3)*(('حجز الإجازات'!$E$5:$E$104)&gt;=CS$3)*('حجز الإجازات'!$G$5:$G$104="معتمد")*ROW('حجز الإجازات'!$B$5:$B$104))=0,IF(CS$3&lt;'الموظفون'!$D$3,"",IF(ISNUMBER(MATCH(CS$3,Holidays,0)),"عطلة",IF(MOD(CS$3-'الموظفون'!$D$3,CycleWork+CycleRest)&lt;CycleWork,INDEX('الإعدادات والقوائم'!$H$2:$H$4,MOD(INT(MOD(CS$3-'الموظفون'!$D$3,CycleWork+CycleRest)*3/CycleWork)+MATCH(StartShift,'الإعدادات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الإجازات'!$D$5:$D$104&lt;=CS$3)*(('حجز الإجازات'!$E$5:$E$104)&gt;=CS$3)*('حجز الإجازات'!$G$5:$G$104="معتمد")*ROW('حجز الإجازات'!$B$5:$B$104)))-5+1))</f>
        <v/>
      </c>
      <c r="CT5" s="62">
        <f>IF(SUMPRODUCT(('حجز الإجازات'!$B$5:$B$104='الموظفون'!$B$3)*('حجز الإجازات'!$D$5:$D$104&lt;=CT$3)*(('حجز الإجازات'!$E$5:$E$104)&gt;=CT$3)*('حجز الإجازات'!$G$5:$G$104="معتمد")*ROW('حجز الإجازات'!$B$5:$B$104))=0,IF(CT$3&lt;'الموظفون'!$D$3,"",IF(ISNUMBER(MATCH(CT$3,Holidays,0)),"عطلة",IF(MOD(CT$3-'الموظفون'!$D$3,CycleWork+CycleRest)&lt;CycleWork,INDEX('الإعدادات والقوائم'!$H$2:$H$4,MOD(INT(MOD(CT$3-'الموظفون'!$D$3,CycleWork+CycleRest)*3/CycleWork)+MATCH(StartShift,'الإعدادات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الإجازات'!$D$5:$D$104&lt;=CT$3)*(('حجز الإجازات'!$E$5:$E$104)&gt;=CT$3)*('حجز الإجازات'!$G$5:$G$104="معتمد")*ROW('حجز الإجازات'!$B$5:$B$104)))-5+1))</f>
        <v/>
      </c>
      <c r="CU5" s="62">
        <f>IF(SUMPRODUCT(('حجز الإجازات'!$B$5:$B$104='الموظفون'!$B$3)*('حجز الإجازات'!$D$5:$D$104&lt;=CU$3)*(('حجز الإجازات'!$E$5:$E$104)&gt;=CU$3)*('حجز الإجازات'!$G$5:$G$104="معتمد")*ROW('حجز الإجازات'!$B$5:$B$104))=0,IF(CU$3&lt;'الموظفون'!$D$3,"",IF(ISNUMBER(MATCH(CU$3,Holidays,0)),"عطلة",IF(MOD(CU$3-'الموظفون'!$D$3,CycleWork+CycleRest)&lt;CycleWork,INDEX('الإعدادات والقوائم'!$H$2:$H$4,MOD(INT(MOD(CU$3-'الموظفون'!$D$3,CycleWork+CycleRest)*3/CycleWork)+MATCH(StartShift,'الإعدادات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الإجازات'!$D$5:$D$104&lt;=CU$3)*(('حجز الإجازات'!$E$5:$E$104)&gt;=CU$3)*('حجز الإجازات'!$G$5:$G$104="معتمد")*ROW('حجز الإجازات'!$B$5:$B$104)))-5+1))</f>
        <v/>
      </c>
      <c r="CV5" s="62">
        <f>IF(SUMPRODUCT(('حجز الإجازات'!$B$5:$B$104='الموظفون'!$B$3)*('حجز الإجازات'!$D$5:$D$104&lt;=CV$3)*(('حجز الإجازات'!$E$5:$E$104)&gt;=CV$3)*('حجز الإجازات'!$G$5:$G$104="معتمد")*ROW('حجز الإجازات'!$B$5:$B$104))=0,IF(CV$3&lt;'الموظفون'!$D$3,"",IF(ISNUMBER(MATCH(CV$3,Holidays,0)),"عطلة",IF(MOD(CV$3-'الموظفون'!$D$3,CycleWork+CycleRest)&lt;CycleWork,INDEX('الإعدادات والقوائم'!$H$2:$H$4,MOD(INT(MOD(CV$3-'الموظفون'!$D$3,CycleWork+CycleRest)*3/CycleWork)+MATCH(StartShift,'الإعدادات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الإجازات'!$D$5:$D$104&lt;=CV$3)*(('حجز الإجازات'!$E$5:$E$104)&gt;=CV$3)*('حجز الإجازات'!$G$5:$G$104="معتمد")*ROW('حجز الإجازات'!$B$5:$B$104)))-5+1))</f>
        <v/>
      </c>
      <c r="CW5" s="62">
        <f>IF(SUMPRODUCT(('حجز الإجازات'!$B$5:$B$104='الموظفون'!$B$3)*('حجز الإجازات'!$D$5:$D$104&lt;=CW$3)*(('حجز الإجازات'!$E$5:$E$104)&gt;=CW$3)*('حجز الإجازات'!$G$5:$G$104="معتمد")*ROW('حجز الإجازات'!$B$5:$B$104))=0,IF(CW$3&lt;'الموظفون'!$D$3,"",IF(ISNUMBER(MATCH(CW$3,Holidays,0)),"عطلة",IF(MOD(CW$3-'الموظفون'!$D$3,CycleWork+CycleRest)&lt;CycleWork,INDEX('الإعدادات والقوائم'!$H$2:$H$4,MOD(INT(MOD(CW$3-'الموظفون'!$D$3,CycleWork+CycleRest)*3/CycleWork)+MATCH(StartShift,'الإعدادات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الإجازات'!$D$5:$D$104&lt;=CW$3)*(('حجز الإجازات'!$E$5:$E$104)&gt;=CW$3)*('حجز الإجازات'!$G$5:$G$104="معتمد")*ROW('حجز الإجازات'!$B$5:$B$104)))-5+1))</f>
        <v/>
      </c>
      <c r="CX5" s="62">
        <f>IF(SUMPRODUCT(('حجز الإجازات'!$B$5:$B$104='الموظفون'!$B$3)*('حجز الإجازات'!$D$5:$D$104&lt;=CX$3)*(('حجز الإجازات'!$E$5:$E$104)&gt;=CX$3)*('حجز الإجازات'!$G$5:$G$104="معتمد")*ROW('حجز الإجازات'!$B$5:$B$104))=0,IF(CX$3&lt;'الموظفون'!$D$3,"",IF(ISNUMBER(MATCH(CX$3,Holidays,0)),"عطلة",IF(MOD(CX$3-'الموظفون'!$D$3,CycleWork+CycleRest)&lt;CycleWork,INDEX('الإعدادات والقوائم'!$H$2:$H$4,MOD(INT(MOD(CX$3-'الموظفون'!$D$3,CycleWork+CycleRest)*3/CycleWork)+MATCH(StartShift,'الإعدادات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الإجازات'!$D$5:$D$104&lt;=CX$3)*(('حجز الإجازات'!$E$5:$E$104)&gt;=CX$3)*('حجز الإجازات'!$G$5:$G$104="معتمد")*ROW('حجز الإجازات'!$B$5:$B$104)))-5+1))</f>
        <v/>
      </c>
      <c r="CY5" s="62">
        <f>IF(SUMPRODUCT(('حجز الإجازات'!$B$5:$B$104='الموظفون'!$B$3)*('حجز الإجازات'!$D$5:$D$104&lt;=CY$3)*(('حجز الإجازات'!$E$5:$E$104)&gt;=CY$3)*('حجز الإجازات'!$G$5:$G$104="معتمد")*ROW('حجز الإجازات'!$B$5:$B$104))=0,IF(CY$3&lt;'الموظفون'!$D$3,"",IF(ISNUMBER(MATCH(CY$3,Holidays,0)),"عطلة",IF(MOD(CY$3-'الموظفون'!$D$3,CycleWork+CycleRest)&lt;CycleWork,INDEX('الإعدادات والقوائم'!$H$2:$H$4,MOD(INT(MOD(CY$3-'الموظفون'!$D$3,CycleWork+CycleRest)*3/CycleWork)+MATCH(StartShift,'الإعدادات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الإجازات'!$D$5:$D$104&lt;=CY$3)*(('حجز الإجازات'!$E$5:$E$104)&gt;=CY$3)*('حجز الإجازات'!$G$5:$G$104="معتمد")*ROW('حجز الإجازات'!$B$5:$B$104)))-5+1))</f>
        <v/>
      </c>
      <c r="CZ5" s="62">
        <f>IF(SUMPRODUCT(('حجز الإجازات'!$B$5:$B$104='الموظفون'!$B$3)*('حجز الإجازات'!$D$5:$D$104&lt;=CZ$3)*(('حجز الإجازات'!$E$5:$E$104)&gt;=CZ$3)*('حجز الإجازات'!$G$5:$G$104="معتمد")*ROW('حجز الإجازات'!$B$5:$B$104))=0,IF(CZ$3&lt;'الموظفون'!$D$3,"",IF(ISNUMBER(MATCH(CZ$3,Holidays,0)),"عطلة",IF(MOD(CZ$3-'الموظفون'!$D$3,CycleWork+CycleRest)&lt;CycleWork,INDEX('الإعدادات والقوائم'!$H$2:$H$4,MOD(INT(MOD(CZ$3-'الموظفون'!$D$3,CycleWork+CycleRest)*3/CycleWork)+MATCH(StartShift,'الإعدادات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الإجازات'!$D$5:$D$104&lt;=CZ$3)*(('حجز الإجازات'!$E$5:$E$104)&gt;=CZ$3)*('حجز الإجازات'!$G$5:$G$104="معتمد")*ROW('حجز الإجازات'!$B$5:$B$104)))-5+1))</f>
        <v/>
      </c>
      <c r="DA5" s="62">
        <f>IF(SUMPRODUCT(('حجز الإجازات'!$B$5:$B$104='الموظفون'!$B$3)*('حجز الإجازات'!$D$5:$D$104&lt;=DA$3)*(('حجز الإجازات'!$E$5:$E$104)&gt;=DA$3)*('حجز الإجازات'!$G$5:$G$104="معتمد")*ROW('حجز الإجازات'!$B$5:$B$104))=0,IF(DA$3&lt;'الموظفون'!$D$3,"",IF(ISNUMBER(MATCH(DA$3,Holidays,0)),"عطلة",IF(MOD(DA$3-'الموظفون'!$D$3,CycleWork+CycleRest)&lt;CycleWork,INDEX('الإعدادات والقوائم'!$H$2:$H$4,MOD(INT(MOD(DA$3-'الموظفون'!$D$3,CycleWork+CycleRest)*3/CycleWork)+MATCH(StartShift,'الإعدادات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الإجازات'!$D$5:$D$104&lt;=DA$3)*(('حجز الإجازات'!$E$5:$E$104)&gt;=DA$3)*('حجز الإجازات'!$G$5:$G$104="معتمد")*ROW('حجز الإجازات'!$B$5:$B$104)))-5+1))</f>
        <v/>
      </c>
      <c r="DB5" s="62">
        <f>IF(SUMPRODUCT(('حجز الإجازات'!$B$5:$B$104='الموظفون'!$B$3)*('حجز الإجازات'!$D$5:$D$104&lt;=DB$3)*(('حجز الإجازات'!$E$5:$E$104)&gt;=DB$3)*('حجز الإجازات'!$G$5:$G$104="معتمد")*ROW('حجز الإجازات'!$B$5:$B$104))=0,IF(DB$3&lt;'الموظفون'!$D$3,"",IF(ISNUMBER(MATCH(DB$3,Holidays,0)),"عطلة",IF(MOD(DB$3-'الموظفون'!$D$3,CycleWork+CycleRest)&lt;CycleWork,INDEX('الإعدادات والقوائم'!$H$2:$H$4,MOD(INT(MOD(DB$3-'الموظفون'!$D$3,CycleWork+CycleRest)*3/CycleWork)+MATCH(StartShift,'الإعدادات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الإجازات'!$D$5:$D$104&lt;=DB$3)*(('حجز الإجازات'!$E$5:$E$104)&gt;=DB$3)*('حجز الإجازات'!$G$5:$G$104="معتمد")*ROW('حجز الإجازات'!$B$5:$B$104)))-5+1))</f>
        <v/>
      </c>
      <c r="DC5" s="62">
        <f>IF(SUMPRODUCT(('حجز الإجازات'!$B$5:$B$104='الموظفون'!$B$3)*('حجز الإجازات'!$D$5:$D$104&lt;=DC$3)*(('حجز الإجازات'!$E$5:$E$104)&gt;=DC$3)*('حجز الإجازات'!$G$5:$G$104="معتمد")*ROW('حجز الإجازات'!$B$5:$B$104))=0,IF(DC$3&lt;'الموظفون'!$D$3,"",IF(ISNUMBER(MATCH(DC$3,Holidays,0)),"عطلة",IF(MOD(DC$3-'الموظفون'!$D$3,CycleWork+CycleRest)&lt;CycleWork,INDEX('الإعدادات والقوائم'!$H$2:$H$4,MOD(INT(MOD(DC$3-'الموظفون'!$D$3,CycleWork+CycleRest)*3/CycleWork)+MATCH(StartShift,'الإعدادات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الإجازات'!$D$5:$D$104&lt;=DC$3)*(('حجز الإجازات'!$E$5:$E$104)&gt;=DC$3)*('حجز الإجازات'!$G$5:$G$104="معتمد")*ROW('حجز الإجازات'!$B$5:$B$104)))-5+1))</f>
        <v/>
      </c>
      <c r="DD5" s="62">
        <f>IF(SUMPRODUCT(('حجز الإجازات'!$B$5:$B$104='الموظفون'!$B$3)*('حجز الإجازات'!$D$5:$D$104&lt;=DD$3)*(('حجز الإجازات'!$E$5:$E$104)&gt;=DD$3)*('حجز الإجازات'!$G$5:$G$104="معتمد")*ROW('حجز الإجازات'!$B$5:$B$104))=0,IF(DD$3&lt;'الموظفون'!$D$3,"",IF(ISNUMBER(MATCH(DD$3,Holidays,0)),"عطلة",IF(MOD(DD$3-'الموظفون'!$D$3,CycleWork+CycleRest)&lt;CycleWork,INDEX('الإعدادات والقوائم'!$H$2:$H$4,MOD(INT(MOD(DD$3-'الموظفون'!$D$3,CycleWork+CycleRest)*3/CycleWork)+MATCH(StartShift,'الإعدادات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الإجازات'!$D$5:$D$104&lt;=DD$3)*(('حجز الإجازات'!$E$5:$E$104)&gt;=DD$3)*('حجز الإجازات'!$G$5:$G$104="معتمد")*ROW('حجز الإجازات'!$B$5:$B$104)))-5+1))</f>
        <v/>
      </c>
      <c r="DE5" s="62">
        <f>IF(SUMPRODUCT(('حجز الإجازات'!$B$5:$B$104='الموظفون'!$B$3)*('حجز الإجازات'!$D$5:$D$104&lt;=DE$3)*(('حجز الإجازات'!$E$5:$E$104)&gt;=DE$3)*('حجز الإجازات'!$G$5:$G$104="معتمد")*ROW('حجز الإجازات'!$B$5:$B$104))=0,IF(DE$3&lt;'الموظفون'!$D$3,"",IF(ISNUMBER(MATCH(DE$3,Holidays,0)),"عطلة",IF(MOD(DE$3-'الموظفون'!$D$3,CycleWork+CycleRest)&lt;CycleWork,INDEX('الإعدادات والقوائم'!$H$2:$H$4,MOD(INT(MOD(DE$3-'الموظفون'!$D$3,CycleWork+CycleRest)*3/CycleWork)+MATCH(StartShift,'الإعدادات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الإجازات'!$D$5:$D$104&lt;=DE$3)*(('حجز الإجازات'!$E$5:$E$104)&gt;=DE$3)*('حجز الإجازات'!$G$5:$G$104="معتمد")*ROW('حجز الإجازات'!$B$5:$B$104)))-5+1))</f>
        <v/>
      </c>
      <c r="DF5" s="62">
        <f>IF(SUMPRODUCT(('حجز الإجازات'!$B$5:$B$104='الموظفون'!$B$3)*('حجز الإجازات'!$D$5:$D$104&lt;=DF$3)*(('حجز الإجازات'!$E$5:$E$104)&gt;=DF$3)*('حجز الإجازات'!$G$5:$G$104="معتمد")*ROW('حجز الإجازات'!$B$5:$B$104))=0,IF(DF$3&lt;'الموظفون'!$D$3,"",IF(ISNUMBER(MATCH(DF$3,Holidays,0)),"عطلة",IF(MOD(DF$3-'الموظفون'!$D$3,CycleWork+CycleRest)&lt;CycleWork,INDEX('الإعدادات والقوائم'!$H$2:$H$4,MOD(INT(MOD(DF$3-'الموظفون'!$D$3,CycleWork+CycleRest)*3/CycleWork)+MATCH(StartShift,'الإعدادات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الإجازات'!$D$5:$D$104&lt;=DF$3)*(('حجز الإجازات'!$E$5:$E$104)&gt;=DF$3)*('حجز الإجازات'!$G$5:$G$104="معتمد")*ROW('حجز الإجازات'!$B$5:$B$104)))-5+1))</f>
        <v/>
      </c>
      <c r="DG5" s="62">
        <f>IF(SUMPRODUCT(('حجز الإجازات'!$B$5:$B$104='الموظفون'!$B$3)*('حجز الإجازات'!$D$5:$D$104&lt;=DG$3)*(('حجز الإجازات'!$E$5:$E$104)&gt;=DG$3)*('حجز الإجازات'!$G$5:$G$104="معتمد")*ROW('حجز الإجازات'!$B$5:$B$104))=0,IF(DG$3&lt;'الموظفون'!$D$3,"",IF(ISNUMBER(MATCH(DG$3,Holidays,0)),"عطلة",IF(MOD(DG$3-'الموظفون'!$D$3,CycleWork+CycleRest)&lt;CycleWork,INDEX('الإعدادات والقوائم'!$H$2:$H$4,MOD(INT(MOD(DG$3-'الموظفون'!$D$3,CycleWork+CycleRest)*3/CycleWork)+MATCH(StartShift,'الإعدادات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الإجازات'!$D$5:$D$104&lt;=DG$3)*(('حجز الإجازات'!$E$5:$E$104)&gt;=DG$3)*('حجز الإجازات'!$G$5:$G$104="معتمد")*ROW('حجز الإجازات'!$B$5:$B$104)))-5+1))</f>
        <v/>
      </c>
      <c r="DH5" s="62">
        <f>IF(SUMPRODUCT(('حجز الإجازات'!$B$5:$B$104='الموظفون'!$B$3)*('حجز الإجازات'!$D$5:$D$104&lt;=DH$3)*(('حجز الإجازات'!$E$5:$E$104)&gt;=DH$3)*('حجز الإجازات'!$G$5:$G$104="معتمد")*ROW('حجز الإجازات'!$B$5:$B$104))=0,IF(DH$3&lt;'الموظفون'!$D$3,"",IF(ISNUMBER(MATCH(DH$3,Holidays,0)),"عطلة",IF(MOD(DH$3-'الموظفون'!$D$3,CycleWork+CycleRest)&lt;CycleWork,INDEX('الإعدادات والقوائم'!$H$2:$H$4,MOD(INT(MOD(DH$3-'الموظفون'!$D$3,CycleWork+CycleRest)*3/CycleWork)+MATCH(StartShift,'الإعدادات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الإجازات'!$D$5:$D$104&lt;=DH$3)*(('حجز الإجازات'!$E$5:$E$104)&gt;=DH$3)*('حجز الإجازات'!$G$5:$G$104="معتمد")*ROW('حجز الإجازات'!$B$5:$B$104)))-5+1))</f>
        <v/>
      </c>
      <c r="DI5" s="62">
        <f>IF(SUMPRODUCT(('حجز الإجازات'!$B$5:$B$104='الموظفون'!$B$3)*('حجز الإجازات'!$D$5:$D$104&lt;=DI$3)*(('حجز الإجازات'!$E$5:$E$104)&gt;=DI$3)*('حجز الإجازات'!$G$5:$G$104="معتمد")*ROW('حجز الإجازات'!$B$5:$B$104))=0,IF(DI$3&lt;'الموظفون'!$D$3,"",IF(ISNUMBER(MATCH(DI$3,Holidays,0)),"عطلة",IF(MOD(DI$3-'الموظفون'!$D$3,CycleWork+CycleRest)&lt;CycleWork,INDEX('الإعدادات والقوائم'!$H$2:$H$4,MOD(INT(MOD(DI$3-'الموظفون'!$D$3,CycleWork+CycleRest)*3/CycleWork)+MATCH(StartShift,'الإعدادات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الإجازات'!$D$5:$D$104&lt;=DI$3)*(('حجز الإجازات'!$E$5:$E$104)&gt;=DI$3)*('حجز الإجازات'!$G$5:$G$104="معتمد")*ROW('حجز الإجازات'!$B$5:$B$104)))-5+1))</f>
        <v/>
      </c>
      <c r="DJ5" s="62">
        <f>IF(SUMPRODUCT(('حجز الإجازات'!$B$5:$B$104='الموظفون'!$B$3)*('حجز الإجازات'!$D$5:$D$104&lt;=DJ$3)*(('حجز الإجازات'!$E$5:$E$104)&gt;=DJ$3)*('حجز الإجازات'!$G$5:$G$104="معتمد")*ROW('حجز الإجازات'!$B$5:$B$104))=0,IF(DJ$3&lt;'الموظفون'!$D$3,"",IF(ISNUMBER(MATCH(DJ$3,Holidays,0)),"عطلة",IF(MOD(DJ$3-'الموظفون'!$D$3,CycleWork+CycleRest)&lt;CycleWork,INDEX('الإعدادات والقوائم'!$H$2:$H$4,MOD(INT(MOD(DJ$3-'الموظفون'!$D$3,CycleWork+CycleRest)*3/CycleWork)+MATCH(StartShift,'الإعدادات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الإجازات'!$D$5:$D$104&lt;=DJ$3)*(('حجز الإجازات'!$E$5:$E$104)&gt;=DJ$3)*('حجز الإجازات'!$G$5:$G$104="معتمد")*ROW('حجز الإجازات'!$B$5:$B$104)))-5+1))</f>
        <v/>
      </c>
      <c r="DK5" s="62">
        <f>IF(SUMPRODUCT(('حجز الإجازات'!$B$5:$B$104='الموظفون'!$B$3)*('حجز الإجازات'!$D$5:$D$104&lt;=DK$3)*(('حجز الإجازات'!$E$5:$E$104)&gt;=DK$3)*('حجز الإجازات'!$G$5:$G$104="معتمد")*ROW('حجز الإجازات'!$B$5:$B$104))=0,IF(DK$3&lt;'الموظفون'!$D$3,"",IF(ISNUMBER(MATCH(DK$3,Holidays,0)),"عطلة",IF(MOD(DK$3-'الموظفون'!$D$3,CycleWork+CycleRest)&lt;CycleWork,INDEX('الإعدادات والقوائم'!$H$2:$H$4,MOD(INT(MOD(DK$3-'الموظفون'!$D$3,CycleWork+CycleRest)*3/CycleWork)+MATCH(StartShift,'الإعدادات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الإجازات'!$D$5:$D$104&lt;=DK$3)*(('حجز الإجازات'!$E$5:$E$104)&gt;=DK$3)*('حجز الإجازات'!$G$5:$G$104="معتمد")*ROW('حجز الإجازات'!$B$5:$B$104)))-5+1))</f>
        <v/>
      </c>
      <c r="DL5" s="62">
        <f>IF(SUMPRODUCT(('حجز الإجازات'!$B$5:$B$104='الموظفون'!$B$3)*('حجز الإجازات'!$D$5:$D$104&lt;=DL$3)*(('حجز الإجازات'!$E$5:$E$104)&gt;=DL$3)*('حجز الإجازات'!$G$5:$G$104="معتمد")*ROW('حجز الإجازات'!$B$5:$B$104))=0,IF(DL$3&lt;'الموظفون'!$D$3,"",IF(ISNUMBER(MATCH(DL$3,Holidays,0)),"عطلة",IF(MOD(DL$3-'الموظفون'!$D$3,CycleWork+CycleRest)&lt;CycleWork,INDEX('الإعدادات والقوائم'!$H$2:$H$4,MOD(INT(MOD(DL$3-'الموظفون'!$D$3,CycleWork+CycleRest)*3/CycleWork)+MATCH(StartShift,'الإعدادات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الإجازات'!$D$5:$D$104&lt;=DL$3)*(('حجز الإجازات'!$E$5:$E$104)&gt;=DL$3)*('حجز الإجازات'!$G$5:$G$104="معتمد")*ROW('حجز الإجازات'!$B$5:$B$104)))-5+1))</f>
        <v/>
      </c>
      <c r="DM5" s="62">
        <f>IF(SUMPRODUCT(('حجز الإجازات'!$B$5:$B$104='الموظفون'!$B$3)*('حجز الإجازات'!$D$5:$D$104&lt;=DM$3)*(('حجز الإجازات'!$E$5:$E$104)&gt;=DM$3)*('حجز الإجازات'!$G$5:$G$104="معتمد")*ROW('حجز الإجازات'!$B$5:$B$104))=0,IF(DM$3&lt;'الموظفون'!$D$3,"",IF(ISNUMBER(MATCH(DM$3,Holidays,0)),"عطلة",IF(MOD(DM$3-'الموظفون'!$D$3,CycleWork+CycleRest)&lt;CycleWork,INDEX('الإعدادات والقوائم'!$H$2:$H$4,MOD(INT(MOD(DM$3-'الموظفون'!$D$3,CycleWork+CycleRest)*3/CycleWork)+MATCH(StartShift,'الإعدادات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الإجازات'!$D$5:$D$104&lt;=DM$3)*(('حجز الإجازات'!$E$5:$E$104)&gt;=DM$3)*('حجز الإجازات'!$G$5:$G$104="معتمد")*ROW('حجز الإجازات'!$B$5:$B$104)))-5+1))</f>
        <v/>
      </c>
      <c r="DN5" s="62">
        <f>IF(SUMPRODUCT(('حجز الإجازات'!$B$5:$B$104='الموظفون'!$B$3)*('حجز الإجازات'!$D$5:$D$104&lt;=DN$3)*(('حجز الإجازات'!$E$5:$E$104)&gt;=DN$3)*('حجز الإجازات'!$G$5:$G$104="معتمد")*ROW('حجز الإجازات'!$B$5:$B$104))=0,IF(DN$3&lt;'الموظفون'!$D$3,"",IF(ISNUMBER(MATCH(DN$3,Holidays,0)),"عطلة",IF(MOD(DN$3-'الموظفون'!$D$3,CycleWork+CycleRest)&lt;CycleWork,INDEX('الإعدادات والقوائم'!$H$2:$H$4,MOD(INT(MOD(DN$3-'الموظفون'!$D$3,CycleWork+CycleRest)*3/CycleWork)+MATCH(StartShift,'الإعدادات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الإجازات'!$D$5:$D$104&lt;=DN$3)*(('حجز الإجازات'!$E$5:$E$104)&gt;=DN$3)*('حجز الإجازات'!$G$5:$G$104="معتمد")*ROW('حجز الإجازات'!$B$5:$B$104)))-5+1))</f>
        <v/>
      </c>
      <c r="DO5" s="62">
        <f>IF(SUMPRODUCT(('حجز الإجازات'!$B$5:$B$104='الموظفون'!$B$3)*('حجز الإجازات'!$D$5:$D$104&lt;=DO$3)*(('حجز الإجازات'!$E$5:$E$104)&gt;=DO$3)*('حجز الإجازات'!$G$5:$G$104="معتمد")*ROW('حجز الإجازات'!$B$5:$B$104))=0,IF(DO$3&lt;'الموظفون'!$D$3,"",IF(ISNUMBER(MATCH(DO$3,Holidays,0)),"عطلة",IF(MOD(DO$3-'الموظفون'!$D$3,CycleWork+CycleRest)&lt;CycleWork,INDEX('الإعدادات والقوائم'!$H$2:$H$4,MOD(INT(MOD(DO$3-'الموظفون'!$D$3,CycleWork+CycleRest)*3/CycleWork)+MATCH(StartShift,'الإعدادات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الإجازات'!$D$5:$D$104&lt;=DO$3)*(('حجز الإجازات'!$E$5:$E$104)&gt;=DO$3)*('حجز الإجازات'!$G$5:$G$104="معتمد")*ROW('حجز الإجازات'!$B$5:$B$104)))-5+1))</f>
        <v/>
      </c>
      <c r="DP5" s="62">
        <f>IF(SUMPRODUCT(('حجز الإجازات'!$B$5:$B$104='الموظفون'!$B$3)*('حجز الإجازات'!$D$5:$D$104&lt;=DP$3)*(('حجز الإجازات'!$E$5:$E$104)&gt;=DP$3)*('حجز الإجازات'!$G$5:$G$104="معتمد")*ROW('حجز الإجازات'!$B$5:$B$104))=0,IF(DP$3&lt;'الموظفون'!$D$3,"",IF(ISNUMBER(MATCH(DP$3,Holidays,0)),"عطلة",IF(MOD(DP$3-'الموظفون'!$D$3,CycleWork+CycleRest)&lt;CycleWork,INDEX('الإعدادات والقوائم'!$H$2:$H$4,MOD(INT(MOD(DP$3-'الموظفون'!$D$3,CycleWork+CycleRest)*3/CycleWork)+MATCH(StartShift,'الإعدادات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الإجازات'!$D$5:$D$104&lt;=DP$3)*(('حجز الإجازات'!$E$5:$E$104)&gt;=DP$3)*('حجز الإجازات'!$G$5:$G$104="معتمد")*ROW('حجز الإجازات'!$B$5:$B$104)))-5+1))</f>
        <v/>
      </c>
      <c r="DQ5" s="62">
        <f>IF(SUMPRODUCT(('حجز الإجازات'!$B$5:$B$104='الموظفون'!$B$3)*('حجز الإجازات'!$D$5:$D$104&lt;=DQ$3)*(('حجز الإجازات'!$E$5:$E$104)&gt;=DQ$3)*('حجز الإجازات'!$G$5:$G$104="معتمد")*ROW('حجز الإجازات'!$B$5:$B$104))=0,IF(DQ$3&lt;'الموظفون'!$D$3,"",IF(ISNUMBER(MATCH(DQ$3,Holidays,0)),"عطلة",IF(MOD(DQ$3-'الموظفون'!$D$3,CycleWork+CycleRest)&lt;CycleWork,INDEX('الإعدادات والقوائم'!$H$2:$H$4,MOD(INT(MOD(DQ$3-'الموظفون'!$D$3,CycleWork+CycleRest)*3/CycleWork)+MATCH(StartShift,'الإعدادات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الإجازات'!$D$5:$D$104&lt;=DQ$3)*(('حجز الإجازات'!$E$5:$E$104)&gt;=DQ$3)*('حجز الإجازات'!$G$5:$G$104="معتمد")*ROW('حجز الإجازات'!$B$5:$B$104)))-5+1))</f>
        <v/>
      </c>
      <c r="DR5" s="62">
        <f>IF(SUMPRODUCT(('حجز الإجازات'!$B$5:$B$104='الموظفون'!$B$3)*('حجز الإجازات'!$D$5:$D$104&lt;=DR$3)*(('حجز الإجازات'!$E$5:$E$104)&gt;=DR$3)*('حجز الإجازات'!$G$5:$G$104="معتمد")*ROW('حجز الإجازات'!$B$5:$B$104))=0,IF(DR$3&lt;'الموظفون'!$D$3,"",IF(ISNUMBER(MATCH(DR$3,Holidays,0)),"عطلة",IF(MOD(DR$3-'الموظفون'!$D$3,CycleWork+CycleRest)&lt;CycleWork,INDEX('الإعدادات والقوائم'!$H$2:$H$4,MOD(INT(MOD(DR$3-'الموظفون'!$D$3,CycleWork+CycleRest)*3/CycleWork)+MATCH(StartShift,'الإعدادات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الإجازات'!$D$5:$D$104&lt;=DR$3)*(('حجز الإجازات'!$E$5:$E$104)&gt;=DR$3)*('حجز الإجازات'!$G$5:$G$104="معتمد")*ROW('حجز الإجازات'!$B$5:$B$104)))-5+1))</f>
        <v/>
      </c>
      <c r="DS5" s="62">
        <f>IF(SUMPRODUCT(('حجز الإجازات'!$B$5:$B$104='الموظفون'!$B$3)*('حجز الإجازات'!$D$5:$D$104&lt;=DS$3)*(('حجز الإجازات'!$E$5:$E$104)&gt;=DS$3)*('حجز الإجازات'!$G$5:$G$104="معتمد")*ROW('حجز الإجازات'!$B$5:$B$104))=0,IF(DS$3&lt;'الموظفون'!$D$3,"",IF(ISNUMBER(MATCH(DS$3,Holidays,0)),"عطلة",IF(MOD(DS$3-'الموظفون'!$D$3,CycleWork+CycleRest)&lt;CycleWork,INDEX('الإعدادات والقوائم'!$H$2:$H$4,MOD(INT(MOD(DS$3-'الموظفون'!$D$3,CycleWork+CycleRest)*3/CycleWork)+MATCH(StartShift,'الإعدادات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الإجازات'!$D$5:$D$104&lt;=DS$3)*(('حجز الإجازات'!$E$5:$E$104)&gt;=DS$3)*('حجز الإجازات'!$G$5:$G$104="معتمد")*ROW('حجز الإجازات'!$B$5:$B$104)))-5+1))</f>
        <v/>
      </c>
      <c r="DT5" s="62">
        <f>IF(SUMPRODUCT(('حجز الإجازات'!$B$5:$B$104='الموظفون'!$B$3)*('حجز الإجازات'!$D$5:$D$104&lt;=DT$3)*(('حجز الإجازات'!$E$5:$E$104)&gt;=DT$3)*('حجز الإجازات'!$G$5:$G$104="معتمد")*ROW('حجز الإجازات'!$B$5:$B$104))=0,IF(DT$3&lt;'الموظفون'!$D$3,"",IF(ISNUMBER(MATCH(DT$3,Holidays,0)),"عطلة",IF(MOD(DT$3-'الموظفون'!$D$3,CycleWork+CycleRest)&lt;CycleWork,INDEX('الإعدادات والقوائم'!$H$2:$H$4,MOD(INT(MOD(DT$3-'الموظفون'!$D$3,CycleWork+CycleRest)*3/CycleWork)+MATCH(StartShift,'الإعدادات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الإجازات'!$D$5:$D$104&lt;=DT$3)*(('حجز الإجازات'!$E$5:$E$104)&gt;=DT$3)*('حجز الإجازات'!$G$5:$G$104="معتمد")*ROW('حجز الإجازات'!$B$5:$B$104)))-5+1))</f>
        <v/>
      </c>
      <c r="DU5" s="62">
        <f>IF(SUMPRODUCT(('حجز الإجازات'!$B$5:$B$104='الموظفون'!$B$3)*('حجز الإجازات'!$D$5:$D$104&lt;=DU$3)*(('حجز الإجازات'!$E$5:$E$104)&gt;=DU$3)*('حجز الإجازات'!$G$5:$G$104="معتمد")*ROW('حجز الإجازات'!$B$5:$B$104))=0,IF(DU$3&lt;'الموظفون'!$D$3,"",IF(ISNUMBER(MATCH(DU$3,Holidays,0)),"عطلة",IF(MOD(DU$3-'الموظفون'!$D$3,CycleWork+CycleRest)&lt;CycleWork,INDEX('الإعدادات والقوائم'!$H$2:$H$4,MOD(INT(MOD(DU$3-'الموظفون'!$D$3,CycleWork+CycleRest)*3/CycleWork)+MATCH(StartShift,'الإعدادات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الإجازات'!$D$5:$D$104&lt;=DU$3)*(('حجز الإجازات'!$E$5:$E$104)&gt;=DU$3)*('حجز الإجازات'!$G$5:$G$104="معتمد")*ROW('حجز الإجازات'!$B$5:$B$104)))-5+1))</f>
        <v/>
      </c>
      <c r="DV5" s="62">
        <f>IF(SUMPRODUCT(('حجز الإجازات'!$B$5:$B$104='الموظفون'!$B$3)*('حجز الإجازات'!$D$5:$D$104&lt;=DV$3)*(('حجز الإجازات'!$E$5:$E$104)&gt;=DV$3)*('حجز الإجازات'!$G$5:$G$104="معتمد")*ROW('حجز الإجازات'!$B$5:$B$104))=0,IF(DV$3&lt;'الموظفون'!$D$3,"",IF(ISNUMBER(MATCH(DV$3,Holidays,0)),"عطلة",IF(MOD(DV$3-'الموظفون'!$D$3,CycleWork+CycleRest)&lt;CycleWork,INDEX('الإعدادات والقوائم'!$H$2:$H$4,MOD(INT(MOD(DV$3-'الموظفون'!$D$3,CycleWork+CycleRest)*3/CycleWork)+MATCH(StartShift,'الإعدادات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الإجازات'!$D$5:$D$104&lt;=DV$3)*(('حجز الإجازات'!$E$5:$E$104)&gt;=DV$3)*('حجز الإجازات'!$G$5:$G$104="معتمد")*ROW('حجز الإجازات'!$B$5:$B$104)))-5+1))</f>
        <v/>
      </c>
      <c r="DW5" s="62">
        <f>IF(SUMPRODUCT(('حجز الإجازات'!$B$5:$B$104='الموظفون'!$B$3)*('حجز الإجازات'!$D$5:$D$104&lt;=DW$3)*(('حجز الإجازات'!$E$5:$E$104)&gt;=DW$3)*('حجز الإجازات'!$G$5:$G$104="معتمد")*ROW('حجز الإجازات'!$B$5:$B$104))=0,IF(DW$3&lt;'الموظفون'!$D$3,"",IF(ISNUMBER(MATCH(DW$3,Holidays,0)),"عطلة",IF(MOD(DW$3-'الموظفون'!$D$3,CycleWork+CycleRest)&lt;CycleWork,INDEX('الإعدادات والقوائم'!$H$2:$H$4,MOD(INT(MOD(DW$3-'الموظفون'!$D$3,CycleWork+CycleRest)*3/CycleWork)+MATCH(StartShift,'الإعدادات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الإجازات'!$D$5:$D$104&lt;=DW$3)*(('حجز الإجازات'!$E$5:$E$104)&gt;=DW$3)*('حجز الإجازات'!$G$5:$G$104="معتمد")*ROW('حجز الإجازات'!$B$5:$B$104)))-5+1))</f>
        <v/>
      </c>
      <c r="DX5" s="62">
        <f>IF(SUMPRODUCT(('حجز الإجازات'!$B$5:$B$104='الموظفون'!$B$3)*('حجز الإجازات'!$D$5:$D$104&lt;=DX$3)*(('حجز الإجازات'!$E$5:$E$104)&gt;=DX$3)*('حجز الإجازات'!$G$5:$G$104="معتمد")*ROW('حجز الإجازات'!$B$5:$B$104))=0,IF(DX$3&lt;'الموظفون'!$D$3,"",IF(ISNUMBER(MATCH(DX$3,Holidays,0)),"عطلة",IF(MOD(DX$3-'الموظفون'!$D$3,CycleWork+CycleRest)&lt;CycleWork,INDEX('الإعدادات والقوائم'!$H$2:$H$4,MOD(INT(MOD(DX$3-'الموظفون'!$D$3,CycleWork+CycleRest)*3/CycleWork)+MATCH(StartShift,'الإعدادات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الإجازات'!$D$5:$D$104&lt;=DX$3)*(('حجز الإجازات'!$E$5:$E$104)&gt;=DX$3)*('حجز الإجازات'!$G$5:$G$104="معتمد")*ROW('حجز الإجازات'!$B$5:$B$104)))-5+1))</f>
        <v/>
      </c>
      <c r="DY5" s="62">
        <f>IF(SUMPRODUCT(('حجز الإجازات'!$B$5:$B$104='الموظفون'!$B$3)*('حجز الإجازات'!$D$5:$D$104&lt;=DY$3)*(('حجز الإجازات'!$E$5:$E$104)&gt;=DY$3)*('حجز الإجازات'!$G$5:$G$104="معتمد")*ROW('حجز الإجازات'!$B$5:$B$104))=0,IF(DY$3&lt;'الموظفون'!$D$3,"",IF(ISNUMBER(MATCH(DY$3,Holidays,0)),"عطلة",IF(MOD(DY$3-'الموظفون'!$D$3,CycleWork+CycleRest)&lt;CycleWork,INDEX('الإعدادات والقوائم'!$H$2:$H$4,MOD(INT(MOD(DY$3-'الموظفون'!$D$3,CycleWork+CycleRest)*3/CycleWork)+MATCH(StartShift,'الإعدادات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الإجازات'!$D$5:$D$104&lt;=DY$3)*(('حجز الإجازات'!$E$5:$E$104)&gt;=DY$3)*('حجز الإجازات'!$G$5:$G$104="معتمد")*ROW('حجز الإجازات'!$B$5:$B$104)))-5+1))</f>
        <v/>
      </c>
      <c r="DZ5" s="62">
        <f>IF(SUMPRODUCT(('حجز الإجازات'!$B$5:$B$104='الموظفون'!$B$3)*('حجز الإجازات'!$D$5:$D$104&lt;=DZ$3)*(('حجز الإجازات'!$E$5:$E$104)&gt;=DZ$3)*('حجز الإجازات'!$G$5:$G$104="معتمد")*ROW('حجز الإجازات'!$B$5:$B$104))=0,IF(DZ$3&lt;'الموظفون'!$D$3,"",IF(ISNUMBER(MATCH(DZ$3,Holidays,0)),"عطلة",IF(MOD(DZ$3-'الموظفون'!$D$3,CycleWork+CycleRest)&lt;CycleWork,INDEX('الإعدادات والقوائم'!$H$2:$H$4,MOD(INT(MOD(DZ$3-'الموظفون'!$D$3,CycleWork+CycleRest)*3/CycleWork)+MATCH(StartShift,'الإعدادات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الإجازات'!$D$5:$D$104&lt;=DZ$3)*(('حجز الإجازات'!$E$5:$E$104)&gt;=DZ$3)*('حجز الإجازات'!$G$5:$G$104="معتمد")*ROW('حجز الإجازات'!$B$5:$B$104)))-5+1))</f>
        <v/>
      </c>
      <c r="EA5" s="62">
        <f>IF(SUMPRODUCT(('حجز الإجازات'!$B$5:$B$104='الموظفون'!$B$3)*('حجز الإجازات'!$D$5:$D$104&lt;=EA$3)*(('حجز الإجازات'!$E$5:$E$104)&gt;=EA$3)*('حجز الإجازات'!$G$5:$G$104="معتمد")*ROW('حجز الإجازات'!$B$5:$B$104))=0,IF(EA$3&lt;'الموظفون'!$D$3,"",IF(ISNUMBER(MATCH(EA$3,Holidays,0)),"عطلة",IF(MOD(EA$3-'الموظفون'!$D$3,CycleWork+CycleRest)&lt;CycleWork,INDEX('الإعدادات والقوائم'!$H$2:$H$4,MOD(INT(MOD(EA$3-'الموظفون'!$D$3,CycleWork+CycleRest)*3/CycleWork)+MATCH(StartShift,'الإعدادات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الإجازات'!$D$5:$D$104&lt;=EA$3)*(('حجز الإجازات'!$E$5:$E$104)&gt;=EA$3)*('حجز الإجازات'!$G$5:$G$104="معتمد")*ROW('حجز الإجازات'!$B$5:$B$104)))-5+1))</f>
        <v/>
      </c>
      <c r="EB5" s="62">
        <f>IF(SUMPRODUCT(('حجز الإجازات'!$B$5:$B$104='الموظفون'!$B$3)*('حجز الإجازات'!$D$5:$D$104&lt;=EB$3)*(('حجز الإجازات'!$E$5:$E$104)&gt;=EB$3)*('حجز الإجازات'!$G$5:$G$104="معتمد")*ROW('حجز الإجازات'!$B$5:$B$104))=0,IF(EB$3&lt;'الموظفون'!$D$3,"",IF(ISNUMBER(MATCH(EB$3,Holidays,0)),"عطلة",IF(MOD(EB$3-'الموظفون'!$D$3,CycleWork+CycleRest)&lt;CycleWork,INDEX('الإعدادات والقوائم'!$H$2:$H$4,MOD(INT(MOD(EB$3-'الموظفون'!$D$3,CycleWork+CycleRest)*3/CycleWork)+MATCH(StartShift,'الإعدادات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الإجازات'!$D$5:$D$104&lt;=EB$3)*(('حجز الإجازات'!$E$5:$E$104)&gt;=EB$3)*('حجز الإجازات'!$G$5:$G$104="معتمد")*ROW('حجز الإجازات'!$B$5:$B$104)))-5+1))</f>
        <v/>
      </c>
      <c r="EC5" s="62">
        <f>IF(SUMPRODUCT(('حجز الإجازات'!$B$5:$B$104='الموظفون'!$B$3)*('حجز الإجازات'!$D$5:$D$104&lt;=EC$3)*(('حجز الإجازات'!$E$5:$E$104)&gt;=EC$3)*('حجز الإجازات'!$G$5:$G$104="معتمد")*ROW('حجز الإجازات'!$B$5:$B$104))=0,IF(EC$3&lt;'الموظفون'!$D$3,"",IF(ISNUMBER(MATCH(EC$3,Holidays,0)),"عطلة",IF(MOD(EC$3-'الموظفون'!$D$3,CycleWork+CycleRest)&lt;CycleWork,INDEX('الإعدادات والقوائم'!$H$2:$H$4,MOD(INT(MOD(EC$3-'الموظفون'!$D$3,CycleWork+CycleRest)*3/CycleWork)+MATCH(StartShift,'الإعدادات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الإجازات'!$D$5:$D$104&lt;=EC$3)*(('حجز الإجازات'!$E$5:$E$104)&gt;=EC$3)*('حجز الإجازات'!$G$5:$G$104="معتمد")*ROW('حجز الإجازات'!$B$5:$B$104)))-5+1))</f>
        <v/>
      </c>
      <c r="ED5" s="62">
        <f>IF(SUMPRODUCT(('حجز الإجازات'!$B$5:$B$104='الموظفون'!$B$3)*('حجز الإجازات'!$D$5:$D$104&lt;=ED$3)*(('حجز الإجازات'!$E$5:$E$104)&gt;=ED$3)*('حجز الإجازات'!$G$5:$G$104="معتمد")*ROW('حجز الإجازات'!$B$5:$B$104))=0,IF(ED$3&lt;'الموظفون'!$D$3,"",IF(ISNUMBER(MATCH(ED$3,Holidays,0)),"عطلة",IF(MOD(ED$3-'الموظفون'!$D$3,CycleWork+CycleRest)&lt;CycleWork,INDEX('الإعدادات والقوائم'!$H$2:$H$4,MOD(INT(MOD(ED$3-'الموظفون'!$D$3,CycleWork+CycleRest)*3/CycleWork)+MATCH(StartShift,'الإعدادات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الإجازات'!$D$5:$D$104&lt;=ED$3)*(('حجز الإجازات'!$E$5:$E$104)&gt;=ED$3)*('حجز الإجازات'!$G$5:$G$104="معتمد")*ROW('حجز الإجازات'!$B$5:$B$104)))-5+1))</f>
        <v/>
      </c>
      <c r="EE5" s="62">
        <f>IF(SUMPRODUCT(('حجز الإجازات'!$B$5:$B$104='الموظفون'!$B$3)*('حجز الإجازات'!$D$5:$D$104&lt;=EE$3)*(('حجز الإجازات'!$E$5:$E$104)&gt;=EE$3)*('حجز الإجازات'!$G$5:$G$104="معتمد")*ROW('حجز الإجازات'!$B$5:$B$104))=0,IF(EE$3&lt;'الموظفون'!$D$3,"",IF(ISNUMBER(MATCH(EE$3,Holidays,0)),"عطلة",IF(MOD(EE$3-'الموظفون'!$D$3,CycleWork+CycleRest)&lt;CycleWork,INDEX('الإعدادات والقوائم'!$H$2:$H$4,MOD(INT(MOD(EE$3-'الموظفون'!$D$3,CycleWork+CycleRest)*3/CycleWork)+MATCH(StartShift,'الإعدادات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الإجازات'!$D$5:$D$104&lt;=EE$3)*(('حجز الإجازات'!$E$5:$E$104)&gt;=EE$3)*('حجز الإجازات'!$G$5:$G$104="معتمد")*ROW('حجز الإجازات'!$B$5:$B$104)))-5+1))</f>
        <v/>
      </c>
      <c r="EF5" s="62">
        <f>IF(SUMPRODUCT(('حجز الإجازات'!$B$5:$B$104='الموظفون'!$B$3)*('حجز الإجازات'!$D$5:$D$104&lt;=EF$3)*(('حجز الإجازات'!$E$5:$E$104)&gt;=EF$3)*('حجز الإجازات'!$G$5:$G$104="معتمد")*ROW('حجز الإجازات'!$B$5:$B$104))=0,IF(EF$3&lt;'الموظفون'!$D$3,"",IF(ISNUMBER(MATCH(EF$3,Holidays,0)),"عطلة",IF(MOD(EF$3-'الموظفون'!$D$3,CycleWork+CycleRest)&lt;CycleWork,INDEX('الإعدادات والقوائم'!$H$2:$H$4,MOD(INT(MOD(EF$3-'الموظفون'!$D$3,CycleWork+CycleRest)*3/CycleWork)+MATCH(StartShift,'الإعدادات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الإجازات'!$D$5:$D$104&lt;=EF$3)*(('حجز الإجازات'!$E$5:$E$104)&gt;=EF$3)*('حجز الإجازات'!$G$5:$G$104="معتمد")*ROW('حجز الإجازات'!$B$5:$B$104)))-5+1))</f>
        <v/>
      </c>
      <c r="EG5" s="62">
        <f>IF(SUMPRODUCT(('حجز الإجازات'!$B$5:$B$104='الموظفون'!$B$3)*('حجز الإجازات'!$D$5:$D$104&lt;=EG$3)*(('حجز الإجازات'!$E$5:$E$104)&gt;=EG$3)*('حجز الإجازات'!$G$5:$G$104="معتمد")*ROW('حجز الإجازات'!$B$5:$B$104))=0,IF(EG$3&lt;'الموظفون'!$D$3,"",IF(ISNUMBER(MATCH(EG$3,Holidays,0)),"عطلة",IF(MOD(EG$3-'الموظفون'!$D$3,CycleWork+CycleRest)&lt;CycleWork,INDEX('الإعدادات والقوائم'!$H$2:$H$4,MOD(INT(MOD(EG$3-'الموظفون'!$D$3,CycleWork+CycleRest)*3/CycleWork)+MATCH(StartShift,'الإعدادات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الإجازات'!$D$5:$D$104&lt;=EG$3)*(('حجز الإجازات'!$E$5:$E$104)&gt;=EG$3)*('حجز الإجازات'!$G$5:$G$104="معتمد")*ROW('حجز الإجازات'!$B$5:$B$104)))-5+1))</f>
        <v/>
      </c>
      <c r="EH5" s="62">
        <f>IF(SUMPRODUCT(('حجز الإجازات'!$B$5:$B$104='الموظفون'!$B$3)*('حجز الإجازات'!$D$5:$D$104&lt;=EH$3)*(('حجز الإجازات'!$E$5:$E$104)&gt;=EH$3)*('حجز الإجازات'!$G$5:$G$104="معتمد")*ROW('حجز الإجازات'!$B$5:$B$104))=0,IF(EH$3&lt;'الموظفون'!$D$3,"",IF(ISNUMBER(MATCH(EH$3,Holidays,0)),"عطلة",IF(MOD(EH$3-'الموظفون'!$D$3,CycleWork+CycleRest)&lt;CycleWork,INDEX('الإعدادات والقوائم'!$H$2:$H$4,MOD(INT(MOD(EH$3-'الموظفون'!$D$3,CycleWork+CycleRest)*3/CycleWork)+MATCH(StartShift,'الإعدادات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الإجازات'!$D$5:$D$104&lt;=EH$3)*(('حجز الإجازات'!$E$5:$E$104)&gt;=EH$3)*('حجز الإجازات'!$G$5:$G$104="معتمد")*ROW('حجز الإجازات'!$B$5:$B$104)))-5+1))</f>
        <v/>
      </c>
      <c r="EI5" s="62">
        <f>IF(SUMPRODUCT(('حجز الإجازات'!$B$5:$B$104='الموظفون'!$B$3)*('حجز الإجازات'!$D$5:$D$104&lt;=EI$3)*(('حجز الإجازات'!$E$5:$E$104)&gt;=EI$3)*('حجز الإجازات'!$G$5:$G$104="معتمد")*ROW('حجز الإجازات'!$B$5:$B$104))=0,IF(EI$3&lt;'الموظفون'!$D$3,"",IF(ISNUMBER(MATCH(EI$3,Holidays,0)),"عطلة",IF(MOD(EI$3-'الموظفون'!$D$3,CycleWork+CycleRest)&lt;CycleWork,INDEX('الإعدادات والقوائم'!$H$2:$H$4,MOD(INT(MOD(EI$3-'الموظفون'!$D$3,CycleWork+CycleRest)*3/CycleWork)+MATCH(StartShift,'الإعدادات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الإجازات'!$D$5:$D$104&lt;=EI$3)*(('حجز الإجازات'!$E$5:$E$104)&gt;=EI$3)*('حجز الإجازات'!$G$5:$G$104="معتمد")*ROW('حجز الإجازات'!$B$5:$B$104)))-5+1))</f>
        <v/>
      </c>
      <c r="EJ5" s="62">
        <f>IF(SUMPRODUCT(('حجز الإجازات'!$B$5:$B$104='الموظفون'!$B$3)*('حجز الإجازات'!$D$5:$D$104&lt;=EJ$3)*(('حجز الإجازات'!$E$5:$E$104)&gt;=EJ$3)*('حجز الإجازات'!$G$5:$G$104="معتمد")*ROW('حجز الإجازات'!$B$5:$B$104))=0,IF(EJ$3&lt;'الموظفون'!$D$3,"",IF(ISNUMBER(MATCH(EJ$3,Holidays,0)),"عطلة",IF(MOD(EJ$3-'الموظفون'!$D$3,CycleWork+CycleRest)&lt;CycleWork,INDEX('الإعدادات والقوائم'!$H$2:$H$4,MOD(INT(MOD(EJ$3-'الموظفون'!$D$3,CycleWork+CycleRest)*3/CycleWork)+MATCH(StartShift,'الإعدادات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الإجازات'!$D$5:$D$104&lt;=EJ$3)*(('حجز الإجازات'!$E$5:$E$104)&gt;=EJ$3)*('حجز الإجازات'!$G$5:$G$104="معتمد")*ROW('حجز الإجازات'!$B$5:$B$104)))-5+1))</f>
        <v/>
      </c>
      <c r="EK5" s="62">
        <f>IF(SUMPRODUCT(('حجز الإجازات'!$B$5:$B$104='الموظفون'!$B$3)*('حجز الإجازات'!$D$5:$D$104&lt;=EK$3)*(('حجز الإجازات'!$E$5:$E$104)&gt;=EK$3)*('حجز الإجازات'!$G$5:$G$104="معتمد")*ROW('حجز الإجازات'!$B$5:$B$104))=0,IF(EK$3&lt;'الموظفون'!$D$3,"",IF(ISNUMBER(MATCH(EK$3,Holidays,0)),"عطلة",IF(MOD(EK$3-'الموظفون'!$D$3,CycleWork+CycleRest)&lt;CycleWork,INDEX('الإعدادات والقوائم'!$H$2:$H$4,MOD(INT(MOD(EK$3-'الموظفون'!$D$3,CycleWork+CycleRest)*3/CycleWork)+MATCH(StartShift,'الإعدادات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الإجازات'!$D$5:$D$104&lt;=EK$3)*(('حجز الإجازات'!$E$5:$E$104)&gt;=EK$3)*('حجز الإجازات'!$G$5:$G$104="معتمد")*ROW('حجز الإجازات'!$B$5:$B$104)))-5+1))</f>
        <v/>
      </c>
      <c r="EL5" s="62">
        <f>IF(SUMPRODUCT(('حجز الإجازات'!$B$5:$B$104='الموظفون'!$B$3)*('حجز الإجازات'!$D$5:$D$104&lt;=EL$3)*(('حجز الإجازات'!$E$5:$E$104)&gt;=EL$3)*('حجز الإجازات'!$G$5:$G$104="معتمد")*ROW('حجز الإجازات'!$B$5:$B$104))=0,IF(EL$3&lt;'الموظفون'!$D$3,"",IF(ISNUMBER(MATCH(EL$3,Holidays,0)),"عطلة",IF(MOD(EL$3-'الموظفون'!$D$3,CycleWork+CycleRest)&lt;CycleWork,INDEX('الإعدادات والقوائم'!$H$2:$H$4,MOD(INT(MOD(EL$3-'الموظفون'!$D$3,CycleWork+CycleRest)*3/CycleWork)+MATCH(StartShift,'الإعدادات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الإجازات'!$D$5:$D$104&lt;=EL$3)*(('حجز الإجازات'!$E$5:$E$104)&gt;=EL$3)*('حجز الإجازات'!$G$5:$G$104="معتمد")*ROW('حجز الإجازات'!$B$5:$B$104)))-5+1))</f>
        <v/>
      </c>
      <c r="EM5" s="62">
        <f>IF(SUMPRODUCT(('حجز الإجازات'!$B$5:$B$104='الموظفون'!$B$3)*('حجز الإجازات'!$D$5:$D$104&lt;=EM$3)*(('حجز الإجازات'!$E$5:$E$104)&gt;=EM$3)*('حجز الإجازات'!$G$5:$G$104="معتمد")*ROW('حجز الإجازات'!$B$5:$B$104))=0,IF(EM$3&lt;'الموظفون'!$D$3,"",IF(ISNUMBER(MATCH(EM$3,Holidays,0)),"عطلة",IF(MOD(EM$3-'الموظفون'!$D$3,CycleWork+CycleRest)&lt;CycleWork,INDEX('الإعدادات والقوائم'!$H$2:$H$4,MOD(INT(MOD(EM$3-'الموظفون'!$D$3,CycleWork+CycleRest)*3/CycleWork)+MATCH(StartShift,'الإعدادات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الإجازات'!$D$5:$D$104&lt;=EM$3)*(('حجز الإجازات'!$E$5:$E$104)&gt;=EM$3)*('حجز الإجازات'!$G$5:$G$104="معتمد")*ROW('حجز الإجازات'!$B$5:$B$104)))-5+1))</f>
        <v/>
      </c>
      <c r="EN5" s="62">
        <f>IF(SUMPRODUCT(('حجز الإجازات'!$B$5:$B$104='الموظفون'!$B$3)*('حجز الإجازات'!$D$5:$D$104&lt;=EN$3)*(('حجز الإجازات'!$E$5:$E$104)&gt;=EN$3)*('حجز الإجازات'!$G$5:$G$104="معتمد")*ROW('حجز الإجازات'!$B$5:$B$104))=0,IF(EN$3&lt;'الموظفون'!$D$3,"",IF(ISNUMBER(MATCH(EN$3,Holidays,0)),"عطلة",IF(MOD(EN$3-'الموظفون'!$D$3,CycleWork+CycleRest)&lt;CycleWork,INDEX('الإعدادات والقوائم'!$H$2:$H$4,MOD(INT(MOD(EN$3-'الموظفون'!$D$3,CycleWork+CycleRest)*3/CycleWork)+MATCH(StartShift,'الإعدادات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الإجازات'!$D$5:$D$104&lt;=EN$3)*(('حجز الإجازات'!$E$5:$E$104)&gt;=EN$3)*('حجز الإجازات'!$G$5:$G$104="معتمد")*ROW('حجز الإجازات'!$B$5:$B$104)))-5+1))</f>
        <v/>
      </c>
      <c r="EO5" s="62">
        <f>IF(SUMPRODUCT(('حجز الإجازات'!$B$5:$B$104='الموظفون'!$B$3)*('حجز الإجازات'!$D$5:$D$104&lt;=EO$3)*(('حجز الإجازات'!$E$5:$E$104)&gt;=EO$3)*('حجز الإجازات'!$G$5:$G$104="معتمد")*ROW('حجز الإجازات'!$B$5:$B$104))=0,IF(EO$3&lt;'الموظفون'!$D$3,"",IF(ISNUMBER(MATCH(EO$3,Holidays,0)),"عطلة",IF(MOD(EO$3-'الموظفون'!$D$3,CycleWork+CycleRest)&lt;CycleWork,INDEX('الإعدادات والقوائم'!$H$2:$H$4,MOD(INT(MOD(EO$3-'الموظفون'!$D$3,CycleWork+CycleRest)*3/CycleWork)+MATCH(StartShift,'الإعدادات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الإجازات'!$D$5:$D$104&lt;=EO$3)*(('حجز الإجازات'!$E$5:$E$104)&gt;=EO$3)*('حجز الإجازات'!$G$5:$G$104="معتمد")*ROW('حجز الإجازات'!$B$5:$B$104)))-5+1))</f>
        <v/>
      </c>
      <c r="EP5" s="62">
        <f>IF(SUMPRODUCT(('حجز الإجازات'!$B$5:$B$104='الموظفون'!$B$3)*('حجز الإجازات'!$D$5:$D$104&lt;=EP$3)*(('حجز الإجازات'!$E$5:$E$104)&gt;=EP$3)*('حجز الإجازات'!$G$5:$G$104="معتمد")*ROW('حجز الإجازات'!$B$5:$B$104))=0,IF(EP$3&lt;'الموظفون'!$D$3,"",IF(ISNUMBER(MATCH(EP$3,Holidays,0)),"عطلة",IF(MOD(EP$3-'الموظفون'!$D$3,CycleWork+CycleRest)&lt;CycleWork,INDEX('الإعدادات والقوائم'!$H$2:$H$4,MOD(INT(MOD(EP$3-'الموظفون'!$D$3,CycleWork+CycleRest)*3/CycleWork)+MATCH(StartShift,'الإعدادات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الإجازات'!$D$5:$D$104&lt;=EP$3)*(('حجز الإجازات'!$E$5:$E$104)&gt;=EP$3)*('حجز الإجازات'!$G$5:$G$104="معتمد")*ROW('حجز الإجازات'!$B$5:$B$104)))-5+1))</f>
        <v/>
      </c>
      <c r="EQ5" s="62">
        <f>IF(SUMPRODUCT(('حجز الإجازات'!$B$5:$B$104='الموظفون'!$B$3)*('حجز الإجازات'!$D$5:$D$104&lt;=EQ$3)*(('حجز الإجازات'!$E$5:$E$104)&gt;=EQ$3)*('حجز الإجازات'!$G$5:$G$104="معتمد")*ROW('حجز الإجازات'!$B$5:$B$104))=0,IF(EQ$3&lt;'الموظفون'!$D$3,"",IF(ISNUMBER(MATCH(EQ$3,Holidays,0)),"عطلة",IF(MOD(EQ$3-'الموظفون'!$D$3,CycleWork+CycleRest)&lt;CycleWork,INDEX('الإعدادات والقوائم'!$H$2:$H$4,MOD(INT(MOD(EQ$3-'الموظفون'!$D$3,CycleWork+CycleRest)*3/CycleWork)+MATCH(StartShift,'الإعدادات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الإجازات'!$D$5:$D$104&lt;=EQ$3)*(('حجز الإجازات'!$E$5:$E$104)&gt;=EQ$3)*('حجز الإجازات'!$G$5:$G$104="معتمد")*ROW('حجز الإجازات'!$B$5:$B$104)))-5+1))</f>
        <v/>
      </c>
      <c r="ER5" s="62">
        <f>IF(SUMPRODUCT(('حجز الإجازات'!$B$5:$B$104='الموظفون'!$B$3)*('حجز الإجازات'!$D$5:$D$104&lt;=ER$3)*(('حجز الإجازات'!$E$5:$E$104)&gt;=ER$3)*('حجز الإجازات'!$G$5:$G$104="معتمد")*ROW('حجز الإجازات'!$B$5:$B$104))=0,IF(ER$3&lt;'الموظفون'!$D$3,"",IF(ISNUMBER(MATCH(ER$3,Holidays,0)),"عطلة",IF(MOD(ER$3-'الموظفون'!$D$3,CycleWork+CycleRest)&lt;CycleWork,INDEX('الإعدادات والقوائم'!$H$2:$H$4,MOD(INT(MOD(ER$3-'الموظفون'!$D$3,CycleWork+CycleRest)*3/CycleWork)+MATCH(StartShift,'الإعدادات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الإجازات'!$D$5:$D$104&lt;=ER$3)*(('حجز الإجازات'!$E$5:$E$104)&gt;=ER$3)*('حجز الإجازات'!$G$5:$G$104="معتمد")*ROW('حجز الإجازات'!$B$5:$B$104)))-5+1))</f>
        <v/>
      </c>
      <c r="ES5" s="62">
        <f>IF(SUMPRODUCT(('حجز الإجازات'!$B$5:$B$104='الموظفون'!$B$3)*('حجز الإجازات'!$D$5:$D$104&lt;=ES$3)*(('حجز الإجازات'!$E$5:$E$104)&gt;=ES$3)*('حجز الإجازات'!$G$5:$G$104="معتمد")*ROW('حجز الإجازات'!$B$5:$B$104))=0,IF(ES$3&lt;'الموظفون'!$D$3,"",IF(ISNUMBER(MATCH(ES$3,Holidays,0)),"عطلة",IF(MOD(ES$3-'الموظفون'!$D$3,CycleWork+CycleRest)&lt;CycleWork,INDEX('الإعدادات والقوائم'!$H$2:$H$4,MOD(INT(MOD(ES$3-'الموظفون'!$D$3,CycleWork+CycleRest)*3/CycleWork)+MATCH(StartShift,'الإعدادات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الإجازات'!$D$5:$D$104&lt;=ES$3)*(('حجز الإجازات'!$E$5:$E$104)&gt;=ES$3)*('حجز الإجازات'!$G$5:$G$104="معتمد")*ROW('حجز الإجازات'!$B$5:$B$104)))-5+1))</f>
        <v/>
      </c>
      <c r="ET5" s="62">
        <f>IF(SUMPRODUCT(('حجز الإجازات'!$B$5:$B$104='الموظفون'!$B$3)*('حجز الإجازات'!$D$5:$D$104&lt;=ET$3)*(('حجز الإجازات'!$E$5:$E$104)&gt;=ET$3)*('حجز الإجازات'!$G$5:$G$104="معتمد")*ROW('حجز الإجازات'!$B$5:$B$104))=0,IF(ET$3&lt;'الموظفون'!$D$3,"",IF(ISNUMBER(MATCH(ET$3,Holidays,0)),"عطلة",IF(MOD(ET$3-'الموظفون'!$D$3,CycleWork+CycleRest)&lt;CycleWork,INDEX('الإعدادات والقوائم'!$H$2:$H$4,MOD(INT(MOD(ET$3-'الموظفون'!$D$3,CycleWork+CycleRest)*3/CycleWork)+MATCH(StartShift,'الإعدادات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الإجازات'!$D$5:$D$104&lt;=ET$3)*(('حجز الإجازات'!$E$5:$E$104)&gt;=ET$3)*('حجز الإجازات'!$G$5:$G$104="معتمد")*ROW('حجز الإجازات'!$B$5:$B$104)))-5+1))</f>
        <v/>
      </c>
      <c r="EU5" s="62">
        <f>IF(SUMPRODUCT(('حجز الإجازات'!$B$5:$B$104='الموظفون'!$B$3)*('حجز الإجازات'!$D$5:$D$104&lt;=EU$3)*(('حجز الإجازات'!$E$5:$E$104)&gt;=EU$3)*('حجز الإجازات'!$G$5:$G$104="معتمد")*ROW('حجز الإجازات'!$B$5:$B$104))=0,IF(EU$3&lt;'الموظفون'!$D$3,"",IF(ISNUMBER(MATCH(EU$3,Holidays,0)),"عطلة",IF(MOD(EU$3-'الموظفون'!$D$3,CycleWork+CycleRest)&lt;CycleWork,INDEX('الإعدادات والقوائم'!$H$2:$H$4,MOD(INT(MOD(EU$3-'الموظفون'!$D$3,CycleWork+CycleRest)*3/CycleWork)+MATCH(StartShift,'الإعدادات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الإجازات'!$D$5:$D$104&lt;=EU$3)*(('حجز الإجازات'!$E$5:$E$104)&gt;=EU$3)*('حجز الإجازات'!$G$5:$G$104="معتمد")*ROW('حجز الإجازات'!$B$5:$B$104)))-5+1))</f>
        <v/>
      </c>
      <c r="EV5" s="62">
        <f>IF(SUMPRODUCT(('حجز الإجازات'!$B$5:$B$104='الموظفون'!$B$3)*('حجز الإجازات'!$D$5:$D$104&lt;=EV$3)*(('حجز الإجازات'!$E$5:$E$104)&gt;=EV$3)*('حجز الإجازات'!$G$5:$G$104="معتمد")*ROW('حجز الإجازات'!$B$5:$B$104))=0,IF(EV$3&lt;'الموظفون'!$D$3,"",IF(ISNUMBER(MATCH(EV$3,Holidays,0)),"عطلة",IF(MOD(EV$3-'الموظفون'!$D$3,CycleWork+CycleRest)&lt;CycleWork,INDEX('الإعدادات والقوائم'!$H$2:$H$4,MOD(INT(MOD(EV$3-'الموظفون'!$D$3,CycleWork+CycleRest)*3/CycleWork)+MATCH(StartShift,'الإعدادات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الإجازات'!$D$5:$D$104&lt;=EV$3)*(('حجز الإجازات'!$E$5:$E$104)&gt;=EV$3)*('حجز الإجازات'!$G$5:$G$104="معتمد")*ROW('حجز الإجازات'!$B$5:$B$104)))-5+1))</f>
        <v/>
      </c>
      <c r="EW5" s="62">
        <f>IF(SUMPRODUCT(('حجز الإجازات'!$B$5:$B$104='الموظفون'!$B$3)*('حجز الإجازات'!$D$5:$D$104&lt;=EW$3)*(('حجز الإجازات'!$E$5:$E$104)&gt;=EW$3)*('حجز الإجازات'!$G$5:$G$104="معتمد")*ROW('حجز الإجازات'!$B$5:$B$104))=0,IF(EW$3&lt;'الموظفون'!$D$3,"",IF(ISNUMBER(MATCH(EW$3,Holidays,0)),"عطلة",IF(MOD(EW$3-'الموظفون'!$D$3,CycleWork+CycleRest)&lt;CycleWork,INDEX('الإعدادات والقوائم'!$H$2:$H$4,MOD(INT(MOD(EW$3-'الموظفون'!$D$3,CycleWork+CycleRest)*3/CycleWork)+MATCH(StartShift,'الإعدادات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الإجازات'!$D$5:$D$104&lt;=EW$3)*(('حجز الإجازات'!$E$5:$E$104)&gt;=EW$3)*('حجز الإجازات'!$G$5:$G$104="معتمد")*ROW('حجز الإجازات'!$B$5:$B$104)))-5+1))</f>
        <v/>
      </c>
      <c r="EX5" s="62">
        <f>IF(SUMPRODUCT(('حجز الإجازات'!$B$5:$B$104='الموظفون'!$B$3)*('حجز الإجازات'!$D$5:$D$104&lt;=EX$3)*(('حجز الإجازات'!$E$5:$E$104)&gt;=EX$3)*('حجز الإجازات'!$G$5:$G$104="معتمد")*ROW('حجز الإجازات'!$B$5:$B$104))=0,IF(EX$3&lt;'الموظفون'!$D$3,"",IF(ISNUMBER(MATCH(EX$3,Holidays,0)),"عطلة",IF(MOD(EX$3-'الموظفون'!$D$3,CycleWork+CycleRest)&lt;CycleWork,INDEX('الإعدادات والقوائم'!$H$2:$H$4,MOD(INT(MOD(EX$3-'الموظفون'!$D$3,CycleWork+CycleRest)*3/CycleWork)+MATCH(StartShift,'الإعدادات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الإجازات'!$D$5:$D$104&lt;=EX$3)*(('حجز الإجازات'!$E$5:$E$104)&gt;=EX$3)*('حجز الإجازات'!$G$5:$G$104="معتمد")*ROW('حجز الإجازات'!$B$5:$B$104)))-5+1))</f>
        <v/>
      </c>
      <c r="EY5" s="62">
        <f>IF(SUMPRODUCT(('حجز الإجازات'!$B$5:$B$104='الموظفون'!$B$3)*('حجز الإجازات'!$D$5:$D$104&lt;=EY$3)*(('حجز الإجازات'!$E$5:$E$104)&gt;=EY$3)*('حجز الإجازات'!$G$5:$G$104="معتمد")*ROW('حجز الإجازات'!$B$5:$B$104))=0,IF(EY$3&lt;'الموظفون'!$D$3,"",IF(ISNUMBER(MATCH(EY$3,Holidays,0)),"عطلة",IF(MOD(EY$3-'الموظفون'!$D$3,CycleWork+CycleRest)&lt;CycleWork,INDEX('الإعدادات والقوائم'!$H$2:$H$4,MOD(INT(MOD(EY$3-'الموظفون'!$D$3,CycleWork+CycleRest)*3/CycleWork)+MATCH(StartShift,'الإعدادات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الإجازات'!$D$5:$D$104&lt;=EY$3)*(('حجز الإجازات'!$E$5:$E$104)&gt;=EY$3)*('حجز الإجازات'!$G$5:$G$104="معتمد")*ROW('حجز الإجازات'!$B$5:$B$104)))-5+1))</f>
        <v/>
      </c>
      <c r="EZ5" s="62">
        <f>IF(SUMPRODUCT(('حجز الإجازات'!$B$5:$B$104='الموظفون'!$B$3)*('حجز الإجازات'!$D$5:$D$104&lt;=EZ$3)*(('حجز الإجازات'!$E$5:$E$104)&gt;=EZ$3)*('حجز الإجازات'!$G$5:$G$104="معتمد")*ROW('حجز الإجازات'!$B$5:$B$104))=0,IF(EZ$3&lt;'الموظفون'!$D$3,"",IF(ISNUMBER(MATCH(EZ$3,Holidays,0)),"عطلة",IF(MOD(EZ$3-'الموظفون'!$D$3,CycleWork+CycleRest)&lt;CycleWork,INDEX('الإعدادات والقوائم'!$H$2:$H$4,MOD(INT(MOD(EZ$3-'الموظفون'!$D$3,CycleWork+CycleRest)*3/CycleWork)+MATCH(StartShift,'الإعدادات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الإجازات'!$D$5:$D$104&lt;=EZ$3)*(('حجز الإجازات'!$E$5:$E$104)&gt;=EZ$3)*('حجز الإجازات'!$G$5:$G$104="معتمد")*ROW('حجز الإجازات'!$B$5:$B$104)))-5+1))</f>
        <v/>
      </c>
      <c r="FA5" s="62">
        <f>IF(SUMPRODUCT(('حجز الإجازات'!$B$5:$B$104='الموظفون'!$B$3)*('حجز الإجازات'!$D$5:$D$104&lt;=FA$3)*(('حجز الإجازات'!$E$5:$E$104)&gt;=FA$3)*('حجز الإجازات'!$G$5:$G$104="معتمد")*ROW('حجز الإجازات'!$B$5:$B$104))=0,IF(FA$3&lt;'الموظفون'!$D$3,"",IF(ISNUMBER(MATCH(FA$3,Holidays,0)),"عطلة",IF(MOD(FA$3-'الموظفون'!$D$3,CycleWork+CycleRest)&lt;CycleWork,INDEX('الإعدادات والقوائم'!$H$2:$H$4,MOD(INT(MOD(FA$3-'الموظفون'!$D$3,CycleWork+CycleRest)*3/CycleWork)+MATCH(StartShift,'الإعدادات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الإجازات'!$D$5:$D$104&lt;=FA$3)*(('حجز الإجازات'!$E$5:$E$104)&gt;=FA$3)*('حجز الإجازات'!$G$5:$G$104="معتمد")*ROW('حجز الإجازات'!$B$5:$B$104)))-5+1))</f>
        <v/>
      </c>
      <c r="FB5" s="62">
        <f>IF(SUMPRODUCT(('حجز الإجازات'!$B$5:$B$104='الموظفون'!$B$3)*('حجز الإجازات'!$D$5:$D$104&lt;=FB$3)*(('حجز الإجازات'!$E$5:$E$104)&gt;=FB$3)*('حجز الإجازات'!$G$5:$G$104="معتمد")*ROW('حجز الإجازات'!$B$5:$B$104))=0,IF(FB$3&lt;'الموظفون'!$D$3,"",IF(ISNUMBER(MATCH(FB$3,Holidays,0)),"عطلة",IF(MOD(FB$3-'الموظفون'!$D$3,CycleWork+CycleRest)&lt;CycleWork,INDEX('الإعدادات والقوائم'!$H$2:$H$4,MOD(INT(MOD(FB$3-'الموظفون'!$D$3,CycleWork+CycleRest)*3/CycleWork)+MATCH(StartShift,'الإعدادات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الإجازات'!$D$5:$D$104&lt;=FB$3)*(('حجز الإجازات'!$E$5:$E$104)&gt;=FB$3)*('حجز الإجازات'!$G$5:$G$104="معتمد")*ROW('حجز الإجازات'!$B$5:$B$104)))-5+1))</f>
        <v/>
      </c>
      <c r="FC5" s="62">
        <f>IF(SUMPRODUCT(('حجز الإجازات'!$B$5:$B$104='الموظفون'!$B$3)*('حجز الإجازات'!$D$5:$D$104&lt;=FC$3)*(('حجز الإجازات'!$E$5:$E$104)&gt;=FC$3)*('حجز الإجازات'!$G$5:$G$104="معتمد")*ROW('حجز الإجازات'!$B$5:$B$104))=0,IF(FC$3&lt;'الموظفون'!$D$3,"",IF(ISNUMBER(MATCH(FC$3,Holidays,0)),"عطلة",IF(MOD(FC$3-'الموظفون'!$D$3,CycleWork+CycleRest)&lt;CycleWork,INDEX('الإعدادات والقوائم'!$H$2:$H$4,MOD(INT(MOD(FC$3-'الموظفون'!$D$3,CycleWork+CycleRest)*3/CycleWork)+MATCH(StartShift,'الإعدادات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الإجازات'!$D$5:$D$104&lt;=FC$3)*(('حجز الإجازات'!$E$5:$E$104)&gt;=FC$3)*('حجز الإجازات'!$G$5:$G$104="معتمد")*ROW('حجز الإجازات'!$B$5:$B$104)))-5+1))</f>
        <v/>
      </c>
      <c r="FD5" s="62">
        <f>IF(SUMPRODUCT(('حجز الإجازات'!$B$5:$B$104='الموظفون'!$B$3)*('حجز الإجازات'!$D$5:$D$104&lt;=FD$3)*(('حجز الإجازات'!$E$5:$E$104)&gt;=FD$3)*('حجز الإجازات'!$G$5:$G$104="معتمد")*ROW('حجز الإجازات'!$B$5:$B$104))=0,IF(FD$3&lt;'الموظفون'!$D$3,"",IF(ISNUMBER(MATCH(FD$3,Holidays,0)),"عطلة",IF(MOD(FD$3-'الموظفون'!$D$3,CycleWork+CycleRest)&lt;CycleWork,INDEX('الإعدادات والقوائم'!$H$2:$H$4,MOD(INT(MOD(FD$3-'الموظفون'!$D$3,CycleWork+CycleRest)*3/CycleWork)+MATCH(StartShift,'الإعدادات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الإجازات'!$D$5:$D$104&lt;=FD$3)*(('حجز الإجازات'!$E$5:$E$104)&gt;=FD$3)*('حجز الإجازات'!$G$5:$G$104="معتمد")*ROW('حجز الإجازات'!$B$5:$B$104)))-5+1))</f>
        <v/>
      </c>
      <c r="FE5" s="62">
        <f>IF(SUMPRODUCT(('حجز الإجازات'!$B$5:$B$104='الموظفون'!$B$3)*('حجز الإجازات'!$D$5:$D$104&lt;=FE$3)*(('حجز الإجازات'!$E$5:$E$104)&gt;=FE$3)*('حجز الإجازات'!$G$5:$G$104="معتمد")*ROW('حجز الإجازات'!$B$5:$B$104))=0,IF(FE$3&lt;'الموظفون'!$D$3,"",IF(ISNUMBER(MATCH(FE$3,Holidays,0)),"عطلة",IF(MOD(FE$3-'الموظفون'!$D$3,CycleWork+CycleRest)&lt;CycleWork,INDEX('الإعدادات والقوائم'!$H$2:$H$4,MOD(INT(MOD(FE$3-'الموظفون'!$D$3,CycleWork+CycleRest)*3/CycleWork)+MATCH(StartShift,'الإعدادات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الإجازات'!$D$5:$D$104&lt;=FE$3)*(('حجز الإجازات'!$E$5:$E$104)&gt;=FE$3)*('حجز الإجازات'!$G$5:$G$104="معتمد")*ROW('حجز الإجازات'!$B$5:$B$104)))-5+1))</f>
        <v/>
      </c>
      <c r="FF5" s="62">
        <f>IF(SUMPRODUCT(('حجز الإجازات'!$B$5:$B$104='الموظفون'!$B$3)*('حجز الإجازات'!$D$5:$D$104&lt;=FF$3)*(('حجز الإجازات'!$E$5:$E$104)&gt;=FF$3)*('حجز الإجازات'!$G$5:$G$104="معتمد")*ROW('حجز الإجازات'!$B$5:$B$104))=0,IF(FF$3&lt;'الموظفون'!$D$3,"",IF(ISNUMBER(MATCH(FF$3,Holidays,0)),"عطلة",IF(MOD(FF$3-'الموظفون'!$D$3,CycleWork+CycleRest)&lt;CycleWork,INDEX('الإعدادات والقوائم'!$H$2:$H$4,MOD(INT(MOD(FF$3-'الموظفون'!$D$3,CycleWork+CycleRest)*3/CycleWork)+MATCH(StartShift,'الإعدادات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الإجازات'!$D$5:$D$104&lt;=FF$3)*(('حجز الإجازات'!$E$5:$E$104)&gt;=FF$3)*('حجز الإجازات'!$G$5:$G$104="معتمد")*ROW('حجز الإجازات'!$B$5:$B$104)))-5+1))</f>
        <v/>
      </c>
      <c r="FG5" s="62">
        <f>IF(SUMPRODUCT(('حجز الإجازات'!$B$5:$B$104='الموظفون'!$B$3)*('حجز الإجازات'!$D$5:$D$104&lt;=FG$3)*(('حجز الإجازات'!$E$5:$E$104)&gt;=FG$3)*('حجز الإجازات'!$G$5:$G$104="معتمد")*ROW('حجز الإجازات'!$B$5:$B$104))=0,IF(FG$3&lt;'الموظفون'!$D$3,"",IF(ISNUMBER(MATCH(FG$3,Holidays,0)),"عطلة",IF(MOD(FG$3-'الموظفون'!$D$3,CycleWork+CycleRest)&lt;CycleWork,INDEX('الإعدادات والقوائم'!$H$2:$H$4,MOD(INT(MOD(FG$3-'الموظفون'!$D$3,CycleWork+CycleRest)*3/CycleWork)+MATCH(StartShift,'الإعدادات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الإجازات'!$D$5:$D$104&lt;=FG$3)*(('حجز الإجازات'!$E$5:$E$104)&gt;=FG$3)*('حجز الإجازات'!$G$5:$G$104="معتمد")*ROW('حجز الإجازات'!$B$5:$B$104)))-5+1))</f>
        <v/>
      </c>
      <c r="FH5" s="62">
        <f>IF(SUMPRODUCT(('حجز الإجازات'!$B$5:$B$104='الموظفون'!$B$3)*('حجز الإجازات'!$D$5:$D$104&lt;=FH$3)*(('حجز الإجازات'!$E$5:$E$104)&gt;=FH$3)*('حجز الإجازات'!$G$5:$G$104="معتمد")*ROW('حجز الإجازات'!$B$5:$B$104))=0,IF(FH$3&lt;'الموظفون'!$D$3,"",IF(ISNUMBER(MATCH(FH$3,Holidays,0)),"عطلة",IF(MOD(FH$3-'الموظفون'!$D$3,CycleWork+CycleRest)&lt;CycleWork,INDEX('الإعدادات والقوائم'!$H$2:$H$4,MOD(INT(MOD(FH$3-'الموظفون'!$D$3,CycleWork+CycleRest)*3/CycleWork)+MATCH(StartShift,'الإعدادات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الإجازات'!$D$5:$D$104&lt;=FH$3)*(('حجز الإجازات'!$E$5:$E$104)&gt;=FH$3)*('حجز الإجازات'!$G$5:$G$104="معتمد")*ROW('حجز الإجازات'!$B$5:$B$104)))-5+1))</f>
        <v/>
      </c>
      <c r="FI5" s="62">
        <f>IF(SUMPRODUCT(('حجز الإجازات'!$B$5:$B$104='الموظفون'!$B$3)*('حجز الإجازات'!$D$5:$D$104&lt;=FI$3)*(('حجز الإجازات'!$E$5:$E$104)&gt;=FI$3)*('حجز الإجازات'!$G$5:$G$104="معتمد")*ROW('حجز الإجازات'!$B$5:$B$104))=0,IF(FI$3&lt;'الموظفون'!$D$3,"",IF(ISNUMBER(MATCH(FI$3,Holidays,0)),"عطلة",IF(MOD(FI$3-'الموظفون'!$D$3,CycleWork+CycleRest)&lt;CycleWork,INDEX('الإعدادات والقوائم'!$H$2:$H$4,MOD(INT(MOD(FI$3-'الموظفون'!$D$3,CycleWork+CycleRest)*3/CycleWork)+MATCH(StartShift,'الإعدادات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الإجازات'!$D$5:$D$104&lt;=FI$3)*(('حجز الإجازات'!$E$5:$E$104)&gt;=FI$3)*('حجز الإجازات'!$G$5:$G$104="معتمد")*ROW('حجز الإجازات'!$B$5:$B$104)))-5+1))</f>
        <v/>
      </c>
      <c r="FJ5" s="62">
        <f>IF(SUMPRODUCT(('حجز الإجازات'!$B$5:$B$104='الموظفون'!$B$3)*('حجز الإجازات'!$D$5:$D$104&lt;=FJ$3)*(('حجز الإجازات'!$E$5:$E$104)&gt;=FJ$3)*('حجز الإجازات'!$G$5:$G$104="معتمد")*ROW('حجز الإجازات'!$B$5:$B$104))=0,IF(FJ$3&lt;'الموظفون'!$D$3,"",IF(ISNUMBER(MATCH(FJ$3,Holidays,0)),"عطلة",IF(MOD(FJ$3-'الموظفون'!$D$3,CycleWork+CycleRest)&lt;CycleWork,INDEX('الإعدادات والقوائم'!$H$2:$H$4,MOD(INT(MOD(FJ$3-'الموظفون'!$D$3,CycleWork+CycleRest)*3/CycleWork)+MATCH(StartShift,'الإعدادات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الإجازات'!$D$5:$D$104&lt;=FJ$3)*(('حجز الإجازات'!$E$5:$E$104)&gt;=FJ$3)*('حجز الإجازات'!$G$5:$G$104="معتمد")*ROW('حجز الإجازات'!$B$5:$B$104)))-5+1))</f>
        <v/>
      </c>
      <c r="FK5" s="62">
        <f>IF(SUMPRODUCT(('حجز الإجازات'!$B$5:$B$104='الموظفون'!$B$3)*('حجز الإجازات'!$D$5:$D$104&lt;=FK$3)*(('حجز الإجازات'!$E$5:$E$104)&gt;=FK$3)*('حجز الإجازات'!$G$5:$G$104="معتمد")*ROW('حجز الإجازات'!$B$5:$B$104))=0,IF(FK$3&lt;'الموظفون'!$D$3,"",IF(ISNUMBER(MATCH(FK$3,Holidays,0)),"عطلة",IF(MOD(FK$3-'الموظفون'!$D$3,CycleWork+CycleRest)&lt;CycleWork,INDEX('الإعدادات والقوائم'!$H$2:$H$4,MOD(INT(MOD(FK$3-'الموظفون'!$D$3,CycleWork+CycleRest)*3/CycleWork)+MATCH(StartShift,'الإعدادات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الإجازات'!$D$5:$D$104&lt;=FK$3)*(('حجز الإجازات'!$E$5:$E$104)&gt;=FK$3)*('حجز الإجازات'!$G$5:$G$104="معتمد")*ROW('حجز الإجازات'!$B$5:$B$104)))-5+1))</f>
        <v/>
      </c>
      <c r="FL5" s="62">
        <f>IF(SUMPRODUCT(('حجز الإجازات'!$B$5:$B$104='الموظفون'!$B$3)*('حجز الإجازات'!$D$5:$D$104&lt;=FL$3)*(('حجز الإجازات'!$E$5:$E$104)&gt;=FL$3)*('حجز الإجازات'!$G$5:$G$104="معتمد")*ROW('حجز الإجازات'!$B$5:$B$104))=0,IF(FL$3&lt;'الموظفون'!$D$3,"",IF(ISNUMBER(MATCH(FL$3,Holidays,0)),"عطلة",IF(MOD(FL$3-'الموظفون'!$D$3,CycleWork+CycleRest)&lt;CycleWork,INDEX('الإعدادات والقوائم'!$H$2:$H$4,MOD(INT(MOD(FL$3-'الموظفون'!$D$3,CycleWork+CycleRest)*3/CycleWork)+MATCH(StartShift,'الإعدادات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الإجازات'!$D$5:$D$104&lt;=FL$3)*(('حجز الإجازات'!$E$5:$E$104)&gt;=FL$3)*('حجز الإجازات'!$G$5:$G$104="معتمد")*ROW('حجز الإجازات'!$B$5:$B$104)))-5+1))</f>
        <v/>
      </c>
      <c r="FM5" s="62">
        <f>IF(SUMPRODUCT(('حجز الإجازات'!$B$5:$B$104='الموظفون'!$B$3)*('حجز الإجازات'!$D$5:$D$104&lt;=FM$3)*(('حجز الإجازات'!$E$5:$E$104)&gt;=FM$3)*('حجز الإجازات'!$G$5:$G$104="معتمد")*ROW('حجز الإجازات'!$B$5:$B$104))=0,IF(FM$3&lt;'الموظفون'!$D$3,"",IF(ISNUMBER(MATCH(FM$3,Holidays,0)),"عطلة",IF(MOD(FM$3-'الموظفون'!$D$3,CycleWork+CycleRest)&lt;CycleWork,INDEX('الإعدادات والقوائم'!$H$2:$H$4,MOD(INT(MOD(FM$3-'الموظفون'!$D$3,CycleWork+CycleRest)*3/CycleWork)+MATCH(StartShift,'الإعدادات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الإجازات'!$D$5:$D$104&lt;=FM$3)*(('حجز الإجازات'!$E$5:$E$104)&gt;=FM$3)*('حجز الإجازات'!$G$5:$G$104="معتمد")*ROW('حجز الإجازات'!$B$5:$B$104)))-5+1))</f>
        <v/>
      </c>
      <c r="FN5" s="62">
        <f>IF(SUMPRODUCT(('حجز الإجازات'!$B$5:$B$104='الموظفون'!$B$3)*('حجز الإجازات'!$D$5:$D$104&lt;=FN$3)*(('حجز الإجازات'!$E$5:$E$104)&gt;=FN$3)*('حجز الإجازات'!$G$5:$G$104="معتمد")*ROW('حجز الإجازات'!$B$5:$B$104))=0,IF(FN$3&lt;'الموظفون'!$D$3,"",IF(ISNUMBER(MATCH(FN$3,Holidays,0)),"عطلة",IF(MOD(FN$3-'الموظفون'!$D$3,CycleWork+CycleRest)&lt;CycleWork,INDEX('الإعدادات والقوائم'!$H$2:$H$4,MOD(INT(MOD(FN$3-'الموظفون'!$D$3,CycleWork+CycleRest)*3/CycleWork)+MATCH(StartShift,'الإعدادات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الإجازات'!$D$5:$D$104&lt;=FN$3)*(('حجز الإجازات'!$E$5:$E$104)&gt;=FN$3)*('حجز الإجازات'!$G$5:$G$104="معتمد")*ROW('حجز الإجازات'!$B$5:$B$104)))-5+1))</f>
        <v/>
      </c>
      <c r="FO5" s="62">
        <f>IF(SUMPRODUCT(('حجز الإجازات'!$B$5:$B$104='الموظفون'!$B$3)*('حجز الإجازات'!$D$5:$D$104&lt;=FO$3)*(('حجز الإجازات'!$E$5:$E$104)&gt;=FO$3)*('حجز الإجازات'!$G$5:$G$104="معتمد")*ROW('حجز الإجازات'!$B$5:$B$104))=0,IF(FO$3&lt;'الموظفون'!$D$3,"",IF(ISNUMBER(MATCH(FO$3,Holidays,0)),"عطلة",IF(MOD(FO$3-'الموظفون'!$D$3,CycleWork+CycleRest)&lt;CycleWork,INDEX('الإعدادات والقوائم'!$H$2:$H$4,MOD(INT(MOD(FO$3-'الموظفون'!$D$3,CycleWork+CycleRest)*3/CycleWork)+MATCH(StartShift,'الإعدادات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الإجازات'!$D$5:$D$104&lt;=FO$3)*(('حجز الإجازات'!$E$5:$E$104)&gt;=FO$3)*('حجز الإجازات'!$G$5:$G$104="معتمد")*ROW('حجز الإجازات'!$B$5:$B$104)))-5+1))</f>
        <v/>
      </c>
      <c r="FP5" s="62">
        <f>IF(SUMPRODUCT(('حجز الإجازات'!$B$5:$B$104='الموظفون'!$B$3)*('حجز الإجازات'!$D$5:$D$104&lt;=FP$3)*(('حجز الإجازات'!$E$5:$E$104)&gt;=FP$3)*('حجز الإجازات'!$G$5:$G$104="معتمد")*ROW('حجز الإجازات'!$B$5:$B$104))=0,IF(FP$3&lt;'الموظفون'!$D$3,"",IF(ISNUMBER(MATCH(FP$3,Holidays,0)),"عطلة",IF(MOD(FP$3-'الموظفون'!$D$3,CycleWork+CycleRest)&lt;CycleWork,INDEX('الإعدادات والقوائم'!$H$2:$H$4,MOD(INT(MOD(FP$3-'الموظفون'!$D$3,CycleWork+CycleRest)*3/CycleWork)+MATCH(StartShift,'الإعدادات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الإجازات'!$D$5:$D$104&lt;=FP$3)*(('حجز الإجازات'!$E$5:$E$104)&gt;=FP$3)*('حجز الإجازات'!$G$5:$G$104="معتمد")*ROW('حجز الإجازات'!$B$5:$B$104)))-5+1))</f>
        <v/>
      </c>
      <c r="FQ5" s="62">
        <f>IF(SUMPRODUCT(('حجز الإجازات'!$B$5:$B$104='الموظفون'!$B$3)*('حجز الإجازات'!$D$5:$D$104&lt;=FQ$3)*(('حجز الإجازات'!$E$5:$E$104)&gt;=FQ$3)*('حجز الإجازات'!$G$5:$G$104="معتمد")*ROW('حجز الإجازات'!$B$5:$B$104))=0,IF(FQ$3&lt;'الموظفون'!$D$3,"",IF(ISNUMBER(MATCH(FQ$3,Holidays,0)),"عطلة",IF(MOD(FQ$3-'الموظفون'!$D$3,CycleWork+CycleRest)&lt;CycleWork,INDEX('الإعدادات والقوائم'!$H$2:$H$4,MOD(INT(MOD(FQ$3-'الموظفون'!$D$3,CycleWork+CycleRest)*3/CycleWork)+MATCH(StartShift,'الإعدادات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الإجازات'!$D$5:$D$104&lt;=FQ$3)*(('حجز الإجازات'!$E$5:$E$104)&gt;=FQ$3)*('حجز الإجازات'!$G$5:$G$104="معتمد")*ROW('حجز الإجازات'!$B$5:$B$104)))-5+1))</f>
        <v/>
      </c>
      <c r="FR5" s="62">
        <f>IF(SUMPRODUCT(('حجز الإجازات'!$B$5:$B$104='الموظفون'!$B$3)*('حجز الإجازات'!$D$5:$D$104&lt;=FR$3)*(('حجز الإجازات'!$E$5:$E$104)&gt;=FR$3)*('حجز الإجازات'!$G$5:$G$104="معتمد")*ROW('حجز الإجازات'!$B$5:$B$104))=0,IF(FR$3&lt;'الموظفون'!$D$3,"",IF(ISNUMBER(MATCH(FR$3,Holidays,0)),"عطلة",IF(MOD(FR$3-'الموظفون'!$D$3,CycleWork+CycleRest)&lt;CycleWork,INDEX('الإعدادات والقوائم'!$H$2:$H$4,MOD(INT(MOD(FR$3-'الموظفون'!$D$3,CycleWork+CycleRest)*3/CycleWork)+MATCH(StartShift,'الإعدادات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الإجازات'!$D$5:$D$104&lt;=FR$3)*(('حجز الإجازات'!$E$5:$E$104)&gt;=FR$3)*('حجز الإجازات'!$G$5:$G$104="معتمد")*ROW('حجز الإجازات'!$B$5:$B$104)))-5+1))</f>
        <v/>
      </c>
      <c r="FS5" s="62">
        <f>IF(SUMPRODUCT(('حجز الإجازات'!$B$5:$B$104='الموظفون'!$B$3)*('حجز الإجازات'!$D$5:$D$104&lt;=FS$3)*(('حجز الإجازات'!$E$5:$E$104)&gt;=FS$3)*('حجز الإجازات'!$G$5:$G$104="معتمد")*ROW('حجز الإجازات'!$B$5:$B$104))=0,IF(FS$3&lt;'الموظفون'!$D$3,"",IF(ISNUMBER(MATCH(FS$3,Holidays,0)),"عطلة",IF(MOD(FS$3-'الموظفون'!$D$3,CycleWork+CycleRest)&lt;CycleWork,INDEX('الإعدادات والقوائم'!$H$2:$H$4,MOD(INT(MOD(FS$3-'الموظفون'!$D$3,CycleWork+CycleRest)*3/CycleWork)+MATCH(StartShift,'الإعدادات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الإجازات'!$D$5:$D$104&lt;=FS$3)*(('حجز الإجازات'!$E$5:$E$104)&gt;=FS$3)*('حجز الإجازات'!$G$5:$G$104="معتمد")*ROW('حجز الإجازات'!$B$5:$B$104)))-5+1))</f>
        <v/>
      </c>
      <c r="FT5" s="62">
        <f>IF(SUMPRODUCT(('حجز الإجازات'!$B$5:$B$104='الموظفون'!$B$3)*('حجز الإجازات'!$D$5:$D$104&lt;=FT$3)*(('حجز الإجازات'!$E$5:$E$104)&gt;=FT$3)*('حجز الإجازات'!$G$5:$G$104="معتمد")*ROW('حجز الإجازات'!$B$5:$B$104))=0,IF(FT$3&lt;'الموظفون'!$D$3,"",IF(ISNUMBER(MATCH(FT$3,Holidays,0)),"عطلة",IF(MOD(FT$3-'الموظفون'!$D$3,CycleWork+CycleRest)&lt;CycleWork,INDEX('الإعدادات والقوائم'!$H$2:$H$4,MOD(INT(MOD(FT$3-'الموظفون'!$D$3,CycleWork+CycleRest)*3/CycleWork)+MATCH(StartShift,'الإعدادات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الإجازات'!$D$5:$D$104&lt;=FT$3)*(('حجز الإجازات'!$E$5:$E$104)&gt;=FT$3)*('حجز الإجازات'!$G$5:$G$104="معتمد")*ROW('حجز الإجازات'!$B$5:$B$104)))-5+1))</f>
        <v/>
      </c>
      <c r="FU5" s="62">
        <f>IF(SUMPRODUCT(('حجز الإجازات'!$B$5:$B$104='الموظفون'!$B$3)*('حجز الإجازات'!$D$5:$D$104&lt;=FU$3)*(('حجز الإجازات'!$E$5:$E$104)&gt;=FU$3)*('حجز الإجازات'!$G$5:$G$104="معتمد")*ROW('حجز الإجازات'!$B$5:$B$104))=0,IF(FU$3&lt;'الموظفون'!$D$3,"",IF(ISNUMBER(MATCH(FU$3,Holidays,0)),"عطلة",IF(MOD(FU$3-'الموظفون'!$D$3,CycleWork+CycleRest)&lt;CycleWork,INDEX('الإعدادات والقوائم'!$H$2:$H$4,MOD(INT(MOD(FU$3-'الموظفون'!$D$3,CycleWork+CycleRest)*3/CycleWork)+MATCH(StartShift,'الإعدادات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الإجازات'!$D$5:$D$104&lt;=FU$3)*(('حجز الإجازات'!$E$5:$E$104)&gt;=FU$3)*('حجز الإجازات'!$G$5:$G$104="معتمد")*ROW('حجز الإجازات'!$B$5:$B$104)))-5+1))</f>
        <v/>
      </c>
      <c r="FV5" s="62">
        <f>IF(SUMPRODUCT(('حجز الإجازات'!$B$5:$B$104='الموظفون'!$B$3)*('حجز الإجازات'!$D$5:$D$104&lt;=FV$3)*(('حجز الإجازات'!$E$5:$E$104)&gt;=FV$3)*('حجز الإجازات'!$G$5:$G$104="معتمد")*ROW('حجز الإجازات'!$B$5:$B$104))=0,IF(FV$3&lt;'الموظفون'!$D$3,"",IF(ISNUMBER(MATCH(FV$3,Holidays,0)),"عطلة",IF(MOD(FV$3-'الموظفون'!$D$3,CycleWork+CycleRest)&lt;CycleWork,INDEX('الإعدادات والقوائم'!$H$2:$H$4,MOD(INT(MOD(FV$3-'الموظفون'!$D$3,CycleWork+CycleRest)*3/CycleWork)+MATCH(StartShift,'الإعدادات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الإجازات'!$D$5:$D$104&lt;=FV$3)*(('حجز الإجازات'!$E$5:$E$104)&gt;=FV$3)*('حجز الإجازات'!$G$5:$G$104="معتمد")*ROW('حجز الإجازات'!$B$5:$B$104)))-5+1))</f>
        <v/>
      </c>
      <c r="FW5" s="62">
        <f>IF(SUMPRODUCT(('حجز الإجازات'!$B$5:$B$104='الموظفون'!$B$3)*('حجز الإجازات'!$D$5:$D$104&lt;=FW$3)*(('حجز الإجازات'!$E$5:$E$104)&gt;=FW$3)*('حجز الإجازات'!$G$5:$G$104="معتمد")*ROW('حجز الإجازات'!$B$5:$B$104))=0,IF(FW$3&lt;'الموظفون'!$D$3,"",IF(ISNUMBER(MATCH(FW$3,Holidays,0)),"عطلة",IF(MOD(FW$3-'الموظفون'!$D$3,CycleWork+CycleRest)&lt;CycleWork,INDEX('الإعدادات والقوائم'!$H$2:$H$4,MOD(INT(MOD(FW$3-'الموظفون'!$D$3,CycleWork+CycleRest)*3/CycleWork)+MATCH(StartShift,'الإعدادات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الإجازات'!$D$5:$D$104&lt;=FW$3)*(('حجز الإجازات'!$E$5:$E$104)&gt;=FW$3)*('حجز الإجازات'!$G$5:$G$104="معتمد")*ROW('حجز الإجازات'!$B$5:$B$104)))-5+1))</f>
        <v/>
      </c>
      <c r="FX5" s="62">
        <f>IF(SUMPRODUCT(('حجز الإجازات'!$B$5:$B$104='الموظفون'!$B$3)*('حجز الإجازات'!$D$5:$D$104&lt;=FX$3)*(('حجز الإجازات'!$E$5:$E$104)&gt;=FX$3)*('حجز الإجازات'!$G$5:$G$104="معتمد")*ROW('حجز الإجازات'!$B$5:$B$104))=0,IF(FX$3&lt;'الموظفون'!$D$3,"",IF(ISNUMBER(MATCH(FX$3,Holidays,0)),"عطلة",IF(MOD(FX$3-'الموظفون'!$D$3,CycleWork+CycleRest)&lt;CycleWork,INDEX('الإعدادات والقوائم'!$H$2:$H$4,MOD(INT(MOD(FX$3-'الموظفون'!$D$3,CycleWork+CycleRest)*3/CycleWork)+MATCH(StartShift,'الإعدادات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الإجازات'!$D$5:$D$104&lt;=FX$3)*(('حجز الإجازات'!$E$5:$E$104)&gt;=FX$3)*('حجز الإجازات'!$G$5:$G$104="معتمد")*ROW('حجز الإجازات'!$B$5:$B$104)))-5+1))</f>
        <v/>
      </c>
      <c r="FY5" s="62">
        <f>IF(SUMPRODUCT(('حجز الإجازات'!$B$5:$B$104='الموظفون'!$B$3)*('حجز الإجازات'!$D$5:$D$104&lt;=FY$3)*(('حجز الإجازات'!$E$5:$E$104)&gt;=FY$3)*('حجز الإجازات'!$G$5:$G$104="معتمد")*ROW('حجز الإجازات'!$B$5:$B$104))=0,IF(FY$3&lt;'الموظفون'!$D$3,"",IF(ISNUMBER(MATCH(FY$3,Holidays,0)),"عطلة",IF(MOD(FY$3-'الموظفون'!$D$3,CycleWork+CycleRest)&lt;CycleWork,INDEX('الإعدادات والقوائم'!$H$2:$H$4,MOD(INT(MOD(FY$3-'الموظفون'!$D$3,CycleWork+CycleRest)*3/CycleWork)+MATCH(StartShift,'الإعدادات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الإجازات'!$D$5:$D$104&lt;=FY$3)*(('حجز الإجازات'!$E$5:$E$104)&gt;=FY$3)*('حجز الإجازات'!$G$5:$G$104="معتمد")*ROW('حجز الإجازات'!$B$5:$B$104)))-5+1))</f>
        <v/>
      </c>
      <c r="FZ5" s="62">
        <f>IF(SUMPRODUCT(('حجز الإجازات'!$B$5:$B$104='الموظفون'!$B$3)*('حجز الإجازات'!$D$5:$D$104&lt;=FZ$3)*(('حجز الإجازات'!$E$5:$E$104)&gt;=FZ$3)*('حجز الإجازات'!$G$5:$G$104="معتمد")*ROW('حجز الإجازات'!$B$5:$B$104))=0,IF(FZ$3&lt;'الموظفون'!$D$3,"",IF(ISNUMBER(MATCH(FZ$3,Holidays,0)),"عطلة",IF(MOD(FZ$3-'الموظفون'!$D$3,CycleWork+CycleRest)&lt;CycleWork,INDEX('الإعدادات والقوائم'!$H$2:$H$4,MOD(INT(MOD(FZ$3-'الموظفون'!$D$3,CycleWork+CycleRest)*3/CycleWork)+MATCH(StartShift,'الإعدادات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الإجازات'!$D$5:$D$104&lt;=FZ$3)*(('حجز الإجازات'!$E$5:$E$104)&gt;=FZ$3)*('حجز الإجازات'!$G$5:$G$104="معتمد")*ROW('حجز الإجازات'!$B$5:$B$104)))-5+1))</f>
        <v/>
      </c>
      <c r="GA5" s="62">
        <f>IF(SUMPRODUCT(('حجز الإجازات'!$B$5:$B$104='الموظفون'!$B$3)*('حجز الإجازات'!$D$5:$D$104&lt;=GA$3)*(('حجز الإجازات'!$E$5:$E$104)&gt;=GA$3)*('حجز الإجازات'!$G$5:$G$104="معتمد")*ROW('حجز الإجازات'!$B$5:$B$104))=0,IF(GA$3&lt;'الموظفون'!$D$3,"",IF(ISNUMBER(MATCH(GA$3,Holidays,0)),"عطلة",IF(MOD(GA$3-'الموظفون'!$D$3,CycleWork+CycleRest)&lt;CycleWork,INDEX('الإعدادات والقوائم'!$H$2:$H$4,MOD(INT(MOD(GA$3-'الموظفون'!$D$3,CycleWork+CycleRest)*3/CycleWork)+MATCH(StartShift,'الإعدادات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الإجازات'!$D$5:$D$104&lt;=GA$3)*(('حجز الإجازات'!$E$5:$E$104)&gt;=GA$3)*('حجز الإجازات'!$G$5:$G$104="معتمد")*ROW('حجز الإجازات'!$B$5:$B$104)))-5+1))</f>
        <v/>
      </c>
      <c r="GB5" s="62">
        <f>IF(SUMPRODUCT(('حجز الإجازات'!$B$5:$B$104='الموظفون'!$B$3)*('حجز الإجازات'!$D$5:$D$104&lt;=GB$3)*(('حجز الإجازات'!$E$5:$E$104)&gt;=GB$3)*('حجز الإجازات'!$G$5:$G$104="معتمد")*ROW('حجز الإجازات'!$B$5:$B$104))=0,IF(GB$3&lt;'الموظفون'!$D$3,"",IF(ISNUMBER(MATCH(GB$3,Holidays,0)),"عطلة",IF(MOD(GB$3-'الموظفون'!$D$3,CycleWork+CycleRest)&lt;CycleWork,INDEX('الإعدادات والقوائم'!$H$2:$H$4,MOD(INT(MOD(GB$3-'الموظفون'!$D$3,CycleWork+CycleRest)*3/CycleWork)+MATCH(StartShift,'الإعدادات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الإجازات'!$D$5:$D$104&lt;=GB$3)*(('حجز الإجازات'!$E$5:$E$104)&gt;=GB$3)*('حجز الإجازات'!$G$5:$G$104="معتمد")*ROW('حجز الإجازات'!$B$5:$B$104)))-5+1))</f>
        <v/>
      </c>
      <c r="GC5" s="62">
        <f>IF(SUMPRODUCT(('حجز الإجازات'!$B$5:$B$104='الموظفون'!$B$3)*('حجز الإجازات'!$D$5:$D$104&lt;=GC$3)*(('حجز الإجازات'!$E$5:$E$104)&gt;=GC$3)*('حجز الإجازات'!$G$5:$G$104="معتمد")*ROW('حجز الإجازات'!$B$5:$B$104))=0,IF(GC$3&lt;'الموظفون'!$D$3,"",IF(ISNUMBER(MATCH(GC$3,Holidays,0)),"عطلة",IF(MOD(GC$3-'الموظفون'!$D$3,CycleWork+CycleRest)&lt;CycleWork,INDEX('الإعدادات والقوائم'!$H$2:$H$4,MOD(INT(MOD(GC$3-'الموظفون'!$D$3,CycleWork+CycleRest)*3/CycleWork)+MATCH(StartShift,'الإعدادات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الإجازات'!$D$5:$D$104&lt;=GC$3)*(('حجز الإجازات'!$E$5:$E$104)&gt;=GC$3)*('حجز الإجازات'!$G$5:$G$104="معتمد")*ROW('حجز الإجازات'!$B$5:$B$104)))-5+1))</f>
        <v/>
      </c>
      <c r="GD5" s="62">
        <f>IF(SUMPRODUCT(('حجز الإجازات'!$B$5:$B$104='الموظفون'!$B$3)*('حجز الإجازات'!$D$5:$D$104&lt;=GD$3)*(('حجز الإجازات'!$E$5:$E$104)&gt;=GD$3)*('حجز الإجازات'!$G$5:$G$104="معتمد")*ROW('حجز الإجازات'!$B$5:$B$104))=0,IF(GD$3&lt;'الموظفون'!$D$3,"",IF(ISNUMBER(MATCH(GD$3,Holidays,0)),"عطلة",IF(MOD(GD$3-'الموظفون'!$D$3,CycleWork+CycleRest)&lt;CycleWork,INDEX('الإعدادات والقوائم'!$H$2:$H$4,MOD(INT(MOD(GD$3-'الموظفون'!$D$3,CycleWork+CycleRest)*3/CycleWork)+MATCH(StartShift,'الإعدادات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الإجازات'!$D$5:$D$104&lt;=GD$3)*(('حجز الإجازات'!$E$5:$E$104)&gt;=GD$3)*('حجز الإجازات'!$G$5:$G$104="معتمد")*ROW('حجز الإجازات'!$B$5:$B$104)))-5+1))</f>
        <v/>
      </c>
      <c r="GE5" s="62">
        <f>IF(SUMPRODUCT(('حجز الإجازات'!$B$5:$B$104='الموظفون'!$B$3)*('حجز الإجازات'!$D$5:$D$104&lt;=GE$3)*(('حجز الإجازات'!$E$5:$E$104)&gt;=GE$3)*('حجز الإجازات'!$G$5:$G$104="معتمد")*ROW('حجز الإجازات'!$B$5:$B$104))=0,IF(GE$3&lt;'الموظفون'!$D$3,"",IF(ISNUMBER(MATCH(GE$3,Holidays,0)),"عطلة",IF(MOD(GE$3-'الموظفون'!$D$3,CycleWork+CycleRest)&lt;CycleWork,INDEX('الإعدادات والقوائم'!$H$2:$H$4,MOD(INT(MOD(GE$3-'الموظفون'!$D$3,CycleWork+CycleRest)*3/CycleWork)+MATCH(StartShift,'الإعدادات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الإجازات'!$D$5:$D$104&lt;=GE$3)*(('حجز الإجازات'!$E$5:$E$104)&gt;=GE$3)*('حجز الإجازات'!$G$5:$G$104="معتمد")*ROW('حجز الإجازات'!$B$5:$B$104)))-5+1))</f>
        <v/>
      </c>
      <c r="GF5" s="62">
        <f>IF(SUMPRODUCT(('حجز الإجازات'!$B$5:$B$104='الموظفون'!$B$3)*('حجز الإجازات'!$D$5:$D$104&lt;=GF$3)*(('حجز الإجازات'!$E$5:$E$104)&gt;=GF$3)*('حجز الإجازات'!$G$5:$G$104="معتمد")*ROW('حجز الإجازات'!$B$5:$B$104))=0,IF(GF$3&lt;'الموظفون'!$D$3,"",IF(ISNUMBER(MATCH(GF$3,Holidays,0)),"عطلة",IF(MOD(GF$3-'الموظفون'!$D$3,CycleWork+CycleRest)&lt;CycleWork,INDEX('الإعدادات والقوائم'!$H$2:$H$4,MOD(INT(MOD(GF$3-'الموظفون'!$D$3,CycleWork+CycleRest)*3/CycleWork)+MATCH(StartShift,'الإعدادات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الإجازات'!$D$5:$D$104&lt;=GF$3)*(('حجز الإجازات'!$E$5:$E$104)&gt;=GF$3)*('حجز الإجازات'!$G$5:$G$104="معتمد")*ROW('حجز الإجازات'!$B$5:$B$104)))-5+1))</f>
        <v/>
      </c>
      <c r="GG5" s="62">
        <f>IF(SUMPRODUCT(('حجز الإجازات'!$B$5:$B$104='الموظفون'!$B$3)*('حجز الإجازات'!$D$5:$D$104&lt;=GG$3)*(('حجز الإجازات'!$E$5:$E$104)&gt;=GG$3)*('حجز الإجازات'!$G$5:$G$104="معتمد")*ROW('حجز الإجازات'!$B$5:$B$104))=0,IF(GG$3&lt;'الموظفون'!$D$3,"",IF(ISNUMBER(MATCH(GG$3,Holidays,0)),"عطلة",IF(MOD(GG$3-'الموظفون'!$D$3,CycleWork+CycleRest)&lt;CycleWork,INDEX('الإعدادات والقوائم'!$H$2:$H$4,MOD(INT(MOD(GG$3-'الموظفون'!$D$3,CycleWork+CycleRest)*3/CycleWork)+MATCH(StartShift,'الإعدادات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الإجازات'!$D$5:$D$104&lt;=GG$3)*(('حجز الإجازات'!$E$5:$E$104)&gt;=GG$3)*('حجز الإجازات'!$G$5:$G$104="معتمد")*ROW('حجز الإجازات'!$B$5:$B$104)))-5+1))</f>
        <v/>
      </c>
      <c r="GH5" s="62">
        <f>IF(SUMPRODUCT(('حجز الإجازات'!$B$5:$B$104='الموظفون'!$B$3)*('حجز الإجازات'!$D$5:$D$104&lt;=GH$3)*(('حجز الإجازات'!$E$5:$E$104)&gt;=GH$3)*('حجز الإجازات'!$G$5:$G$104="معتمد")*ROW('حجز الإجازات'!$B$5:$B$104))=0,IF(GH$3&lt;'الموظفون'!$D$3,"",IF(ISNUMBER(MATCH(GH$3,Holidays,0)),"عطلة",IF(MOD(GH$3-'الموظفون'!$D$3,CycleWork+CycleRest)&lt;CycleWork,INDEX('الإعدادات والقوائم'!$H$2:$H$4,MOD(INT(MOD(GH$3-'الموظفون'!$D$3,CycleWork+CycleRest)*3/CycleWork)+MATCH(StartShift,'الإعدادات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الإجازات'!$D$5:$D$104&lt;=GH$3)*(('حجز الإجازات'!$E$5:$E$104)&gt;=GH$3)*('حجز الإجازات'!$G$5:$G$104="معتمد")*ROW('حجز الإجازات'!$B$5:$B$104)))-5+1))</f>
        <v/>
      </c>
      <c r="GI5" s="62">
        <f>IF(SUMPRODUCT(('حجز الإجازات'!$B$5:$B$104='الموظفون'!$B$3)*('حجز الإجازات'!$D$5:$D$104&lt;=GI$3)*(('حجز الإجازات'!$E$5:$E$104)&gt;=GI$3)*('حجز الإجازات'!$G$5:$G$104="معتمد")*ROW('حجز الإجازات'!$B$5:$B$104))=0,IF(GI$3&lt;'الموظفون'!$D$3,"",IF(ISNUMBER(MATCH(GI$3,Holidays,0)),"عطلة",IF(MOD(GI$3-'الموظفون'!$D$3,CycleWork+CycleRest)&lt;CycleWork,INDEX('الإعدادات والقوائم'!$H$2:$H$4,MOD(INT(MOD(GI$3-'الموظفون'!$D$3,CycleWork+CycleRest)*3/CycleWork)+MATCH(StartShift,'الإعدادات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الإجازات'!$D$5:$D$104&lt;=GI$3)*(('حجز الإجازات'!$E$5:$E$104)&gt;=GI$3)*('حجز الإجازات'!$G$5:$G$104="معتمد")*ROW('حجز الإجازات'!$B$5:$B$104)))-5+1))</f>
        <v/>
      </c>
      <c r="GJ5" s="62">
        <f>IF(SUMPRODUCT(('حجز الإجازات'!$B$5:$B$104='الموظفون'!$B$3)*('حجز الإجازات'!$D$5:$D$104&lt;=GJ$3)*(('حجز الإجازات'!$E$5:$E$104)&gt;=GJ$3)*('حجز الإجازات'!$G$5:$G$104="معتمد")*ROW('حجز الإجازات'!$B$5:$B$104))=0,IF(GJ$3&lt;'الموظفون'!$D$3,"",IF(ISNUMBER(MATCH(GJ$3,Holidays,0)),"عطلة",IF(MOD(GJ$3-'الموظفون'!$D$3,CycleWork+CycleRest)&lt;CycleWork,INDEX('الإعدادات والقوائم'!$H$2:$H$4,MOD(INT(MOD(GJ$3-'الموظفون'!$D$3,CycleWork+CycleRest)*3/CycleWork)+MATCH(StartShift,'الإعدادات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الإجازات'!$D$5:$D$104&lt;=GJ$3)*(('حجز الإجازات'!$E$5:$E$104)&gt;=GJ$3)*('حجز الإجازات'!$G$5:$G$104="معتمد")*ROW('حجز الإجازات'!$B$5:$B$104)))-5+1))</f>
        <v/>
      </c>
      <c r="GK5" s="62">
        <f>IF(SUMPRODUCT(('حجز الإجازات'!$B$5:$B$104='الموظفون'!$B$3)*('حجز الإجازات'!$D$5:$D$104&lt;=GK$3)*(('حجز الإجازات'!$E$5:$E$104)&gt;=GK$3)*('حجز الإجازات'!$G$5:$G$104="معتمد")*ROW('حجز الإجازات'!$B$5:$B$104))=0,IF(GK$3&lt;'الموظفون'!$D$3,"",IF(ISNUMBER(MATCH(GK$3,Holidays,0)),"عطلة",IF(MOD(GK$3-'الموظفون'!$D$3,CycleWork+CycleRest)&lt;CycleWork,INDEX('الإعدادات والقوائم'!$H$2:$H$4,MOD(INT(MOD(GK$3-'الموظفون'!$D$3,CycleWork+CycleRest)*3/CycleWork)+MATCH(StartShift,'الإعدادات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الإجازات'!$D$5:$D$104&lt;=GK$3)*(('حجز الإجازات'!$E$5:$E$104)&gt;=GK$3)*('حجز الإجازات'!$G$5:$G$104="معتمد")*ROW('حجز الإجازات'!$B$5:$B$104)))-5+1))</f>
        <v/>
      </c>
      <c r="GL5" s="62">
        <f>IF(SUMPRODUCT(('حجز الإجازات'!$B$5:$B$104='الموظفون'!$B$3)*('حجز الإجازات'!$D$5:$D$104&lt;=GL$3)*(('حجز الإجازات'!$E$5:$E$104)&gt;=GL$3)*('حجز الإجازات'!$G$5:$G$104="معتمد")*ROW('حجز الإجازات'!$B$5:$B$104))=0,IF(GL$3&lt;'الموظفون'!$D$3,"",IF(ISNUMBER(MATCH(GL$3,Holidays,0)),"عطلة",IF(MOD(GL$3-'الموظفون'!$D$3,CycleWork+CycleRest)&lt;CycleWork,INDEX('الإعدادات والقوائم'!$H$2:$H$4,MOD(INT(MOD(GL$3-'الموظفون'!$D$3,CycleWork+CycleRest)*3/CycleWork)+MATCH(StartShift,'الإعدادات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الإجازات'!$D$5:$D$104&lt;=GL$3)*(('حجز الإجازات'!$E$5:$E$104)&gt;=GL$3)*('حجز الإجازات'!$G$5:$G$104="معتمد")*ROW('حجز الإجازات'!$B$5:$B$104)))-5+1))</f>
        <v/>
      </c>
      <c r="GM5" s="62">
        <f>IF(SUMPRODUCT(('حجز الإجازات'!$B$5:$B$104='الموظفون'!$B$3)*('حجز الإجازات'!$D$5:$D$104&lt;=GM$3)*(('حجز الإجازات'!$E$5:$E$104)&gt;=GM$3)*('حجز الإجازات'!$G$5:$G$104="معتمد")*ROW('حجز الإجازات'!$B$5:$B$104))=0,IF(GM$3&lt;'الموظفون'!$D$3,"",IF(ISNUMBER(MATCH(GM$3,Holidays,0)),"عطلة",IF(MOD(GM$3-'الموظفون'!$D$3,CycleWork+CycleRest)&lt;CycleWork,INDEX('الإعدادات والقوائم'!$H$2:$H$4,MOD(INT(MOD(GM$3-'الموظفون'!$D$3,CycleWork+CycleRest)*3/CycleWork)+MATCH(StartShift,'الإعدادات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الإجازات'!$D$5:$D$104&lt;=GM$3)*(('حجز الإجازات'!$E$5:$E$104)&gt;=GM$3)*('حجز الإجازات'!$G$5:$G$104="معتمد")*ROW('حجز الإجازات'!$B$5:$B$104)))-5+1))</f>
        <v/>
      </c>
      <c r="GN5" s="62">
        <f>IF(SUMPRODUCT(('حجز الإجازات'!$B$5:$B$104='الموظفون'!$B$3)*('حجز الإجازات'!$D$5:$D$104&lt;=GN$3)*(('حجز الإجازات'!$E$5:$E$104)&gt;=GN$3)*('حجز الإجازات'!$G$5:$G$104="معتمد")*ROW('حجز الإجازات'!$B$5:$B$104))=0,IF(GN$3&lt;'الموظفون'!$D$3,"",IF(ISNUMBER(MATCH(GN$3,Holidays,0)),"عطلة",IF(MOD(GN$3-'الموظفون'!$D$3,CycleWork+CycleRest)&lt;CycleWork,INDEX('الإعدادات والقوائم'!$H$2:$H$4,MOD(INT(MOD(GN$3-'الموظفون'!$D$3,CycleWork+CycleRest)*3/CycleWork)+MATCH(StartShift,'الإعدادات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الإجازات'!$D$5:$D$104&lt;=GN$3)*(('حجز الإجازات'!$E$5:$E$104)&gt;=GN$3)*('حجز الإجازات'!$G$5:$G$104="معتمد")*ROW('حجز الإجازات'!$B$5:$B$104)))-5+1))</f>
        <v/>
      </c>
      <c r="GO5" s="62">
        <f>IF(SUMPRODUCT(('حجز الإجازات'!$B$5:$B$104='الموظفون'!$B$3)*('حجز الإجازات'!$D$5:$D$104&lt;=GO$3)*(('حجز الإجازات'!$E$5:$E$104)&gt;=GO$3)*('حجز الإجازات'!$G$5:$G$104="معتمد")*ROW('حجز الإجازات'!$B$5:$B$104))=0,IF(GO$3&lt;'الموظفون'!$D$3,"",IF(ISNUMBER(MATCH(GO$3,Holidays,0)),"عطلة",IF(MOD(GO$3-'الموظفون'!$D$3,CycleWork+CycleRest)&lt;CycleWork,INDEX('الإعدادات والقوائم'!$H$2:$H$4,MOD(INT(MOD(GO$3-'الموظفون'!$D$3,CycleWork+CycleRest)*3/CycleWork)+MATCH(StartShift,'الإعدادات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الإجازات'!$D$5:$D$104&lt;=GO$3)*(('حجز الإجازات'!$E$5:$E$104)&gt;=GO$3)*('حجز الإجازات'!$G$5:$G$104="معتمد")*ROW('حجز الإجازات'!$B$5:$B$104)))-5+1))</f>
        <v/>
      </c>
      <c r="GP5" s="62">
        <f>IF(SUMPRODUCT(('حجز الإجازات'!$B$5:$B$104='الموظفون'!$B$3)*('حجز الإجازات'!$D$5:$D$104&lt;=GP$3)*(('حجز الإجازات'!$E$5:$E$104)&gt;=GP$3)*('حجز الإجازات'!$G$5:$G$104="معتمد")*ROW('حجز الإجازات'!$B$5:$B$104))=0,IF(GP$3&lt;'الموظفون'!$D$3,"",IF(ISNUMBER(MATCH(GP$3,Holidays,0)),"عطلة",IF(MOD(GP$3-'الموظفون'!$D$3,CycleWork+CycleRest)&lt;CycleWork,INDEX('الإعدادات والقوائم'!$H$2:$H$4,MOD(INT(MOD(GP$3-'الموظفون'!$D$3,CycleWork+CycleRest)*3/CycleWork)+MATCH(StartShift,'الإعدادات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الإجازات'!$D$5:$D$104&lt;=GP$3)*(('حجز الإجازات'!$E$5:$E$104)&gt;=GP$3)*('حجز الإجازات'!$G$5:$G$104="معتمد")*ROW('حجز الإجازات'!$B$5:$B$104)))-5+1))</f>
        <v/>
      </c>
      <c r="GQ5" s="62">
        <f>IF(SUMPRODUCT(('حجز الإجازات'!$B$5:$B$104='الموظفون'!$B$3)*('حجز الإجازات'!$D$5:$D$104&lt;=GQ$3)*(('حجز الإجازات'!$E$5:$E$104)&gt;=GQ$3)*('حجز الإجازات'!$G$5:$G$104="معتمد")*ROW('حجز الإجازات'!$B$5:$B$104))=0,IF(GQ$3&lt;'الموظفون'!$D$3,"",IF(ISNUMBER(MATCH(GQ$3,Holidays,0)),"عطلة",IF(MOD(GQ$3-'الموظفون'!$D$3,CycleWork+CycleRest)&lt;CycleWork,INDEX('الإعدادات والقوائم'!$H$2:$H$4,MOD(INT(MOD(GQ$3-'الموظفون'!$D$3,CycleWork+CycleRest)*3/CycleWork)+MATCH(StartShift,'الإعدادات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الإجازات'!$D$5:$D$104&lt;=GQ$3)*(('حجز الإجازات'!$E$5:$E$104)&gt;=GQ$3)*('حجز الإجازات'!$G$5:$G$104="معتمد")*ROW('حجز الإجازات'!$B$5:$B$104)))-5+1))</f>
        <v/>
      </c>
      <c r="GR5" s="62">
        <f>IF(SUMPRODUCT(('حجز الإجازات'!$B$5:$B$104='الموظفون'!$B$3)*('حجز الإجازات'!$D$5:$D$104&lt;=GR$3)*(('حجز الإجازات'!$E$5:$E$104)&gt;=GR$3)*('حجز الإجازات'!$G$5:$G$104="معتمد")*ROW('حجز الإجازات'!$B$5:$B$104))=0,IF(GR$3&lt;'الموظفون'!$D$3,"",IF(ISNUMBER(MATCH(GR$3,Holidays,0)),"عطلة",IF(MOD(GR$3-'الموظفون'!$D$3,CycleWork+CycleRest)&lt;CycleWork,INDEX('الإعدادات والقوائم'!$H$2:$H$4,MOD(INT(MOD(GR$3-'الموظفون'!$D$3,CycleWork+CycleRest)*3/CycleWork)+MATCH(StartShift,'الإعدادات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الإجازات'!$D$5:$D$104&lt;=GR$3)*(('حجز الإجازات'!$E$5:$E$104)&gt;=GR$3)*('حجز الإجازات'!$G$5:$G$104="معتمد")*ROW('حجز الإجازات'!$B$5:$B$104)))-5+1))</f>
        <v/>
      </c>
      <c r="GS5" s="62">
        <f>IF(SUMPRODUCT(('حجز الإجازات'!$B$5:$B$104='الموظفون'!$B$3)*('حجز الإجازات'!$D$5:$D$104&lt;=GS$3)*(('حجز الإجازات'!$E$5:$E$104)&gt;=GS$3)*('حجز الإجازات'!$G$5:$G$104="معتمد")*ROW('حجز الإجازات'!$B$5:$B$104))=0,IF(GS$3&lt;'الموظفون'!$D$3,"",IF(ISNUMBER(MATCH(GS$3,Holidays,0)),"عطلة",IF(MOD(GS$3-'الموظفون'!$D$3,CycleWork+CycleRest)&lt;CycleWork,INDEX('الإعدادات والقوائم'!$H$2:$H$4,MOD(INT(MOD(GS$3-'الموظفون'!$D$3,CycleWork+CycleRest)*3/CycleWork)+MATCH(StartShift,'الإعدادات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الإجازات'!$D$5:$D$104&lt;=GS$3)*(('حجز الإجازات'!$E$5:$E$104)&gt;=GS$3)*('حجز الإجازات'!$G$5:$G$104="معتمد")*ROW('حجز الإجازات'!$B$5:$B$104)))-5+1))</f>
        <v/>
      </c>
      <c r="GT5" s="62">
        <f>IF(SUMPRODUCT(('حجز الإجازات'!$B$5:$B$104='الموظفون'!$B$3)*('حجز الإجازات'!$D$5:$D$104&lt;=GT$3)*(('حجز الإجازات'!$E$5:$E$104)&gt;=GT$3)*('حجز الإجازات'!$G$5:$G$104="معتمد")*ROW('حجز الإجازات'!$B$5:$B$104))=0,IF(GT$3&lt;'الموظفون'!$D$3,"",IF(ISNUMBER(MATCH(GT$3,Holidays,0)),"عطلة",IF(MOD(GT$3-'الموظفون'!$D$3,CycleWork+CycleRest)&lt;CycleWork,INDEX('الإعدادات والقوائم'!$H$2:$H$4,MOD(INT(MOD(GT$3-'الموظفون'!$D$3,CycleWork+CycleRest)*3/CycleWork)+MATCH(StartShift,'الإعدادات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الإجازات'!$D$5:$D$104&lt;=GT$3)*(('حجز الإجازات'!$E$5:$E$104)&gt;=GT$3)*('حجز الإجازات'!$G$5:$G$104="معتمد")*ROW('حجز الإجازات'!$B$5:$B$104)))-5+1))</f>
        <v/>
      </c>
      <c r="GU5" s="62">
        <f>IF(SUMPRODUCT(('حجز الإجازات'!$B$5:$B$104='الموظفون'!$B$3)*('حجز الإجازات'!$D$5:$D$104&lt;=GU$3)*(('حجز الإجازات'!$E$5:$E$104)&gt;=GU$3)*('حجز الإجازات'!$G$5:$G$104="معتمد")*ROW('حجز الإجازات'!$B$5:$B$104))=0,IF(GU$3&lt;'الموظفون'!$D$3,"",IF(ISNUMBER(MATCH(GU$3,Holidays,0)),"عطلة",IF(MOD(GU$3-'الموظفون'!$D$3,CycleWork+CycleRest)&lt;CycleWork,INDEX('الإعدادات والقوائم'!$H$2:$H$4,MOD(INT(MOD(GU$3-'الموظفون'!$D$3,CycleWork+CycleRest)*3/CycleWork)+MATCH(StartShift,'الإعدادات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الإجازات'!$D$5:$D$104&lt;=GU$3)*(('حجز الإجازات'!$E$5:$E$104)&gt;=GU$3)*('حجز الإجازات'!$G$5:$G$104="معتمد")*ROW('حجز الإجازات'!$B$5:$B$104)))-5+1))</f>
        <v/>
      </c>
      <c r="GV5" s="62">
        <f>IF(SUMPRODUCT(('حجز الإجازات'!$B$5:$B$104='الموظفون'!$B$3)*('حجز الإجازات'!$D$5:$D$104&lt;=GV$3)*(('حجز الإجازات'!$E$5:$E$104)&gt;=GV$3)*('حجز الإجازات'!$G$5:$G$104="معتمد")*ROW('حجز الإجازات'!$B$5:$B$104))=0,IF(GV$3&lt;'الموظفون'!$D$3,"",IF(ISNUMBER(MATCH(GV$3,Holidays,0)),"عطلة",IF(MOD(GV$3-'الموظفون'!$D$3,CycleWork+CycleRest)&lt;CycleWork,INDEX('الإعدادات والقوائم'!$H$2:$H$4,MOD(INT(MOD(GV$3-'الموظفون'!$D$3,CycleWork+CycleRest)*3/CycleWork)+MATCH(StartShift,'الإعدادات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الإجازات'!$D$5:$D$104&lt;=GV$3)*(('حجز الإجازات'!$E$5:$E$104)&gt;=GV$3)*('حجز الإجازات'!$G$5:$G$104="معتمد")*ROW('حجز الإجازات'!$B$5:$B$104)))-5+1))</f>
        <v/>
      </c>
      <c r="GW5" s="62">
        <f>IF(SUMPRODUCT(('حجز الإجازات'!$B$5:$B$104='الموظفون'!$B$3)*('حجز الإجازات'!$D$5:$D$104&lt;=GW$3)*(('حجز الإجازات'!$E$5:$E$104)&gt;=GW$3)*('حجز الإجازات'!$G$5:$G$104="معتمد")*ROW('حجز الإجازات'!$B$5:$B$104))=0,IF(GW$3&lt;'الموظفون'!$D$3,"",IF(ISNUMBER(MATCH(GW$3,Holidays,0)),"عطلة",IF(MOD(GW$3-'الموظفون'!$D$3,CycleWork+CycleRest)&lt;CycleWork,INDEX('الإعدادات والقوائم'!$H$2:$H$4,MOD(INT(MOD(GW$3-'الموظفون'!$D$3,CycleWork+CycleRest)*3/CycleWork)+MATCH(StartShift,'الإعدادات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الإجازات'!$D$5:$D$104&lt;=GW$3)*(('حجز الإجازات'!$E$5:$E$104)&gt;=GW$3)*('حجز الإجازات'!$G$5:$G$104="معتمد")*ROW('حجز الإجازات'!$B$5:$B$104)))-5+1))</f>
        <v/>
      </c>
      <c r="GX5" s="62">
        <f>IF(SUMPRODUCT(('حجز الإجازات'!$B$5:$B$104='الموظفون'!$B$3)*('حجز الإجازات'!$D$5:$D$104&lt;=GX$3)*(('حجز الإجازات'!$E$5:$E$104)&gt;=GX$3)*('حجز الإجازات'!$G$5:$G$104="معتمد")*ROW('حجز الإجازات'!$B$5:$B$104))=0,IF(GX$3&lt;'الموظفون'!$D$3,"",IF(ISNUMBER(MATCH(GX$3,Holidays,0)),"عطلة",IF(MOD(GX$3-'الموظفون'!$D$3,CycleWork+CycleRest)&lt;CycleWork,INDEX('الإعدادات والقوائم'!$H$2:$H$4,MOD(INT(MOD(GX$3-'الموظفون'!$D$3,CycleWork+CycleRest)*3/CycleWork)+MATCH(StartShift,'الإعدادات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الإجازات'!$D$5:$D$104&lt;=GX$3)*(('حجز الإجازات'!$E$5:$E$104)&gt;=GX$3)*('حجز الإجازات'!$G$5:$G$104="معتمد")*ROW('حجز الإجازات'!$B$5:$B$104)))-5+1))</f>
        <v/>
      </c>
      <c r="GY5" s="62">
        <f>IF(SUMPRODUCT(('حجز الإجازات'!$B$5:$B$104='الموظفون'!$B$3)*('حجز الإجازات'!$D$5:$D$104&lt;=GY$3)*(('حجز الإجازات'!$E$5:$E$104)&gt;=GY$3)*('حجز الإجازات'!$G$5:$G$104="معتمد")*ROW('حجز الإجازات'!$B$5:$B$104))=0,IF(GY$3&lt;'الموظفون'!$D$3,"",IF(ISNUMBER(MATCH(GY$3,Holidays,0)),"عطلة",IF(MOD(GY$3-'الموظفون'!$D$3,CycleWork+CycleRest)&lt;CycleWork,INDEX('الإعدادات والقوائم'!$H$2:$H$4,MOD(INT(MOD(GY$3-'الموظفون'!$D$3,CycleWork+CycleRest)*3/CycleWork)+MATCH(StartShift,'الإعدادات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الإجازات'!$D$5:$D$104&lt;=GY$3)*(('حجز الإجازات'!$E$5:$E$104)&gt;=GY$3)*('حجز الإجازات'!$G$5:$G$104="معتمد")*ROW('حجز الإجازات'!$B$5:$B$104)))-5+1))</f>
        <v/>
      </c>
      <c r="GZ5" s="62">
        <f>IF(SUMPRODUCT(('حجز الإجازات'!$B$5:$B$104='الموظفون'!$B$3)*('حجز الإجازات'!$D$5:$D$104&lt;=GZ$3)*(('حجز الإجازات'!$E$5:$E$104)&gt;=GZ$3)*('حجز الإجازات'!$G$5:$G$104="معتمد")*ROW('حجز الإجازات'!$B$5:$B$104))=0,IF(GZ$3&lt;'الموظفون'!$D$3,"",IF(ISNUMBER(MATCH(GZ$3,Holidays,0)),"عطلة",IF(MOD(GZ$3-'الموظفون'!$D$3,CycleWork+CycleRest)&lt;CycleWork,INDEX('الإعدادات والقوائم'!$H$2:$H$4,MOD(INT(MOD(GZ$3-'الموظفون'!$D$3,CycleWork+CycleRest)*3/CycleWork)+MATCH(StartShift,'الإعدادات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الإجازات'!$D$5:$D$104&lt;=GZ$3)*(('حجز الإجازات'!$E$5:$E$104)&gt;=GZ$3)*('حجز الإجازات'!$G$5:$G$104="معتمد")*ROW('حجز الإجازات'!$B$5:$B$104)))-5+1))</f>
        <v/>
      </c>
      <c r="HA5" s="62">
        <f>IF(SUMPRODUCT(('حجز الإجازات'!$B$5:$B$104='الموظفون'!$B$3)*('حجز الإجازات'!$D$5:$D$104&lt;=HA$3)*(('حجز الإجازات'!$E$5:$E$104)&gt;=HA$3)*('حجز الإجازات'!$G$5:$G$104="معتمد")*ROW('حجز الإجازات'!$B$5:$B$104))=0,IF(HA$3&lt;'الموظفون'!$D$3,"",IF(ISNUMBER(MATCH(HA$3,Holidays,0)),"عطلة",IF(MOD(HA$3-'الموظفون'!$D$3,CycleWork+CycleRest)&lt;CycleWork,INDEX('الإعدادات والقوائم'!$H$2:$H$4,MOD(INT(MOD(HA$3-'الموظفون'!$D$3,CycleWork+CycleRest)*3/CycleWork)+MATCH(StartShift,'الإعدادات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الإجازات'!$D$5:$D$104&lt;=HA$3)*(('حجز الإجازات'!$E$5:$E$104)&gt;=HA$3)*('حجز الإجازات'!$G$5:$G$104="معتمد")*ROW('حجز الإجازات'!$B$5:$B$104)))-5+1))</f>
        <v/>
      </c>
      <c r="HB5" s="62">
        <f>IF(SUMPRODUCT(('حجز الإجازات'!$B$5:$B$104='الموظفون'!$B$3)*('حجز الإجازات'!$D$5:$D$104&lt;=HB$3)*(('حجز الإجازات'!$E$5:$E$104)&gt;=HB$3)*('حجز الإجازات'!$G$5:$G$104="معتمد")*ROW('حجز الإجازات'!$B$5:$B$104))=0,IF(HB$3&lt;'الموظفون'!$D$3,"",IF(ISNUMBER(MATCH(HB$3,Holidays,0)),"عطلة",IF(MOD(HB$3-'الموظفون'!$D$3,CycleWork+CycleRest)&lt;CycleWork,INDEX('الإعدادات والقوائم'!$H$2:$H$4,MOD(INT(MOD(HB$3-'الموظفون'!$D$3,CycleWork+CycleRest)*3/CycleWork)+MATCH(StartShift,'الإعدادات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الإجازات'!$D$5:$D$104&lt;=HB$3)*(('حجز الإجازات'!$E$5:$E$104)&gt;=HB$3)*('حجز الإجازات'!$G$5:$G$104="معتمد")*ROW('حجز الإجازات'!$B$5:$B$104)))-5+1))</f>
        <v/>
      </c>
      <c r="HC5" s="62">
        <f>IF(SUMPRODUCT(('حجز الإجازات'!$B$5:$B$104='الموظفون'!$B$3)*('حجز الإجازات'!$D$5:$D$104&lt;=HC$3)*(('حجز الإجازات'!$E$5:$E$104)&gt;=HC$3)*('حجز الإجازات'!$G$5:$G$104="معتمد")*ROW('حجز الإجازات'!$B$5:$B$104))=0,IF(HC$3&lt;'الموظفون'!$D$3,"",IF(ISNUMBER(MATCH(HC$3,Holidays,0)),"عطلة",IF(MOD(HC$3-'الموظفون'!$D$3,CycleWork+CycleRest)&lt;CycleWork,INDEX('الإعدادات والقوائم'!$H$2:$H$4,MOD(INT(MOD(HC$3-'الموظفون'!$D$3,CycleWork+CycleRest)*3/CycleWork)+MATCH(StartShift,'الإعدادات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الإجازات'!$D$5:$D$104&lt;=HC$3)*(('حجز الإجازات'!$E$5:$E$104)&gt;=HC$3)*('حجز الإجازات'!$G$5:$G$104="معتمد")*ROW('حجز الإجازات'!$B$5:$B$104)))-5+1))</f>
        <v/>
      </c>
      <c r="HD5" s="62">
        <f>IF(SUMPRODUCT(('حجز الإجازات'!$B$5:$B$104='الموظفون'!$B$3)*('حجز الإجازات'!$D$5:$D$104&lt;=HD$3)*(('حجز الإجازات'!$E$5:$E$104)&gt;=HD$3)*('حجز الإجازات'!$G$5:$G$104="معتمد")*ROW('حجز الإجازات'!$B$5:$B$104))=0,IF(HD$3&lt;'الموظفون'!$D$3,"",IF(ISNUMBER(MATCH(HD$3,Holidays,0)),"عطلة",IF(MOD(HD$3-'الموظفون'!$D$3,CycleWork+CycleRest)&lt;CycleWork,INDEX('الإعدادات والقوائم'!$H$2:$H$4,MOD(INT(MOD(HD$3-'الموظفون'!$D$3,CycleWork+CycleRest)*3/CycleWork)+MATCH(StartShift,'الإعدادات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الإجازات'!$D$5:$D$104&lt;=HD$3)*(('حجز الإجازات'!$E$5:$E$104)&gt;=HD$3)*('حجز الإجازات'!$G$5:$G$104="معتمد")*ROW('حجز الإجازات'!$B$5:$B$104)))-5+1))</f>
        <v/>
      </c>
      <c r="HE5" s="62">
        <f>IF(SUMPRODUCT(('حجز الإجازات'!$B$5:$B$104='الموظفون'!$B$3)*('حجز الإجازات'!$D$5:$D$104&lt;=HE$3)*(('حجز الإجازات'!$E$5:$E$104)&gt;=HE$3)*('حجز الإجازات'!$G$5:$G$104="معتمد")*ROW('حجز الإجازات'!$B$5:$B$104))=0,IF(HE$3&lt;'الموظفون'!$D$3,"",IF(ISNUMBER(MATCH(HE$3,Holidays,0)),"عطلة",IF(MOD(HE$3-'الموظفون'!$D$3,CycleWork+CycleRest)&lt;CycleWork,INDEX('الإعدادات والقوائم'!$H$2:$H$4,MOD(INT(MOD(HE$3-'الموظفون'!$D$3,CycleWork+CycleRest)*3/CycleWork)+MATCH(StartShift,'الإعدادات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الإجازات'!$D$5:$D$104&lt;=HE$3)*(('حجز الإجازات'!$E$5:$E$104)&gt;=HE$3)*('حجز الإجازات'!$G$5:$G$104="معتمد")*ROW('حجز الإجازات'!$B$5:$B$104)))-5+1))</f>
        <v/>
      </c>
      <c r="HF5" s="62">
        <f>IF(SUMPRODUCT(('حجز الإجازات'!$B$5:$B$104='الموظفون'!$B$3)*('حجز الإجازات'!$D$5:$D$104&lt;=HF$3)*(('حجز الإجازات'!$E$5:$E$104)&gt;=HF$3)*('حجز الإجازات'!$G$5:$G$104="معتمد")*ROW('حجز الإجازات'!$B$5:$B$104))=0,IF(HF$3&lt;'الموظفون'!$D$3,"",IF(ISNUMBER(MATCH(HF$3,Holidays,0)),"عطلة",IF(MOD(HF$3-'الموظفون'!$D$3,CycleWork+CycleRest)&lt;CycleWork,INDEX('الإعدادات والقوائم'!$H$2:$H$4,MOD(INT(MOD(HF$3-'الموظفون'!$D$3,CycleWork+CycleRest)*3/CycleWork)+MATCH(StartShift,'الإعدادات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الإجازات'!$D$5:$D$104&lt;=HF$3)*(('حجز الإجازات'!$E$5:$E$104)&gt;=HF$3)*('حجز الإجازات'!$G$5:$G$104="معتمد")*ROW('حجز الإجازات'!$B$5:$B$104)))-5+1))</f>
        <v/>
      </c>
      <c r="HG5" s="62">
        <f>IF(SUMPRODUCT(('حجز الإجازات'!$B$5:$B$104='الموظفون'!$B$3)*('حجز الإجازات'!$D$5:$D$104&lt;=HG$3)*(('حجز الإجازات'!$E$5:$E$104)&gt;=HG$3)*('حجز الإجازات'!$G$5:$G$104="معتمد")*ROW('حجز الإجازات'!$B$5:$B$104))=0,IF(HG$3&lt;'الموظفون'!$D$3,"",IF(ISNUMBER(MATCH(HG$3,Holidays,0)),"عطلة",IF(MOD(HG$3-'الموظفون'!$D$3,CycleWork+CycleRest)&lt;CycleWork,INDEX('الإعدادات والقوائم'!$H$2:$H$4,MOD(INT(MOD(HG$3-'الموظفون'!$D$3,CycleWork+CycleRest)*3/CycleWork)+MATCH(StartShift,'الإعدادات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الإجازات'!$D$5:$D$104&lt;=HG$3)*(('حجز الإجازات'!$E$5:$E$104)&gt;=HG$3)*('حجز الإجازات'!$G$5:$G$104="معتمد")*ROW('حجز الإجازات'!$B$5:$B$104)))-5+1))</f>
        <v/>
      </c>
      <c r="HH5" s="62">
        <f>IF(SUMPRODUCT(('حجز الإجازات'!$B$5:$B$104='الموظفون'!$B$3)*('حجز الإجازات'!$D$5:$D$104&lt;=HH$3)*(('حجز الإجازات'!$E$5:$E$104)&gt;=HH$3)*('حجز الإجازات'!$G$5:$G$104="معتمد")*ROW('حجز الإجازات'!$B$5:$B$104))=0,IF(HH$3&lt;'الموظفون'!$D$3,"",IF(ISNUMBER(MATCH(HH$3,Holidays,0)),"عطلة",IF(MOD(HH$3-'الموظفون'!$D$3,CycleWork+CycleRest)&lt;CycleWork,INDEX('الإعدادات والقوائم'!$H$2:$H$4,MOD(INT(MOD(HH$3-'الموظفون'!$D$3,CycleWork+CycleRest)*3/CycleWork)+MATCH(StartShift,'الإعدادات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الإجازات'!$D$5:$D$104&lt;=HH$3)*(('حجز الإجازات'!$E$5:$E$104)&gt;=HH$3)*('حجز الإجازات'!$G$5:$G$104="معتمد")*ROW('حجز الإجازات'!$B$5:$B$104)))-5+1))</f>
        <v/>
      </c>
      <c r="HI5" s="62">
        <f>IF(SUMPRODUCT(('حجز الإجازات'!$B$5:$B$104='الموظفون'!$B$3)*('حجز الإجازات'!$D$5:$D$104&lt;=HI$3)*(('حجز الإجازات'!$E$5:$E$104)&gt;=HI$3)*('حجز الإجازات'!$G$5:$G$104="معتمد")*ROW('حجز الإجازات'!$B$5:$B$104))=0,IF(HI$3&lt;'الموظفون'!$D$3,"",IF(ISNUMBER(MATCH(HI$3,Holidays,0)),"عطلة",IF(MOD(HI$3-'الموظفون'!$D$3,CycleWork+CycleRest)&lt;CycleWork,INDEX('الإعدادات والقوائم'!$H$2:$H$4,MOD(INT(MOD(HI$3-'الموظفون'!$D$3,CycleWork+CycleRest)*3/CycleWork)+MATCH(StartShift,'الإعدادات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الإجازات'!$D$5:$D$104&lt;=HI$3)*(('حجز الإجازات'!$E$5:$E$104)&gt;=HI$3)*('حجز الإجازات'!$G$5:$G$104="معتمد")*ROW('حجز الإجازات'!$B$5:$B$104)))-5+1))</f>
        <v/>
      </c>
      <c r="HJ5" s="62">
        <f>IF(SUMPRODUCT(('حجز الإجازات'!$B$5:$B$104='الموظفون'!$B$3)*('حجز الإجازات'!$D$5:$D$104&lt;=HJ$3)*(('حجز الإجازات'!$E$5:$E$104)&gt;=HJ$3)*('حجز الإجازات'!$G$5:$G$104="معتمد")*ROW('حجز الإجازات'!$B$5:$B$104))=0,IF(HJ$3&lt;'الموظفون'!$D$3,"",IF(ISNUMBER(MATCH(HJ$3,Holidays,0)),"عطلة",IF(MOD(HJ$3-'الموظفون'!$D$3,CycleWork+CycleRest)&lt;CycleWork,INDEX('الإعدادات والقوائم'!$H$2:$H$4,MOD(INT(MOD(HJ$3-'الموظفون'!$D$3,CycleWork+CycleRest)*3/CycleWork)+MATCH(StartShift,'الإعدادات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الإجازات'!$D$5:$D$104&lt;=HJ$3)*(('حجز الإجازات'!$E$5:$E$104)&gt;=HJ$3)*('حجز الإجازات'!$G$5:$G$104="معتمد")*ROW('حجز الإجازات'!$B$5:$B$104)))-5+1))</f>
        <v/>
      </c>
      <c r="HK5" s="62">
        <f>IF(SUMPRODUCT(('حجز الإجازات'!$B$5:$B$104='الموظفون'!$B$3)*('حجز الإجازات'!$D$5:$D$104&lt;=HK$3)*(('حجز الإجازات'!$E$5:$E$104)&gt;=HK$3)*('حجز الإجازات'!$G$5:$G$104="معتمد")*ROW('حجز الإجازات'!$B$5:$B$104))=0,IF(HK$3&lt;'الموظفون'!$D$3,"",IF(ISNUMBER(MATCH(HK$3,Holidays,0)),"عطلة",IF(MOD(HK$3-'الموظفون'!$D$3,CycleWork+CycleRest)&lt;CycleWork,INDEX('الإعدادات والقوائم'!$H$2:$H$4,MOD(INT(MOD(HK$3-'الموظفون'!$D$3,CycleWork+CycleRest)*3/CycleWork)+MATCH(StartShift,'الإعدادات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الإجازات'!$D$5:$D$104&lt;=HK$3)*(('حجز الإجازات'!$E$5:$E$104)&gt;=HK$3)*('حجز الإجازات'!$G$5:$G$104="معتمد")*ROW('حجز الإجازات'!$B$5:$B$104)))-5+1))</f>
        <v/>
      </c>
      <c r="HL5" s="62">
        <f>IF(SUMPRODUCT(('حجز الإجازات'!$B$5:$B$104='الموظفون'!$B$3)*('حجز الإجازات'!$D$5:$D$104&lt;=HL$3)*(('حجز الإجازات'!$E$5:$E$104)&gt;=HL$3)*('حجز الإجازات'!$G$5:$G$104="معتمد")*ROW('حجز الإجازات'!$B$5:$B$104))=0,IF(HL$3&lt;'الموظفون'!$D$3,"",IF(ISNUMBER(MATCH(HL$3,Holidays,0)),"عطلة",IF(MOD(HL$3-'الموظفون'!$D$3,CycleWork+CycleRest)&lt;CycleWork,INDEX('الإعدادات والقوائم'!$H$2:$H$4,MOD(INT(MOD(HL$3-'الموظفون'!$D$3,CycleWork+CycleRest)*3/CycleWork)+MATCH(StartShift,'الإعدادات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الإجازات'!$D$5:$D$104&lt;=HL$3)*(('حجز الإجازات'!$E$5:$E$104)&gt;=HL$3)*('حجز الإجازات'!$G$5:$G$104="معتمد")*ROW('حجز الإجازات'!$B$5:$B$104)))-5+1))</f>
        <v/>
      </c>
      <c r="HM5" s="62">
        <f>IF(SUMPRODUCT(('حجز الإجازات'!$B$5:$B$104='الموظفون'!$B$3)*('حجز الإجازات'!$D$5:$D$104&lt;=HM$3)*(('حجز الإجازات'!$E$5:$E$104)&gt;=HM$3)*('حجز الإجازات'!$G$5:$G$104="معتمد")*ROW('حجز الإجازات'!$B$5:$B$104))=0,IF(HM$3&lt;'الموظفون'!$D$3,"",IF(ISNUMBER(MATCH(HM$3,Holidays,0)),"عطلة",IF(MOD(HM$3-'الموظفون'!$D$3,CycleWork+CycleRest)&lt;CycleWork,INDEX('الإعدادات والقوائم'!$H$2:$H$4,MOD(INT(MOD(HM$3-'الموظفون'!$D$3,CycleWork+CycleRest)*3/CycleWork)+MATCH(StartShift,'الإعدادات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الإجازات'!$D$5:$D$104&lt;=HM$3)*(('حجز الإجازات'!$E$5:$E$104)&gt;=HM$3)*('حجز الإجازات'!$G$5:$G$104="معتمد")*ROW('حجز الإجازات'!$B$5:$B$104)))-5+1))</f>
        <v/>
      </c>
      <c r="HN5" s="62">
        <f>IF(SUMPRODUCT(('حجز الإجازات'!$B$5:$B$104='الموظفون'!$B$3)*('حجز الإجازات'!$D$5:$D$104&lt;=HN$3)*(('حجز الإجازات'!$E$5:$E$104)&gt;=HN$3)*('حجز الإجازات'!$G$5:$G$104="معتمد")*ROW('حجز الإجازات'!$B$5:$B$104))=0,IF(HN$3&lt;'الموظفون'!$D$3,"",IF(ISNUMBER(MATCH(HN$3,Holidays,0)),"عطلة",IF(MOD(HN$3-'الموظفون'!$D$3,CycleWork+CycleRest)&lt;CycleWork,INDEX('الإعدادات والقوائم'!$H$2:$H$4,MOD(INT(MOD(HN$3-'الموظفون'!$D$3,CycleWork+CycleRest)*3/CycleWork)+MATCH(StartShift,'الإعدادات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الإجازات'!$D$5:$D$104&lt;=HN$3)*(('حجز الإجازات'!$E$5:$E$104)&gt;=HN$3)*('حجز الإجازات'!$G$5:$G$104="معتمد")*ROW('حجز الإجازات'!$B$5:$B$104)))-5+1))</f>
        <v/>
      </c>
      <c r="HO5" s="62">
        <f>IF(SUMPRODUCT(('حجز الإجازات'!$B$5:$B$104='الموظفون'!$B$3)*('حجز الإجازات'!$D$5:$D$104&lt;=HO$3)*(('حجز الإجازات'!$E$5:$E$104)&gt;=HO$3)*('حجز الإجازات'!$G$5:$G$104="معتمد")*ROW('حجز الإجازات'!$B$5:$B$104))=0,IF(HO$3&lt;'الموظفون'!$D$3,"",IF(ISNUMBER(MATCH(HO$3,Holidays,0)),"عطلة",IF(MOD(HO$3-'الموظفون'!$D$3,CycleWork+CycleRest)&lt;CycleWork,INDEX('الإعدادات والقوائم'!$H$2:$H$4,MOD(INT(MOD(HO$3-'الموظفون'!$D$3,CycleWork+CycleRest)*3/CycleWork)+MATCH(StartShift,'الإعدادات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الإجازات'!$D$5:$D$104&lt;=HO$3)*(('حجز الإجازات'!$E$5:$E$104)&gt;=HO$3)*('حجز الإجازات'!$G$5:$G$104="معتمد")*ROW('حجز الإجازات'!$B$5:$B$104)))-5+1))</f>
        <v/>
      </c>
      <c r="HP5" s="62">
        <f>IF(SUMPRODUCT(('حجز الإجازات'!$B$5:$B$104='الموظفون'!$B$3)*('حجز الإجازات'!$D$5:$D$104&lt;=HP$3)*(('حجز الإجازات'!$E$5:$E$104)&gt;=HP$3)*('حجز الإجازات'!$G$5:$G$104="معتمد")*ROW('حجز الإجازات'!$B$5:$B$104))=0,IF(HP$3&lt;'الموظفون'!$D$3,"",IF(ISNUMBER(MATCH(HP$3,Holidays,0)),"عطلة",IF(MOD(HP$3-'الموظفون'!$D$3,CycleWork+CycleRest)&lt;CycleWork,INDEX('الإعدادات والقوائم'!$H$2:$H$4,MOD(INT(MOD(HP$3-'الموظفون'!$D$3,CycleWork+CycleRest)*3/CycleWork)+MATCH(StartShift,'الإعدادات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الإجازات'!$D$5:$D$104&lt;=HP$3)*(('حجز الإجازات'!$E$5:$E$104)&gt;=HP$3)*('حجز الإجازات'!$G$5:$G$104="معتمد")*ROW('حجز الإجازات'!$B$5:$B$104)))-5+1))</f>
        <v/>
      </c>
      <c r="HQ5" s="62">
        <f>IF(SUMPRODUCT(('حجز الإجازات'!$B$5:$B$104='الموظفون'!$B$3)*('حجز الإجازات'!$D$5:$D$104&lt;=HQ$3)*(('حجز الإجازات'!$E$5:$E$104)&gt;=HQ$3)*('حجز الإجازات'!$G$5:$G$104="معتمد")*ROW('حجز الإجازات'!$B$5:$B$104))=0,IF(HQ$3&lt;'الموظفون'!$D$3,"",IF(ISNUMBER(MATCH(HQ$3,Holidays,0)),"عطلة",IF(MOD(HQ$3-'الموظفون'!$D$3,CycleWork+CycleRest)&lt;CycleWork,INDEX('الإعدادات والقوائم'!$H$2:$H$4,MOD(INT(MOD(HQ$3-'الموظفون'!$D$3,CycleWork+CycleRest)*3/CycleWork)+MATCH(StartShift,'الإعدادات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الإجازات'!$D$5:$D$104&lt;=HQ$3)*(('حجز الإجازات'!$E$5:$E$104)&gt;=HQ$3)*('حجز الإجازات'!$G$5:$G$104="معتمد")*ROW('حجز الإجازات'!$B$5:$B$104)))-5+1))</f>
        <v/>
      </c>
      <c r="HR5" s="62">
        <f>IF(SUMPRODUCT(('حجز الإجازات'!$B$5:$B$104='الموظفون'!$B$3)*('حجز الإجازات'!$D$5:$D$104&lt;=HR$3)*(('حجز الإجازات'!$E$5:$E$104)&gt;=HR$3)*('حجز الإجازات'!$G$5:$G$104="معتمد")*ROW('حجز الإجازات'!$B$5:$B$104))=0,IF(HR$3&lt;'الموظفون'!$D$3,"",IF(ISNUMBER(MATCH(HR$3,Holidays,0)),"عطلة",IF(MOD(HR$3-'الموظفون'!$D$3,CycleWork+CycleRest)&lt;CycleWork,INDEX('الإعدادات والقوائم'!$H$2:$H$4,MOD(INT(MOD(HR$3-'الموظفون'!$D$3,CycleWork+CycleRest)*3/CycleWork)+MATCH(StartShift,'الإعدادات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الإجازات'!$D$5:$D$104&lt;=HR$3)*(('حجز الإجازات'!$E$5:$E$104)&gt;=HR$3)*('حجز الإجازات'!$G$5:$G$104="معتمد")*ROW('حجز الإجازات'!$B$5:$B$104)))-5+1))</f>
        <v/>
      </c>
      <c r="HS5" s="62">
        <f>IF(SUMPRODUCT(('حجز الإجازات'!$B$5:$B$104='الموظفون'!$B$3)*('حجز الإجازات'!$D$5:$D$104&lt;=HS$3)*(('حجز الإجازات'!$E$5:$E$104)&gt;=HS$3)*('حجز الإجازات'!$G$5:$G$104="معتمد")*ROW('حجز الإجازات'!$B$5:$B$104))=0,IF(HS$3&lt;'الموظفون'!$D$3,"",IF(ISNUMBER(MATCH(HS$3,Holidays,0)),"عطلة",IF(MOD(HS$3-'الموظفون'!$D$3,CycleWork+CycleRest)&lt;CycleWork,INDEX('الإعدادات والقوائم'!$H$2:$H$4,MOD(INT(MOD(HS$3-'الموظفون'!$D$3,CycleWork+CycleRest)*3/CycleWork)+MATCH(StartShift,'الإعدادات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الإجازات'!$D$5:$D$104&lt;=HS$3)*(('حجز الإجازات'!$E$5:$E$104)&gt;=HS$3)*('حجز الإجازات'!$G$5:$G$104="معتمد")*ROW('حجز الإجازات'!$B$5:$B$104)))-5+1))</f>
        <v/>
      </c>
      <c r="HT5" s="62">
        <f>IF(SUMPRODUCT(('حجز الإجازات'!$B$5:$B$104='الموظفون'!$B$3)*('حجز الإجازات'!$D$5:$D$104&lt;=HT$3)*(('حجز الإجازات'!$E$5:$E$104)&gt;=HT$3)*('حجز الإجازات'!$G$5:$G$104="معتمد")*ROW('حجز الإجازات'!$B$5:$B$104))=0,IF(HT$3&lt;'الموظفون'!$D$3,"",IF(ISNUMBER(MATCH(HT$3,Holidays,0)),"عطلة",IF(MOD(HT$3-'الموظفون'!$D$3,CycleWork+CycleRest)&lt;CycleWork,INDEX('الإعدادات والقوائم'!$H$2:$H$4,MOD(INT(MOD(HT$3-'الموظفون'!$D$3,CycleWork+CycleRest)*3/CycleWork)+MATCH(StartShift,'الإعدادات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الإجازات'!$D$5:$D$104&lt;=HT$3)*(('حجز الإجازات'!$E$5:$E$104)&gt;=HT$3)*('حجز الإجازات'!$G$5:$G$104="معتمد")*ROW('حجز الإجازات'!$B$5:$B$104)))-5+1))</f>
        <v/>
      </c>
      <c r="HU5" s="62">
        <f>IF(SUMPRODUCT(('حجز الإجازات'!$B$5:$B$104='الموظفون'!$B$3)*('حجز الإجازات'!$D$5:$D$104&lt;=HU$3)*(('حجز الإجازات'!$E$5:$E$104)&gt;=HU$3)*('حجز الإجازات'!$G$5:$G$104="معتمد")*ROW('حجز الإجازات'!$B$5:$B$104))=0,IF(HU$3&lt;'الموظفون'!$D$3,"",IF(ISNUMBER(MATCH(HU$3,Holidays,0)),"عطلة",IF(MOD(HU$3-'الموظفون'!$D$3,CycleWork+CycleRest)&lt;CycleWork,INDEX('الإعدادات والقوائم'!$H$2:$H$4,MOD(INT(MOD(HU$3-'الموظفون'!$D$3,CycleWork+CycleRest)*3/CycleWork)+MATCH(StartShift,'الإعدادات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الإجازات'!$D$5:$D$104&lt;=HU$3)*(('حجز الإجازات'!$E$5:$E$104)&gt;=HU$3)*('حجز الإجازات'!$G$5:$G$104="معتمد")*ROW('حجز الإجازات'!$B$5:$B$104)))-5+1))</f>
        <v/>
      </c>
      <c r="HV5" s="62">
        <f>IF(SUMPRODUCT(('حجز الإجازات'!$B$5:$B$104='الموظفون'!$B$3)*('حجز الإجازات'!$D$5:$D$104&lt;=HV$3)*(('حجز الإجازات'!$E$5:$E$104)&gt;=HV$3)*('حجز الإجازات'!$G$5:$G$104="معتمد")*ROW('حجز الإجازات'!$B$5:$B$104))=0,IF(HV$3&lt;'الموظفون'!$D$3,"",IF(ISNUMBER(MATCH(HV$3,Holidays,0)),"عطلة",IF(MOD(HV$3-'الموظفون'!$D$3,CycleWork+CycleRest)&lt;CycleWork,INDEX('الإعدادات والقوائم'!$H$2:$H$4,MOD(INT(MOD(HV$3-'الموظفون'!$D$3,CycleWork+CycleRest)*3/CycleWork)+MATCH(StartShift,'الإعدادات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الإجازات'!$D$5:$D$104&lt;=HV$3)*(('حجز الإجازات'!$E$5:$E$104)&gt;=HV$3)*('حجز الإجازات'!$G$5:$G$104="معتمد")*ROW('حجز الإجازات'!$B$5:$B$104)))-5+1))</f>
        <v/>
      </c>
      <c r="HW5" s="62">
        <f>IF(SUMPRODUCT(('حجز الإجازات'!$B$5:$B$104='الموظفون'!$B$3)*('حجز الإجازات'!$D$5:$D$104&lt;=HW$3)*(('حجز الإجازات'!$E$5:$E$104)&gt;=HW$3)*('حجز الإجازات'!$G$5:$G$104="معتمد")*ROW('حجز الإجازات'!$B$5:$B$104))=0,IF(HW$3&lt;'الموظفون'!$D$3,"",IF(ISNUMBER(MATCH(HW$3,Holidays,0)),"عطلة",IF(MOD(HW$3-'الموظفون'!$D$3,CycleWork+CycleRest)&lt;CycleWork,INDEX('الإعدادات والقوائم'!$H$2:$H$4,MOD(INT(MOD(HW$3-'الموظفون'!$D$3,CycleWork+CycleRest)*3/CycleWork)+MATCH(StartShift,'الإعدادات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الإجازات'!$D$5:$D$104&lt;=HW$3)*(('حجز الإجازات'!$E$5:$E$104)&gt;=HW$3)*('حجز الإجازات'!$G$5:$G$104="معتمد")*ROW('حجز الإجازات'!$B$5:$B$104)))-5+1))</f>
        <v/>
      </c>
      <c r="HX5" s="62">
        <f>IF(SUMPRODUCT(('حجز الإجازات'!$B$5:$B$104='الموظفون'!$B$3)*('حجز الإجازات'!$D$5:$D$104&lt;=HX$3)*(('حجز الإجازات'!$E$5:$E$104)&gt;=HX$3)*('حجز الإجازات'!$G$5:$G$104="معتمد")*ROW('حجز الإجازات'!$B$5:$B$104))=0,IF(HX$3&lt;'الموظفون'!$D$3,"",IF(ISNUMBER(MATCH(HX$3,Holidays,0)),"عطلة",IF(MOD(HX$3-'الموظفون'!$D$3,CycleWork+CycleRest)&lt;CycleWork,INDEX('الإعدادات والقوائم'!$H$2:$H$4,MOD(INT(MOD(HX$3-'الموظفون'!$D$3,CycleWork+CycleRest)*3/CycleWork)+MATCH(StartShift,'الإعدادات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الإجازات'!$D$5:$D$104&lt;=HX$3)*(('حجز الإجازات'!$E$5:$E$104)&gt;=HX$3)*('حجز الإجازات'!$G$5:$G$104="معتمد")*ROW('حجز الإجازات'!$B$5:$B$104)))-5+1))</f>
        <v/>
      </c>
      <c r="HY5" s="62">
        <f>IF(SUMPRODUCT(('حجز الإجازات'!$B$5:$B$104='الموظفون'!$B$3)*('حجز الإجازات'!$D$5:$D$104&lt;=HY$3)*(('حجز الإجازات'!$E$5:$E$104)&gt;=HY$3)*('حجز الإجازات'!$G$5:$G$104="معتمد")*ROW('حجز الإجازات'!$B$5:$B$104))=0,IF(HY$3&lt;'الموظفون'!$D$3,"",IF(ISNUMBER(MATCH(HY$3,Holidays,0)),"عطلة",IF(MOD(HY$3-'الموظفون'!$D$3,CycleWork+CycleRest)&lt;CycleWork,INDEX('الإعدادات والقوائم'!$H$2:$H$4,MOD(INT(MOD(HY$3-'الموظفون'!$D$3,CycleWork+CycleRest)*3/CycleWork)+MATCH(StartShift,'الإعدادات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الإجازات'!$D$5:$D$104&lt;=HY$3)*(('حجز الإجازات'!$E$5:$E$104)&gt;=HY$3)*('حجز الإجازات'!$G$5:$G$104="معتمد")*ROW('حجز الإجازات'!$B$5:$B$104)))-5+1))</f>
        <v/>
      </c>
      <c r="HZ5" s="62">
        <f>IF(SUMPRODUCT(('حجز الإجازات'!$B$5:$B$104='الموظفون'!$B$3)*('حجز الإجازات'!$D$5:$D$104&lt;=HZ$3)*(('حجز الإجازات'!$E$5:$E$104)&gt;=HZ$3)*('حجز الإجازات'!$G$5:$G$104="معتمد")*ROW('حجز الإجازات'!$B$5:$B$104))=0,IF(HZ$3&lt;'الموظفون'!$D$3,"",IF(ISNUMBER(MATCH(HZ$3,Holidays,0)),"عطلة",IF(MOD(HZ$3-'الموظفون'!$D$3,CycleWork+CycleRest)&lt;CycleWork,INDEX('الإعدادات والقوائم'!$H$2:$H$4,MOD(INT(MOD(HZ$3-'الموظفون'!$D$3,CycleWork+CycleRest)*3/CycleWork)+MATCH(StartShift,'الإعدادات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الإجازات'!$D$5:$D$104&lt;=HZ$3)*(('حجز الإجازات'!$E$5:$E$104)&gt;=HZ$3)*('حجز الإجازات'!$G$5:$G$104="معتمد")*ROW('حجز الإجازات'!$B$5:$B$104)))-5+1))</f>
        <v/>
      </c>
      <c r="IA5" s="62">
        <f>IF(SUMPRODUCT(('حجز الإجازات'!$B$5:$B$104='الموظفون'!$B$3)*('حجز الإجازات'!$D$5:$D$104&lt;=IA$3)*(('حجز الإجازات'!$E$5:$E$104)&gt;=IA$3)*('حجز الإجازات'!$G$5:$G$104="معتمد")*ROW('حجز الإجازات'!$B$5:$B$104))=0,IF(IA$3&lt;'الموظفون'!$D$3,"",IF(ISNUMBER(MATCH(IA$3,Holidays,0)),"عطلة",IF(MOD(IA$3-'الموظفون'!$D$3,CycleWork+CycleRest)&lt;CycleWork,INDEX('الإعدادات والقوائم'!$H$2:$H$4,MOD(INT(MOD(IA$3-'الموظفون'!$D$3,CycleWork+CycleRest)*3/CycleWork)+MATCH(StartShift,'الإعدادات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الإجازات'!$D$5:$D$104&lt;=IA$3)*(('حجز الإجازات'!$E$5:$E$104)&gt;=IA$3)*('حجز الإجازات'!$G$5:$G$104="معتمد")*ROW('حجز الإجازات'!$B$5:$B$104)))-5+1))</f>
        <v/>
      </c>
      <c r="IB5" s="62">
        <f>IF(SUMPRODUCT(('حجز الإجازات'!$B$5:$B$104='الموظفون'!$B$3)*('حجز الإجازات'!$D$5:$D$104&lt;=IB$3)*(('حجز الإجازات'!$E$5:$E$104)&gt;=IB$3)*('حجز الإجازات'!$G$5:$G$104="معتمد")*ROW('حجز الإجازات'!$B$5:$B$104))=0,IF(IB$3&lt;'الموظفون'!$D$3,"",IF(ISNUMBER(MATCH(IB$3,Holidays,0)),"عطلة",IF(MOD(IB$3-'الموظفون'!$D$3,CycleWork+CycleRest)&lt;CycleWork,INDEX('الإعدادات والقوائم'!$H$2:$H$4,MOD(INT(MOD(IB$3-'الموظفون'!$D$3,CycleWork+CycleRest)*3/CycleWork)+MATCH(StartShift,'الإعدادات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الإجازات'!$D$5:$D$104&lt;=IB$3)*(('حجز الإجازات'!$E$5:$E$104)&gt;=IB$3)*('حجز الإجازات'!$G$5:$G$104="معتمد")*ROW('حجز الإجازات'!$B$5:$B$104)))-5+1))</f>
        <v/>
      </c>
      <c r="IC5" s="62">
        <f>IF(SUMPRODUCT(('حجز الإجازات'!$B$5:$B$104='الموظفون'!$B$3)*('حجز الإجازات'!$D$5:$D$104&lt;=IC$3)*(('حجز الإجازات'!$E$5:$E$104)&gt;=IC$3)*('حجز الإجازات'!$G$5:$G$104="معتمد")*ROW('حجز الإجازات'!$B$5:$B$104))=0,IF(IC$3&lt;'الموظفون'!$D$3,"",IF(ISNUMBER(MATCH(IC$3,Holidays,0)),"عطلة",IF(MOD(IC$3-'الموظفون'!$D$3,CycleWork+CycleRest)&lt;CycleWork,INDEX('الإعدادات والقوائم'!$H$2:$H$4,MOD(INT(MOD(IC$3-'الموظفون'!$D$3,CycleWork+CycleRest)*3/CycleWork)+MATCH(StartShift,'الإعدادات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الإجازات'!$D$5:$D$104&lt;=IC$3)*(('حجز الإجازات'!$E$5:$E$104)&gt;=IC$3)*('حجز الإجازات'!$G$5:$G$104="معتمد")*ROW('حجز الإجازات'!$B$5:$B$104)))-5+1))</f>
        <v/>
      </c>
      <c r="ID5" s="62">
        <f>IF(SUMPRODUCT(('حجز الإجازات'!$B$5:$B$104='الموظفون'!$B$3)*('حجز الإجازات'!$D$5:$D$104&lt;=ID$3)*(('حجز الإجازات'!$E$5:$E$104)&gt;=ID$3)*('حجز الإجازات'!$G$5:$G$104="معتمد")*ROW('حجز الإجازات'!$B$5:$B$104))=0,IF(ID$3&lt;'الموظفون'!$D$3,"",IF(ISNUMBER(MATCH(ID$3,Holidays,0)),"عطلة",IF(MOD(ID$3-'الموظفون'!$D$3,CycleWork+CycleRest)&lt;CycleWork,INDEX('الإعدادات والقوائم'!$H$2:$H$4,MOD(INT(MOD(ID$3-'الموظفون'!$D$3,CycleWork+CycleRest)*3/CycleWork)+MATCH(StartShift,'الإعدادات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الإجازات'!$D$5:$D$104&lt;=ID$3)*(('حجز الإجازات'!$E$5:$E$104)&gt;=ID$3)*('حجز الإجازات'!$G$5:$G$104="معتمد")*ROW('حجز الإجازات'!$B$5:$B$104)))-5+1))</f>
        <v/>
      </c>
      <c r="IE5" s="62">
        <f>IF(SUMPRODUCT(('حجز الإجازات'!$B$5:$B$104='الموظفون'!$B$3)*('حجز الإجازات'!$D$5:$D$104&lt;=IE$3)*(('حجز الإجازات'!$E$5:$E$104)&gt;=IE$3)*('حجز الإجازات'!$G$5:$G$104="معتمد")*ROW('حجز الإجازات'!$B$5:$B$104))=0,IF(IE$3&lt;'الموظفون'!$D$3,"",IF(ISNUMBER(MATCH(IE$3,Holidays,0)),"عطلة",IF(MOD(IE$3-'الموظفون'!$D$3,CycleWork+CycleRest)&lt;CycleWork,INDEX('الإعدادات والقوائم'!$H$2:$H$4,MOD(INT(MOD(IE$3-'الموظفون'!$D$3,CycleWork+CycleRest)*3/CycleWork)+MATCH(StartShift,'الإعدادات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الإجازات'!$D$5:$D$104&lt;=IE$3)*(('حجز الإجازات'!$E$5:$E$104)&gt;=IE$3)*('حجز الإجازات'!$G$5:$G$104="معتمد")*ROW('حجز الإجازات'!$B$5:$B$104)))-5+1))</f>
        <v/>
      </c>
      <c r="IF5" s="62">
        <f>IF(SUMPRODUCT(('حجز الإجازات'!$B$5:$B$104='الموظفون'!$B$3)*('حجز الإجازات'!$D$5:$D$104&lt;=IF$3)*(('حجز الإجازات'!$E$5:$E$104)&gt;=IF$3)*('حجز الإجازات'!$G$5:$G$104="معتمد")*ROW('حجز الإجازات'!$B$5:$B$104))=0,IF(IF$3&lt;'الموظفون'!$D$3,"",IF(ISNUMBER(MATCH(IF$3,Holidays,0)),"عطلة",IF(MOD(IF$3-'الموظفون'!$D$3,CycleWork+CycleRest)&lt;CycleWork,INDEX('الإعدادات والقوائم'!$H$2:$H$4,MOD(INT(MOD(IF$3-'الموظفون'!$D$3,CycleWork+CycleRest)*3/CycleWork)+MATCH(StartShift,'الإعدادات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الإجازات'!$D$5:$D$104&lt;=IF$3)*(('حجز الإجازات'!$E$5:$E$104)&gt;=IF$3)*('حجز الإجازات'!$G$5:$G$104="معتمد")*ROW('حجز الإجازات'!$B$5:$B$104)))-5+1))</f>
        <v/>
      </c>
      <c r="IG5" s="62">
        <f>IF(SUMPRODUCT(('حجز الإجازات'!$B$5:$B$104='الموظفون'!$B$3)*('حجز الإجازات'!$D$5:$D$104&lt;=IG$3)*(('حجز الإجازات'!$E$5:$E$104)&gt;=IG$3)*('حجز الإجازات'!$G$5:$G$104="معتمد")*ROW('حجز الإجازات'!$B$5:$B$104))=0,IF(IG$3&lt;'الموظفون'!$D$3,"",IF(ISNUMBER(MATCH(IG$3,Holidays,0)),"عطلة",IF(MOD(IG$3-'الموظفون'!$D$3,CycleWork+CycleRest)&lt;CycleWork,INDEX('الإعدادات والقوائم'!$H$2:$H$4,MOD(INT(MOD(IG$3-'الموظفون'!$D$3,CycleWork+CycleRest)*3/CycleWork)+MATCH(StartShift,'الإعدادات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الإجازات'!$D$5:$D$104&lt;=IG$3)*(('حجز الإجازات'!$E$5:$E$104)&gt;=IG$3)*('حجز الإجازات'!$G$5:$G$104="معتمد")*ROW('حجز الإجازات'!$B$5:$B$104)))-5+1))</f>
        <v/>
      </c>
      <c r="IH5" s="62">
        <f>IF(SUMPRODUCT(('حجز الإجازات'!$B$5:$B$104='الموظفون'!$B$3)*('حجز الإجازات'!$D$5:$D$104&lt;=IH$3)*(('حجز الإجازات'!$E$5:$E$104)&gt;=IH$3)*('حجز الإجازات'!$G$5:$G$104="معتمد")*ROW('حجز الإجازات'!$B$5:$B$104))=0,IF(IH$3&lt;'الموظفون'!$D$3,"",IF(ISNUMBER(MATCH(IH$3,Holidays,0)),"عطلة",IF(MOD(IH$3-'الموظفون'!$D$3,CycleWork+CycleRest)&lt;CycleWork,INDEX('الإعدادات والقوائم'!$H$2:$H$4,MOD(INT(MOD(IH$3-'الموظفون'!$D$3,CycleWork+CycleRest)*3/CycleWork)+MATCH(StartShift,'الإعدادات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الإجازات'!$D$5:$D$104&lt;=IH$3)*(('حجز الإجازات'!$E$5:$E$104)&gt;=IH$3)*('حجز الإجازات'!$G$5:$G$104="معتمد")*ROW('حجز الإجازات'!$B$5:$B$104)))-5+1))</f>
        <v/>
      </c>
      <c r="II5" s="62">
        <f>IF(SUMPRODUCT(('حجز الإجازات'!$B$5:$B$104='الموظفون'!$B$3)*('حجز الإجازات'!$D$5:$D$104&lt;=II$3)*(('حجز الإجازات'!$E$5:$E$104)&gt;=II$3)*('حجز الإجازات'!$G$5:$G$104="معتمد")*ROW('حجز الإجازات'!$B$5:$B$104))=0,IF(II$3&lt;'الموظفون'!$D$3,"",IF(ISNUMBER(MATCH(II$3,Holidays,0)),"عطلة",IF(MOD(II$3-'الموظفون'!$D$3,CycleWork+CycleRest)&lt;CycleWork,INDEX('الإعدادات والقوائم'!$H$2:$H$4,MOD(INT(MOD(II$3-'الموظفون'!$D$3,CycleWork+CycleRest)*3/CycleWork)+MATCH(StartShift,'الإعدادات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الإجازات'!$D$5:$D$104&lt;=II$3)*(('حجز الإجازات'!$E$5:$E$104)&gt;=II$3)*('حجز الإجازات'!$G$5:$G$104="معتمد")*ROW('حجز الإجازات'!$B$5:$B$104)))-5+1))</f>
        <v/>
      </c>
      <c r="IJ5" s="62">
        <f>IF(SUMPRODUCT(('حجز الإجازات'!$B$5:$B$104='الموظفون'!$B$3)*('حجز الإجازات'!$D$5:$D$104&lt;=IJ$3)*(('حجز الإجازات'!$E$5:$E$104)&gt;=IJ$3)*('حجز الإجازات'!$G$5:$G$104="معتمد")*ROW('حجز الإجازات'!$B$5:$B$104))=0,IF(IJ$3&lt;'الموظفون'!$D$3,"",IF(ISNUMBER(MATCH(IJ$3,Holidays,0)),"عطلة",IF(MOD(IJ$3-'الموظفون'!$D$3,CycleWork+CycleRest)&lt;CycleWork,INDEX('الإعدادات والقوائم'!$H$2:$H$4,MOD(INT(MOD(IJ$3-'الموظفون'!$D$3,CycleWork+CycleRest)*3/CycleWork)+MATCH(StartShift,'الإعدادات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الإجازات'!$D$5:$D$104&lt;=IJ$3)*(('حجز الإجازات'!$E$5:$E$104)&gt;=IJ$3)*('حجز الإجازات'!$G$5:$G$104="معتمد")*ROW('حجز الإجازات'!$B$5:$B$104)))-5+1))</f>
        <v/>
      </c>
      <c r="IK5" s="62">
        <f>IF(SUMPRODUCT(('حجز الإجازات'!$B$5:$B$104='الموظفون'!$B$3)*('حجز الإجازات'!$D$5:$D$104&lt;=IK$3)*(('حجز الإجازات'!$E$5:$E$104)&gt;=IK$3)*('حجز الإجازات'!$G$5:$G$104="معتمد")*ROW('حجز الإجازات'!$B$5:$B$104))=0,IF(IK$3&lt;'الموظفون'!$D$3,"",IF(ISNUMBER(MATCH(IK$3,Holidays,0)),"عطلة",IF(MOD(IK$3-'الموظفون'!$D$3,CycleWork+CycleRest)&lt;CycleWork,INDEX('الإعدادات والقوائم'!$H$2:$H$4,MOD(INT(MOD(IK$3-'الموظفون'!$D$3,CycleWork+CycleRest)*3/CycleWork)+MATCH(StartShift,'الإعدادات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الإجازات'!$D$5:$D$104&lt;=IK$3)*(('حجز الإجازات'!$E$5:$E$104)&gt;=IK$3)*('حجز الإجازات'!$G$5:$G$104="معتمد")*ROW('حجز الإجازات'!$B$5:$B$104)))-5+1))</f>
        <v/>
      </c>
      <c r="IL5" s="62">
        <f>IF(SUMPRODUCT(('حجز الإجازات'!$B$5:$B$104='الموظفون'!$B$3)*('حجز الإجازات'!$D$5:$D$104&lt;=IL$3)*(('حجز الإجازات'!$E$5:$E$104)&gt;=IL$3)*('حجز الإجازات'!$G$5:$G$104="معتمد")*ROW('حجز الإجازات'!$B$5:$B$104))=0,IF(IL$3&lt;'الموظفون'!$D$3,"",IF(ISNUMBER(MATCH(IL$3,Holidays,0)),"عطلة",IF(MOD(IL$3-'الموظفون'!$D$3,CycleWork+CycleRest)&lt;CycleWork,INDEX('الإعدادات والقوائم'!$H$2:$H$4,MOD(INT(MOD(IL$3-'الموظفون'!$D$3,CycleWork+CycleRest)*3/CycleWork)+MATCH(StartShift,'الإعدادات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الإجازات'!$D$5:$D$104&lt;=IL$3)*(('حجز الإجازات'!$E$5:$E$104)&gt;=IL$3)*('حجز الإجازات'!$G$5:$G$104="معتمد")*ROW('حجز الإجازات'!$B$5:$B$104)))-5+1))</f>
        <v/>
      </c>
      <c r="IM5" s="62">
        <f>IF(SUMPRODUCT(('حجز الإجازات'!$B$5:$B$104='الموظفون'!$B$3)*('حجز الإجازات'!$D$5:$D$104&lt;=IM$3)*(('حجز الإجازات'!$E$5:$E$104)&gt;=IM$3)*('حجز الإجازات'!$G$5:$G$104="معتمد")*ROW('حجز الإجازات'!$B$5:$B$104))=0,IF(IM$3&lt;'الموظفون'!$D$3,"",IF(ISNUMBER(MATCH(IM$3,Holidays,0)),"عطلة",IF(MOD(IM$3-'الموظفون'!$D$3,CycleWork+CycleRest)&lt;CycleWork,INDEX('الإعدادات والقوائم'!$H$2:$H$4,MOD(INT(MOD(IM$3-'الموظفون'!$D$3,CycleWork+CycleRest)*3/CycleWork)+MATCH(StartShift,'الإعدادات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الإجازات'!$D$5:$D$104&lt;=IM$3)*(('حجز الإجازات'!$E$5:$E$104)&gt;=IM$3)*('حجز الإجازات'!$G$5:$G$104="معتمد")*ROW('حجز الإجازات'!$B$5:$B$104)))-5+1))</f>
        <v/>
      </c>
      <c r="IN5" s="62">
        <f>IF(SUMPRODUCT(('حجز الإجازات'!$B$5:$B$104='الموظفون'!$B$3)*('حجز الإجازات'!$D$5:$D$104&lt;=IN$3)*(('حجز الإجازات'!$E$5:$E$104)&gt;=IN$3)*('حجز الإجازات'!$G$5:$G$104="معتمد")*ROW('حجز الإجازات'!$B$5:$B$104))=0,IF(IN$3&lt;'الموظفون'!$D$3,"",IF(ISNUMBER(MATCH(IN$3,Holidays,0)),"عطلة",IF(MOD(IN$3-'الموظفون'!$D$3,CycleWork+CycleRest)&lt;CycleWork,INDEX('الإعدادات والقوائم'!$H$2:$H$4,MOD(INT(MOD(IN$3-'الموظفون'!$D$3,CycleWork+CycleRest)*3/CycleWork)+MATCH(StartShift,'الإعدادات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الإجازات'!$D$5:$D$104&lt;=IN$3)*(('حجز الإجازات'!$E$5:$E$104)&gt;=IN$3)*('حجز الإجازات'!$G$5:$G$104="معتمد")*ROW('حجز الإجازات'!$B$5:$B$104)))-5+1))</f>
        <v/>
      </c>
      <c r="IO5" s="62">
        <f>IF(SUMPRODUCT(('حجز الإجازات'!$B$5:$B$104='الموظفون'!$B$3)*('حجز الإجازات'!$D$5:$D$104&lt;=IO$3)*(('حجز الإجازات'!$E$5:$E$104)&gt;=IO$3)*('حجز الإجازات'!$G$5:$G$104="معتمد")*ROW('حجز الإجازات'!$B$5:$B$104))=0,IF(IO$3&lt;'الموظفون'!$D$3,"",IF(ISNUMBER(MATCH(IO$3,Holidays,0)),"عطلة",IF(MOD(IO$3-'الموظفون'!$D$3,CycleWork+CycleRest)&lt;CycleWork,INDEX('الإعدادات والقوائم'!$H$2:$H$4,MOD(INT(MOD(IO$3-'الموظفون'!$D$3,CycleWork+CycleRest)*3/CycleWork)+MATCH(StartShift,'الإعدادات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الإجازات'!$D$5:$D$104&lt;=IO$3)*(('حجز الإجازات'!$E$5:$E$104)&gt;=IO$3)*('حجز الإجازات'!$G$5:$G$104="معتمد")*ROW('حجز الإجازات'!$B$5:$B$104)))-5+1))</f>
        <v/>
      </c>
      <c r="IP5" s="62">
        <f>IF(SUMPRODUCT(('حجز الإجازات'!$B$5:$B$104='الموظفون'!$B$3)*('حجز الإجازات'!$D$5:$D$104&lt;=IP$3)*(('حجز الإجازات'!$E$5:$E$104)&gt;=IP$3)*('حجز الإجازات'!$G$5:$G$104="معتمد")*ROW('حجز الإجازات'!$B$5:$B$104))=0,IF(IP$3&lt;'الموظفون'!$D$3,"",IF(ISNUMBER(MATCH(IP$3,Holidays,0)),"عطلة",IF(MOD(IP$3-'الموظفون'!$D$3,CycleWork+CycleRest)&lt;CycleWork,INDEX('الإعدادات والقوائم'!$H$2:$H$4,MOD(INT(MOD(IP$3-'الموظفون'!$D$3,CycleWork+CycleRest)*3/CycleWork)+MATCH(StartShift,'الإعدادات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الإجازات'!$D$5:$D$104&lt;=IP$3)*(('حجز الإجازات'!$E$5:$E$104)&gt;=IP$3)*('حجز الإجازات'!$G$5:$G$104="معتمد")*ROW('حجز الإجازات'!$B$5:$B$104)))-5+1))</f>
        <v/>
      </c>
      <c r="IQ5" s="62">
        <f>IF(SUMPRODUCT(('حجز الإجازات'!$B$5:$B$104='الموظفون'!$B$3)*('حجز الإجازات'!$D$5:$D$104&lt;=IQ$3)*(('حجز الإجازات'!$E$5:$E$104)&gt;=IQ$3)*('حجز الإجازات'!$G$5:$G$104="معتمد")*ROW('حجز الإجازات'!$B$5:$B$104))=0,IF(IQ$3&lt;'الموظفون'!$D$3,"",IF(ISNUMBER(MATCH(IQ$3,Holidays,0)),"عطلة",IF(MOD(IQ$3-'الموظفون'!$D$3,CycleWork+CycleRest)&lt;CycleWork,INDEX('الإعدادات والقوائم'!$H$2:$H$4,MOD(INT(MOD(IQ$3-'الموظفون'!$D$3,CycleWork+CycleRest)*3/CycleWork)+MATCH(StartShift,'الإعدادات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الإجازات'!$D$5:$D$104&lt;=IQ$3)*(('حجز الإجازات'!$E$5:$E$104)&gt;=IQ$3)*('حجز الإجازات'!$G$5:$G$104="معتمد")*ROW('حجز الإجازات'!$B$5:$B$104)))-5+1))</f>
        <v/>
      </c>
      <c r="IR5" s="62">
        <f>IF(SUMPRODUCT(('حجز الإجازات'!$B$5:$B$104='الموظفون'!$B$3)*('حجز الإجازات'!$D$5:$D$104&lt;=IR$3)*(('حجز الإجازات'!$E$5:$E$104)&gt;=IR$3)*('حجز الإجازات'!$G$5:$G$104="معتمد")*ROW('حجز الإجازات'!$B$5:$B$104))=0,IF(IR$3&lt;'الموظفون'!$D$3,"",IF(ISNUMBER(MATCH(IR$3,Holidays,0)),"عطلة",IF(MOD(IR$3-'الموظفون'!$D$3,CycleWork+CycleRest)&lt;CycleWork,INDEX('الإعدادات والقوائم'!$H$2:$H$4,MOD(INT(MOD(IR$3-'الموظفون'!$D$3,CycleWork+CycleRest)*3/CycleWork)+MATCH(StartShift,'الإعدادات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الإجازات'!$D$5:$D$104&lt;=IR$3)*(('حجز الإجازات'!$E$5:$E$104)&gt;=IR$3)*('حجز الإجازات'!$G$5:$G$104="معتمد")*ROW('حجز الإجازات'!$B$5:$B$104)))-5+1))</f>
        <v/>
      </c>
      <c r="IS5" s="62">
        <f>IF(SUMPRODUCT(('حجز الإجازات'!$B$5:$B$104='الموظفون'!$B$3)*('حجز الإجازات'!$D$5:$D$104&lt;=IS$3)*(('حجز الإجازات'!$E$5:$E$104)&gt;=IS$3)*('حجز الإجازات'!$G$5:$G$104="معتمد")*ROW('حجز الإجازات'!$B$5:$B$104))=0,IF(IS$3&lt;'الموظفون'!$D$3,"",IF(ISNUMBER(MATCH(IS$3,Holidays,0)),"عطلة",IF(MOD(IS$3-'الموظفون'!$D$3,CycleWork+CycleRest)&lt;CycleWork,INDEX('الإعدادات والقوائم'!$H$2:$H$4,MOD(INT(MOD(IS$3-'الموظفون'!$D$3,CycleWork+CycleRest)*3/CycleWork)+MATCH(StartShift,'الإعدادات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الإجازات'!$D$5:$D$104&lt;=IS$3)*(('حجز الإجازات'!$E$5:$E$104)&gt;=IS$3)*('حجز الإجازات'!$G$5:$G$104="معتمد")*ROW('حجز الإجازات'!$B$5:$B$104)))-5+1))</f>
        <v/>
      </c>
      <c r="IT5" s="62">
        <f>IF(SUMPRODUCT(('حجز الإجازات'!$B$5:$B$104='الموظفون'!$B$3)*('حجز الإجازات'!$D$5:$D$104&lt;=IT$3)*(('حجز الإجازات'!$E$5:$E$104)&gt;=IT$3)*('حجز الإجازات'!$G$5:$G$104="معتمد")*ROW('حجز الإجازات'!$B$5:$B$104))=0,IF(IT$3&lt;'الموظفون'!$D$3,"",IF(ISNUMBER(MATCH(IT$3,Holidays,0)),"عطلة",IF(MOD(IT$3-'الموظفون'!$D$3,CycleWork+CycleRest)&lt;CycleWork,INDEX('الإعدادات والقوائم'!$H$2:$H$4,MOD(INT(MOD(IT$3-'الموظفون'!$D$3,CycleWork+CycleRest)*3/CycleWork)+MATCH(StartShift,'الإعدادات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الإجازات'!$D$5:$D$104&lt;=IT$3)*(('حجز الإجازات'!$E$5:$E$104)&gt;=IT$3)*('حجز الإجازات'!$G$5:$G$104="معتمد")*ROW('حجز الإجازات'!$B$5:$B$104)))-5+1))</f>
        <v/>
      </c>
      <c r="IU5" s="62">
        <f>IF(SUMPRODUCT(('حجز الإجازات'!$B$5:$B$104='الموظفون'!$B$3)*('حجز الإجازات'!$D$5:$D$104&lt;=IU$3)*(('حجز الإجازات'!$E$5:$E$104)&gt;=IU$3)*('حجز الإجازات'!$G$5:$G$104="معتمد")*ROW('حجز الإجازات'!$B$5:$B$104))=0,IF(IU$3&lt;'الموظفون'!$D$3,"",IF(ISNUMBER(MATCH(IU$3,Holidays,0)),"عطلة",IF(MOD(IU$3-'الموظفون'!$D$3,CycleWork+CycleRest)&lt;CycleWork,INDEX('الإعدادات والقوائم'!$H$2:$H$4,MOD(INT(MOD(IU$3-'الموظفون'!$D$3,CycleWork+CycleRest)*3/CycleWork)+MATCH(StartShift,'الإعدادات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الإجازات'!$D$5:$D$104&lt;=IU$3)*(('حجز الإجازات'!$E$5:$E$104)&gt;=IU$3)*('حجز الإجازات'!$G$5:$G$104="معتمد")*ROW('حجز الإجازات'!$B$5:$B$104)))-5+1))</f>
        <v/>
      </c>
      <c r="IV5" s="62">
        <f>IF(SUMPRODUCT(('حجز الإجازات'!$B$5:$B$104='الموظفون'!$B$3)*('حجز الإجازات'!$D$5:$D$104&lt;=IV$3)*(('حجز الإجازات'!$E$5:$E$104)&gt;=IV$3)*('حجز الإجازات'!$G$5:$G$104="معتمد")*ROW('حجز الإجازات'!$B$5:$B$104))=0,IF(IV$3&lt;'الموظفون'!$D$3,"",IF(ISNUMBER(MATCH(IV$3,Holidays,0)),"عطلة",IF(MOD(IV$3-'الموظفون'!$D$3,CycleWork+CycleRest)&lt;CycleWork,INDEX('الإعدادات والقوائم'!$H$2:$H$4,MOD(INT(MOD(IV$3-'الموظفون'!$D$3,CycleWork+CycleRest)*3/CycleWork)+MATCH(StartShift,'الإعدادات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الإجازات'!$D$5:$D$104&lt;=IV$3)*(('حجز الإجازات'!$E$5:$E$104)&gt;=IV$3)*('حجز الإجازات'!$G$5:$G$104="معتمد")*ROW('حجز الإجازات'!$B$5:$B$104)))-5+1))</f>
        <v/>
      </c>
      <c r="IW5" s="62">
        <f>IF(SUMPRODUCT(('حجز الإجازات'!$B$5:$B$104='الموظفون'!$B$3)*('حجز الإجازات'!$D$5:$D$104&lt;=IW$3)*(('حجز الإجازات'!$E$5:$E$104)&gt;=IW$3)*('حجز الإجازات'!$G$5:$G$104="معتمد")*ROW('حجز الإجازات'!$B$5:$B$104))=0,IF(IW$3&lt;'الموظفون'!$D$3,"",IF(ISNUMBER(MATCH(IW$3,Holidays,0)),"عطلة",IF(MOD(IW$3-'الموظفون'!$D$3,CycleWork+CycleRest)&lt;CycleWork,INDEX('الإعدادات والقوائم'!$H$2:$H$4,MOD(INT(MOD(IW$3-'الموظفون'!$D$3,CycleWork+CycleRest)*3/CycleWork)+MATCH(StartShift,'الإعدادات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الإجازات'!$D$5:$D$104&lt;=IW$3)*(('حجز الإجازات'!$E$5:$E$104)&gt;=IW$3)*('حجز الإجازات'!$G$5:$G$104="معتمد")*ROW('حجز الإجازات'!$B$5:$B$104)))-5+1))</f>
        <v/>
      </c>
      <c r="IX5" s="62">
        <f>IF(SUMPRODUCT(('حجز الإجازات'!$B$5:$B$104='الموظفون'!$B$3)*('حجز الإجازات'!$D$5:$D$104&lt;=IX$3)*(('حجز الإجازات'!$E$5:$E$104)&gt;=IX$3)*('حجز الإجازات'!$G$5:$G$104="معتمد")*ROW('حجز الإجازات'!$B$5:$B$104))=0,IF(IX$3&lt;'الموظفون'!$D$3,"",IF(ISNUMBER(MATCH(IX$3,Holidays,0)),"عطلة",IF(MOD(IX$3-'الموظفون'!$D$3,CycleWork+CycleRest)&lt;CycleWork,INDEX('الإعدادات والقوائم'!$H$2:$H$4,MOD(INT(MOD(IX$3-'الموظفون'!$D$3,CycleWork+CycleRest)*3/CycleWork)+MATCH(StartShift,'الإعدادات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الإجازات'!$D$5:$D$104&lt;=IX$3)*(('حجز الإجازات'!$E$5:$E$104)&gt;=IX$3)*('حجز الإجازات'!$G$5:$G$104="معتمد")*ROW('حجز الإجازات'!$B$5:$B$104)))-5+1))</f>
        <v/>
      </c>
      <c r="IY5" s="62">
        <f>IF(SUMPRODUCT(('حجز الإجازات'!$B$5:$B$104='الموظفون'!$B$3)*('حجز الإجازات'!$D$5:$D$104&lt;=IY$3)*(('حجز الإجازات'!$E$5:$E$104)&gt;=IY$3)*('حجز الإجازات'!$G$5:$G$104="معتمد")*ROW('حجز الإجازات'!$B$5:$B$104))=0,IF(IY$3&lt;'الموظفون'!$D$3,"",IF(ISNUMBER(MATCH(IY$3,Holidays,0)),"عطلة",IF(MOD(IY$3-'الموظفون'!$D$3,CycleWork+CycleRest)&lt;CycleWork,INDEX('الإعدادات والقوائم'!$H$2:$H$4,MOD(INT(MOD(IY$3-'الموظفون'!$D$3,CycleWork+CycleRest)*3/CycleWork)+MATCH(StartShift,'الإعدادات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الإجازات'!$D$5:$D$104&lt;=IY$3)*(('حجز الإجازات'!$E$5:$E$104)&gt;=IY$3)*('حجز الإجازات'!$G$5:$G$104="معتمد")*ROW('حجز الإجازات'!$B$5:$B$104)))-5+1))</f>
        <v/>
      </c>
      <c r="IZ5" s="62">
        <f>IF(SUMPRODUCT(('حجز الإجازات'!$B$5:$B$104='الموظفون'!$B$3)*('حجز الإجازات'!$D$5:$D$104&lt;=IZ$3)*(('حجز الإجازات'!$E$5:$E$104)&gt;=IZ$3)*('حجز الإجازات'!$G$5:$G$104="معتمد")*ROW('حجز الإجازات'!$B$5:$B$104))=0,IF(IZ$3&lt;'الموظفون'!$D$3,"",IF(ISNUMBER(MATCH(IZ$3,Holidays,0)),"عطلة",IF(MOD(IZ$3-'الموظفون'!$D$3,CycleWork+CycleRest)&lt;CycleWork,INDEX('الإعدادات والقوائم'!$H$2:$H$4,MOD(INT(MOD(IZ$3-'الموظفون'!$D$3,CycleWork+CycleRest)*3/CycleWork)+MATCH(StartShift,'الإعدادات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الإجازات'!$D$5:$D$104&lt;=IZ$3)*(('حجز الإجازات'!$E$5:$E$104)&gt;=IZ$3)*('حجز الإجازات'!$G$5:$G$104="معتمد")*ROW('حجز الإجازات'!$B$5:$B$104)))-5+1))</f>
        <v/>
      </c>
      <c r="JA5" s="62">
        <f>IF(SUMPRODUCT(('حجز الإجازات'!$B$5:$B$104='الموظفون'!$B$3)*('حجز الإجازات'!$D$5:$D$104&lt;=JA$3)*(('حجز الإجازات'!$E$5:$E$104)&gt;=JA$3)*('حجز الإجازات'!$G$5:$G$104="معتمد")*ROW('حجز الإجازات'!$B$5:$B$104))=0,IF(JA$3&lt;'الموظفون'!$D$3,"",IF(ISNUMBER(MATCH(JA$3,Holidays,0)),"عطلة",IF(MOD(JA$3-'الموظفون'!$D$3,CycleWork+CycleRest)&lt;CycleWork,INDEX('الإعدادات والقوائم'!$H$2:$H$4,MOD(INT(MOD(JA$3-'الموظفون'!$D$3,CycleWork+CycleRest)*3/CycleWork)+MATCH(StartShift,'الإعدادات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الإجازات'!$D$5:$D$104&lt;=JA$3)*(('حجز الإجازات'!$E$5:$E$104)&gt;=JA$3)*('حجز الإجازات'!$G$5:$G$104="معتمد")*ROW('حجز الإجازات'!$B$5:$B$104)))-5+1))</f>
        <v/>
      </c>
      <c r="JB5" s="62">
        <f>IF(SUMPRODUCT(('حجز الإجازات'!$B$5:$B$104='الموظفون'!$B$3)*('حجز الإجازات'!$D$5:$D$104&lt;=JB$3)*(('حجز الإجازات'!$E$5:$E$104)&gt;=JB$3)*('حجز الإجازات'!$G$5:$G$104="معتمد")*ROW('حجز الإجازات'!$B$5:$B$104))=0,IF(JB$3&lt;'الموظفون'!$D$3,"",IF(ISNUMBER(MATCH(JB$3,Holidays,0)),"عطلة",IF(MOD(JB$3-'الموظفون'!$D$3,CycleWork+CycleRest)&lt;CycleWork,INDEX('الإعدادات والقوائم'!$H$2:$H$4,MOD(INT(MOD(JB$3-'الموظفون'!$D$3,CycleWork+CycleRest)*3/CycleWork)+MATCH(StartShift,'الإعدادات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الإجازات'!$D$5:$D$104&lt;=JB$3)*(('حجز الإجازات'!$E$5:$E$104)&gt;=JB$3)*('حجز الإجازات'!$G$5:$G$104="معتمد")*ROW('حجز الإجازات'!$B$5:$B$104)))-5+1))</f>
        <v/>
      </c>
      <c r="JC5" s="62">
        <f>IF(SUMPRODUCT(('حجز الإجازات'!$B$5:$B$104='الموظفون'!$B$3)*('حجز الإجازات'!$D$5:$D$104&lt;=JC$3)*(('حجز الإجازات'!$E$5:$E$104)&gt;=JC$3)*('حجز الإجازات'!$G$5:$G$104="معتمد")*ROW('حجز الإجازات'!$B$5:$B$104))=0,IF(JC$3&lt;'الموظفون'!$D$3,"",IF(ISNUMBER(MATCH(JC$3,Holidays,0)),"عطلة",IF(MOD(JC$3-'الموظفون'!$D$3,CycleWork+CycleRest)&lt;CycleWork,INDEX('الإعدادات والقوائم'!$H$2:$H$4,MOD(INT(MOD(JC$3-'الموظفون'!$D$3,CycleWork+CycleRest)*3/CycleWork)+MATCH(StartShift,'الإعدادات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الإجازات'!$D$5:$D$104&lt;=JC$3)*(('حجز الإجازات'!$E$5:$E$104)&gt;=JC$3)*('حجز الإجازات'!$G$5:$G$104="معتمد")*ROW('حجز الإجازات'!$B$5:$B$104)))-5+1))</f>
        <v/>
      </c>
      <c r="JD5" s="62">
        <f>IF(SUMPRODUCT(('حجز الإجازات'!$B$5:$B$104='الموظفون'!$B$3)*('حجز الإجازات'!$D$5:$D$104&lt;=JD$3)*(('حجز الإجازات'!$E$5:$E$104)&gt;=JD$3)*('حجز الإجازات'!$G$5:$G$104="معتمد")*ROW('حجز الإجازات'!$B$5:$B$104))=0,IF(JD$3&lt;'الموظفون'!$D$3,"",IF(ISNUMBER(MATCH(JD$3,Holidays,0)),"عطلة",IF(MOD(JD$3-'الموظفون'!$D$3,CycleWork+CycleRest)&lt;CycleWork,INDEX('الإعدادات والقوائم'!$H$2:$H$4,MOD(INT(MOD(JD$3-'الموظفون'!$D$3,CycleWork+CycleRest)*3/CycleWork)+MATCH(StartShift,'الإعدادات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الإجازات'!$D$5:$D$104&lt;=JD$3)*(('حجز الإجازات'!$E$5:$E$104)&gt;=JD$3)*('حجز الإجازات'!$G$5:$G$104="معتمد")*ROW('حجز الإجازات'!$B$5:$B$104)))-5+1))</f>
        <v/>
      </c>
      <c r="JE5" s="62">
        <f>IF(SUMPRODUCT(('حجز الإجازات'!$B$5:$B$104='الموظفون'!$B$3)*('حجز الإجازات'!$D$5:$D$104&lt;=JE$3)*(('حجز الإجازات'!$E$5:$E$104)&gt;=JE$3)*('حجز الإجازات'!$G$5:$G$104="معتمد")*ROW('حجز الإجازات'!$B$5:$B$104))=0,IF(JE$3&lt;'الموظفون'!$D$3,"",IF(ISNUMBER(MATCH(JE$3,Holidays,0)),"عطلة",IF(MOD(JE$3-'الموظفون'!$D$3,CycleWork+CycleRest)&lt;CycleWork,INDEX('الإعدادات والقوائم'!$H$2:$H$4,MOD(INT(MOD(JE$3-'الموظفون'!$D$3,CycleWork+CycleRest)*3/CycleWork)+MATCH(StartShift,'الإعدادات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الإجازات'!$D$5:$D$104&lt;=JE$3)*(('حجز الإجازات'!$E$5:$E$104)&gt;=JE$3)*('حجز الإجازات'!$G$5:$G$104="معتمد")*ROW('حجز الإجازات'!$B$5:$B$104)))-5+1))</f>
        <v/>
      </c>
      <c r="JF5" s="62">
        <f>IF(SUMPRODUCT(('حجز الإجازات'!$B$5:$B$104='الموظفون'!$B$3)*('حجز الإجازات'!$D$5:$D$104&lt;=JF$3)*(('حجز الإجازات'!$E$5:$E$104)&gt;=JF$3)*('حجز الإجازات'!$G$5:$G$104="معتمد")*ROW('حجز الإجازات'!$B$5:$B$104))=0,IF(JF$3&lt;'الموظفون'!$D$3,"",IF(ISNUMBER(MATCH(JF$3,Holidays,0)),"عطلة",IF(MOD(JF$3-'الموظفون'!$D$3,CycleWork+CycleRest)&lt;CycleWork,INDEX('الإعدادات والقوائم'!$H$2:$H$4,MOD(INT(MOD(JF$3-'الموظفون'!$D$3,CycleWork+CycleRest)*3/CycleWork)+MATCH(StartShift,'الإعدادات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الإجازات'!$D$5:$D$104&lt;=JF$3)*(('حجز الإجازات'!$E$5:$E$104)&gt;=JF$3)*('حجز الإجازات'!$G$5:$G$104="معتمد")*ROW('حجز الإجازات'!$B$5:$B$104)))-5+1))</f>
        <v/>
      </c>
      <c r="JG5" s="62">
        <f>IF(SUMPRODUCT(('حجز الإجازات'!$B$5:$B$104='الموظفون'!$B$3)*('حجز الإجازات'!$D$5:$D$104&lt;=JG$3)*(('حجز الإجازات'!$E$5:$E$104)&gt;=JG$3)*('حجز الإجازات'!$G$5:$G$104="معتمد")*ROW('حجز الإجازات'!$B$5:$B$104))=0,IF(JG$3&lt;'الموظفون'!$D$3,"",IF(ISNUMBER(MATCH(JG$3,Holidays,0)),"عطلة",IF(MOD(JG$3-'الموظفون'!$D$3,CycleWork+CycleRest)&lt;CycleWork,INDEX('الإعدادات والقوائم'!$H$2:$H$4,MOD(INT(MOD(JG$3-'الموظفون'!$D$3,CycleWork+CycleRest)*3/CycleWork)+MATCH(StartShift,'الإعدادات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الإجازات'!$D$5:$D$104&lt;=JG$3)*(('حجز الإجازات'!$E$5:$E$104)&gt;=JG$3)*('حجز الإجازات'!$G$5:$G$104="معتمد")*ROW('حجز الإجازات'!$B$5:$B$104)))-5+1))</f>
        <v/>
      </c>
      <c r="JH5" s="62">
        <f>IF(SUMPRODUCT(('حجز الإجازات'!$B$5:$B$104='الموظفون'!$B$3)*('حجز الإجازات'!$D$5:$D$104&lt;=JH$3)*(('حجز الإجازات'!$E$5:$E$104)&gt;=JH$3)*('حجز الإجازات'!$G$5:$G$104="معتمد")*ROW('حجز الإجازات'!$B$5:$B$104))=0,IF(JH$3&lt;'الموظفون'!$D$3,"",IF(ISNUMBER(MATCH(JH$3,Holidays,0)),"عطلة",IF(MOD(JH$3-'الموظفون'!$D$3,CycleWork+CycleRest)&lt;CycleWork,INDEX('الإعدادات والقوائم'!$H$2:$H$4,MOD(INT(MOD(JH$3-'الموظفون'!$D$3,CycleWork+CycleRest)*3/CycleWork)+MATCH(StartShift,'الإعدادات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الإجازات'!$D$5:$D$104&lt;=JH$3)*(('حجز الإجازات'!$E$5:$E$104)&gt;=JH$3)*('حجز الإجازات'!$G$5:$G$104="معتمد")*ROW('حجز الإجازات'!$B$5:$B$104)))-5+1))</f>
        <v/>
      </c>
      <c r="JI5" s="62">
        <f>IF(SUMPRODUCT(('حجز الإجازات'!$B$5:$B$104='الموظفون'!$B$3)*('حجز الإجازات'!$D$5:$D$104&lt;=JI$3)*(('حجز الإجازات'!$E$5:$E$104)&gt;=JI$3)*('حجز الإجازات'!$G$5:$G$104="معتمد")*ROW('حجز الإجازات'!$B$5:$B$104))=0,IF(JI$3&lt;'الموظفون'!$D$3,"",IF(ISNUMBER(MATCH(JI$3,Holidays,0)),"عطلة",IF(MOD(JI$3-'الموظفون'!$D$3,CycleWork+CycleRest)&lt;CycleWork,INDEX('الإعدادات والقوائم'!$H$2:$H$4,MOD(INT(MOD(JI$3-'الموظفون'!$D$3,CycleWork+CycleRest)*3/CycleWork)+MATCH(StartShift,'الإعدادات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الإجازات'!$D$5:$D$104&lt;=JI$3)*(('حجز الإجازات'!$E$5:$E$104)&gt;=JI$3)*('حجز الإجازات'!$G$5:$G$104="معتمد")*ROW('حجز الإجازات'!$B$5:$B$104)))-5+1))</f>
        <v/>
      </c>
      <c r="JJ5" s="62">
        <f>IF(SUMPRODUCT(('حجز الإجازات'!$B$5:$B$104='الموظفون'!$B$3)*('حجز الإجازات'!$D$5:$D$104&lt;=JJ$3)*(('حجز الإجازات'!$E$5:$E$104)&gt;=JJ$3)*('حجز الإجازات'!$G$5:$G$104="معتمد")*ROW('حجز الإجازات'!$B$5:$B$104))=0,IF(JJ$3&lt;'الموظفون'!$D$3,"",IF(ISNUMBER(MATCH(JJ$3,Holidays,0)),"عطلة",IF(MOD(JJ$3-'الموظفون'!$D$3,CycleWork+CycleRest)&lt;CycleWork,INDEX('الإعدادات والقوائم'!$H$2:$H$4,MOD(INT(MOD(JJ$3-'الموظفون'!$D$3,CycleWork+CycleRest)*3/CycleWork)+MATCH(StartShift,'الإعدادات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الإجازات'!$D$5:$D$104&lt;=JJ$3)*(('حجز الإجازات'!$E$5:$E$104)&gt;=JJ$3)*('حجز الإجازات'!$G$5:$G$104="معتمد")*ROW('حجز الإجازات'!$B$5:$B$104)))-5+1))</f>
        <v/>
      </c>
      <c r="JK5" s="62">
        <f>IF(SUMPRODUCT(('حجز الإجازات'!$B$5:$B$104='الموظفون'!$B$3)*('حجز الإجازات'!$D$5:$D$104&lt;=JK$3)*(('حجز الإجازات'!$E$5:$E$104)&gt;=JK$3)*('حجز الإجازات'!$G$5:$G$104="معتمد")*ROW('حجز الإجازات'!$B$5:$B$104))=0,IF(JK$3&lt;'الموظفون'!$D$3,"",IF(ISNUMBER(MATCH(JK$3,Holidays,0)),"عطلة",IF(MOD(JK$3-'الموظفون'!$D$3,CycleWork+CycleRest)&lt;CycleWork,INDEX('الإعدادات والقوائم'!$H$2:$H$4,MOD(INT(MOD(JK$3-'الموظفون'!$D$3,CycleWork+CycleRest)*3/CycleWork)+MATCH(StartShift,'الإعدادات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الإجازات'!$D$5:$D$104&lt;=JK$3)*(('حجز الإجازات'!$E$5:$E$104)&gt;=JK$3)*('حجز الإجازات'!$G$5:$G$104="معتمد")*ROW('حجز الإجازات'!$B$5:$B$104)))-5+1))</f>
        <v/>
      </c>
      <c r="JL5" s="62">
        <f>IF(SUMPRODUCT(('حجز الإجازات'!$B$5:$B$104='الموظفون'!$B$3)*('حجز الإجازات'!$D$5:$D$104&lt;=JL$3)*(('حجز الإجازات'!$E$5:$E$104)&gt;=JL$3)*('حجز الإجازات'!$G$5:$G$104="معتمد")*ROW('حجز الإجازات'!$B$5:$B$104))=0,IF(JL$3&lt;'الموظفون'!$D$3,"",IF(ISNUMBER(MATCH(JL$3,Holidays,0)),"عطلة",IF(MOD(JL$3-'الموظفون'!$D$3,CycleWork+CycleRest)&lt;CycleWork,INDEX('الإعدادات والقوائم'!$H$2:$H$4,MOD(INT(MOD(JL$3-'الموظفون'!$D$3,CycleWork+CycleRest)*3/CycleWork)+MATCH(StartShift,'الإعدادات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الإجازات'!$D$5:$D$104&lt;=JL$3)*(('حجز الإجازات'!$E$5:$E$104)&gt;=JL$3)*('حجز الإجازات'!$G$5:$G$104="معتمد")*ROW('حجز الإجازات'!$B$5:$B$104)))-5+1))</f>
        <v/>
      </c>
      <c r="JM5" s="62">
        <f>IF(SUMPRODUCT(('حجز الإجازات'!$B$5:$B$104='الموظفون'!$B$3)*('حجز الإجازات'!$D$5:$D$104&lt;=JM$3)*(('حجز الإجازات'!$E$5:$E$104)&gt;=JM$3)*('حجز الإجازات'!$G$5:$G$104="معتمد")*ROW('حجز الإجازات'!$B$5:$B$104))=0,IF(JM$3&lt;'الموظفون'!$D$3,"",IF(ISNUMBER(MATCH(JM$3,Holidays,0)),"عطلة",IF(MOD(JM$3-'الموظفون'!$D$3,CycleWork+CycleRest)&lt;CycleWork,INDEX('الإعدادات والقوائم'!$H$2:$H$4,MOD(INT(MOD(JM$3-'الموظفون'!$D$3,CycleWork+CycleRest)*3/CycleWork)+MATCH(StartShift,'الإعدادات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الإجازات'!$D$5:$D$104&lt;=JM$3)*(('حجز الإجازات'!$E$5:$E$104)&gt;=JM$3)*('حجز الإجازات'!$G$5:$G$104="معتمد")*ROW('حجز الإجازات'!$B$5:$B$104)))-5+1))</f>
        <v/>
      </c>
      <c r="JN5" s="62">
        <f>IF(SUMPRODUCT(('حجز الإجازات'!$B$5:$B$104='الموظفون'!$B$3)*('حجز الإجازات'!$D$5:$D$104&lt;=JN$3)*(('حجز الإجازات'!$E$5:$E$104)&gt;=JN$3)*('حجز الإجازات'!$G$5:$G$104="معتمد")*ROW('حجز الإجازات'!$B$5:$B$104))=0,IF(JN$3&lt;'الموظفون'!$D$3,"",IF(ISNUMBER(MATCH(JN$3,Holidays,0)),"عطلة",IF(MOD(JN$3-'الموظفون'!$D$3,CycleWork+CycleRest)&lt;CycleWork,INDEX('الإعدادات والقوائم'!$H$2:$H$4,MOD(INT(MOD(JN$3-'الموظفون'!$D$3,CycleWork+CycleRest)*3/CycleWork)+MATCH(StartShift,'الإعدادات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الإجازات'!$D$5:$D$104&lt;=JN$3)*(('حجز الإجازات'!$E$5:$E$104)&gt;=JN$3)*('حجز الإجازات'!$G$5:$G$104="معتمد")*ROW('حجز الإجازات'!$B$5:$B$104)))-5+1))</f>
        <v/>
      </c>
      <c r="JO5" s="62">
        <f>IF(SUMPRODUCT(('حجز الإجازات'!$B$5:$B$104='الموظفون'!$B$3)*('حجز الإجازات'!$D$5:$D$104&lt;=JO$3)*(('حجز الإجازات'!$E$5:$E$104)&gt;=JO$3)*('حجز الإجازات'!$G$5:$G$104="معتمد")*ROW('حجز الإجازات'!$B$5:$B$104))=0,IF(JO$3&lt;'الموظفون'!$D$3,"",IF(ISNUMBER(MATCH(JO$3,Holidays,0)),"عطلة",IF(MOD(JO$3-'الموظفون'!$D$3,CycleWork+CycleRest)&lt;CycleWork,INDEX('الإعدادات والقوائم'!$H$2:$H$4,MOD(INT(MOD(JO$3-'الموظفون'!$D$3,CycleWork+CycleRest)*3/CycleWork)+MATCH(StartShift,'الإعدادات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الإجازات'!$D$5:$D$104&lt;=JO$3)*(('حجز الإجازات'!$E$5:$E$104)&gt;=JO$3)*('حجز الإجازات'!$G$5:$G$104="معتمد")*ROW('حجز الإجازات'!$B$5:$B$104)))-5+1))</f>
        <v/>
      </c>
      <c r="JP5" s="62">
        <f>IF(SUMPRODUCT(('حجز الإجازات'!$B$5:$B$104='الموظفون'!$B$3)*('حجز الإجازات'!$D$5:$D$104&lt;=JP$3)*(('حجز الإجازات'!$E$5:$E$104)&gt;=JP$3)*('حجز الإجازات'!$G$5:$G$104="معتمد")*ROW('حجز الإجازات'!$B$5:$B$104))=0,IF(JP$3&lt;'الموظفون'!$D$3,"",IF(ISNUMBER(MATCH(JP$3,Holidays,0)),"عطلة",IF(MOD(JP$3-'الموظفون'!$D$3,CycleWork+CycleRest)&lt;CycleWork,INDEX('الإعدادات والقوائم'!$H$2:$H$4,MOD(INT(MOD(JP$3-'الموظفون'!$D$3,CycleWork+CycleRest)*3/CycleWork)+MATCH(StartShift,'الإعدادات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الإجازات'!$D$5:$D$104&lt;=JP$3)*(('حجز الإجازات'!$E$5:$E$104)&gt;=JP$3)*('حجز الإجازات'!$G$5:$G$104="معتمد")*ROW('حجز الإجازات'!$B$5:$B$104)))-5+1))</f>
        <v/>
      </c>
      <c r="JQ5" s="62">
        <f>IF(SUMPRODUCT(('حجز الإجازات'!$B$5:$B$104='الموظفون'!$B$3)*('حجز الإجازات'!$D$5:$D$104&lt;=JQ$3)*(('حجز الإجازات'!$E$5:$E$104)&gt;=JQ$3)*('حجز الإجازات'!$G$5:$G$104="معتمد")*ROW('حجز الإجازات'!$B$5:$B$104))=0,IF(JQ$3&lt;'الموظفون'!$D$3,"",IF(ISNUMBER(MATCH(JQ$3,Holidays,0)),"عطلة",IF(MOD(JQ$3-'الموظفون'!$D$3,CycleWork+CycleRest)&lt;CycleWork,INDEX('الإعدادات والقوائم'!$H$2:$H$4,MOD(INT(MOD(JQ$3-'الموظفون'!$D$3,CycleWork+CycleRest)*3/CycleWork)+MATCH(StartShift,'الإعدادات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الإجازات'!$D$5:$D$104&lt;=JQ$3)*(('حجز الإجازات'!$E$5:$E$104)&gt;=JQ$3)*('حجز الإجازات'!$G$5:$G$104="معتمد")*ROW('حجز الإجازات'!$B$5:$B$104)))-5+1))</f>
        <v/>
      </c>
      <c r="JR5" s="62">
        <f>IF(SUMPRODUCT(('حجز الإجازات'!$B$5:$B$104='الموظفون'!$B$3)*('حجز الإجازات'!$D$5:$D$104&lt;=JR$3)*(('حجز الإجازات'!$E$5:$E$104)&gt;=JR$3)*('حجز الإجازات'!$G$5:$G$104="معتمد")*ROW('حجز الإجازات'!$B$5:$B$104))=0,IF(JR$3&lt;'الموظفون'!$D$3,"",IF(ISNUMBER(MATCH(JR$3,Holidays,0)),"عطلة",IF(MOD(JR$3-'الموظفون'!$D$3,CycleWork+CycleRest)&lt;CycleWork,INDEX('الإعدادات والقوائم'!$H$2:$H$4,MOD(INT(MOD(JR$3-'الموظفون'!$D$3,CycleWork+CycleRest)*3/CycleWork)+MATCH(StartShift,'الإعدادات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الإجازات'!$D$5:$D$104&lt;=JR$3)*(('حجز الإجازات'!$E$5:$E$104)&gt;=JR$3)*('حجز الإجازات'!$G$5:$G$104="معتمد")*ROW('حجز الإجازات'!$B$5:$B$104)))-5+1))</f>
        <v/>
      </c>
      <c r="JS5" s="62">
        <f>IF(SUMPRODUCT(('حجز الإجازات'!$B$5:$B$104='الموظفون'!$B$3)*('حجز الإجازات'!$D$5:$D$104&lt;=JS$3)*(('حجز الإجازات'!$E$5:$E$104)&gt;=JS$3)*('حجز الإجازات'!$G$5:$G$104="معتمد")*ROW('حجز الإجازات'!$B$5:$B$104))=0,IF(JS$3&lt;'الموظفون'!$D$3,"",IF(ISNUMBER(MATCH(JS$3,Holidays,0)),"عطلة",IF(MOD(JS$3-'الموظفون'!$D$3,CycleWork+CycleRest)&lt;CycleWork,INDEX('الإعدادات والقوائم'!$H$2:$H$4,MOD(INT(MOD(JS$3-'الموظفون'!$D$3,CycleWork+CycleRest)*3/CycleWork)+MATCH(StartShift,'الإعدادات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الإجازات'!$D$5:$D$104&lt;=JS$3)*(('حجز الإجازات'!$E$5:$E$104)&gt;=JS$3)*('حجز الإجازات'!$G$5:$G$104="معتمد")*ROW('حجز الإجازات'!$B$5:$B$104)))-5+1))</f>
        <v/>
      </c>
      <c r="JT5" s="62">
        <f>IF(SUMPRODUCT(('حجز الإجازات'!$B$5:$B$104='الموظفون'!$B$3)*('حجز الإجازات'!$D$5:$D$104&lt;=JT$3)*(('حجز الإجازات'!$E$5:$E$104)&gt;=JT$3)*('حجز الإجازات'!$G$5:$G$104="معتمد")*ROW('حجز الإجازات'!$B$5:$B$104))=0,IF(JT$3&lt;'الموظفون'!$D$3,"",IF(ISNUMBER(MATCH(JT$3,Holidays,0)),"عطلة",IF(MOD(JT$3-'الموظفون'!$D$3,CycleWork+CycleRest)&lt;CycleWork,INDEX('الإعدادات والقوائم'!$H$2:$H$4,MOD(INT(MOD(JT$3-'الموظفون'!$D$3,CycleWork+CycleRest)*3/CycleWork)+MATCH(StartShift,'الإعدادات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الإجازات'!$D$5:$D$104&lt;=JT$3)*(('حجز الإجازات'!$E$5:$E$104)&gt;=JT$3)*('حجز الإجازات'!$G$5:$G$104="معتمد")*ROW('حجز الإجازات'!$B$5:$B$104)))-5+1))</f>
        <v/>
      </c>
      <c r="JU5" s="62">
        <f>IF(SUMPRODUCT(('حجز الإجازات'!$B$5:$B$104='الموظفون'!$B$3)*('حجز الإجازات'!$D$5:$D$104&lt;=JU$3)*(('حجز الإجازات'!$E$5:$E$104)&gt;=JU$3)*('حجز الإجازات'!$G$5:$G$104="معتمد")*ROW('حجز الإجازات'!$B$5:$B$104))=0,IF(JU$3&lt;'الموظفون'!$D$3,"",IF(ISNUMBER(MATCH(JU$3,Holidays,0)),"عطلة",IF(MOD(JU$3-'الموظفون'!$D$3,CycleWork+CycleRest)&lt;CycleWork,INDEX('الإعدادات والقوائم'!$H$2:$H$4,MOD(INT(MOD(JU$3-'الموظفون'!$D$3,CycleWork+CycleRest)*3/CycleWork)+MATCH(StartShift,'الإعدادات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الإجازات'!$D$5:$D$104&lt;=JU$3)*(('حجز الإجازات'!$E$5:$E$104)&gt;=JU$3)*('حجز الإجازات'!$G$5:$G$104="معتمد")*ROW('حجز الإجازات'!$B$5:$B$104)))-5+1))</f>
        <v/>
      </c>
      <c r="JV5" s="62">
        <f>IF(SUMPRODUCT(('حجز الإجازات'!$B$5:$B$104='الموظفون'!$B$3)*('حجز الإجازات'!$D$5:$D$104&lt;=JV$3)*(('حجز الإجازات'!$E$5:$E$104)&gt;=JV$3)*('حجز الإجازات'!$G$5:$G$104="معتمد")*ROW('حجز الإجازات'!$B$5:$B$104))=0,IF(JV$3&lt;'الموظفون'!$D$3,"",IF(ISNUMBER(MATCH(JV$3,Holidays,0)),"عطلة",IF(MOD(JV$3-'الموظفون'!$D$3,CycleWork+CycleRest)&lt;CycleWork,INDEX('الإعدادات والقوائم'!$H$2:$H$4,MOD(INT(MOD(JV$3-'الموظفون'!$D$3,CycleWork+CycleRest)*3/CycleWork)+MATCH(StartShift,'الإعدادات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الإجازات'!$D$5:$D$104&lt;=JV$3)*(('حجز الإجازات'!$E$5:$E$104)&gt;=JV$3)*('حجز الإجازات'!$G$5:$G$104="معتمد")*ROW('حجز الإجازات'!$B$5:$B$104)))-5+1))</f>
        <v/>
      </c>
      <c r="JW5" s="62">
        <f>IF(SUMPRODUCT(('حجز الإجازات'!$B$5:$B$104='الموظفون'!$B$3)*('حجز الإجازات'!$D$5:$D$104&lt;=JW$3)*(('حجز الإجازات'!$E$5:$E$104)&gt;=JW$3)*('حجز الإجازات'!$G$5:$G$104="معتمد")*ROW('حجز الإجازات'!$B$5:$B$104))=0,IF(JW$3&lt;'الموظفون'!$D$3,"",IF(ISNUMBER(MATCH(JW$3,Holidays,0)),"عطلة",IF(MOD(JW$3-'الموظفون'!$D$3,CycleWork+CycleRest)&lt;CycleWork,INDEX('الإعدادات والقوائم'!$H$2:$H$4,MOD(INT(MOD(JW$3-'الموظفون'!$D$3,CycleWork+CycleRest)*3/CycleWork)+MATCH(StartShift,'الإعدادات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الإجازات'!$D$5:$D$104&lt;=JW$3)*(('حجز الإجازات'!$E$5:$E$104)&gt;=JW$3)*('حجز الإجازات'!$G$5:$G$104="معتمد")*ROW('حجز الإجازات'!$B$5:$B$104)))-5+1))</f>
        <v/>
      </c>
      <c r="JX5" s="62">
        <f>IF(SUMPRODUCT(('حجز الإجازات'!$B$5:$B$104='الموظفون'!$B$3)*('حجز الإجازات'!$D$5:$D$104&lt;=JX$3)*(('حجز الإجازات'!$E$5:$E$104)&gt;=JX$3)*('حجز الإجازات'!$G$5:$G$104="معتمد")*ROW('حجز الإجازات'!$B$5:$B$104))=0,IF(JX$3&lt;'الموظفون'!$D$3,"",IF(ISNUMBER(MATCH(JX$3,Holidays,0)),"عطلة",IF(MOD(JX$3-'الموظفون'!$D$3,CycleWork+CycleRest)&lt;CycleWork,INDEX('الإعدادات والقوائم'!$H$2:$H$4,MOD(INT(MOD(JX$3-'الموظفون'!$D$3,CycleWork+CycleRest)*3/CycleWork)+MATCH(StartShift,'الإعدادات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الإجازات'!$D$5:$D$104&lt;=JX$3)*(('حجز الإجازات'!$E$5:$E$104)&gt;=JX$3)*('حجز الإجازات'!$G$5:$G$104="معتمد")*ROW('حجز الإجازات'!$B$5:$B$104)))-5+1))</f>
        <v/>
      </c>
      <c r="JY5" s="62">
        <f>IF(SUMPRODUCT(('حجز الإجازات'!$B$5:$B$104='الموظفون'!$B$3)*('حجز الإجازات'!$D$5:$D$104&lt;=JY$3)*(('حجز الإجازات'!$E$5:$E$104)&gt;=JY$3)*('حجز الإجازات'!$G$5:$G$104="معتمد")*ROW('حجز الإجازات'!$B$5:$B$104))=0,IF(JY$3&lt;'الموظفون'!$D$3,"",IF(ISNUMBER(MATCH(JY$3,Holidays,0)),"عطلة",IF(MOD(JY$3-'الموظفون'!$D$3,CycleWork+CycleRest)&lt;CycleWork,INDEX('الإعدادات والقوائم'!$H$2:$H$4,MOD(INT(MOD(JY$3-'الموظفون'!$D$3,CycleWork+CycleRest)*3/CycleWork)+MATCH(StartShift,'الإعدادات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الإجازات'!$D$5:$D$104&lt;=JY$3)*(('حجز الإجازات'!$E$5:$E$104)&gt;=JY$3)*('حجز الإجازات'!$G$5:$G$104="معتمد")*ROW('حجز الإجازات'!$B$5:$B$104)))-5+1))</f>
        <v/>
      </c>
      <c r="JZ5" s="62">
        <f>IF(SUMPRODUCT(('حجز الإجازات'!$B$5:$B$104='الموظفون'!$B$3)*('حجز الإجازات'!$D$5:$D$104&lt;=JZ$3)*(('حجز الإجازات'!$E$5:$E$104)&gt;=JZ$3)*('حجز الإجازات'!$G$5:$G$104="معتمد")*ROW('حجز الإجازات'!$B$5:$B$104))=0,IF(JZ$3&lt;'الموظفون'!$D$3,"",IF(ISNUMBER(MATCH(JZ$3,Holidays,0)),"عطلة",IF(MOD(JZ$3-'الموظفون'!$D$3,CycleWork+CycleRest)&lt;CycleWork,INDEX('الإعدادات والقوائم'!$H$2:$H$4,MOD(INT(MOD(JZ$3-'الموظفون'!$D$3,CycleWork+CycleRest)*3/CycleWork)+MATCH(StartShift,'الإعدادات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الإجازات'!$D$5:$D$104&lt;=JZ$3)*(('حجز الإجازات'!$E$5:$E$104)&gt;=JZ$3)*('حجز الإجازات'!$G$5:$G$104="معتمد")*ROW('حجز الإجازات'!$B$5:$B$104)))-5+1))</f>
        <v/>
      </c>
      <c r="KA5" s="62">
        <f>IF(SUMPRODUCT(('حجز الإجازات'!$B$5:$B$104='الموظفون'!$B$3)*('حجز الإجازات'!$D$5:$D$104&lt;=KA$3)*(('حجز الإجازات'!$E$5:$E$104)&gt;=KA$3)*('حجز الإجازات'!$G$5:$G$104="معتمد")*ROW('حجز الإجازات'!$B$5:$B$104))=0,IF(KA$3&lt;'الموظفون'!$D$3,"",IF(ISNUMBER(MATCH(KA$3,Holidays,0)),"عطلة",IF(MOD(KA$3-'الموظفون'!$D$3,CycleWork+CycleRest)&lt;CycleWork,INDEX('الإعدادات والقوائم'!$H$2:$H$4,MOD(INT(MOD(KA$3-'الموظفون'!$D$3,CycleWork+CycleRest)*3/CycleWork)+MATCH(StartShift,'الإعدادات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الإجازات'!$D$5:$D$104&lt;=KA$3)*(('حجز الإجازات'!$E$5:$E$104)&gt;=KA$3)*('حجز الإجازات'!$G$5:$G$104="معتمد")*ROW('حجز الإجازات'!$B$5:$B$104)))-5+1))</f>
        <v/>
      </c>
      <c r="KB5" s="62">
        <f>IF(SUMPRODUCT(('حجز الإجازات'!$B$5:$B$104='الموظفون'!$B$3)*('حجز الإجازات'!$D$5:$D$104&lt;=KB$3)*(('حجز الإجازات'!$E$5:$E$104)&gt;=KB$3)*('حجز الإجازات'!$G$5:$G$104="معتمد")*ROW('حجز الإجازات'!$B$5:$B$104))=0,IF(KB$3&lt;'الموظفون'!$D$3,"",IF(ISNUMBER(MATCH(KB$3,Holidays,0)),"عطلة",IF(MOD(KB$3-'الموظفون'!$D$3,CycleWork+CycleRest)&lt;CycleWork,INDEX('الإعدادات والقوائم'!$H$2:$H$4,MOD(INT(MOD(KB$3-'الموظفون'!$D$3,CycleWork+CycleRest)*3/CycleWork)+MATCH(StartShift,'الإعدادات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الإجازات'!$D$5:$D$104&lt;=KB$3)*(('حجز الإجازات'!$E$5:$E$104)&gt;=KB$3)*('حجز الإجازات'!$G$5:$G$104="معتمد")*ROW('حجز الإجازات'!$B$5:$B$104)))-5+1))</f>
        <v/>
      </c>
      <c r="KC5" s="62">
        <f>IF(SUMPRODUCT(('حجز الإجازات'!$B$5:$B$104='الموظفون'!$B$3)*('حجز الإجازات'!$D$5:$D$104&lt;=KC$3)*(('حجز الإجازات'!$E$5:$E$104)&gt;=KC$3)*('حجز الإجازات'!$G$5:$G$104="معتمد")*ROW('حجز الإجازات'!$B$5:$B$104))=0,IF(KC$3&lt;'الموظفون'!$D$3,"",IF(ISNUMBER(MATCH(KC$3,Holidays,0)),"عطلة",IF(MOD(KC$3-'الموظفون'!$D$3,CycleWork+CycleRest)&lt;CycleWork,INDEX('الإعدادات والقوائم'!$H$2:$H$4,MOD(INT(MOD(KC$3-'الموظفون'!$D$3,CycleWork+CycleRest)*3/CycleWork)+MATCH(StartShift,'الإعدادات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الإجازات'!$D$5:$D$104&lt;=KC$3)*(('حجز الإجازات'!$E$5:$E$104)&gt;=KC$3)*('حجز الإجازات'!$G$5:$G$104="معتمد")*ROW('حجز الإجازات'!$B$5:$B$104)))-5+1))</f>
        <v/>
      </c>
      <c r="KD5" s="62">
        <f>IF(SUMPRODUCT(('حجز الإجازات'!$B$5:$B$104='الموظفون'!$B$3)*('حجز الإجازات'!$D$5:$D$104&lt;=KD$3)*(('حجز الإجازات'!$E$5:$E$104)&gt;=KD$3)*('حجز الإجازات'!$G$5:$G$104="معتمد")*ROW('حجز الإجازات'!$B$5:$B$104))=0,IF(KD$3&lt;'الموظفون'!$D$3,"",IF(ISNUMBER(MATCH(KD$3,Holidays,0)),"عطلة",IF(MOD(KD$3-'الموظفون'!$D$3,CycleWork+CycleRest)&lt;CycleWork,INDEX('الإعدادات والقوائم'!$H$2:$H$4,MOD(INT(MOD(KD$3-'الموظفون'!$D$3,CycleWork+CycleRest)*3/CycleWork)+MATCH(StartShift,'الإعدادات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الإجازات'!$D$5:$D$104&lt;=KD$3)*(('حجز الإجازات'!$E$5:$E$104)&gt;=KD$3)*('حجز الإجازات'!$G$5:$G$104="معتمد")*ROW('حجز الإجازات'!$B$5:$B$104)))-5+1))</f>
        <v/>
      </c>
      <c r="KE5" s="62">
        <f>IF(SUMPRODUCT(('حجز الإجازات'!$B$5:$B$104='الموظفون'!$B$3)*('حجز الإجازات'!$D$5:$D$104&lt;=KE$3)*(('حجز الإجازات'!$E$5:$E$104)&gt;=KE$3)*('حجز الإجازات'!$G$5:$G$104="معتمد")*ROW('حجز الإجازات'!$B$5:$B$104))=0,IF(KE$3&lt;'الموظفون'!$D$3,"",IF(ISNUMBER(MATCH(KE$3,Holidays,0)),"عطلة",IF(MOD(KE$3-'الموظفون'!$D$3,CycleWork+CycleRest)&lt;CycleWork,INDEX('الإعدادات والقوائم'!$H$2:$H$4,MOD(INT(MOD(KE$3-'الموظفون'!$D$3,CycleWork+CycleRest)*3/CycleWork)+MATCH(StartShift,'الإعدادات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الإجازات'!$D$5:$D$104&lt;=KE$3)*(('حجز الإجازات'!$E$5:$E$104)&gt;=KE$3)*('حجز الإجازات'!$G$5:$G$104="معتمد")*ROW('حجز الإجازات'!$B$5:$B$104)))-5+1))</f>
        <v/>
      </c>
      <c r="KF5" s="62">
        <f>IF(SUMPRODUCT(('حجز الإجازات'!$B$5:$B$104='الموظفون'!$B$3)*('حجز الإجازات'!$D$5:$D$104&lt;=KF$3)*(('حجز الإجازات'!$E$5:$E$104)&gt;=KF$3)*('حجز الإجازات'!$G$5:$G$104="معتمد")*ROW('حجز الإجازات'!$B$5:$B$104))=0,IF(KF$3&lt;'الموظفون'!$D$3,"",IF(ISNUMBER(MATCH(KF$3,Holidays,0)),"عطلة",IF(MOD(KF$3-'الموظفون'!$D$3,CycleWork+CycleRest)&lt;CycleWork,INDEX('الإعدادات والقوائم'!$H$2:$H$4,MOD(INT(MOD(KF$3-'الموظفون'!$D$3,CycleWork+CycleRest)*3/CycleWork)+MATCH(StartShift,'الإعدادات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الإجازات'!$D$5:$D$104&lt;=KF$3)*(('حجز الإجازات'!$E$5:$E$104)&gt;=KF$3)*('حجز الإجازات'!$G$5:$G$104="معتمد")*ROW('حجز الإجازات'!$B$5:$B$104)))-5+1))</f>
        <v/>
      </c>
      <c r="KG5" s="62">
        <f>IF(SUMPRODUCT(('حجز الإجازات'!$B$5:$B$104='الموظفون'!$B$3)*('حجز الإجازات'!$D$5:$D$104&lt;=KG$3)*(('حجز الإجازات'!$E$5:$E$104)&gt;=KG$3)*('حجز الإجازات'!$G$5:$G$104="معتمد")*ROW('حجز الإجازات'!$B$5:$B$104))=0,IF(KG$3&lt;'الموظفون'!$D$3,"",IF(ISNUMBER(MATCH(KG$3,Holidays,0)),"عطلة",IF(MOD(KG$3-'الموظفون'!$D$3,CycleWork+CycleRest)&lt;CycleWork,INDEX('الإعدادات والقوائم'!$H$2:$H$4,MOD(INT(MOD(KG$3-'الموظفون'!$D$3,CycleWork+CycleRest)*3/CycleWork)+MATCH(StartShift,'الإعدادات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الإجازات'!$D$5:$D$104&lt;=KG$3)*(('حجز الإجازات'!$E$5:$E$104)&gt;=KG$3)*('حجز الإجازات'!$G$5:$G$104="معتمد")*ROW('حجز الإجازات'!$B$5:$B$104)))-5+1))</f>
        <v/>
      </c>
      <c r="KH5" s="62">
        <f>IF(SUMPRODUCT(('حجز الإجازات'!$B$5:$B$104='الموظفون'!$B$3)*('حجز الإجازات'!$D$5:$D$104&lt;=KH$3)*(('حجز الإجازات'!$E$5:$E$104)&gt;=KH$3)*('حجز الإجازات'!$G$5:$G$104="معتمد")*ROW('حجز الإجازات'!$B$5:$B$104))=0,IF(KH$3&lt;'الموظفون'!$D$3,"",IF(ISNUMBER(MATCH(KH$3,Holidays,0)),"عطلة",IF(MOD(KH$3-'الموظفون'!$D$3,CycleWork+CycleRest)&lt;CycleWork,INDEX('الإعدادات والقوائم'!$H$2:$H$4,MOD(INT(MOD(KH$3-'الموظفون'!$D$3,CycleWork+CycleRest)*3/CycleWork)+MATCH(StartShift,'الإعدادات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الإجازات'!$D$5:$D$104&lt;=KH$3)*(('حجز الإجازات'!$E$5:$E$104)&gt;=KH$3)*('حجز الإجازات'!$G$5:$G$104="معتمد")*ROW('حجز الإجازات'!$B$5:$B$104)))-5+1))</f>
        <v/>
      </c>
      <c r="KI5" s="62">
        <f>IF(SUMPRODUCT(('حجز الإجازات'!$B$5:$B$104='الموظفون'!$B$3)*('حجز الإجازات'!$D$5:$D$104&lt;=KI$3)*(('حجز الإجازات'!$E$5:$E$104)&gt;=KI$3)*('حجز الإجازات'!$G$5:$G$104="معتمد")*ROW('حجز الإجازات'!$B$5:$B$104))=0,IF(KI$3&lt;'الموظفون'!$D$3,"",IF(ISNUMBER(MATCH(KI$3,Holidays,0)),"عطلة",IF(MOD(KI$3-'الموظفون'!$D$3,CycleWork+CycleRest)&lt;CycleWork,INDEX('الإعدادات والقوائم'!$H$2:$H$4,MOD(INT(MOD(KI$3-'الموظفون'!$D$3,CycleWork+CycleRest)*3/CycleWork)+MATCH(StartShift,'الإعدادات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الإجازات'!$D$5:$D$104&lt;=KI$3)*(('حجز الإجازات'!$E$5:$E$104)&gt;=KI$3)*('حجز الإجازات'!$G$5:$G$104="معتمد")*ROW('حجز الإجازات'!$B$5:$B$104)))-5+1))</f>
        <v/>
      </c>
      <c r="KJ5" s="62">
        <f>IF(SUMPRODUCT(('حجز الإجازات'!$B$5:$B$104='الموظفون'!$B$3)*('حجز الإجازات'!$D$5:$D$104&lt;=KJ$3)*(('حجز الإجازات'!$E$5:$E$104)&gt;=KJ$3)*('حجز الإجازات'!$G$5:$G$104="معتمد")*ROW('حجز الإجازات'!$B$5:$B$104))=0,IF(KJ$3&lt;'الموظفون'!$D$3,"",IF(ISNUMBER(MATCH(KJ$3,Holidays,0)),"عطلة",IF(MOD(KJ$3-'الموظفون'!$D$3,CycleWork+CycleRest)&lt;CycleWork,INDEX('الإعدادات والقوائم'!$H$2:$H$4,MOD(INT(MOD(KJ$3-'الموظفون'!$D$3,CycleWork+CycleRest)*3/CycleWork)+MATCH(StartShift,'الإعدادات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الإجازات'!$D$5:$D$104&lt;=KJ$3)*(('حجز الإجازات'!$E$5:$E$104)&gt;=KJ$3)*('حجز الإجازات'!$G$5:$G$104="معتمد")*ROW('حجز الإجازات'!$B$5:$B$104)))-5+1))</f>
        <v/>
      </c>
      <c r="KK5" s="62">
        <f>IF(SUMPRODUCT(('حجز الإجازات'!$B$5:$B$104='الموظفون'!$B$3)*('حجز الإجازات'!$D$5:$D$104&lt;=KK$3)*(('حجز الإجازات'!$E$5:$E$104)&gt;=KK$3)*('حجز الإجازات'!$G$5:$G$104="معتمد")*ROW('حجز الإجازات'!$B$5:$B$104))=0,IF(KK$3&lt;'الموظفون'!$D$3,"",IF(ISNUMBER(MATCH(KK$3,Holidays,0)),"عطلة",IF(MOD(KK$3-'الموظفون'!$D$3,CycleWork+CycleRest)&lt;CycleWork,INDEX('الإعدادات والقوائم'!$H$2:$H$4,MOD(INT(MOD(KK$3-'الموظفون'!$D$3,CycleWork+CycleRest)*3/CycleWork)+MATCH(StartShift,'الإعدادات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الإجازات'!$D$5:$D$104&lt;=KK$3)*(('حجز الإجازات'!$E$5:$E$104)&gt;=KK$3)*('حجز الإجازات'!$G$5:$G$104="معتمد")*ROW('حجز الإجازات'!$B$5:$B$104)))-5+1))</f>
        <v/>
      </c>
      <c r="KL5" s="62">
        <f>IF(SUMPRODUCT(('حجز الإجازات'!$B$5:$B$104='الموظفون'!$B$3)*('حجز الإجازات'!$D$5:$D$104&lt;=KL$3)*(('حجز الإجازات'!$E$5:$E$104)&gt;=KL$3)*('حجز الإجازات'!$G$5:$G$104="معتمد")*ROW('حجز الإجازات'!$B$5:$B$104))=0,IF(KL$3&lt;'الموظفون'!$D$3,"",IF(ISNUMBER(MATCH(KL$3,Holidays,0)),"عطلة",IF(MOD(KL$3-'الموظفون'!$D$3,CycleWork+CycleRest)&lt;CycleWork,INDEX('الإعدادات والقوائم'!$H$2:$H$4,MOD(INT(MOD(KL$3-'الموظفون'!$D$3,CycleWork+CycleRest)*3/CycleWork)+MATCH(StartShift,'الإعدادات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الإجازات'!$D$5:$D$104&lt;=KL$3)*(('حجز الإجازات'!$E$5:$E$104)&gt;=KL$3)*('حجز الإجازات'!$G$5:$G$104="معتمد")*ROW('حجز الإجازات'!$B$5:$B$104)))-5+1))</f>
        <v/>
      </c>
      <c r="KM5" s="62">
        <f>IF(SUMPRODUCT(('حجز الإجازات'!$B$5:$B$104='الموظفون'!$B$3)*('حجز الإجازات'!$D$5:$D$104&lt;=KM$3)*(('حجز الإجازات'!$E$5:$E$104)&gt;=KM$3)*('حجز الإجازات'!$G$5:$G$104="معتمد")*ROW('حجز الإجازات'!$B$5:$B$104))=0,IF(KM$3&lt;'الموظفون'!$D$3,"",IF(ISNUMBER(MATCH(KM$3,Holidays,0)),"عطلة",IF(MOD(KM$3-'الموظفون'!$D$3,CycleWork+CycleRest)&lt;CycleWork,INDEX('الإعدادات والقوائم'!$H$2:$H$4,MOD(INT(MOD(KM$3-'الموظفون'!$D$3,CycleWork+CycleRest)*3/CycleWork)+MATCH(StartShift,'الإعدادات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الإجازات'!$D$5:$D$104&lt;=KM$3)*(('حجز الإجازات'!$E$5:$E$104)&gt;=KM$3)*('حجز الإجازات'!$G$5:$G$104="معتمد")*ROW('حجز الإجازات'!$B$5:$B$104)))-5+1))</f>
        <v/>
      </c>
      <c r="KN5" s="62">
        <f>IF(SUMPRODUCT(('حجز الإجازات'!$B$5:$B$104='الموظفون'!$B$3)*('حجز الإجازات'!$D$5:$D$104&lt;=KN$3)*(('حجز الإجازات'!$E$5:$E$104)&gt;=KN$3)*('حجز الإجازات'!$G$5:$G$104="معتمد")*ROW('حجز الإجازات'!$B$5:$B$104))=0,IF(KN$3&lt;'الموظفون'!$D$3,"",IF(ISNUMBER(MATCH(KN$3,Holidays,0)),"عطلة",IF(MOD(KN$3-'الموظفون'!$D$3,CycleWork+CycleRest)&lt;CycleWork,INDEX('الإعدادات والقوائم'!$H$2:$H$4,MOD(INT(MOD(KN$3-'الموظفون'!$D$3,CycleWork+CycleRest)*3/CycleWork)+MATCH(StartShift,'الإعدادات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الإجازات'!$D$5:$D$104&lt;=KN$3)*(('حجز الإجازات'!$E$5:$E$104)&gt;=KN$3)*('حجز الإجازات'!$G$5:$G$104="معتمد")*ROW('حجز الإجازات'!$B$5:$B$104)))-5+1))</f>
        <v/>
      </c>
      <c r="KO5" s="62">
        <f>IF(SUMPRODUCT(('حجز الإجازات'!$B$5:$B$104='الموظفون'!$B$3)*('حجز الإجازات'!$D$5:$D$104&lt;=KO$3)*(('حجز الإجازات'!$E$5:$E$104)&gt;=KO$3)*('حجز الإجازات'!$G$5:$G$104="معتمد")*ROW('حجز الإجازات'!$B$5:$B$104))=0,IF(KO$3&lt;'الموظفون'!$D$3,"",IF(ISNUMBER(MATCH(KO$3,Holidays,0)),"عطلة",IF(MOD(KO$3-'الموظفون'!$D$3,CycleWork+CycleRest)&lt;CycleWork,INDEX('الإعدادات والقوائم'!$H$2:$H$4,MOD(INT(MOD(KO$3-'الموظفون'!$D$3,CycleWork+CycleRest)*3/CycleWork)+MATCH(StartShift,'الإعدادات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الإجازات'!$D$5:$D$104&lt;=KO$3)*(('حجز الإجازات'!$E$5:$E$104)&gt;=KO$3)*('حجز الإجازات'!$G$5:$G$104="معتمد")*ROW('حجز الإجازات'!$B$5:$B$104)))-5+1))</f>
        <v/>
      </c>
      <c r="KP5" s="62">
        <f>IF(SUMPRODUCT(('حجز الإجازات'!$B$5:$B$104='الموظفون'!$B$3)*('حجز الإجازات'!$D$5:$D$104&lt;=KP$3)*(('حجز الإجازات'!$E$5:$E$104)&gt;=KP$3)*('حجز الإجازات'!$G$5:$G$104="معتمد")*ROW('حجز الإجازات'!$B$5:$B$104))=0,IF(KP$3&lt;'الموظفون'!$D$3,"",IF(ISNUMBER(MATCH(KP$3,Holidays,0)),"عطلة",IF(MOD(KP$3-'الموظفون'!$D$3,CycleWork+CycleRest)&lt;CycleWork,INDEX('الإعدادات والقوائم'!$H$2:$H$4,MOD(INT(MOD(KP$3-'الموظفون'!$D$3,CycleWork+CycleRest)*3/CycleWork)+MATCH(StartShift,'الإعدادات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الإجازات'!$D$5:$D$104&lt;=KP$3)*(('حجز الإجازات'!$E$5:$E$104)&gt;=KP$3)*('حجز الإجازات'!$G$5:$G$104="معتمد")*ROW('حجز الإجازات'!$B$5:$B$104)))-5+1))</f>
        <v/>
      </c>
      <c r="KQ5" s="62">
        <f>IF(SUMPRODUCT(('حجز الإجازات'!$B$5:$B$104='الموظفون'!$B$3)*('حجز الإجازات'!$D$5:$D$104&lt;=KQ$3)*(('حجز الإجازات'!$E$5:$E$104)&gt;=KQ$3)*('حجز الإجازات'!$G$5:$G$104="معتمد")*ROW('حجز الإجازات'!$B$5:$B$104))=0,IF(KQ$3&lt;'الموظفون'!$D$3,"",IF(ISNUMBER(MATCH(KQ$3,Holidays,0)),"عطلة",IF(MOD(KQ$3-'الموظفون'!$D$3,CycleWork+CycleRest)&lt;CycleWork,INDEX('الإعدادات والقوائم'!$H$2:$H$4,MOD(INT(MOD(KQ$3-'الموظفون'!$D$3,CycleWork+CycleRest)*3/CycleWork)+MATCH(StartShift,'الإعدادات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الإجازات'!$D$5:$D$104&lt;=KQ$3)*(('حجز الإجازات'!$E$5:$E$104)&gt;=KQ$3)*('حجز الإجازات'!$G$5:$G$104="معتمد")*ROW('حجز الإجازات'!$B$5:$B$104)))-5+1))</f>
        <v/>
      </c>
      <c r="KR5" s="62">
        <f>IF(SUMPRODUCT(('حجز الإجازات'!$B$5:$B$104='الموظفون'!$B$3)*('حجز الإجازات'!$D$5:$D$104&lt;=KR$3)*(('حجز الإجازات'!$E$5:$E$104)&gt;=KR$3)*('حجز الإجازات'!$G$5:$G$104="معتمد")*ROW('حجز الإجازات'!$B$5:$B$104))=0,IF(KR$3&lt;'الموظفون'!$D$3,"",IF(ISNUMBER(MATCH(KR$3,Holidays,0)),"عطلة",IF(MOD(KR$3-'الموظفون'!$D$3,CycleWork+CycleRest)&lt;CycleWork,INDEX('الإعدادات والقوائم'!$H$2:$H$4,MOD(INT(MOD(KR$3-'الموظفون'!$D$3,CycleWork+CycleRest)*3/CycleWork)+MATCH(StartShift,'الإعدادات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الإجازات'!$D$5:$D$104&lt;=KR$3)*(('حجز الإجازات'!$E$5:$E$104)&gt;=KR$3)*('حجز الإجازات'!$G$5:$G$104="معتمد")*ROW('حجز الإجازات'!$B$5:$B$104)))-5+1))</f>
        <v/>
      </c>
      <c r="KS5" s="62">
        <f>IF(SUMPRODUCT(('حجز الإجازات'!$B$5:$B$104='الموظفون'!$B$3)*('حجز الإجازات'!$D$5:$D$104&lt;=KS$3)*(('حجز الإجازات'!$E$5:$E$104)&gt;=KS$3)*('حجز الإجازات'!$G$5:$G$104="معتمد")*ROW('حجز الإجازات'!$B$5:$B$104))=0,IF(KS$3&lt;'الموظفون'!$D$3,"",IF(ISNUMBER(MATCH(KS$3,Holidays,0)),"عطلة",IF(MOD(KS$3-'الموظفون'!$D$3,CycleWork+CycleRest)&lt;CycleWork,INDEX('الإعدادات والقوائم'!$H$2:$H$4,MOD(INT(MOD(KS$3-'الموظفون'!$D$3,CycleWork+CycleRest)*3/CycleWork)+MATCH(StartShift,'الإعدادات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الإجازات'!$D$5:$D$104&lt;=KS$3)*(('حجز الإجازات'!$E$5:$E$104)&gt;=KS$3)*('حجز الإجازات'!$G$5:$G$104="معتمد")*ROW('حجز الإجازات'!$B$5:$B$104)))-5+1))</f>
        <v/>
      </c>
      <c r="KT5" s="62">
        <f>IF(SUMPRODUCT(('حجز الإجازات'!$B$5:$B$104='الموظفون'!$B$3)*('حجز الإجازات'!$D$5:$D$104&lt;=KT$3)*(('حجز الإجازات'!$E$5:$E$104)&gt;=KT$3)*('حجز الإجازات'!$G$5:$G$104="معتمد")*ROW('حجز الإجازات'!$B$5:$B$104))=0,IF(KT$3&lt;'الموظفون'!$D$3,"",IF(ISNUMBER(MATCH(KT$3,Holidays,0)),"عطلة",IF(MOD(KT$3-'الموظفون'!$D$3,CycleWork+CycleRest)&lt;CycleWork,INDEX('الإعدادات والقوائم'!$H$2:$H$4,MOD(INT(MOD(KT$3-'الموظفون'!$D$3,CycleWork+CycleRest)*3/CycleWork)+MATCH(StartShift,'الإعدادات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الإجازات'!$D$5:$D$104&lt;=KT$3)*(('حجز الإجازات'!$E$5:$E$104)&gt;=KT$3)*('حجز الإجازات'!$G$5:$G$104="معتمد")*ROW('حجز الإجازات'!$B$5:$B$104)))-5+1))</f>
        <v/>
      </c>
      <c r="KU5" s="62">
        <f>IF(SUMPRODUCT(('حجز الإجازات'!$B$5:$B$104='الموظفون'!$B$3)*('حجز الإجازات'!$D$5:$D$104&lt;=KU$3)*(('حجز الإجازات'!$E$5:$E$104)&gt;=KU$3)*('حجز الإجازات'!$G$5:$G$104="معتمد")*ROW('حجز الإجازات'!$B$5:$B$104))=0,IF(KU$3&lt;'الموظفون'!$D$3,"",IF(ISNUMBER(MATCH(KU$3,Holidays,0)),"عطلة",IF(MOD(KU$3-'الموظفون'!$D$3,CycleWork+CycleRest)&lt;CycleWork,INDEX('الإعدادات والقوائم'!$H$2:$H$4,MOD(INT(MOD(KU$3-'الموظفون'!$D$3,CycleWork+CycleRest)*3/CycleWork)+MATCH(StartShift,'الإعدادات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الإجازات'!$D$5:$D$104&lt;=KU$3)*(('حجز الإجازات'!$E$5:$E$104)&gt;=KU$3)*('حجز الإجازات'!$G$5:$G$104="معتمد")*ROW('حجز الإجازات'!$B$5:$B$104)))-5+1))</f>
        <v/>
      </c>
      <c r="KV5" s="62">
        <f>IF(SUMPRODUCT(('حجز الإجازات'!$B$5:$B$104='الموظفون'!$B$3)*('حجز الإجازات'!$D$5:$D$104&lt;=KV$3)*(('حجز الإجازات'!$E$5:$E$104)&gt;=KV$3)*('حجز الإجازات'!$G$5:$G$104="معتمد")*ROW('حجز الإجازات'!$B$5:$B$104))=0,IF(KV$3&lt;'الموظفون'!$D$3,"",IF(ISNUMBER(MATCH(KV$3,Holidays,0)),"عطلة",IF(MOD(KV$3-'الموظفون'!$D$3,CycleWork+CycleRest)&lt;CycleWork,INDEX('الإعدادات والقوائم'!$H$2:$H$4,MOD(INT(MOD(KV$3-'الموظفون'!$D$3,CycleWork+CycleRest)*3/CycleWork)+MATCH(StartShift,'الإعدادات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الإجازات'!$D$5:$D$104&lt;=KV$3)*(('حجز الإجازات'!$E$5:$E$104)&gt;=KV$3)*('حجز الإجازات'!$G$5:$G$104="معتمد")*ROW('حجز الإجازات'!$B$5:$B$104)))-5+1))</f>
        <v/>
      </c>
      <c r="KW5" s="62">
        <f>IF(SUMPRODUCT(('حجز الإجازات'!$B$5:$B$104='الموظفون'!$B$3)*('حجز الإجازات'!$D$5:$D$104&lt;=KW$3)*(('حجز الإجازات'!$E$5:$E$104)&gt;=KW$3)*('حجز الإجازات'!$G$5:$G$104="معتمد")*ROW('حجز الإجازات'!$B$5:$B$104))=0,IF(KW$3&lt;'الموظفون'!$D$3,"",IF(ISNUMBER(MATCH(KW$3,Holidays,0)),"عطلة",IF(MOD(KW$3-'الموظفون'!$D$3,CycleWork+CycleRest)&lt;CycleWork,INDEX('الإعدادات والقوائم'!$H$2:$H$4,MOD(INT(MOD(KW$3-'الموظفون'!$D$3,CycleWork+CycleRest)*3/CycleWork)+MATCH(StartShift,'الإعدادات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الإجازات'!$D$5:$D$104&lt;=KW$3)*(('حجز الإجازات'!$E$5:$E$104)&gt;=KW$3)*('حجز الإجازات'!$G$5:$G$104="معتمد")*ROW('حجز الإجازات'!$B$5:$B$104)))-5+1))</f>
        <v/>
      </c>
      <c r="KX5" s="62">
        <f>IF(SUMPRODUCT(('حجز الإجازات'!$B$5:$B$104='الموظفون'!$B$3)*('حجز الإجازات'!$D$5:$D$104&lt;=KX$3)*(('حجز الإجازات'!$E$5:$E$104)&gt;=KX$3)*('حجز الإجازات'!$G$5:$G$104="معتمد")*ROW('حجز الإجازات'!$B$5:$B$104))=0,IF(KX$3&lt;'الموظفون'!$D$3,"",IF(ISNUMBER(MATCH(KX$3,Holidays,0)),"عطلة",IF(MOD(KX$3-'الموظفون'!$D$3,CycleWork+CycleRest)&lt;CycleWork,INDEX('الإعدادات والقوائم'!$H$2:$H$4,MOD(INT(MOD(KX$3-'الموظفون'!$D$3,CycleWork+CycleRest)*3/CycleWork)+MATCH(StartShift,'الإعدادات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الإجازات'!$D$5:$D$104&lt;=KX$3)*(('حجز الإجازات'!$E$5:$E$104)&gt;=KX$3)*('حجز الإجازات'!$G$5:$G$104="معتمد")*ROW('حجز الإجازات'!$B$5:$B$104)))-5+1))</f>
        <v/>
      </c>
      <c r="KY5" s="62">
        <f>IF(SUMPRODUCT(('حجز الإجازات'!$B$5:$B$104='الموظفون'!$B$3)*('حجز الإجازات'!$D$5:$D$104&lt;=KY$3)*(('حجز الإجازات'!$E$5:$E$104)&gt;=KY$3)*('حجز الإجازات'!$G$5:$G$104="معتمد")*ROW('حجز الإجازات'!$B$5:$B$104))=0,IF(KY$3&lt;'الموظفون'!$D$3,"",IF(ISNUMBER(MATCH(KY$3,Holidays,0)),"عطلة",IF(MOD(KY$3-'الموظفون'!$D$3,CycleWork+CycleRest)&lt;CycleWork,INDEX('الإعدادات والقوائم'!$H$2:$H$4,MOD(INT(MOD(KY$3-'الموظفون'!$D$3,CycleWork+CycleRest)*3/CycleWork)+MATCH(StartShift,'الإعدادات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الإجازات'!$D$5:$D$104&lt;=KY$3)*(('حجز الإجازات'!$E$5:$E$104)&gt;=KY$3)*('حجز الإجازات'!$G$5:$G$104="معتمد")*ROW('حجز الإجازات'!$B$5:$B$104)))-5+1))</f>
        <v/>
      </c>
      <c r="KZ5" s="62">
        <f>IF(SUMPRODUCT(('حجز الإجازات'!$B$5:$B$104='الموظفون'!$B$3)*('حجز الإجازات'!$D$5:$D$104&lt;=KZ$3)*(('حجز الإجازات'!$E$5:$E$104)&gt;=KZ$3)*('حجز الإجازات'!$G$5:$G$104="معتمد")*ROW('حجز الإجازات'!$B$5:$B$104))=0,IF(KZ$3&lt;'الموظفون'!$D$3,"",IF(ISNUMBER(MATCH(KZ$3,Holidays,0)),"عطلة",IF(MOD(KZ$3-'الموظفون'!$D$3,CycleWork+CycleRest)&lt;CycleWork,INDEX('الإعدادات والقوائم'!$H$2:$H$4,MOD(INT(MOD(KZ$3-'الموظفون'!$D$3,CycleWork+CycleRest)*3/CycleWork)+MATCH(StartShift,'الإعدادات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الإجازات'!$D$5:$D$104&lt;=KZ$3)*(('حجز الإجازات'!$E$5:$E$104)&gt;=KZ$3)*('حجز الإجازات'!$G$5:$G$104="معتمد")*ROW('حجز الإجازات'!$B$5:$B$104)))-5+1))</f>
        <v/>
      </c>
      <c r="LA5" s="62">
        <f>IF(SUMPRODUCT(('حجز الإجازات'!$B$5:$B$104='الموظفون'!$B$3)*('حجز الإجازات'!$D$5:$D$104&lt;=LA$3)*(('حجز الإجازات'!$E$5:$E$104)&gt;=LA$3)*('حجز الإجازات'!$G$5:$G$104="معتمد")*ROW('حجز الإجازات'!$B$5:$B$104))=0,IF(LA$3&lt;'الموظفون'!$D$3,"",IF(ISNUMBER(MATCH(LA$3,Holidays,0)),"عطلة",IF(MOD(LA$3-'الموظفون'!$D$3,CycleWork+CycleRest)&lt;CycleWork,INDEX('الإعدادات والقوائم'!$H$2:$H$4,MOD(INT(MOD(LA$3-'الموظفون'!$D$3,CycleWork+CycleRest)*3/CycleWork)+MATCH(StartShift,'الإعدادات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الإجازات'!$D$5:$D$104&lt;=LA$3)*(('حجز الإجازات'!$E$5:$E$104)&gt;=LA$3)*('حجز الإجازات'!$G$5:$G$104="معتمد")*ROW('حجز الإجازات'!$B$5:$B$104)))-5+1))</f>
        <v/>
      </c>
      <c r="LB5" s="62">
        <f>IF(SUMPRODUCT(('حجز الإجازات'!$B$5:$B$104='الموظفون'!$B$3)*('حجز الإجازات'!$D$5:$D$104&lt;=LB$3)*(('حجز الإجازات'!$E$5:$E$104)&gt;=LB$3)*('حجز الإجازات'!$G$5:$G$104="معتمد")*ROW('حجز الإجازات'!$B$5:$B$104))=0,IF(LB$3&lt;'الموظفون'!$D$3,"",IF(ISNUMBER(MATCH(LB$3,Holidays,0)),"عطلة",IF(MOD(LB$3-'الموظفون'!$D$3,CycleWork+CycleRest)&lt;CycleWork,INDEX('الإعدادات والقوائم'!$H$2:$H$4,MOD(INT(MOD(LB$3-'الموظفون'!$D$3,CycleWork+CycleRest)*3/CycleWork)+MATCH(StartShift,'الإعدادات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الإجازات'!$D$5:$D$104&lt;=LB$3)*(('حجز الإجازات'!$E$5:$E$104)&gt;=LB$3)*('حجز الإجازات'!$G$5:$G$104="معتمد")*ROW('حجز الإجازات'!$B$5:$B$104)))-5+1))</f>
        <v/>
      </c>
      <c r="LC5" s="62">
        <f>IF(SUMPRODUCT(('حجز الإجازات'!$B$5:$B$104='الموظفون'!$B$3)*('حجز الإجازات'!$D$5:$D$104&lt;=LC$3)*(('حجز الإجازات'!$E$5:$E$104)&gt;=LC$3)*('حجز الإجازات'!$G$5:$G$104="معتمد")*ROW('حجز الإجازات'!$B$5:$B$104))=0,IF(LC$3&lt;'الموظفون'!$D$3,"",IF(ISNUMBER(MATCH(LC$3,Holidays,0)),"عطلة",IF(MOD(LC$3-'الموظفون'!$D$3,CycleWork+CycleRest)&lt;CycleWork,INDEX('الإعدادات والقوائم'!$H$2:$H$4,MOD(INT(MOD(LC$3-'الموظفون'!$D$3,CycleWork+CycleRest)*3/CycleWork)+MATCH(StartShift,'الإعدادات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الإجازات'!$D$5:$D$104&lt;=LC$3)*(('حجز الإجازات'!$E$5:$E$104)&gt;=LC$3)*('حجز الإجازات'!$G$5:$G$104="معتمد")*ROW('حجز الإجازات'!$B$5:$B$104)))-5+1))</f>
        <v/>
      </c>
      <c r="LD5" s="62">
        <f>IF(SUMPRODUCT(('حجز الإجازات'!$B$5:$B$104='الموظفون'!$B$3)*('حجز الإجازات'!$D$5:$D$104&lt;=LD$3)*(('حجز الإجازات'!$E$5:$E$104)&gt;=LD$3)*('حجز الإجازات'!$G$5:$G$104="معتمد")*ROW('حجز الإجازات'!$B$5:$B$104))=0,IF(LD$3&lt;'الموظفون'!$D$3,"",IF(ISNUMBER(MATCH(LD$3,Holidays,0)),"عطلة",IF(MOD(LD$3-'الموظفون'!$D$3,CycleWork+CycleRest)&lt;CycleWork,INDEX('الإعدادات والقوائم'!$H$2:$H$4,MOD(INT(MOD(LD$3-'الموظفون'!$D$3,CycleWork+CycleRest)*3/CycleWork)+MATCH(StartShift,'الإعدادات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الإجازات'!$D$5:$D$104&lt;=LD$3)*(('حجز الإجازات'!$E$5:$E$104)&gt;=LD$3)*('حجز الإجازات'!$G$5:$G$104="معتمد")*ROW('حجز الإجازات'!$B$5:$B$104)))-5+1))</f>
        <v/>
      </c>
      <c r="LE5" s="62">
        <f>IF(SUMPRODUCT(('حجز الإجازات'!$B$5:$B$104='الموظفون'!$B$3)*('حجز الإجازات'!$D$5:$D$104&lt;=LE$3)*(('حجز الإجازات'!$E$5:$E$104)&gt;=LE$3)*('حجز الإجازات'!$G$5:$G$104="معتمد")*ROW('حجز الإجازات'!$B$5:$B$104))=0,IF(LE$3&lt;'الموظفون'!$D$3,"",IF(ISNUMBER(MATCH(LE$3,Holidays,0)),"عطلة",IF(MOD(LE$3-'الموظفون'!$D$3,CycleWork+CycleRest)&lt;CycleWork,INDEX('الإعدادات والقوائم'!$H$2:$H$4,MOD(INT(MOD(LE$3-'الموظفون'!$D$3,CycleWork+CycleRest)*3/CycleWork)+MATCH(StartShift,'الإعدادات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الإجازات'!$D$5:$D$104&lt;=LE$3)*(('حجز الإجازات'!$E$5:$E$104)&gt;=LE$3)*('حجز الإجازات'!$G$5:$G$104="معتمد")*ROW('حجز الإجازات'!$B$5:$B$104)))-5+1))</f>
        <v/>
      </c>
      <c r="LF5" s="62">
        <f>IF(SUMPRODUCT(('حجز الإجازات'!$B$5:$B$104='الموظفون'!$B$3)*('حجز الإجازات'!$D$5:$D$104&lt;=LF$3)*(('حجز الإجازات'!$E$5:$E$104)&gt;=LF$3)*('حجز الإجازات'!$G$5:$G$104="معتمد")*ROW('حجز الإجازات'!$B$5:$B$104))=0,IF(LF$3&lt;'الموظفون'!$D$3,"",IF(ISNUMBER(MATCH(LF$3,Holidays,0)),"عطلة",IF(MOD(LF$3-'الموظفون'!$D$3,CycleWork+CycleRest)&lt;CycleWork,INDEX('الإعدادات والقوائم'!$H$2:$H$4,MOD(INT(MOD(LF$3-'الموظفون'!$D$3,CycleWork+CycleRest)*3/CycleWork)+MATCH(StartShift,'الإعدادات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الإجازات'!$D$5:$D$104&lt;=LF$3)*(('حجز الإجازات'!$E$5:$E$104)&gt;=LF$3)*('حجز الإجازات'!$G$5:$G$104="معتمد")*ROW('حجز الإجازات'!$B$5:$B$104)))-5+1))</f>
        <v/>
      </c>
      <c r="LG5" s="62">
        <f>IF(SUMPRODUCT(('حجز الإجازات'!$B$5:$B$104='الموظفون'!$B$3)*('حجز الإجازات'!$D$5:$D$104&lt;=LG$3)*(('حجز الإجازات'!$E$5:$E$104)&gt;=LG$3)*('حجز الإجازات'!$G$5:$G$104="معتمد")*ROW('حجز الإجازات'!$B$5:$B$104))=0,IF(LG$3&lt;'الموظفون'!$D$3,"",IF(ISNUMBER(MATCH(LG$3,Holidays,0)),"عطلة",IF(MOD(LG$3-'الموظفون'!$D$3,CycleWork+CycleRest)&lt;CycleWork,INDEX('الإعدادات والقوائم'!$H$2:$H$4,MOD(INT(MOD(LG$3-'الموظفون'!$D$3,CycleWork+CycleRest)*3/CycleWork)+MATCH(StartShift,'الإعدادات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الإجازات'!$D$5:$D$104&lt;=LG$3)*(('حجز الإجازات'!$E$5:$E$104)&gt;=LG$3)*('حجز الإجازات'!$G$5:$G$104="معتمد")*ROW('حجز الإجازات'!$B$5:$B$104)))-5+1))</f>
        <v/>
      </c>
      <c r="LH5" s="62">
        <f>IF(SUMPRODUCT(('حجز الإجازات'!$B$5:$B$104='الموظفون'!$B$3)*('حجز الإجازات'!$D$5:$D$104&lt;=LH$3)*(('حجز الإجازات'!$E$5:$E$104)&gt;=LH$3)*('حجز الإجازات'!$G$5:$G$104="معتمد")*ROW('حجز الإجازات'!$B$5:$B$104))=0,IF(LH$3&lt;'الموظفون'!$D$3,"",IF(ISNUMBER(MATCH(LH$3,Holidays,0)),"عطلة",IF(MOD(LH$3-'الموظفون'!$D$3,CycleWork+CycleRest)&lt;CycleWork,INDEX('الإعدادات والقوائم'!$H$2:$H$4,MOD(INT(MOD(LH$3-'الموظفون'!$D$3,CycleWork+CycleRest)*3/CycleWork)+MATCH(StartShift,'الإعدادات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الإجازات'!$D$5:$D$104&lt;=LH$3)*(('حجز الإجازات'!$E$5:$E$104)&gt;=LH$3)*('حجز الإجازات'!$G$5:$G$104="معتمد")*ROW('حجز الإجازات'!$B$5:$B$104)))-5+1))</f>
        <v/>
      </c>
      <c r="LI5" s="62">
        <f>IF(SUMPRODUCT(('حجز الإجازات'!$B$5:$B$104='الموظفون'!$B$3)*('حجز الإجازات'!$D$5:$D$104&lt;=LI$3)*(('حجز الإجازات'!$E$5:$E$104)&gt;=LI$3)*('حجز الإجازات'!$G$5:$G$104="معتمد")*ROW('حجز الإجازات'!$B$5:$B$104))=0,IF(LI$3&lt;'الموظفون'!$D$3,"",IF(ISNUMBER(MATCH(LI$3,Holidays,0)),"عطلة",IF(MOD(LI$3-'الموظفون'!$D$3,CycleWork+CycleRest)&lt;CycleWork,INDEX('الإعدادات والقوائم'!$H$2:$H$4,MOD(INT(MOD(LI$3-'الموظفون'!$D$3,CycleWork+CycleRest)*3/CycleWork)+MATCH(StartShift,'الإعدادات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الإجازات'!$D$5:$D$104&lt;=LI$3)*(('حجز الإجازات'!$E$5:$E$104)&gt;=LI$3)*('حجز الإجازات'!$G$5:$G$104="معتمد")*ROW('حجز الإجازات'!$B$5:$B$104)))-5+1))</f>
        <v/>
      </c>
      <c r="LJ5" s="62">
        <f>IF(SUMPRODUCT(('حجز الإجازات'!$B$5:$B$104='الموظفون'!$B$3)*('حجز الإجازات'!$D$5:$D$104&lt;=LJ$3)*(('حجز الإجازات'!$E$5:$E$104)&gt;=LJ$3)*('حجز الإجازات'!$G$5:$G$104="معتمد")*ROW('حجز الإجازات'!$B$5:$B$104))=0,IF(LJ$3&lt;'الموظفون'!$D$3,"",IF(ISNUMBER(MATCH(LJ$3,Holidays,0)),"عطلة",IF(MOD(LJ$3-'الموظفون'!$D$3,CycleWork+CycleRest)&lt;CycleWork,INDEX('الإعدادات والقوائم'!$H$2:$H$4,MOD(INT(MOD(LJ$3-'الموظفون'!$D$3,CycleWork+CycleRest)*3/CycleWork)+MATCH(StartShift,'الإعدادات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الإجازات'!$D$5:$D$104&lt;=LJ$3)*(('حجز الإجازات'!$E$5:$E$104)&gt;=LJ$3)*('حجز الإجازات'!$G$5:$G$104="معتمد")*ROW('حجز الإجازات'!$B$5:$B$104)))-5+1))</f>
        <v/>
      </c>
      <c r="LK5" s="62">
        <f>IF(SUMPRODUCT(('حجز الإجازات'!$B$5:$B$104='الموظفون'!$B$3)*('حجز الإجازات'!$D$5:$D$104&lt;=LK$3)*(('حجز الإجازات'!$E$5:$E$104)&gt;=LK$3)*('حجز الإجازات'!$G$5:$G$104="معتمد")*ROW('حجز الإجازات'!$B$5:$B$104))=0,IF(LK$3&lt;'الموظفون'!$D$3,"",IF(ISNUMBER(MATCH(LK$3,Holidays,0)),"عطلة",IF(MOD(LK$3-'الموظفون'!$D$3,CycleWork+CycleRest)&lt;CycleWork,INDEX('الإعدادات والقوائم'!$H$2:$H$4,MOD(INT(MOD(LK$3-'الموظفون'!$D$3,CycleWork+CycleRest)*3/CycleWork)+MATCH(StartShift,'الإعدادات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الإجازات'!$D$5:$D$104&lt;=LK$3)*(('حجز الإجازات'!$E$5:$E$104)&gt;=LK$3)*('حجز الإجازات'!$G$5:$G$104="معتمد")*ROW('حجز الإجازات'!$B$5:$B$104)))-5+1))</f>
        <v/>
      </c>
      <c r="LL5" s="62">
        <f>IF(SUMPRODUCT(('حجز الإجازات'!$B$5:$B$104='الموظفون'!$B$3)*('حجز الإجازات'!$D$5:$D$104&lt;=LL$3)*(('حجز الإجازات'!$E$5:$E$104)&gt;=LL$3)*('حجز الإجازات'!$G$5:$G$104="معتمد")*ROW('حجز الإجازات'!$B$5:$B$104))=0,IF(LL$3&lt;'الموظفون'!$D$3,"",IF(ISNUMBER(MATCH(LL$3,Holidays,0)),"عطلة",IF(MOD(LL$3-'الموظفون'!$D$3,CycleWork+CycleRest)&lt;CycleWork,INDEX('الإعدادات والقوائم'!$H$2:$H$4,MOD(INT(MOD(LL$3-'الموظفون'!$D$3,CycleWork+CycleRest)*3/CycleWork)+MATCH(StartShift,'الإعدادات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الإجازات'!$D$5:$D$104&lt;=LL$3)*(('حجز الإجازات'!$E$5:$E$104)&gt;=LL$3)*('حجز الإجازات'!$G$5:$G$104="معتمد")*ROW('حجز الإجازات'!$B$5:$B$104)))-5+1))</f>
        <v/>
      </c>
      <c r="LM5" s="62">
        <f>IF(SUMPRODUCT(('حجز الإجازات'!$B$5:$B$104='الموظفون'!$B$3)*('حجز الإجازات'!$D$5:$D$104&lt;=LM$3)*(('حجز الإجازات'!$E$5:$E$104)&gt;=LM$3)*('حجز الإجازات'!$G$5:$G$104="معتمد")*ROW('حجز الإجازات'!$B$5:$B$104))=0,IF(LM$3&lt;'الموظفون'!$D$3,"",IF(ISNUMBER(MATCH(LM$3,Holidays,0)),"عطلة",IF(MOD(LM$3-'الموظفون'!$D$3,CycleWork+CycleRest)&lt;CycleWork,INDEX('الإعدادات والقوائم'!$H$2:$H$4,MOD(INT(MOD(LM$3-'الموظفون'!$D$3,CycleWork+CycleRest)*3/CycleWork)+MATCH(StartShift,'الإعدادات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الإجازات'!$D$5:$D$104&lt;=LM$3)*(('حجز الإجازات'!$E$5:$E$104)&gt;=LM$3)*('حجز الإجازات'!$G$5:$G$104="معتمد")*ROW('حجز الإجازات'!$B$5:$B$104)))-5+1))</f>
        <v/>
      </c>
      <c r="LN5" s="62">
        <f>IF(SUMPRODUCT(('حجز الإجازات'!$B$5:$B$104='الموظفون'!$B$3)*('حجز الإجازات'!$D$5:$D$104&lt;=LN$3)*(('حجز الإجازات'!$E$5:$E$104)&gt;=LN$3)*('حجز الإجازات'!$G$5:$G$104="معتمد")*ROW('حجز الإجازات'!$B$5:$B$104))=0,IF(LN$3&lt;'الموظفون'!$D$3,"",IF(ISNUMBER(MATCH(LN$3,Holidays,0)),"عطلة",IF(MOD(LN$3-'الموظفون'!$D$3,CycleWork+CycleRest)&lt;CycleWork,INDEX('الإعدادات والقوائم'!$H$2:$H$4,MOD(INT(MOD(LN$3-'الموظفون'!$D$3,CycleWork+CycleRest)*3/CycleWork)+MATCH(StartShift,'الإعدادات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الإجازات'!$D$5:$D$104&lt;=LN$3)*(('حجز الإجازات'!$E$5:$E$104)&gt;=LN$3)*('حجز الإجازات'!$G$5:$G$104="معتمد")*ROW('حجز الإجازات'!$B$5:$B$104)))-5+1))</f>
        <v/>
      </c>
      <c r="LO5" s="62">
        <f>IF(SUMPRODUCT(('حجز الإجازات'!$B$5:$B$104='الموظفون'!$B$3)*('حجز الإجازات'!$D$5:$D$104&lt;=LO$3)*(('حجز الإجازات'!$E$5:$E$104)&gt;=LO$3)*('حجز الإجازات'!$G$5:$G$104="معتمد")*ROW('حجز الإجازات'!$B$5:$B$104))=0,IF(LO$3&lt;'الموظفون'!$D$3,"",IF(ISNUMBER(MATCH(LO$3,Holidays,0)),"عطلة",IF(MOD(LO$3-'الموظفون'!$D$3,CycleWork+CycleRest)&lt;CycleWork,INDEX('الإعدادات والقوائم'!$H$2:$H$4,MOD(INT(MOD(LO$3-'الموظفون'!$D$3,CycleWork+CycleRest)*3/CycleWork)+MATCH(StartShift,'الإعدادات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الإجازات'!$D$5:$D$104&lt;=LO$3)*(('حجز الإجازات'!$E$5:$E$104)&gt;=LO$3)*('حجز الإجازات'!$G$5:$G$104="معتمد")*ROW('حجز الإجازات'!$B$5:$B$104)))-5+1))</f>
        <v/>
      </c>
      <c r="LP5" s="62">
        <f>IF(SUMPRODUCT(('حجز الإجازات'!$B$5:$B$104='الموظفون'!$B$3)*('حجز الإجازات'!$D$5:$D$104&lt;=LP$3)*(('حجز الإجازات'!$E$5:$E$104)&gt;=LP$3)*('حجز الإجازات'!$G$5:$G$104="معتمد")*ROW('حجز الإجازات'!$B$5:$B$104))=0,IF(LP$3&lt;'الموظفون'!$D$3,"",IF(ISNUMBER(MATCH(LP$3,Holidays,0)),"عطلة",IF(MOD(LP$3-'الموظفون'!$D$3,CycleWork+CycleRest)&lt;CycleWork,INDEX('الإعدادات والقوائم'!$H$2:$H$4,MOD(INT(MOD(LP$3-'الموظفون'!$D$3,CycleWork+CycleRest)*3/CycleWork)+MATCH(StartShift,'الإعدادات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الإجازات'!$D$5:$D$104&lt;=LP$3)*(('حجز الإجازات'!$E$5:$E$104)&gt;=LP$3)*('حجز الإجازات'!$G$5:$G$104="معتمد")*ROW('حجز الإجازات'!$B$5:$B$104)))-5+1))</f>
        <v/>
      </c>
      <c r="LQ5" s="62">
        <f>IF(SUMPRODUCT(('حجز الإجازات'!$B$5:$B$104='الموظفون'!$B$3)*('حجز الإجازات'!$D$5:$D$104&lt;=LQ$3)*(('حجز الإجازات'!$E$5:$E$104)&gt;=LQ$3)*('حجز الإجازات'!$G$5:$G$104="معتمد")*ROW('حجز الإجازات'!$B$5:$B$104))=0,IF(LQ$3&lt;'الموظفون'!$D$3,"",IF(ISNUMBER(MATCH(LQ$3,Holidays,0)),"عطلة",IF(MOD(LQ$3-'الموظفون'!$D$3,CycleWork+CycleRest)&lt;CycleWork,INDEX('الإعدادات والقوائم'!$H$2:$H$4,MOD(INT(MOD(LQ$3-'الموظفون'!$D$3,CycleWork+CycleRest)*3/CycleWork)+MATCH(StartShift,'الإعدادات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الإجازات'!$D$5:$D$104&lt;=LQ$3)*(('حجز الإجازات'!$E$5:$E$104)&gt;=LQ$3)*('حجز الإجازات'!$G$5:$G$104="معتمد")*ROW('حجز الإجازات'!$B$5:$B$104)))-5+1))</f>
        <v/>
      </c>
      <c r="LR5" s="62">
        <f>IF(SUMPRODUCT(('حجز الإجازات'!$B$5:$B$104='الموظفون'!$B$3)*('حجز الإجازات'!$D$5:$D$104&lt;=LR$3)*(('حجز الإجازات'!$E$5:$E$104)&gt;=LR$3)*('حجز الإجازات'!$G$5:$G$104="معتمد")*ROW('حجز الإجازات'!$B$5:$B$104))=0,IF(LR$3&lt;'الموظفون'!$D$3,"",IF(ISNUMBER(MATCH(LR$3,Holidays,0)),"عطلة",IF(MOD(LR$3-'الموظفون'!$D$3,CycleWork+CycleRest)&lt;CycleWork,INDEX('الإعدادات والقوائم'!$H$2:$H$4,MOD(INT(MOD(LR$3-'الموظفون'!$D$3,CycleWork+CycleRest)*3/CycleWork)+MATCH(StartShift,'الإعدادات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الإجازات'!$D$5:$D$104&lt;=LR$3)*(('حجز الإجازات'!$E$5:$E$104)&gt;=LR$3)*('حجز الإجازات'!$G$5:$G$104="معتمد")*ROW('حجز الإجازات'!$B$5:$B$104)))-5+1))</f>
        <v/>
      </c>
      <c r="LS5" s="62">
        <f>IF(SUMPRODUCT(('حجز الإجازات'!$B$5:$B$104='الموظفون'!$B$3)*('حجز الإجازات'!$D$5:$D$104&lt;=LS$3)*(('حجز الإجازات'!$E$5:$E$104)&gt;=LS$3)*('حجز الإجازات'!$G$5:$G$104="معتمد")*ROW('حجز الإجازات'!$B$5:$B$104))=0,IF(LS$3&lt;'الموظفون'!$D$3,"",IF(ISNUMBER(MATCH(LS$3,Holidays,0)),"عطلة",IF(MOD(LS$3-'الموظفون'!$D$3,CycleWork+CycleRest)&lt;CycleWork,INDEX('الإعدادات والقوائم'!$H$2:$H$4,MOD(INT(MOD(LS$3-'الموظفون'!$D$3,CycleWork+CycleRest)*3/CycleWork)+MATCH(StartShift,'الإعدادات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الإجازات'!$D$5:$D$104&lt;=LS$3)*(('حجز الإجازات'!$E$5:$E$104)&gt;=LS$3)*('حجز الإجازات'!$G$5:$G$104="معتمد")*ROW('حجز الإجازات'!$B$5:$B$104)))-5+1))</f>
        <v/>
      </c>
      <c r="LT5" s="62">
        <f>IF(SUMPRODUCT(('حجز الإجازات'!$B$5:$B$104='الموظفون'!$B$3)*('حجز الإجازات'!$D$5:$D$104&lt;=LT$3)*(('حجز الإجازات'!$E$5:$E$104)&gt;=LT$3)*('حجز الإجازات'!$G$5:$G$104="معتمد")*ROW('حجز الإجازات'!$B$5:$B$104))=0,IF(LT$3&lt;'الموظفون'!$D$3,"",IF(ISNUMBER(MATCH(LT$3,Holidays,0)),"عطلة",IF(MOD(LT$3-'الموظفون'!$D$3,CycleWork+CycleRest)&lt;CycleWork,INDEX('الإعدادات والقوائم'!$H$2:$H$4,MOD(INT(MOD(LT$3-'الموظفون'!$D$3,CycleWork+CycleRest)*3/CycleWork)+MATCH(StartShift,'الإعدادات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الإجازات'!$D$5:$D$104&lt;=LT$3)*(('حجز الإجازات'!$E$5:$E$104)&gt;=LT$3)*('حجز الإجازات'!$G$5:$G$104="معتمد")*ROW('حجز الإجازات'!$B$5:$B$104)))-5+1))</f>
        <v/>
      </c>
      <c r="LU5" s="62">
        <f>IF(SUMPRODUCT(('حجز الإجازات'!$B$5:$B$104='الموظفون'!$B$3)*('حجز الإجازات'!$D$5:$D$104&lt;=LU$3)*(('حجز الإجازات'!$E$5:$E$104)&gt;=LU$3)*('حجز الإجازات'!$G$5:$G$104="معتمد")*ROW('حجز الإجازات'!$B$5:$B$104))=0,IF(LU$3&lt;'الموظفون'!$D$3,"",IF(ISNUMBER(MATCH(LU$3,Holidays,0)),"عطلة",IF(MOD(LU$3-'الموظفون'!$D$3,CycleWork+CycleRest)&lt;CycleWork,INDEX('الإعدادات والقوائم'!$H$2:$H$4,MOD(INT(MOD(LU$3-'الموظفون'!$D$3,CycleWork+CycleRest)*3/CycleWork)+MATCH(StartShift,'الإعدادات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الإجازات'!$D$5:$D$104&lt;=LU$3)*(('حجز الإجازات'!$E$5:$E$104)&gt;=LU$3)*('حجز الإجازات'!$G$5:$G$104="معتمد")*ROW('حجز الإجازات'!$B$5:$B$104)))-5+1))</f>
        <v/>
      </c>
      <c r="LV5" s="62">
        <f>IF(SUMPRODUCT(('حجز الإجازات'!$B$5:$B$104='الموظفون'!$B$3)*('حجز الإجازات'!$D$5:$D$104&lt;=LV$3)*(('حجز الإجازات'!$E$5:$E$104)&gt;=LV$3)*('حجز الإجازات'!$G$5:$G$104="معتمد")*ROW('حجز الإجازات'!$B$5:$B$104))=0,IF(LV$3&lt;'الموظفون'!$D$3,"",IF(ISNUMBER(MATCH(LV$3,Holidays,0)),"عطلة",IF(MOD(LV$3-'الموظفون'!$D$3,CycleWork+CycleRest)&lt;CycleWork,INDEX('الإعدادات والقوائم'!$H$2:$H$4,MOD(INT(MOD(LV$3-'الموظفون'!$D$3,CycleWork+CycleRest)*3/CycleWork)+MATCH(StartShift,'الإعدادات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الإجازات'!$D$5:$D$104&lt;=LV$3)*(('حجز الإجازات'!$E$5:$E$104)&gt;=LV$3)*('حجز الإجازات'!$G$5:$G$104="معتمد")*ROW('حجز الإجازات'!$B$5:$B$104)))-5+1))</f>
        <v/>
      </c>
      <c r="LW5" s="62">
        <f>IF(SUMPRODUCT(('حجز الإجازات'!$B$5:$B$104='الموظفون'!$B$3)*('حجز الإجازات'!$D$5:$D$104&lt;=LW$3)*(('حجز الإجازات'!$E$5:$E$104)&gt;=LW$3)*('حجز الإجازات'!$G$5:$G$104="معتمد")*ROW('حجز الإجازات'!$B$5:$B$104))=0,IF(LW$3&lt;'الموظفون'!$D$3,"",IF(ISNUMBER(MATCH(LW$3,Holidays,0)),"عطلة",IF(MOD(LW$3-'الموظفون'!$D$3,CycleWork+CycleRest)&lt;CycleWork,INDEX('الإعدادات والقوائم'!$H$2:$H$4,MOD(INT(MOD(LW$3-'الموظفون'!$D$3,CycleWork+CycleRest)*3/CycleWork)+MATCH(StartShift,'الإعدادات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الإجازات'!$D$5:$D$104&lt;=LW$3)*(('حجز الإجازات'!$E$5:$E$104)&gt;=LW$3)*('حجز الإجازات'!$G$5:$G$104="معتمد")*ROW('حجز الإجازات'!$B$5:$B$104)))-5+1))</f>
        <v/>
      </c>
      <c r="LX5" s="62">
        <f>IF(SUMPRODUCT(('حجز الإجازات'!$B$5:$B$104='الموظفون'!$B$3)*('حجز الإجازات'!$D$5:$D$104&lt;=LX$3)*(('حجز الإجازات'!$E$5:$E$104)&gt;=LX$3)*('حجز الإجازات'!$G$5:$G$104="معتمد")*ROW('حجز الإجازات'!$B$5:$B$104))=0,IF(LX$3&lt;'الموظفون'!$D$3,"",IF(ISNUMBER(MATCH(LX$3,Holidays,0)),"عطلة",IF(MOD(LX$3-'الموظفون'!$D$3,CycleWork+CycleRest)&lt;CycleWork,INDEX('الإعدادات والقوائم'!$H$2:$H$4,MOD(INT(MOD(LX$3-'الموظفون'!$D$3,CycleWork+CycleRest)*3/CycleWork)+MATCH(StartShift,'الإعدادات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الإجازات'!$D$5:$D$104&lt;=LX$3)*(('حجز الإجازات'!$E$5:$E$104)&gt;=LX$3)*('حجز الإجازات'!$G$5:$G$104="معتمد")*ROW('حجز الإجازات'!$B$5:$B$104)))-5+1))</f>
        <v/>
      </c>
      <c r="LY5" s="62">
        <f>IF(SUMPRODUCT(('حجز الإجازات'!$B$5:$B$104='الموظفون'!$B$3)*('حجز الإجازات'!$D$5:$D$104&lt;=LY$3)*(('حجز الإجازات'!$E$5:$E$104)&gt;=LY$3)*('حجز الإجازات'!$G$5:$G$104="معتمد")*ROW('حجز الإجازات'!$B$5:$B$104))=0,IF(LY$3&lt;'الموظفون'!$D$3,"",IF(ISNUMBER(MATCH(LY$3,Holidays,0)),"عطلة",IF(MOD(LY$3-'الموظفون'!$D$3,CycleWork+CycleRest)&lt;CycleWork,INDEX('الإعدادات والقوائم'!$H$2:$H$4,MOD(INT(MOD(LY$3-'الموظفون'!$D$3,CycleWork+CycleRest)*3/CycleWork)+MATCH(StartShift,'الإعدادات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الإجازات'!$D$5:$D$104&lt;=LY$3)*(('حجز الإجازات'!$E$5:$E$104)&gt;=LY$3)*('حجز الإجازات'!$G$5:$G$104="معتمد")*ROW('حجز الإجازات'!$B$5:$B$104)))-5+1))</f>
        <v/>
      </c>
      <c r="LZ5" s="62">
        <f>IF(SUMPRODUCT(('حجز الإجازات'!$B$5:$B$104='الموظفون'!$B$3)*('حجز الإجازات'!$D$5:$D$104&lt;=LZ$3)*(('حجز الإجازات'!$E$5:$E$104)&gt;=LZ$3)*('حجز الإجازات'!$G$5:$G$104="معتمد")*ROW('حجز الإجازات'!$B$5:$B$104))=0,IF(LZ$3&lt;'الموظفون'!$D$3,"",IF(ISNUMBER(MATCH(LZ$3,Holidays,0)),"عطلة",IF(MOD(LZ$3-'الموظفون'!$D$3,CycleWork+CycleRest)&lt;CycleWork,INDEX('الإعدادات والقوائم'!$H$2:$H$4,MOD(INT(MOD(LZ$3-'الموظفون'!$D$3,CycleWork+CycleRest)*3/CycleWork)+MATCH(StartShift,'الإعدادات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الإجازات'!$D$5:$D$104&lt;=LZ$3)*(('حجز الإجازات'!$E$5:$E$104)&gt;=LZ$3)*('حجز الإجازات'!$G$5:$G$104="معتمد")*ROW('حجز الإجازات'!$B$5:$B$104)))-5+1))</f>
        <v/>
      </c>
      <c r="MA5" s="62">
        <f>IF(SUMPRODUCT(('حجز الإجازات'!$B$5:$B$104='الموظفون'!$B$3)*('حجز الإجازات'!$D$5:$D$104&lt;=MA$3)*(('حجز الإجازات'!$E$5:$E$104)&gt;=MA$3)*('حجز الإجازات'!$G$5:$G$104="معتمد")*ROW('حجز الإجازات'!$B$5:$B$104))=0,IF(MA$3&lt;'الموظفون'!$D$3,"",IF(ISNUMBER(MATCH(MA$3,Holidays,0)),"عطلة",IF(MOD(MA$3-'الموظفون'!$D$3,CycleWork+CycleRest)&lt;CycleWork,INDEX('الإعدادات والقوائم'!$H$2:$H$4,MOD(INT(MOD(MA$3-'الموظفون'!$D$3,CycleWork+CycleRest)*3/CycleWork)+MATCH(StartShift,'الإعدادات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الإجازات'!$D$5:$D$104&lt;=MA$3)*(('حجز الإجازات'!$E$5:$E$104)&gt;=MA$3)*('حجز الإجازات'!$G$5:$G$104="معتمد")*ROW('حجز الإجازات'!$B$5:$B$104)))-5+1))</f>
        <v/>
      </c>
      <c r="MB5" s="62">
        <f>IF(SUMPRODUCT(('حجز الإجازات'!$B$5:$B$104='الموظفون'!$B$3)*('حجز الإجازات'!$D$5:$D$104&lt;=MB$3)*(('حجز الإجازات'!$E$5:$E$104)&gt;=MB$3)*('حجز الإجازات'!$G$5:$G$104="معتمد")*ROW('حجز الإجازات'!$B$5:$B$104))=0,IF(MB$3&lt;'الموظفون'!$D$3,"",IF(ISNUMBER(MATCH(MB$3,Holidays,0)),"عطلة",IF(MOD(MB$3-'الموظفون'!$D$3,CycleWork+CycleRest)&lt;CycleWork,INDEX('الإعدادات والقوائم'!$H$2:$H$4,MOD(INT(MOD(MB$3-'الموظفون'!$D$3,CycleWork+CycleRest)*3/CycleWork)+MATCH(StartShift,'الإعدادات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الإجازات'!$D$5:$D$104&lt;=MB$3)*(('حجز الإجازات'!$E$5:$E$104)&gt;=MB$3)*('حجز الإجازات'!$G$5:$G$104="معتمد")*ROW('حجز الإجازات'!$B$5:$B$104)))-5+1))</f>
        <v/>
      </c>
      <c r="MC5" s="62">
        <f>IF(SUMPRODUCT(('حجز الإجازات'!$B$5:$B$104='الموظفون'!$B$3)*('حجز الإجازات'!$D$5:$D$104&lt;=MC$3)*(('حجز الإجازات'!$E$5:$E$104)&gt;=MC$3)*('حجز الإجازات'!$G$5:$G$104="معتمد")*ROW('حجز الإجازات'!$B$5:$B$104))=0,IF(MC$3&lt;'الموظفون'!$D$3,"",IF(ISNUMBER(MATCH(MC$3,Holidays,0)),"عطلة",IF(MOD(MC$3-'الموظفون'!$D$3,CycleWork+CycleRest)&lt;CycleWork,INDEX('الإعدادات والقوائم'!$H$2:$H$4,MOD(INT(MOD(MC$3-'الموظفون'!$D$3,CycleWork+CycleRest)*3/CycleWork)+MATCH(StartShift,'الإعدادات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الإجازات'!$D$5:$D$104&lt;=MC$3)*(('حجز الإجازات'!$E$5:$E$104)&gt;=MC$3)*('حجز الإجازات'!$G$5:$G$104="معتمد")*ROW('حجز الإجازات'!$B$5:$B$104)))-5+1))</f>
        <v/>
      </c>
      <c r="MD5" s="62">
        <f>IF(SUMPRODUCT(('حجز الإجازات'!$B$5:$B$104='الموظفون'!$B$3)*('حجز الإجازات'!$D$5:$D$104&lt;=MD$3)*(('حجز الإجازات'!$E$5:$E$104)&gt;=MD$3)*('حجز الإجازات'!$G$5:$G$104="معتمد")*ROW('حجز الإجازات'!$B$5:$B$104))=0,IF(MD$3&lt;'الموظفون'!$D$3,"",IF(ISNUMBER(MATCH(MD$3,Holidays,0)),"عطلة",IF(MOD(MD$3-'الموظفون'!$D$3,CycleWork+CycleRest)&lt;CycleWork,INDEX('الإعدادات والقوائم'!$H$2:$H$4,MOD(INT(MOD(MD$3-'الموظفون'!$D$3,CycleWork+CycleRest)*3/CycleWork)+MATCH(StartShift,'الإعدادات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الإجازات'!$D$5:$D$104&lt;=MD$3)*(('حجز الإجازات'!$E$5:$E$104)&gt;=MD$3)*('حجز الإجازات'!$G$5:$G$104="معتمد")*ROW('حجز الإجازات'!$B$5:$B$104)))-5+1))</f>
        <v/>
      </c>
      <c r="ME5" s="62">
        <f>IF(SUMPRODUCT(('حجز الإجازات'!$B$5:$B$104='الموظفون'!$B$3)*('حجز الإجازات'!$D$5:$D$104&lt;=ME$3)*(('حجز الإجازات'!$E$5:$E$104)&gt;=ME$3)*('حجز الإجازات'!$G$5:$G$104="معتمد")*ROW('حجز الإجازات'!$B$5:$B$104))=0,IF(ME$3&lt;'الموظفون'!$D$3,"",IF(ISNUMBER(MATCH(ME$3,Holidays,0)),"عطلة",IF(MOD(ME$3-'الموظفون'!$D$3,CycleWork+CycleRest)&lt;CycleWork,INDEX('الإعدادات والقوائم'!$H$2:$H$4,MOD(INT(MOD(ME$3-'الموظفون'!$D$3,CycleWork+CycleRest)*3/CycleWork)+MATCH(StartShift,'الإعدادات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الإجازات'!$D$5:$D$104&lt;=ME$3)*(('حجز الإجازات'!$E$5:$E$104)&gt;=ME$3)*('حجز الإجازات'!$G$5:$G$104="معتمد")*ROW('حجز الإجازات'!$B$5:$B$104)))-5+1))</f>
        <v/>
      </c>
      <c r="MF5" s="62">
        <f>IF(SUMPRODUCT(('حجز الإجازات'!$B$5:$B$104='الموظفون'!$B$3)*('حجز الإجازات'!$D$5:$D$104&lt;=MF$3)*(('حجز الإجازات'!$E$5:$E$104)&gt;=MF$3)*('حجز الإجازات'!$G$5:$G$104="معتمد")*ROW('حجز الإجازات'!$B$5:$B$104))=0,IF(MF$3&lt;'الموظفون'!$D$3,"",IF(ISNUMBER(MATCH(MF$3,Holidays,0)),"عطلة",IF(MOD(MF$3-'الموظفون'!$D$3,CycleWork+CycleRest)&lt;CycleWork,INDEX('الإعدادات والقوائم'!$H$2:$H$4,MOD(INT(MOD(MF$3-'الموظفون'!$D$3,CycleWork+CycleRest)*3/CycleWork)+MATCH(StartShift,'الإعدادات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الإجازات'!$D$5:$D$104&lt;=MF$3)*(('حجز الإجازات'!$E$5:$E$104)&gt;=MF$3)*('حجز الإجازات'!$G$5:$G$104="معتمد")*ROW('حجز الإجازات'!$B$5:$B$104)))-5+1))</f>
        <v/>
      </c>
      <c r="MG5" s="62">
        <f>IF(SUMPRODUCT(('حجز الإجازات'!$B$5:$B$104='الموظفون'!$B$3)*('حجز الإجازات'!$D$5:$D$104&lt;=MG$3)*(('حجز الإجازات'!$E$5:$E$104)&gt;=MG$3)*('حجز الإجازات'!$G$5:$G$104="معتمد")*ROW('حجز الإجازات'!$B$5:$B$104))=0,IF(MG$3&lt;'الموظفون'!$D$3,"",IF(ISNUMBER(MATCH(MG$3,Holidays,0)),"عطلة",IF(MOD(MG$3-'الموظفون'!$D$3,CycleWork+CycleRest)&lt;CycleWork,INDEX('الإعدادات والقوائم'!$H$2:$H$4,MOD(INT(MOD(MG$3-'الموظفون'!$D$3,CycleWork+CycleRest)*3/CycleWork)+MATCH(StartShift,'الإعدادات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الإجازات'!$D$5:$D$104&lt;=MG$3)*(('حجز الإجازات'!$E$5:$E$104)&gt;=MG$3)*('حجز الإجازات'!$G$5:$G$104="معتمد")*ROW('حجز الإجازات'!$B$5:$B$104)))-5+1))</f>
        <v/>
      </c>
      <c r="MH5" s="62">
        <f>IF(SUMPRODUCT(('حجز الإجازات'!$B$5:$B$104='الموظفون'!$B$3)*('حجز الإجازات'!$D$5:$D$104&lt;=MH$3)*(('حجز الإجازات'!$E$5:$E$104)&gt;=MH$3)*('حجز الإجازات'!$G$5:$G$104="معتمد")*ROW('حجز الإجازات'!$B$5:$B$104))=0,IF(MH$3&lt;'الموظفون'!$D$3,"",IF(ISNUMBER(MATCH(MH$3,Holidays,0)),"عطلة",IF(MOD(MH$3-'الموظفون'!$D$3,CycleWork+CycleRest)&lt;CycleWork,INDEX('الإعدادات والقوائم'!$H$2:$H$4,MOD(INT(MOD(MH$3-'الموظفون'!$D$3,CycleWork+CycleRest)*3/CycleWork)+MATCH(StartShift,'الإعدادات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الإجازات'!$D$5:$D$104&lt;=MH$3)*(('حجز الإجازات'!$E$5:$E$104)&gt;=MH$3)*('حجز الإجازات'!$G$5:$G$104="معتمد")*ROW('حجز الإجازات'!$B$5:$B$104)))-5+1))</f>
        <v/>
      </c>
      <c r="MI5" s="62">
        <f>IF(SUMPRODUCT(('حجز الإجازات'!$B$5:$B$104='الموظفون'!$B$3)*('حجز الإجازات'!$D$5:$D$104&lt;=MI$3)*(('حجز الإجازات'!$E$5:$E$104)&gt;=MI$3)*('حجز الإجازات'!$G$5:$G$104="معتمد")*ROW('حجز الإجازات'!$B$5:$B$104))=0,IF(MI$3&lt;'الموظفون'!$D$3,"",IF(ISNUMBER(MATCH(MI$3,Holidays,0)),"عطلة",IF(MOD(MI$3-'الموظفون'!$D$3,CycleWork+CycleRest)&lt;CycleWork,INDEX('الإعدادات والقوائم'!$H$2:$H$4,MOD(INT(MOD(MI$3-'الموظفون'!$D$3,CycleWork+CycleRest)*3/CycleWork)+MATCH(StartShift,'الإعدادات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الإجازات'!$D$5:$D$104&lt;=MI$3)*(('حجز الإجازات'!$E$5:$E$104)&gt;=MI$3)*('حجز الإجازات'!$G$5:$G$104="معتمد")*ROW('حجز الإجازات'!$B$5:$B$104)))-5+1))</f>
        <v/>
      </c>
      <c r="MJ5" s="62">
        <f>IF(SUMPRODUCT(('حجز الإجازات'!$B$5:$B$104='الموظفون'!$B$3)*('حجز الإجازات'!$D$5:$D$104&lt;=MJ$3)*(('حجز الإجازات'!$E$5:$E$104)&gt;=MJ$3)*('حجز الإجازات'!$G$5:$G$104="معتمد")*ROW('حجز الإجازات'!$B$5:$B$104))=0,IF(MJ$3&lt;'الموظفون'!$D$3,"",IF(ISNUMBER(MATCH(MJ$3,Holidays,0)),"عطلة",IF(MOD(MJ$3-'الموظفون'!$D$3,CycleWork+CycleRest)&lt;CycleWork,INDEX('الإعدادات والقوائم'!$H$2:$H$4,MOD(INT(MOD(MJ$3-'الموظفون'!$D$3,CycleWork+CycleRest)*3/CycleWork)+MATCH(StartShift,'الإعدادات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الإجازات'!$D$5:$D$104&lt;=MJ$3)*(('حجز الإجازات'!$E$5:$E$104)&gt;=MJ$3)*('حجز الإجازات'!$G$5:$G$104="معتمد")*ROW('حجز الإجازات'!$B$5:$B$104)))-5+1))</f>
        <v/>
      </c>
      <c r="MK5" s="62">
        <f>IF(SUMPRODUCT(('حجز الإجازات'!$B$5:$B$104='الموظفون'!$B$3)*('حجز الإجازات'!$D$5:$D$104&lt;=MK$3)*(('حجز الإجازات'!$E$5:$E$104)&gt;=MK$3)*('حجز الإجازات'!$G$5:$G$104="معتمد")*ROW('حجز الإجازات'!$B$5:$B$104))=0,IF(MK$3&lt;'الموظفون'!$D$3,"",IF(ISNUMBER(MATCH(MK$3,Holidays,0)),"عطلة",IF(MOD(MK$3-'الموظفون'!$D$3,CycleWork+CycleRest)&lt;CycleWork,INDEX('الإعدادات والقوائم'!$H$2:$H$4,MOD(INT(MOD(MK$3-'الموظفون'!$D$3,CycleWork+CycleRest)*3/CycleWork)+MATCH(StartShift,'الإعدادات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الإجازات'!$D$5:$D$104&lt;=MK$3)*(('حجز الإجازات'!$E$5:$E$104)&gt;=MK$3)*('حجز الإجازات'!$G$5:$G$104="معتمد")*ROW('حجز الإجازات'!$B$5:$B$104)))-5+1))</f>
        <v/>
      </c>
      <c r="ML5" s="62">
        <f>IF(SUMPRODUCT(('حجز الإجازات'!$B$5:$B$104='الموظفون'!$B$3)*('حجز الإجازات'!$D$5:$D$104&lt;=ML$3)*(('حجز الإجازات'!$E$5:$E$104)&gt;=ML$3)*('حجز الإجازات'!$G$5:$G$104="معتمد")*ROW('حجز الإجازات'!$B$5:$B$104))=0,IF(ML$3&lt;'الموظفون'!$D$3,"",IF(ISNUMBER(MATCH(ML$3,Holidays,0)),"عطلة",IF(MOD(ML$3-'الموظفون'!$D$3,CycleWork+CycleRest)&lt;CycleWork,INDEX('الإعدادات والقوائم'!$H$2:$H$4,MOD(INT(MOD(ML$3-'الموظفون'!$D$3,CycleWork+CycleRest)*3/CycleWork)+MATCH(StartShift,'الإعدادات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الإجازات'!$D$5:$D$104&lt;=ML$3)*(('حجز الإجازات'!$E$5:$E$104)&gt;=ML$3)*('حجز الإجازات'!$G$5:$G$104="معتمد")*ROW('حجز الإجازات'!$B$5:$B$104)))-5+1))</f>
        <v/>
      </c>
      <c r="MM5" s="62">
        <f>IF(SUMPRODUCT(('حجز الإجازات'!$B$5:$B$104='الموظفون'!$B$3)*('حجز الإجازات'!$D$5:$D$104&lt;=MM$3)*(('حجز الإجازات'!$E$5:$E$104)&gt;=MM$3)*('حجز الإجازات'!$G$5:$G$104="معتمد")*ROW('حجز الإجازات'!$B$5:$B$104))=0,IF(MM$3&lt;'الموظفون'!$D$3,"",IF(ISNUMBER(MATCH(MM$3,Holidays,0)),"عطلة",IF(MOD(MM$3-'الموظفون'!$D$3,CycleWork+CycleRest)&lt;CycleWork,INDEX('الإعدادات والقوائم'!$H$2:$H$4,MOD(INT(MOD(MM$3-'الموظفون'!$D$3,CycleWork+CycleRest)*3/CycleWork)+MATCH(StartShift,'الإعدادات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الإجازات'!$D$5:$D$104&lt;=MM$3)*(('حجز الإجازات'!$E$5:$E$104)&gt;=MM$3)*('حجز الإجازات'!$G$5:$G$104="معتمد")*ROW('حجز الإجازات'!$B$5:$B$104)))-5+1))</f>
        <v/>
      </c>
      <c r="MN5" s="62">
        <f>IF(SUMPRODUCT(('حجز الإجازات'!$B$5:$B$104='الموظفون'!$B$3)*('حجز الإجازات'!$D$5:$D$104&lt;=MN$3)*(('حجز الإجازات'!$E$5:$E$104)&gt;=MN$3)*('حجز الإجازات'!$G$5:$G$104="معتمد")*ROW('حجز الإجازات'!$B$5:$B$104))=0,IF(MN$3&lt;'الموظفون'!$D$3,"",IF(ISNUMBER(MATCH(MN$3,Holidays,0)),"عطلة",IF(MOD(MN$3-'الموظفون'!$D$3,CycleWork+CycleRest)&lt;CycleWork,INDEX('الإعدادات والقوائم'!$H$2:$H$4,MOD(INT(MOD(MN$3-'الموظفون'!$D$3,CycleWork+CycleRest)*3/CycleWork)+MATCH(StartShift,'الإعدادات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الإجازات'!$D$5:$D$104&lt;=MN$3)*(('حجز الإجازات'!$E$5:$E$104)&gt;=MN$3)*('حجز الإجازات'!$G$5:$G$104="معتمد")*ROW('حجز الإجازات'!$B$5:$B$104)))-5+1))</f>
        <v/>
      </c>
      <c r="MO5" s="62">
        <f>IF(SUMPRODUCT(('حجز الإجازات'!$B$5:$B$104='الموظفون'!$B$3)*('حجز الإجازات'!$D$5:$D$104&lt;=MO$3)*(('حجز الإجازات'!$E$5:$E$104)&gt;=MO$3)*('حجز الإجازات'!$G$5:$G$104="معتمد")*ROW('حجز الإجازات'!$B$5:$B$104))=0,IF(MO$3&lt;'الموظفون'!$D$3,"",IF(ISNUMBER(MATCH(MO$3,Holidays,0)),"عطلة",IF(MOD(MO$3-'الموظفون'!$D$3,CycleWork+CycleRest)&lt;CycleWork,INDEX('الإعدادات والقوائم'!$H$2:$H$4,MOD(INT(MOD(MO$3-'الموظفون'!$D$3,CycleWork+CycleRest)*3/CycleWork)+MATCH(StartShift,'الإعدادات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الإجازات'!$D$5:$D$104&lt;=MO$3)*(('حجز الإجازات'!$E$5:$E$104)&gt;=MO$3)*('حجز الإجازات'!$G$5:$G$104="معتمد")*ROW('حجز الإجازات'!$B$5:$B$104)))-5+1))</f>
        <v/>
      </c>
      <c r="MP5" s="62">
        <f>IF(SUMPRODUCT(('حجز الإجازات'!$B$5:$B$104='الموظفون'!$B$3)*('حجز الإجازات'!$D$5:$D$104&lt;=MP$3)*(('حجز الإجازات'!$E$5:$E$104)&gt;=MP$3)*('حجز الإجازات'!$G$5:$G$104="معتمد")*ROW('حجز الإجازات'!$B$5:$B$104))=0,IF(MP$3&lt;'الموظفون'!$D$3,"",IF(ISNUMBER(MATCH(MP$3,Holidays,0)),"عطلة",IF(MOD(MP$3-'الموظفون'!$D$3,CycleWork+CycleRest)&lt;CycleWork,INDEX('الإعدادات والقوائم'!$H$2:$H$4,MOD(INT(MOD(MP$3-'الموظفون'!$D$3,CycleWork+CycleRest)*3/CycleWork)+MATCH(StartShift,'الإعدادات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الإجازات'!$D$5:$D$104&lt;=MP$3)*(('حجز الإجازات'!$E$5:$E$104)&gt;=MP$3)*('حجز الإجازات'!$G$5:$G$104="معتمد")*ROW('حجز الإجازات'!$B$5:$B$104)))-5+1))</f>
        <v/>
      </c>
      <c r="MQ5" s="62">
        <f>IF(SUMPRODUCT(('حجز الإجازات'!$B$5:$B$104='الموظفون'!$B$3)*('حجز الإجازات'!$D$5:$D$104&lt;=MQ$3)*(('حجز الإجازات'!$E$5:$E$104)&gt;=MQ$3)*('حجز الإجازات'!$G$5:$G$104="معتمد")*ROW('حجز الإجازات'!$B$5:$B$104))=0,IF(MQ$3&lt;'الموظفون'!$D$3,"",IF(ISNUMBER(MATCH(MQ$3,Holidays,0)),"عطلة",IF(MOD(MQ$3-'الموظفون'!$D$3,CycleWork+CycleRest)&lt;CycleWork,INDEX('الإعدادات والقوائم'!$H$2:$H$4,MOD(INT(MOD(MQ$3-'الموظفون'!$D$3,CycleWork+CycleRest)*3/CycleWork)+MATCH(StartShift,'الإعدادات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الإجازات'!$D$5:$D$104&lt;=MQ$3)*(('حجز الإجازات'!$E$5:$E$104)&gt;=MQ$3)*('حجز الإجازات'!$G$5:$G$104="معتمد")*ROW('حجز الإجازات'!$B$5:$B$104)))-5+1))</f>
        <v/>
      </c>
      <c r="MR5" s="62">
        <f>IF(SUMPRODUCT(('حجز الإجازات'!$B$5:$B$104='الموظفون'!$B$3)*('حجز الإجازات'!$D$5:$D$104&lt;=MR$3)*(('حجز الإجازات'!$E$5:$E$104)&gt;=MR$3)*('حجز الإجازات'!$G$5:$G$104="معتمد")*ROW('حجز الإجازات'!$B$5:$B$104))=0,IF(MR$3&lt;'الموظفون'!$D$3,"",IF(ISNUMBER(MATCH(MR$3,Holidays,0)),"عطلة",IF(MOD(MR$3-'الموظفون'!$D$3,CycleWork+CycleRest)&lt;CycleWork,INDEX('الإعدادات والقوائم'!$H$2:$H$4,MOD(INT(MOD(MR$3-'الموظفون'!$D$3,CycleWork+CycleRest)*3/CycleWork)+MATCH(StartShift,'الإعدادات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الإجازات'!$D$5:$D$104&lt;=MR$3)*(('حجز الإجازات'!$E$5:$E$104)&gt;=MR$3)*('حجز الإجازات'!$G$5:$G$104="معتمد")*ROW('حجز الإجازات'!$B$5:$B$104)))-5+1))</f>
        <v/>
      </c>
      <c r="MS5" s="62">
        <f>IF(SUMPRODUCT(('حجز الإجازات'!$B$5:$B$104='الموظفون'!$B$3)*('حجز الإجازات'!$D$5:$D$104&lt;=MS$3)*(('حجز الإجازات'!$E$5:$E$104)&gt;=MS$3)*('حجز الإجازات'!$G$5:$G$104="معتمد")*ROW('حجز الإجازات'!$B$5:$B$104))=0,IF(MS$3&lt;'الموظفون'!$D$3,"",IF(ISNUMBER(MATCH(MS$3,Holidays,0)),"عطلة",IF(MOD(MS$3-'الموظفون'!$D$3,CycleWork+CycleRest)&lt;CycleWork,INDEX('الإعدادات والقوائم'!$H$2:$H$4,MOD(INT(MOD(MS$3-'الموظفون'!$D$3,CycleWork+CycleRest)*3/CycleWork)+MATCH(StartShift,'الإعدادات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الإجازات'!$D$5:$D$104&lt;=MS$3)*(('حجز الإجازات'!$E$5:$E$104)&gt;=MS$3)*('حجز الإجازات'!$G$5:$G$104="معتمد")*ROW('حجز الإجازات'!$B$5:$B$104)))-5+1))</f>
        <v/>
      </c>
      <c r="MT5" s="62">
        <f>IF(SUMPRODUCT(('حجز الإجازات'!$B$5:$B$104='الموظفون'!$B$3)*('حجز الإجازات'!$D$5:$D$104&lt;=MT$3)*(('حجز الإجازات'!$E$5:$E$104)&gt;=MT$3)*('حجز الإجازات'!$G$5:$G$104="معتمد")*ROW('حجز الإجازات'!$B$5:$B$104))=0,IF(MT$3&lt;'الموظفون'!$D$3,"",IF(ISNUMBER(MATCH(MT$3,Holidays,0)),"عطلة",IF(MOD(MT$3-'الموظفون'!$D$3,CycleWork+CycleRest)&lt;CycleWork,INDEX('الإعدادات والقوائم'!$H$2:$H$4,MOD(INT(MOD(MT$3-'الموظفون'!$D$3,CycleWork+CycleRest)*3/CycleWork)+MATCH(StartShift,'الإعدادات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الإجازات'!$D$5:$D$104&lt;=MT$3)*(('حجز الإجازات'!$E$5:$E$104)&gt;=MT$3)*('حجز الإجازات'!$G$5:$G$104="معتمد")*ROW('حجز الإجازات'!$B$5:$B$104)))-5+1))</f>
        <v/>
      </c>
      <c r="MU5" s="62">
        <f>IF(SUMPRODUCT(('حجز الإجازات'!$B$5:$B$104='الموظفون'!$B$3)*('حجز الإجازات'!$D$5:$D$104&lt;=MU$3)*(('حجز الإجازات'!$E$5:$E$104)&gt;=MU$3)*('حجز الإجازات'!$G$5:$G$104="معتمد")*ROW('حجز الإجازات'!$B$5:$B$104))=0,IF(MU$3&lt;'الموظفون'!$D$3,"",IF(ISNUMBER(MATCH(MU$3,Holidays,0)),"عطلة",IF(MOD(MU$3-'الموظفون'!$D$3,CycleWork+CycleRest)&lt;CycleWork,INDEX('الإعدادات والقوائم'!$H$2:$H$4,MOD(INT(MOD(MU$3-'الموظفون'!$D$3,CycleWork+CycleRest)*3/CycleWork)+MATCH(StartShift,'الإعدادات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الإجازات'!$D$5:$D$104&lt;=MU$3)*(('حجز الإجازات'!$E$5:$E$104)&gt;=MU$3)*('حجز الإجازات'!$G$5:$G$104="معتمد")*ROW('حجز الإجازات'!$B$5:$B$104)))-5+1))</f>
        <v/>
      </c>
      <c r="MV5" s="62">
        <f>IF(SUMPRODUCT(('حجز الإجازات'!$B$5:$B$104='الموظفون'!$B$3)*('حجز الإجازات'!$D$5:$D$104&lt;=MV$3)*(('حجز الإجازات'!$E$5:$E$104)&gt;=MV$3)*('حجز الإجازات'!$G$5:$G$104="معتمد")*ROW('حجز الإجازات'!$B$5:$B$104))=0,IF(MV$3&lt;'الموظفون'!$D$3,"",IF(ISNUMBER(MATCH(MV$3,Holidays,0)),"عطلة",IF(MOD(MV$3-'الموظفون'!$D$3,CycleWork+CycleRest)&lt;CycleWork,INDEX('الإعدادات والقوائم'!$H$2:$H$4,MOD(INT(MOD(MV$3-'الموظفون'!$D$3,CycleWork+CycleRest)*3/CycleWork)+MATCH(StartShift,'الإعدادات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الإجازات'!$D$5:$D$104&lt;=MV$3)*(('حجز الإجازات'!$E$5:$E$104)&gt;=MV$3)*('حجز الإجازات'!$G$5:$G$104="معتمد")*ROW('حجز الإجازات'!$B$5:$B$104)))-5+1))</f>
        <v/>
      </c>
      <c r="MW5" s="62">
        <f>IF(SUMPRODUCT(('حجز الإجازات'!$B$5:$B$104='الموظفون'!$B$3)*('حجز الإجازات'!$D$5:$D$104&lt;=MW$3)*(('حجز الإجازات'!$E$5:$E$104)&gt;=MW$3)*('حجز الإجازات'!$G$5:$G$104="معتمد")*ROW('حجز الإجازات'!$B$5:$B$104))=0,IF(MW$3&lt;'الموظفون'!$D$3,"",IF(ISNUMBER(MATCH(MW$3,Holidays,0)),"عطلة",IF(MOD(MW$3-'الموظفون'!$D$3,CycleWork+CycleRest)&lt;CycleWork,INDEX('الإعدادات والقوائم'!$H$2:$H$4,MOD(INT(MOD(MW$3-'الموظفون'!$D$3,CycleWork+CycleRest)*3/CycleWork)+MATCH(StartShift,'الإعدادات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الإجازات'!$D$5:$D$104&lt;=MW$3)*(('حجز الإجازات'!$E$5:$E$104)&gt;=MW$3)*('حجز الإجازات'!$G$5:$G$104="معتمد")*ROW('حجز الإجازات'!$B$5:$B$104)))-5+1))</f>
        <v/>
      </c>
      <c r="MX5" s="62">
        <f>IF(SUMPRODUCT(('حجز الإجازات'!$B$5:$B$104='الموظفون'!$B$3)*('حجز الإجازات'!$D$5:$D$104&lt;=MX$3)*(('حجز الإجازات'!$E$5:$E$104)&gt;=MX$3)*('حجز الإجازات'!$G$5:$G$104="معتمد")*ROW('حجز الإجازات'!$B$5:$B$104))=0,IF(MX$3&lt;'الموظفون'!$D$3,"",IF(ISNUMBER(MATCH(MX$3,Holidays,0)),"عطلة",IF(MOD(MX$3-'الموظفون'!$D$3,CycleWork+CycleRest)&lt;CycleWork,INDEX('الإعدادات والقوائم'!$H$2:$H$4,MOD(INT(MOD(MX$3-'الموظفون'!$D$3,CycleWork+CycleRest)*3/CycleWork)+MATCH(StartShift,'الإعدادات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الإجازات'!$D$5:$D$104&lt;=MX$3)*(('حجز الإجازات'!$E$5:$E$104)&gt;=MX$3)*('حجز الإجازات'!$G$5:$G$104="معتمد")*ROW('حجز الإجازات'!$B$5:$B$104)))-5+1))</f>
        <v/>
      </c>
      <c r="MY5" s="62">
        <f>IF(SUMPRODUCT(('حجز الإجازات'!$B$5:$B$104='الموظفون'!$B$3)*('حجز الإجازات'!$D$5:$D$104&lt;=MY$3)*(('حجز الإجازات'!$E$5:$E$104)&gt;=MY$3)*('حجز الإجازات'!$G$5:$G$104="معتمد")*ROW('حجز الإجازات'!$B$5:$B$104))=0,IF(MY$3&lt;'الموظفون'!$D$3,"",IF(ISNUMBER(MATCH(MY$3,Holidays,0)),"عطلة",IF(MOD(MY$3-'الموظفون'!$D$3,CycleWork+CycleRest)&lt;CycleWork,INDEX('الإعدادات والقوائم'!$H$2:$H$4,MOD(INT(MOD(MY$3-'الموظفون'!$D$3,CycleWork+CycleRest)*3/CycleWork)+MATCH(StartShift,'الإعدادات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الإجازات'!$D$5:$D$104&lt;=MY$3)*(('حجز الإجازات'!$E$5:$E$104)&gt;=MY$3)*('حجز الإجازات'!$G$5:$G$104="معتمد")*ROW('حجز الإجازات'!$B$5:$B$104)))-5+1))</f>
        <v/>
      </c>
      <c r="MZ5" s="62">
        <f>IF(SUMPRODUCT(('حجز الإجازات'!$B$5:$B$104='الموظفون'!$B$3)*('حجز الإجازات'!$D$5:$D$104&lt;=MZ$3)*(('حجز الإجازات'!$E$5:$E$104)&gt;=MZ$3)*('حجز الإجازات'!$G$5:$G$104="معتمد")*ROW('حجز الإجازات'!$B$5:$B$104))=0,IF(MZ$3&lt;'الموظفون'!$D$3,"",IF(ISNUMBER(MATCH(MZ$3,Holidays,0)),"عطلة",IF(MOD(MZ$3-'الموظفون'!$D$3,CycleWork+CycleRest)&lt;CycleWork,INDEX('الإعدادات والقوائم'!$H$2:$H$4,MOD(INT(MOD(MZ$3-'الموظفون'!$D$3,CycleWork+CycleRest)*3/CycleWork)+MATCH(StartShift,'الإعدادات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الإجازات'!$D$5:$D$104&lt;=MZ$3)*(('حجز الإجازات'!$E$5:$E$104)&gt;=MZ$3)*('حجز الإجازات'!$G$5:$G$104="معتمد")*ROW('حجز الإجازات'!$B$5:$B$104)))-5+1))</f>
        <v/>
      </c>
      <c r="NA5" s="62">
        <f>IF(SUMPRODUCT(('حجز الإجازات'!$B$5:$B$104='الموظفون'!$B$3)*('حجز الإجازات'!$D$5:$D$104&lt;=NA$3)*(('حجز الإجازات'!$E$5:$E$104)&gt;=NA$3)*('حجز الإجازات'!$G$5:$G$104="معتمد")*ROW('حجز الإجازات'!$B$5:$B$104))=0,IF(NA$3&lt;'الموظفون'!$D$3,"",IF(ISNUMBER(MATCH(NA$3,Holidays,0)),"عطلة",IF(MOD(NA$3-'الموظفون'!$D$3,CycleWork+CycleRest)&lt;CycleWork,INDEX('الإعدادات والقوائم'!$H$2:$H$4,MOD(INT(MOD(NA$3-'الموظفون'!$D$3,CycleWork+CycleRest)*3/CycleWork)+MATCH(StartShift,'الإعدادات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الإجازات'!$D$5:$D$104&lt;=NA$3)*(('حجز الإجازات'!$E$5:$E$104)&gt;=NA$3)*('حجز الإجازات'!$G$5:$G$104="معتمد")*ROW('حجز الإجازات'!$B$5:$B$104)))-5+1))</f>
        <v/>
      </c>
      <c r="NB5" s="62">
        <f>IF(SUMPRODUCT(('حجز الإجازات'!$B$5:$B$104='الموظفون'!$B$3)*('حجز الإجازات'!$D$5:$D$104&lt;=NB$3)*(('حجز الإجازات'!$E$5:$E$104)&gt;=NB$3)*('حجز الإجازات'!$G$5:$G$104="معتمد")*ROW('حجز الإجازات'!$B$5:$B$104))=0,IF(NB$3&lt;'الموظفون'!$D$3,"",IF(ISNUMBER(MATCH(NB$3,Holidays,0)),"عطلة",IF(MOD(NB$3-'الموظفون'!$D$3,CycleWork+CycleRest)&lt;CycleWork,INDEX('الإعدادات والقوائم'!$H$2:$H$4,MOD(INT(MOD(NB$3-'الموظفون'!$D$3,CycleWork+CycleRest)*3/CycleWork)+MATCH(StartShift,'الإعدادات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الإجازات'!$D$5:$D$104&lt;=NB$3)*(('حجز الإجازات'!$E$5:$E$104)&gt;=NB$3)*('حجز الإجازات'!$G$5:$G$104="معتمد")*ROW('حجز الإجازات'!$B$5:$B$104)))-5+1))</f>
        <v/>
      </c>
      <c r="NC5" s="62">
        <f>IF(SUMPRODUCT(('حجز الإجازات'!$B$5:$B$104='الموظفون'!$B$3)*('حجز الإجازات'!$D$5:$D$104&lt;=NC$3)*(('حجز الإجازات'!$E$5:$E$104)&gt;=NC$3)*('حجز الإجازات'!$G$5:$G$104="معتمد")*ROW('حجز الإجازات'!$B$5:$B$104))=0,IF(NC$3&lt;'الموظفون'!$D$3,"",IF(ISNUMBER(MATCH(NC$3,Holidays,0)),"عطلة",IF(MOD(NC$3-'الموظفون'!$D$3,CycleWork+CycleRest)&lt;CycleWork,INDEX('الإعدادات والقوائم'!$H$2:$H$4,MOD(INT(MOD(NC$3-'الموظفون'!$D$3,CycleWork+CycleRest)*3/CycleWork)+MATCH(StartShift,'الإعدادات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الإجازات'!$D$5:$D$104&lt;=NC$3)*(('حجز الإجازات'!$E$5:$E$104)&gt;=NC$3)*('حجز الإجازات'!$G$5:$G$104="معتمد")*ROW('حجز الإجازات'!$B$5:$B$104)))-5+1))</f>
        <v/>
      </c>
      <c r="ND5" s="62">
        <f>IF(SUMPRODUCT(('حجز الإجازات'!$B$5:$B$104='الموظفون'!$B$3)*('حجز الإجازات'!$D$5:$D$104&lt;=ND$3)*(('حجز الإجازات'!$E$5:$E$104)&gt;=ND$3)*('حجز الإجازات'!$G$5:$G$104="معتمد")*ROW('حجز الإجازات'!$B$5:$B$104))=0,IF(ND$3&lt;'الموظفون'!$D$3,"",IF(ISNUMBER(MATCH(ND$3,Holidays,0)),"عطلة",IF(MOD(ND$3-'الموظفون'!$D$3,CycleWork+CycleRest)&lt;CycleWork,INDEX('الإعدادات والقوائم'!$H$2:$H$4,MOD(INT(MOD(ND$3-'الموظفون'!$D$3,CycleWork+CycleRest)*3/CycleWork)+MATCH(StartShift,'الإعدادات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الإجازات'!$D$5:$D$104&lt;=ND$3)*(('حجز الإجازات'!$E$5:$E$104)&gt;=ND$3)*('حجز الإجازات'!$G$5:$G$104="معتمد")*ROW('حجز الإجازات'!$B$5:$B$104)))-5+1))</f>
        <v/>
      </c>
    </row>
    <row r="6">
      <c r="A6" s="16" t="n">
        <v>3</v>
      </c>
      <c r="B6" s="22">
        <f>'الموظفون'!B4</f>
        <v/>
      </c>
      <c r="C6" s="16">
        <f>'الموظفون'!C4</f>
        <v/>
      </c>
      <c r="D6" s="62">
        <f>IF(SUMPRODUCT(('حجز الإجازات'!$B$5:$B$104='الموظفون'!$B$4)*('حجز الإجازات'!$D$5:$D$104&lt;=D$3)*(('حجز الإجازات'!$E$5:$E$104)&gt;=D$3)*('حجز الإجازات'!$G$5:$G$104="معتمد")*ROW('حجز الإجازات'!$B$5:$B$104))=0,IF(D$3&lt;'الموظفون'!$D$4,"",IF(ISNUMBER(MATCH(D$3,Holidays,0)),"عطلة",IF(MOD(D$3-'الموظفون'!$D$4,CycleWork+CycleRest)&lt;CycleWork,INDEX('الإعدادات والقوائم'!$H$2:$H$4,MOD(INT(MOD(D$3-'الموظفون'!$D$4,CycleWork+CycleRest)*3/CycleWork)+MATCH(StartShift,'الإعدادات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الإجازات'!$D$5:$D$104&lt;=D$3)*(('حجز الإجازات'!$E$5:$E$104)&gt;=D$3)*('حجز الإجازات'!$G$5:$G$104="معتمد")*ROW('حجز الإجازات'!$B$5:$B$104)))-5+1))</f>
        <v/>
      </c>
      <c r="E6" s="62">
        <f>IF(SUMPRODUCT(('حجز الإجازات'!$B$5:$B$104='الموظفون'!$B$4)*('حجز الإجازات'!$D$5:$D$104&lt;=E$3)*(('حجز الإجازات'!$E$5:$E$104)&gt;=E$3)*('حجز الإجازات'!$G$5:$G$104="معتمد")*ROW('حجز الإجازات'!$B$5:$B$104))=0,IF(E$3&lt;'الموظفون'!$D$4,"",IF(ISNUMBER(MATCH(E$3,Holidays,0)),"عطلة",IF(MOD(E$3-'الموظفون'!$D$4,CycleWork+CycleRest)&lt;CycleWork,INDEX('الإعدادات والقوائم'!$H$2:$H$4,MOD(INT(MOD(E$3-'الموظفون'!$D$4,CycleWork+CycleRest)*3/CycleWork)+MATCH(StartShift,'الإعدادات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الإجازات'!$D$5:$D$104&lt;=E$3)*(('حجز الإجازات'!$E$5:$E$104)&gt;=E$3)*('حجز الإجازات'!$G$5:$G$104="معتمد")*ROW('حجز الإجازات'!$B$5:$B$104)))-5+1))</f>
        <v/>
      </c>
      <c r="F6" s="62">
        <f>IF(SUMPRODUCT(('حجز الإجازات'!$B$5:$B$104='الموظفون'!$B$4)*('حجز الإجازات'!$D$5:$D$104&lt;=F$3)*(('حجز الإجازات'!$E$5:$E$104)&gt;=F$3)*('حجز الإجازات'!$G$5:$G$104="معتمد")*ROW('حجز الإجازات'!$B$5:$B$104))=0,IF(F$3&lt;'الموظفون'!$D$4,"",IF(ISNUMBER(MATCH(F$3,Holidays,0)),"عطلة",IF(MOD(F$3-'الموظفون'!$D$4,CycleWork+CycleRest)&lt;CycleWork,INDEX('الإعدادات والقوائم'!$H$2:$H$4,MOD(INT(MOD(F$3-'الموظفون'!$D$4,CycleWork+CycleRest)*3/CycleWork)+MATCH(StartShift,'الإعدادات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الإجازات'!$D$5:$D$104&lt;=F$3)*(('حجز الإجازات'!$E$5:$E$104)&gt;=F$3)*('حجز الإجازات'!$G$5:$G$104="معتمد")*ROW('حجز الإجازات'!$B$5:$B$104)))-5+1))</f>
        <v/>
      </c>
      <c r="G6" s="62">
        <f>IF(SUMPRODUCT(('حجز الإجازات'!$B$5:$B$104='الموظفون'!$B$4)*('حجز الإجازات'!$D$5:$D$104&lt;=G$3)*(('حجز الإجازات'!$E$5:$E$104)&gt;=G$3)*('حجز الإجازات'!$G$5:$G$104="معتمد")*ROW('حجز الإجازات'!$B$5:$B$104))=0,IF(G$3&lt;'الموظفون'!$D$4,"",IF(ISNUMBER(MATCH(G$3,Holidays,0)),"عطلة",IF(MOD(G$3-'الموظفون'!$D$4,CycleWork+CycleRest)&lt;CycleWork,INDEX('الإعدادات والقوائم'!$H$2:$H$4,MOD(INT(MOD(G$3-'الموظفون'!$D$4,CycleWork+CycleRest)*3/CycleWork)+MATCH(StartShift,'الإعدادات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الإجازات'!$D$5:$D$104&lt;=G$3)*(('حجز الإجازات'!$E$5:$E$104)&gt;=G$3)*('حجز الإجازات'!$G$5:$G$104="معتمد")*ROW('حجز الإجازات'!$B$5:$B$104)))-5+1))</f>
        <v/>
      </c>
      <c r="H6" s="62">
        <f>IF(SUMPRODUCT(('حجز الإجازات'!$B$5:$B$104='الموظفون'!$B$4)*('حجز الإجازات'!$D$5:$D$104&lt;=H$3)*(('حجز الإجازات'!$E$5:$E$104)&gt;=H$3)*('حجز الإجازات'!$G$5:$G$104="معتمد")*ROW('حجز الإجازات'!$B$5:$B$104))=0,IF(H$3&lt;'الموظفون'!$D$4,"",IF(ISNUMBER(MATCH(H$3,Holidays,0)),"عطلة",IF(MOD(H$3-'الموظفون'!$D$4,CycleWork+CycleRest)&lt;CycleWork,INDEX('الإعدادات والقوائم'!$H$2:$H$4,MOD(INT(MOD(H$3-'الموظفون'!$D$4,CycleWork+CycleRest)*3/CycleWork)+MATCH(StartShift,'الإعدادات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الإجازات'!$D$5:$D$104&lt;=H$3)*(('حجز الإجازات'!$E$5:$E$104)&gt;=H$3)*('حجز الإجازات'!$G$5:$G$104="معتمد")*ROW('حجز الإجازات'!$B$5:$B$104)))-5+1))</f>
        <v/>
      </c>
      <c r="I6" s="62">
        <f>IF(SUMPRODUCT(('حجز الإجازات'!$B$5:$B$104='الموظفون'!$B$4)*('حجز الإجازات'!$D$5:$D$104&lt;=I$3)*(('حجز الإجازات'!$E$5:$E$104)&gt;=I$3)*('حجز الإجازات'!$G$5:$G$104="معتمد")*ROW('حجز الإجازات'!$B$5:$B$104))=0,IF(I$3&lt;'الموظفون'!$D$4,"",IF(ISNUMBER(MATCH(I$3,Holidays,0)),"عطلة",IF(MOD(I$3-'الموظفون'!$D$4,CycleWork+CycleRest)&lt;CycleWork,INDEX('الإعدادات والقوائم'!$H$2:$H$4,MOD(INT(MOD(I$3-'الموظفون'!$D$4,CycleWork+CycleRest)*3/CycleWork)+MATCH(StartShift,'الإعدادات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الإجازات'!$D$5:$D$104&lt;=I$3)*(('حجز الإجازات'!$E$5:$E$104)&gt;=I$3)*('حجز الإجازات'!$G$5:$G$104="معتمد")*ROW('حجز الإجازات'!$B$5:$B$104)))-5+1))</f>
        <v/>
      </c>
      <c r="J6" s="62">
        <f>IF(SUMPRODUCT(('حجز الإجازات'!$B$5:$B$104='الموظفون'!$B$4)*('حجز الإجازات'!$D$5:$D$104&lt;=J$3)*(('حجز الإجازات'!$E$5:$E$104)&gt;=J$3)*('حجز الإجازات'!$G$5:$G$104="معتمد")*ROW('حجز الإجازات'!$B$5:$B$104))=0,IF(J$3&lt;'الموظفون'!$D$4,"",IF(ISNUMBER(MATCH(J$3,Holidays,0)),"عطلة",IF(MOD(J$3-'الموظفون'!$D$4,CycleWork+CycleRest)&lt;CycleWork,INDEX('الإعدادات والقوائم'!$H$2:$H$4,MOD(INT(MOD(J$3-'الموظفون'!$D$4,CycleWork+CycleRest)*3/CycleWork)+MATCH(StartShift,'الإعدادات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الإجازات'!$D$5:$D$104&lt;=J$3)*(('حجز الإجازات'!$E$5:$E$104)&gt;=J$3)*('حجز الإجازات'!$G$5:$G$104="معتمد")*ROW('حجز الإجازات'!$B$5:$B$104)))-5+1))</f>
        <v/>
      </c>
      <c r="K6" s="62">
        <f>IF(SUMPRODUCT(('حجز الإجازات'!$B$5:$B$104='الموظفون'!$B$4)*('حجز الإجازات'!$D$5:$D$104&lt;=K$3)*(('حجز الإجازات'!$E$5:$E$104)&gt;=K$3)*('حجز الإجازات'!$G$5:$G$104="معتمد")*ROW('حجز الإجازات'!$B$5:$B$104))=0,IF(K$3&lt;'الموظفون'!$D$4,"",IF(ISNUMBER(MATCH(K$3,Holidays,0)),"عطلة",IF(MOD(K$3-'الموظفون'!$D$4,CycleWork+CycleRest)&lt;CycleWork,INDEX('الإعدادات والقوائم'!$H$2:$H$4,MOD(INT(MOD(K$3-'الموظفون'!$D$4,CycleWork+CycleRest)*3/CycleWork)+MATCH(StartShift,'الإعدادات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الإجازات'!$D$5:$D$104&lt;=K$3)*(('حجز الإجازات'!$E$5:$E$104)&gt;=K$3)*('حجز الإجازات'!$G$5:$G$104="معتمد")*ROW('حجز الإجازات'!$B$5:$B$104)))-5+1))</f>
        <v/>
      </c>
      <c r="L6" s="62">
        <f>IF(SUMPRODUCT(('حجز الإجازات'!$B$5:$B$104='الموظفون'!$B$4)*('حجز الإجازات'!$D$5:$D$104&lt;=L$3)*(('حجز الإجازات'!$E$5:$E$104)&gt;=L$3)*('حجز الإجازات'!$G$5:$G$104="معتمد")*ROW('حجز الإجازات'!$B$5:$B$104))=0,IF(L$3&lt;'الموظفون'!$D$4,"",IF(ISNUMBER(MATCH(L$3,Holidays,0)),"عطلة",IF(MOD(L$3-'الموظفون'!$D$4,CycleWork+CycleRest)&lt;CycleWork,INDEX('الإعدادات والقوائم'!$H$2:$H$4,MOD(INT(MOD(L$3-'الموظفون'!$D$4,CycleWork+CycleRest)*3/CycleWork)+MATCH(StartShift,'الإعدادات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الإجازات'!$D$5:$D$104&lt;=L$3)*(('حجز الإجازات'!$E$5:$E$104)&gt;=L$3)*('حجز الإجازات'!$G$5:$G$104="معتمد")*ROW('حجز الإجازات'!$B$5:$B$104)))-5+1))</f>
        <v/>
      </c>
      <c r="M6" s="62">
        <f>IF(SUMPRODUCT(('حجز الإجازات'!$B$5:$B$104='الموظفون'!$B$4)*('حجز الإجازات'!$D$5:$D$104&lt;=M$3)*(('حجز الإجازات'!$E$5:$E$104)&gt;=M$3)*('حجز الإجازات'!$G$5:$G$104="معتمد")*ROW('حجز الإجازات'!$B$5:$B$104))=0,IF(M$3&lt;'الموظفون'!$D$4,"",IF(ISNUMBER(MATCH(M$3,Holidays,0)),"عطلة",IF(MOD(M$3-'الموظفون'!$D$4,CycleWork+CycleRest)&lt;CycleWork,INDEX('الإعدادات والقوائم'!$H$2:$H$4,MOD(INT(MOD(M$3-'الموظفون'!$D$4,CycleWork+CycleRest)*3/CycleWork)+MATCH(StartShift,'الإعدادات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الإجازات'!$D$5:$D$104&lt;=M$3)*(('حجز الإجازات'!$E$5:$E$104)&gt;=M$3)*('حجز الإجازات'!$G$5:$G$104="معتمد")*ROW('حجز الإجازات'!$B$5:$B$104)))-5+1))</f>
        <v/>
      </c>
      <c r="N6" s="62">
        <f>IF(SUMPRODUCT(('حجز الإجازات'!$B$5:$B$104='الموظفون'!$B$4)*('حجز الإجازات'!$D$5:$D$104&lt;=N$3)*(('حجز الإجازات'!$E$5:$E$104)&gt;=N$3)*('حجز الإجازات'!$G$5:$G$104="معتمد")*ROW('حجز الإجازات'!$B$5:$B$104))=0,IF(N$3&lt;'الموظفون'!$D$4,"",IF(ISNUMBER(MATCH(N$3,Holidays,0)),"عطلة",IF(MOD(N$3-'الموظفون'!$D$4,CycleWork+CycleRest)&lt;CycleWork,INDEX('الإعدادات والقوائم'!$H$2:$H$4,MOD(INT(MOD(N$3-'الموظفون'!$D$4,CycleWork+CycleRest)*3/CycleWork)+MATCH(StartShift,'الإعدادات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الإجازات'!$D$5:$D$104&lt;=N$3)*(('حجز الإجازات'!$E$5:$E$104)&gt;=N$3)*('حجز الإجازات'!$G$5:$G$104="معتمد")*ROW('حجز الإجازات'!$B$5:$B$104)))-5+1))</f>
        <v/>
      </c>
      <c r="O6" s="62">
        <f>IF(SUMPRODUCT(('حجز الإجازات'!$B$5:$B$104='الموظفون'!$B$4)*('حجز الإجازات'!$D$5:$D$104&lt;=O$3)*(('حجز الإجازات'!$E$5:$E$104)&gt;=O$3)*('حجز الإجازات'!$G$5:$G$104="معتمد")*ROW('حجز الإجازات'!$B$5:$B$104))=0,IF(O$3&lt;'الموظفون'!$D$4,"",IF(ISNUMBER(MATCH(O$3,Holidays,0)),"عطلة",IF(MOD(O$3-'الموظفون'!$D$4,CycleWork+CycleRest)&lt;CycleWork,INDEX('الإعدادات والقوائم'!$H$2:$H$4,MOD(INT(MOD(O$3-'الموظفون'!$D$4,CycleWork+CycleRest)*3/CycleWork)+MATCH(StartShift,'الإعدادات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الإجازات'!$D$5:$D$104&lt;=O$3)*(('حجز الإجازات'!$E$5:$E$104)&gt;=O$3)*('حجز الإجازات'!$G$5:$G$104="معتمد")*ROW('حجز الإجازات'!$B$5:$B$104)))-5+1))</f>
        <v/>
      </c>
      <c r="P6" s="62">
        <f>IF(SUMPRODUCT(('حجز الإجازات'!$B$5:$B$104='الموظفون'!$B$4)*('حجز الإجازات'!$D$5:$D$104&lt;=P$3)*(('حجز الإجازات'!$E$5:$E$104)&gt;=P$3)*('حجز الإجازات'!$G$5:$G$104="معتمد")*ROW('حجز الإجازات'!$B$5:$B$104))=0,IF(P$3&lt;'الموظفون'!$D$4,"",IF(ISNUMBER(MATCH(P$3,Holidays,0)),"عطلة",IF(MOD(P$3-'الموظفون'!$D$4,CycleWork+CycleRest)&lt;CycleWork,INDEX('الإعدادات والقوائم'!$H$2:$H$4,MOD(INT(MOD(P$3-'الموظفون'!$D$4,CycleWork+CycleRest)*3/CycleWork)+MATCH(StartShift,'الإعدادات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الإجازات'!$D$5:$D$104&lt;=P$3)*(('حجز الإجازات'!$E$5:$E$104)&gt;=P$3)*('حجز الإجازات'!$G$5:$G$104="معتمد")*ROW('حجز الإجازات'!$B$5:$B$104)))-5+1))</f>
        <v/>
      </c>
      <c r="Q6" s="62">
        <f>IF(SUMPRODUCT(('حجز الإجازات'!$B$5:$B$104='الموظفون'!$B$4)*('حجز الإجازات'!$D$5:$D$104&lt;=Q$3)*(('حجز الإجازات'!$E$5:$E$104)&gt;=Q$3)*('حجز الإجازات'!$G$5:$G$104="معتمد")*ROW('حجز الإجازات'!$B$5:$B$104))=0,IF(Q$3&lt;'الموظفون'!$D$4,"",IF(ISNUMBER(MATCH(Q$3,Holidays,0)),"عطلة",IF(MOD(Q$3-'الموظفون'!$D$4,CycleWork+CycleRest)&lt;CycleWork,INDEX('الإعدادات والقوائم'!$H$2:$H$4,MOD(INT(MOD(Q$3-'الموظفون'!$D$4,CycleWork+CycleRest)*3/CycleWork)+MATCH(StartShift,'الإعدادات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الإجازات'!$D$5:$D$104&lt;=Q$3)*(('حجز الإجازات'!$E$5:$E$104)&gt;=Q$3)*('حجز الإجازات'!$G$5:$G$104="معتمد")*ROW('حجز الإجازات'!$B$5:$B$104)))-5+1))</f>
        <v/>
      </c>
      <c r="R6" s="62">
        <f>IF(SUMPRODUCT(('حجز الإجازات'!$B$5:$B$104='الموظفون'!$B$4)*('حجز الإجازات'!$D$5:$D$104&lt;=R$3)*(('حجز الإجازات'!$E$5:$E$104)&gt;=R$3)*('حجز الإجازات'!$G$5:$G$104="معتمد")*ROW('حجز الإجازات'!$B$5:$B$104))=0,IF(R$3&lt;'الموظفون'!$D$4,"",IF(ISNUMBER(MATCH(R$3,Holidays,0)),"عطلة",IF(MOD(R$3-'الموظفون'!$D$4,CycleWork+CycleRest)&lt;CycleWork,INDEX('الإعدادات والقوائم'!$H$2:$H$4,MOD(INT(MOD(R$3-'الموظفون'!$D$4,CycleWork+CycleRest)*3/CycleWork)+MATCH(StartShift,'الإعدادات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الإجازات'!$D$5:$D$104&lt;=R$3)*(('حجز الإجازات'!$E$5:$E$104)&gt;=R$3)*('حجز الإجازات'!$G$5:$G$104="معتمد")*ROW('حجز الإجازات'!$B$5:$B$104)))-5+1))</f>
        <v/>
      </c>
      <c r="S6" s="62">
        <f>IF(SUMPRODUCT(('حجز الإجازات'!$B$5:$B$104='الموظفون'!$B$4)*('حجز الإجازات'!$D$5:$D$104&lt;=S$3)*(('حجز الإجازات'!$E$5:$E$104)&gt;=S$3)*('حجز الإجازات'!$G$5:$G$104="معتمد")*ROW('حجز الإجازات'!$B$5:$B$104))=0,IF(S$3&lt;'الموظفون'!$D$4,"",IF(ISNUMBER(MATCH(S$3,Holidays,0)),"عطلة",IF(MOD(S$3-'الموظفون'!$D$4,CycleWork+CycleRest)&lt;CycleWork,INDEX('الإعدادات والقوائم'!$H$2:$H$4,MOD(INT(MOD(S$3-'الموظفون'!$D$4,CycleWork+CycleRest)*3/CycleWork)+MATCH(StartShift,'الإعدادات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الإجازات'!$D$5:$D$104&lt;=S$3)*(('حجز الإجازات'!$E$5:$E$104)&gt;=S$3)*('حجز الإجازات'!$G$5:$G$104="معتمد")*ROW('حجز الإجازات'!$B$5:$B$104)))-5+1))</f>
        <v/>
      </c>
      <c r="T6" s="62">
        <f>IF(SUMPRODUCT(('حجز الإجازات'!$B$5:$B$104='الموظفون'!$B$4)*('حجز الإجازات'!$D$5:$D$104&lt;=T$3)*(('حجز الإجازات'!$E$5:$E$104)&gt;=T$3)*('حجز الإجازات'!$G$5:$G$104="معتمد")*ROW('حجز الإجازات'!$B$5:$B$104))=0,IF(T$3&lt;'الموظفون'!$D$4,"",IF(ISNUMBER(MATCH(T$3,Holidays,0)),"عطلة",IF(MOD(T$3-'الموظفون'!$D$4,CycleWork+CycleRest)&lt;CycleWork,INDEX('الإعدادات والقوائم'!$H$2:$H$4,MOD(INT(MOD(T$3-'الموظفون'!$D$4,CycleWork+CycleRest)*3/CycleWork)+MATCH(StartShift,'الإعدادات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الإجازات'!$D$5:$D$104&lt;=T$3)*(('حجز الإجازات'!$E$5:$E$104)&gt;=T$3)*('حجز الإجازات'!$G$5:$G$104="معتمد")*ROW('حجز الإجازات'!$B$5:$B$104)))-5+1))</f>
        <v/>
      </c>
      <c r="U6" s="62">
        <f>IF(SUMPRODUCT(('حجز الإجازات'!$B$5:$B$104='الموظفون'!$B$4)*('حجز الإجازات'!$D$5:$D$104&lt;=U$3)*(('حجز الإجازات'!$E$5:$E$104)&gt;=U$3)*('حجز الإجازات'!$G$5:$G$104="معتمد")*ROW('حجز الإجازات'!$B$5:$B$104))=0,IF(U$3&lt;'الموظفون'!$D$4,"",IF(ISNUMBER(MATCH(U$3,Holidays,0)),"عطلة",IF(MOD(U$3-'الموظفون'!$D$4,CycleWork+CycleRest)&lt;CycleWork,INDEX('الإعدادات والقوائم'!$H$2:$H$4,MOD(INT(MOD(U$3-'الموظفون'!$D$4,CycleWork+CycleRest)*3/CycleWork)+MATCH(StartShift,'الإعدادات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الإجازات'!$D$5:$D$104&lt;=U$3)*(('حجز الإجازات'!$E$5:$E$104)&gt;=U$3)*('حجز الإجازات'!$G$5:$G$104="معتمد")*ROW('حجز الإجازات'!$B$5:$B$104)))-5+1))</f>
        <v/>
      </c>
      <c r="V6" s="62">
        <f>IF(SUMPRODUCT(('حجز الإجازات'!$B$5:$B$104='الموظفون'!$B$4)*('حجز الإجازات'!$D$5:$D$104&lt;=V$3)*(('حجز الإجازات'!$E$5:$E$104)&gt;=V$3)*('حجز الإجازات'!$G$5:$G$104="معتمد")*ROW('حجز الإجازات'!$B$5:$B$104))=0,IF(V$3&lt;'الموظفون'!$D$4,"",IF(ISNUMBER(MATCH(V$3,Holidays,0)),"عطلة",IF(MOD(V$3-'الموظفون'!$D$4,CycleWork+CycleRest)&lt;CycleWork,INDEX('الإعدادات والقوائم'!$H$2:$H$4,MOD(INT(MOD(V$3-'الموظفون'!$D$4,CycleWork+CycleRest)*3/CycleWork)+MATCH(StartShift,'الإعدادات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الإجازات'!$D$5:$D$104&lt;=V$3)*(('حجز الإجازات'!$E$5:$E$104)&gt;=V$3)*('حجز الإجازات'!$G$5:$G$104="معتمد")*ROW('حجز الإجازات'!$B$5:$B$104)))-5+1))</f>
        <v/>
      </c>
      <c r="W6" s="62">
        <f>IF(SUMPRODUCT(('حجز الإجازات'!$B$5:$B$104='الموظفون'!$B$4)*('حجز الإجازات'!$D$5:$D$104&lt;=W$3)*(('حجز الإجازات'!$E$5:$E$104)&gt;=W$3)*('حجز الإجازات'!$G$5:$G$104="معتمد")*ROW('حجز الإجازات'!$B$5:$B$104))=0,IF(W$3&lt;'الموظفون'!$D$4,"",IF(ISNUMBER(MATCH(W$3,Holidays,0)),"عطلة",IF(MOD(W$3-'الموظفون'!$D$4,CycleWork+CycleRest)&lt;CycleWork,INDEX('الإعدادات والقوائم'!$H$2:$H$4,MOD(INT(MOD(W$3-'الموظفون'!$D$4,CycleWork+CycleRest)*3/CycleWork)+MATCH(StartShift,'الإعدادات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الإجازات'!$D$5:$D$104&lt;=W$3)*(('حجز الإجازات'!$E$5:$E$104)&gt;=W$3)*('حجز الإجازات'!$G$5:$G$104="معتمد")*ROW('حجز الإجازات'!$B$5:$B$104)))-5+1))</f>
        <v/>
      </c>
      <c r="X6" s="62">
        <f>IF(SUMPRODUCT(('حجز الإجازات'!$B$5:$B$104='الموظفون'!$B$4)*('حجز الإجازات'!$D$5:$D$104&lt;=X$3)*(('حجز الإجازات'!$E$5:$E$104)&gt;=X$3)*('حجز الإجازات'!$G$5:$G$104="معتمد")*ROW('حجز الإجازات'!$B$5:$B$104))=0,IF(X$3&lt;'الموظفون'!$D$4,"",IF(ISNUMBER(MATCH(X$3,Holidays,0)),"عطلة",IF(MOD(X$3-'الموظفون'!$D$4,CycleWork+CycleRest)&lt;CycleWork,INDEX('الإعدادات والقوائم'!$H$2:$H$4,MOD(INT(MOD(X$3-'الموظفون'!$D$4,CycleWork+CycleRest)*3/CycleWork)+MATCH(StartShift,'الإعدادات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الإجازات'!$D$5:$D$104&lt;=X$3)*(('حجز الإجازات'!$E$5:$E$104)&gt;=X$3)*('حجز الإجازات'!$G$5:$G$104="معتمد")*ROW('حجز الإجازات'!$B$5:$B$104)))-5+1))</f>
        <v/>
      </c>
      <c r="Y6" s="62">
        <f>IF(SUMPRODUCT(('حجز الإجازات'!$B$5:$B$104='الموظفون'!$B$4)*('حجز الإجازات'!$D$5:$D$104&lt;=Y$3)*(('حجز الإجازات'!$E$5:$E$104)&gt;=Y$3)*('حجز الإجازات'!$G$5:$G$104="معتمد")*ROW('حجز الإجازات'!$B$5:$B$104))=0,IF(Y$3&lt;'الموظفون'!$D$4,"",IF(ISNUMBER(MATCH(Y$3,Holidays,0)),"عطلة",IF(MOD(Y$3-'الموظفون'!$D$4,CycleWork+CycleRest)&lt;CycleWork,INDEX('الإعدادات والقوائم'!$H$2:$H$4,MOD(INT(MOD(Y$3-'الموظفون'!$D$4,CycleWork+CycleRest)*3/CycleWork)+MATCH(StartShift,'الإعدادات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الإجازات'!$D$5:$D$104&lt;=Y$3)*(('حجز الإجازات'!$E$5:$E$104)&gt;=Y$3)*('حجز الإجازات'!$G$5:$G$104="معتمد")*ROW('حجز الإجازات'!$B$5:$B$104)))-5+1))</f>
        <v/>
      </c>
      <c r="Z6" s="62">
        <f>IF(SUMPRODUCT(('حجز الإجازات'!$B$5:$B$104='الموظفون'!$B$4)*('حجز الإجازات'!$D$5:$D$104&lt;=Z$3)*(('حجز الإجازات'!$E$5:$E$104)&gt;=Z$3)*('حجز الإجازات'!$G$5:$G$104="معتمد")*ROW('حجز الإجازات'!$B$5:$B$104))=0,IF(Z$3&lt;'الموظفون'!$D$4,"",IF(ISNUMBER(MATCH(Z$3,Holidays,0)),"عطلة",IF(MOD(Z$3-'الموظفون'!$D$4,CycleWork+CycleRest)&lt;CycleWork,INDEX('الإعدادات والقوائم'!$H$2:$H$4,MOD(INT(MOD(Z$3-'الموظفون'!$D$4,CycleWork+CycleRest)*3/CycleWork)+MATCH(StartShift,'الإعدادات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الإجازات'!$D$5:$D$104&lt;=Z$3)*(('حجز الإجازات'!$E$5:$E$104)&gt;=Z$3)*('حجز الإجازات'!$G$5:$G$104="معتمد")*ROW('حجز الإجازات'!$B$5:$B$104)))-5+1))</f>
        <v/>
      </c>
      <c r="AA6" s="62">
        <f>IF(SUMPRODUCT(('حجز الإجازات'!$B$5:$B$104='الموظفون'!$B$4)*('حجز الإجازات'!$D$5:$D$104&lt;=AA$3)*(('حجز الإجازات'!$E$5:$E$104)&gt;=AA$3)*('حجز الإجازات'!$G$5:$G$104="معتمد")*ROW('حجز الإجازات'!$B$5:$B$104))=0,IF(AA$3&lt;'الموظفون'!$D$4,"",IF(ISNUMBER(MATCH(AA$3,Holidays,0)),"عطلة",IF(MOD(AA$3-'الموظفون'!$D$4,CycleWork+CycleRest)&lt;CycleWork,INDEX('الإعدادات والقوائم'!$H$2:$H$4,MOD(INT(MOD(AA$3-'الموظفون'!$D$4,CycleWork+CycleRest)*3/CycleWork)+MATCH(StartShift,'الإعدادات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الإجازات'!$D$5:$D$104&lt;=AA$3)*(('حجز الإجازات'!$E$5:$E$104)&gt;=AA$3)*('حجز الإجازات'!$G$5:$G$104="معتمد")*ROW('حجز الإجازات'!$B$5:$B$104)))-5+1))</f>
        <v/>
      </c>
      <c r="AB6" s="62">
        <f>IF(SUMPRODUCT(('حجز الإجازات'!$B$5:$B$104='الموظفون'!$B$4)*('حجز الإجازات'!$D$5:$D$104&lt;=AB$3)*(('حجز الإجازات'!$E$5:$E$104)&gt;=AB$3)*('حجز الإجازات'!$G$5:$G$104="معتمد")*ROW('حجز الإجازات'!$B$5:$B$104))=0,IF(AB$3&lt;'الموظفون'!$D$4,"",IF(ISNUMBER(MATCH(AB$3,Holidays,0)),"عطلة",IF(MOD(AB$3-'الموظفون'!$D$4,CycleWork+CycleRest)&lt;CycleWork,INDEX('الإعدادات والقوائم'!$H$2:$H$4,MOD(INT(MOD(AB$3-'الموظفون'!$D$4,CycleWork+CycleRest)*3/CycleWork)+MATCH(StartShift,'الإعدادات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الإجازات'!$D$5:$D$104&lt;=AB$3)*(('حجز الإجازات'!$E$5:$E$104)&gt;=AB$3)*('حجز الإجازات'!$G$5:$G$104="معتمد")*ROW('حجز الإجازات'!$B$5:$B$104)))-5+1))</f>
        <v/>
      </c>
      <c r="AC6" s="62">
        <f>IF(SUMPRODUCT(('حجز الإجازات'!$B$5:$B$104='الموظفون'!$B$4)*('حجز الإجازات'!$D$5:$D$104&lt;=AC$3)*(('حجز الإجازات'!$E$5:$E$104)&gt;=AC$3)*('حجز الإجازات'!$G$5:$G$104="معتمد")*ROW('حجز الإجازات'!$B$5:$B$104))=0,IF(AC$3&lt;'الموظفون'!$D$4,"",IF(ISNUMBER(MATCH(AC$3,Holidays,0)),"عطلة",IF(MOD(AC$3-'الموظفون'!$D$4,CycleWork+CycleRest)&lt;CycleWork,INDEX('الإعدادات والقوائم'!$H$2:$H$4,MOD(INT(MOD(AC$3-'الموظفون'!$D$4,CycleWork+CycleRest)*3/CycleWork)+MATCH(StartShift,'الإعدادات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الإجازات'!$D$5:$D$104&lt;=AC$3)*(('حجز الإجازات'!$E$5:$E$104)&gt;=AC$3)*('حجز الإجازات'!$G$5:$G$104="معتمد")*ROW('حجز الإجازات'!$B$5:$B$104)))-5+1))</f>
        <v/>
      </c>
      <c r="AD6" s="62">
        <f>IF(SUMPRODUCT(('حجز الإجازات'!$B$5:$B$104='الموظفون'!$B$4)*('حجز الإجازات'!$D$5:$D$104&lt;=AD$3)*(('حجز الإجازات'!$E$5:$E$104)&gt;=AD$3)*('حجز الإجازات'!$G$5:$G$104="معتمد")*ROW('حجز الإجازات'!$B$5:$B$104))=0,IF(AD$3&lt;'الموظفون'!$D$4,"",IF(ISNUMBER(MATCH(AD$3,Holidays,0)),"عطلة",IF(MOD(AD$3-'الموظفون'!$D$4,CycleWork+CycleRest)&lt;CycleWork,INDEX('الإعدادات والقوائم'!$H$2:$H$4,MOD(INT(MOD(AD$3-'الموظفون'!$D$4,CycleWork+CycleRest)*3/CycleWork)+MATCH(StartShift,'الإعدادات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الإجازات'!$D$5:$D$104&lt;=AD$3)*(('حجز الإجازات'!$E$5:$E$104)&gt;=AD$3)*('حجز الإجازات'!$G$5:$G$104="معتمد")*ROW('حجز الإجازات'!$B$5:$B$104)))-5+1))</f>
        <v/>
      </c>
      <c r="AE6" s="62">
        <f>IF(SUMPRODUCT(('حجز الإجازات'!$B$5:$B$104='الموظفون'!$B$4)*('حجز الإجازات'!$D$5:$D$104&lt;=AE$3)*(('حجز الإجازات'!$E$5:$E$104)&gt;=AE$3)*('حجز الإجازات'!$G$5:$G$104="معتمد")*ROW('حجز الإجازات'!$B$5:$B$104))=0,IF(AE$3&lt;'الموظفون'!$D$4,"",IF(ISNUMBER(MATCH(AE$3,Holidays,0)),"عطلة",IF(MOD(AE$3-'الموظفون'!$D$4,CycleWork+CycleRest)&lt;CycleWork,INDEX('الإعدادات والقوائم'!$H$2:$H$4,MOD(INT(MOD(AE$3-'الموظفون'!$D$4,CycleWork+CycleRest)*3/CycleWork)+MATCH(StartShift,'الإعدادات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الإجازات'!$D$5:$D$104&lt;=AE$3)*(('حجز الإجازات'!$E$5:$E$104)&gt;=AE$3)*('حجز الإجازات'!$G$5:$G$104="معتمد")*ROW('حجز الإجازات'!$B$5:$B$104)))-5+1))</f>
        <v/>
      </c>
      <c r="AF6" s="62">
        <f>IF(SUMPRODUCT(('حجز الإجازات'!$B$5:$B$104='الموظفون'!$B$4)*('حجز الإجازات'!$D$5:$D$104&lt;=AF$3)*(('حجز الإجازات'!$E$5:$E$104)&gt;=AF$3)*('حجز الإجازات'!$G$5:$G$104="معتمد")*ROW('حجز الإجازات'!$B$5:$B$104))=0,IF(AF$3&lt;'الموظفون'!$D$4,"",IF(ISNUMBER(MATCH(AF$3,Holidays,0)),"عطلة",IF(MOD(AF$3-'الموظفون'!$D$4,CycleWork+CycleRest)&lt;CycleWork,INDEX('الإعدادات والقوائم'!$H$2:$H$4,MOD(INT(MOD(AF$3-'الموظفون'!$D$4,CycleWork+CycleRest)*3/CycleWork)+MATCH(StartShift,'الإعدادات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الإجازات'!$D$5:$D$104&lt;=AF$3)*(('حجز الإجازات'!$E$5:$E$104)&gt;=AF$3)*('حجز الإجازات'!$G$5:$G$104="معتمد")*ROW('حجز الإجازات'!$B$5:$B$104)))-5+1))</f>
        <v/>
      </c>
      <c r="AG6" s="62">
        <f>IF(SUMPRODUCT(('حجز الإجازات'!$B$5:$B$104='الموظفون'!$B$4)*('حجز الإجازات'!$D$5:$D$104&lt;=AG$3)*(('حجز الإجازات'!$E$5:$E$104)&gt;=AG$3)*('حجز الإجازات'!$G$5:$G$104="معتمد")*ROW('حجز الإجازات'!$B$5:$B$104))=0,IF(AG$3&lt;'الموظفون'!$D$4,"",IF(ISNUMBER(MATCH(AG$3,Holidays,0)),"عطلة",IF(MOD(AG$3-'الموظفون'!$D$4,CycleWork+CycleRest)&lt;CycleWork,INDEX('الإعدادات والقوائم'!$H$2:$H$4,MOD(INT(MOD(AG$3-'الموظفون'!$D$4,CycleWork+CycleRest)*3/CycleWork)+MATCH(StartShift,'الإعدادات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الإجازات'!$D$5:$D$104&lt;=AG$3)*(('حجز الإجازات'!$E$5:$E$104)&gt;=AG$3)*('حجز الإجازات'!$G$5:$G$104="معتمد")*ROW('حجز الإجازات'!$B$5:$B$104)))-5+1))</f>
        <v/>
      </c>
      <c r="AH6" s="62">
        <f>IF(SUMPRODUCT(('حجز الإجازات'!$B$5:$B$104='الموظفون'!$B$4)*('حجز الإجازات'!$D$5:$D$104&lt;=AH$3)*(('حجز الإجازات'!$E$5:$E$104)&gt;=AH$3)*('حجز الإجازات'!$G$5:$G$104="معتمد")*ROW('حجز الإجازات'!$B$5:$B$104))=0,IF(AH$3&lt;'الموظفون'!$D$4,"",IF(ISNUMBER(MATCH(AH$3,Holidays,0)),"عطلة",IF(MOD(AH$3-'الموظفون'!$D$4,CycleWork+CycleRest)&lt;CycleWork,INDEX('الإعدادات والقوائم'!$H$2:$H$4,MOD(INT(MOD(AH$3-'الموظفون'!$D$4,CycleWork+CycleRest)*3/CycleWork)+MATCH(StartShift,'الإعدادات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الإجازات'!$D$5:$D$104&lt;=AH$3)*(('حجز الإجازات'!$E$5:$E$104)&gt;=AH$3)*('حجز الإجازات'!$G$5:$G$104="معتمد")*ROW('حجز الإجازات'!$B$5:$B$104)))-5+1))</f>
        <v/>
      </c>
      <c r="AI6" s="62">
        <f>IF(SUMPRODUCT(('حجز الإجازات'!$B$5:$B$104='الموظفون'!$B$4)*('حجز الإجازات'!$D$5:$D$104&lt;=AI$3)*(('حجز الإجازات'!$E$5:$E$104)&gt;=AI$3)*('حجز الإجازات'!$G$5:$G$104="معتمد")*ROW('حجز الإجازات'!$B$5:$B$104))=0,IF(AI$3&lt;'الموظفون'!$D$4,"",IF(ISNUMBER(MATCH(AI$3,Holidays,0)),"عطلة",IF(MOD(AI$3-'الموظفون'!$D$4,CycleWork+CycleRest)&lt;CycleWork,INDEX('الإعدادات والقوائم'!$H$2:$H$4,MOD(INT(MOD(AI$3-'الموظفون'!$D$4,CycleWork+CycleRest)*3/CycleWork)+MATCH(StartShift,'الإعدادات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الإجازات'!$D$5:$D$104&lt;=AI$3)*(('حجز الإجازات'!$E$5:$E$104)&gt;=AI$3)*('حجز الإجازات'!$G$5:$G$104="معتمد")*ROW('حجز الإجازات'!$B$5:$B$104)))-5+1))</f>
        <v/>
      </c>
      <c r="AJ6" s="62">
        <f>IF(SUMPRODUCT(('حجز الإجازات'!$B$5:$B$104='الموظفون'!$B$4)*('حجز الإجازات'!$D$5:$D$104&lt;=AJ$3)*(('حجز الإجازات'!$E$5:$E$104)&gt;=AJ$3)*('حجز الإجازات'!$G$5:$G$104="معتمد")*ROW('حجز الإجازات'!$B$5:$B$104))=0,IF(AJ$3&lt;'الموظفون'!$D$4,"",IF(ISNUMBER(MATCH(AJ$3,Holidays,0)),"عطلة",IF(MOD(AJ$3-'الموظفون'!$D$4,CycleWork+CycleRest)&lt;CycleWork,INDEX('الإعدادات والقوائم'!$H$2:$H$4,MOD(INT(MOD(AJ$3-'الموظفون'!$D$4,CycleWork+CycleRest)*3/CycleWork)+MATCH(StartShift,'الإعدادات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الإجازات'!$D$5:$D$104&lt;=AJ$3)*(('حجز الإجازات'!$E$5:$E$104)&gt;=AJ$3)*('حجز الإجازات'!$G$5:$G$104="معتمد")*ROW('حجز الإجازات'!$B$5:$B$104)))-5+1))</f>
        <v/>
      </c>
      <c r="AK6" s="62">
        <f>IF(SUMPRODUCT(('حجز الإجازات'!$B$5:$B$104='الموظفون'!$B$4)*('حجز الإجازات'!$D$5:$D$104&lt;=AK$3)*(('حجز الإجازات'!$E$5:$E$104)&gt;=AK$3)*('حجز الإجازات'!$G$5:$G$104="معتمد")*ROW('حجز الإجازات'!$B$5:$B$104))=0,IF(AK$3&lt;'الموظفون'!$D$4,"",IF(ISNUMBER(MATCH(AK$3,Holidays,0)),"عطلة",IF(MOD(AK$3-'الموظفون'!$D$4,CycleWork+CycleRest)&lt;CycleWork,INDEX('الإعدادات والقوائم'!$H$2:$H$4,MOD(INT(MOD(AK$3-'الموظفون'!$D$4,CycleWork+CycleRest)*3/CycleWork)+MATCH(StartShift,'الإعدادات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الإجازات'!$D$5:$D$104&lt;=AK$3)*(('حجز الإجازات'!$E$5:$E$104)&gt;=AK$3)*('حجز الإجازات'!$G$5:$G$104="معتمد")*ROW('حجز الإجازات'!$B$5:$B$104)))-5+1))</f>
        <v/>
      </c>
      <c r="AL6" s="62">
        <f>IF(SUMPRODUCT(('حجز الإجازات'!$B$5:$B$104='الموظفون'!$B$4)*('حجز الإجازات'!$D$5:$D$104&lt;=AL$3)*(('حجز الإجازات'!$E$5:$E$104)&gt;=AL$3)*('حجز الإجازات'!$G$5:$G$104="معتمد")*ROW('حجز الإجازات'!$B$5:$B$104))=0,IF(AL$3&lt;'الموظفون'!$D$4,"",IF(ISNUMBER(MATCH(AL$3,Holidays,0)),"عطلة",IF(MOD(AL$3-'الموظفون'!$D$4,CycleWork+CycleRest)&lt;CycleWork,INDEX('الإعدادات والقوائم'!$H$2:$H$4,MOD(INT(MOD(AL$3-'الموظفون'!$D$4,CycleWork+CycleRest)*3/CycleWork)+MATCH(StartShift,'الإعدادات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الإجازات'!$D$5:$D$104&lt;=AL$3)*(('حجز الإجازات'!$E$5:$E$104)&gt;=AL$3)*('حجز الإجازات'!$G$5:$G$104="معتمد")*ROW('حجز الإجازات'!$B$5:$B$104)))-5+1))</f>
        <v/>
      </c>
      <c r="AM6" s="62">
        <f>IF(SUMPRODUCT(('حجز الإجازات'!$B$5:$B$104='الموظفون'!$B$4)*('حجز الإجازات'!$D$5:$D$104&lt;=AM$3)*(('حجز الإجازات'!$E$5:$E$104)&gt;=AM$3)*('حجز الإجازات'!$G$5:$G$104="معتمد")*ROW('حجز الإجازات'!$B$5:$B$104))=0,IF(AM$3&lt;'الموظفون'!$D$4,"",IF(ISNUMBER(MATCH(AM$3,Holidays,0)),"عطلة",IF(MOD(AM$3-'الموظفون'!$D$4,CycleWork+CycleRest)&lt;CycleWork,INDEX('الإعدادات والقوائم'!$H$2:$H$4,MOD(INT(MOD(AM$3-'الموظفون'!$D$4,CycleWork+CycleRest)*3/CycleWork)+MATCH(StartShift,'الإعدادات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الإجازات'!$D$5:$D$104&lt;=AM$3)*(('حجز الإجازات'!$E$5:$E$104)&gt;=AM$3)*('حجز الإجازات'!$G$5:$G$104="معتمد")*ROW('حجز الإجازات'!$B$5:$B$104)))-5+1))</f>
        <v/>
      </c>
      <c r="AN6" s="62">
        <f>IF(SUMPRODUCT(('حجز الإجازات'!$B$5:$B$104='الموظفون'!$B$4)*('حجز الإجازات'!$D$5:$D$104&lt;=AN$3)*(('حجز الإجازات'!$E$5:$E$104)&gt;=AN$3)*('حجز الإجازات'!$G$5:$G$104="معتمد")*ROW('حجز الإجازات'!$B$5:$B$104))=0,IF(AN$3&lt;'الموظفون'!$D$4,"",IF(ISNUMBER(MATCH(AN$3,Holidays,0)),"عطلة",IF(MOD(AN$3-'الموظفون'!$D$4,CycleWork+CycleRest)&lt;CycleWork,INDEX('الإعدادات والقوائم'!$H$2:$H$4,MOD(INT(MOD(AN$3-'الموظفون'!$D$4,CycleWork+CycleRest)*3/CycleWork)+MATCH(StartShift,'الإعدادات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الإجازات'!$D$5:$D$104&lt;=AN$3)*(('حجز الإجازات'!$E$5:$E$104)&gt;=AN$3)*('حجز الإجازات'!$G$5:$G$104="معتمد")*ROW('حجز الإجازات'!$B$5:$B$104)))-5+1))</f>
        <v/>
      </c>
      <c r="AO6" s="62">
        <f>IF(SUMPRODUCT(('حجز الإجازات'!$B$5:$B$104='الموظفون'!$B$4)*('حجز الإجازات'!$D$5:$D$104&lt;=AO$3)*(('حجز الإجازات'!$E$5:$E$104)&gt;=AO$3)*('حجز الإجازات'!$G$5:$G$104="معتمد")*ROW('حجز الإجازات'!$B$5:$B$104))=0,IF(AO$3&lt;'الموظفون'!$D$4,"",IF(ISNUMBER(MATCH(AO$3,Holidays,0)),"عطلة",IF(MOD(AO$3-'الموظفون'!$D$4,CycleWork+CycleRest)&lt;CycleWork,INDEX('الإعدادات والقوائم'!$H$2:$H$4,MOD(INT(MOD(AO$3-'الموظفون'!$D$4,CycleWork+CycleRest)*3/CycleWork)+MATCH(StartShift,'الإعدادات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الإجازات'!$D$5:$D$104&lt;=AO$3)*(('حجز الإجازات'!$E$5:$E$104)&gt;=AO$3)*('حجز الإجازات'!$G$5:$G$104="معتمد")*ROW('حجز الإجازات'!$B$5:$B$104)))-5+1))</f>
        <v/>
      </c>
      <c r="AP6" s="62">
        <f>IF(SUMPRODUCT(('حجز الإجازات'!$B$5:$B$104='الموظفون'!$B$4)*('حجز الإجازات'!$D$5:$D$104&lt;=AP$3)*(('حجز الإجازات'!$E$5:$E$104)&gt;=AP$3)*('حجز الإجازات'!$G$5:$G$104="معتمد")*ROW('حجز الإجازات'!$B$5:$B$104))=0,IF(AP$3&lt;'الموظفون'!$D$4,"",IF(ISNUMBER(MATCH(AP$3,Holidays,0)),"عطلة",IF(MOD(AP$3-'الموظفون'!$D$4,CycleWork+CycleRest)&lt;CycleWork,INDEX('الإعدادات والقوائم'!$H$2:$H$4,MOD(INT(MOD(AP$3-'الموظفون'!$D$4,CycleWork+CycleRest)*3/CycleWork)+MATCH(StartShift,'الإعدادات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الإجازات'!$D$5:$D$104&lt;=AP$3)*(('حجز الإجازات'!$E$5:$E$104)&gt;=AP$3)*('حجز الإجازات'!$G$5:$G$104="معتمد")*ROW('حجز الإجازات'!$B$5:$B$104)))-5+1))</f>
        <v/>
      </c>
      <c r="AQ6" s="62">
        <f>IF(SUMPRODUCT(('حجز الإجازات'!$B$5:$B$104='الموظفون'!$B$4)*('حجز الإجازات'!$D$5:$D$104&lt;=AQ$3)*(('حجز الإجازات'!$E$5:$E$104)&gt;=AQ$3)*('حجز الإجازات'!$G$5:$G$104="معتمد")*ROW('حجز الإجازات'!$B$5:$B$104))=0,IF(AQ$3&lt;'الموظفون'!$D$4,"",IF(ISNUMBER(MATCH(AQ$3,Holidays,0)),"عطلة",IF(MOD(AQ$3-'الموظفون'!$D$4,CycleWork+CycleRest)&lt;CycleWork,INDEX('الإعدادات والقوائم'!$H$2:$H$4,MOD(INT(MOD(AQ$3-'الموظفون'!$D$4,CycleWork+CycleRest)*3/CycleWork)+MATCH(StartShift,'الإعدادات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الإجازات'!$D$5:$D$104&lt;=AQ$3)*(('حجز الإجازات'!$E$5:$E$104)&gt;=AQ$3)*('حجز الإجازات'!$G$5:$G$104="معتمد")*ROW('حجز الإجازات'!$B$5:$B$104)))-5+1))</f>
        <v/>
      </c>
      <c r="AR6" s="62">
        <f>IF(SUMPRODUCT(('حجز الإجازات'!$B$5:$B$104='الموظفون'!$B$4)*('حجز الإجازات'!$D$5:$D$104&lt;=AR$3)*(('حجز الإجازات'!$E$5:$E$104)&gt;=AR$3)*('حجز الإجازات'!$G$5:$G$104="معتمد")*ROW('حجز الإجازات'!$B$5:$B$104))=0,IF(AR$3&lt;'الموظفون'!$D$4,"",IF(ISNUMBER(MATCH(AR$3,Holidays,0)),"عطلة",IF(MOD(AR$3-'الموظفون'!$D$4,CycleWork+CycleRest)&lt;CycleWork,INDEX('الإعدادات والقوائم'!$H$2:$H$4,MOD(INT(MOD(AR$3-'الموظفون'!$D$4,CycleWork+CycleRest)*3/CycleWork)+MATCH(StartShift,'الإعدادات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الإجازات'!$D$5:$D$104&lt;=AR$3)*(('حجز الإجازات'!$E$5:$E$104)&gt;=AR$3)*('حجز الإجازات'!$G$5:$G$104="معتمد")*ROW('حجز الإجازات'!$B$5:$B$104)))-5+1))</f>
        <v/>
      </c>
      <c r="AS6" s="62">
        <f>IF(SUMPRODUCT(('حجز الإجازات'!$B$5:$B$104='الموظفون'!$B$4)*('حجز الإجازات'!$D$5:$D$104&lt;=AS$3)*(('حجز الإجازات'!$E$5:$E$104)&gt;=AS$3)*('حجز الإجازات'!$G$5:$G$104="معتمد")*ROW('حجز الإجازات'!$B$5:$B$104))=0,IF(AS$3&lt;'الموظفون'!$D$4,"",IF(ISNUMBER(MATCH(AS$3,Holidays,0)),"عطلة",IF(MOD(AS$3-'الموظفون'!$D$4,CycleWork+CycleRest)&lt;CycleWork,INDEX('الإعدادات والقوائم'!$H$2:$H$4,MOD(INT(MOD(AS$3-'الموظفون'!$D$4,CycleWork+CycleRest)*3/CycleWork)+MATCH(StartShift,'الإعدادات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الإجازات'!$D$5:$D$104&lt;=AS$3)*(('حجز الإجازات'!$E$5:$E$104)&gt;=AS$3)*('حجز الإجازات'!$G$5:$G$104="معتمد")*ROW('حجز الإجازات'!$B$5:$B$104)))-5+1))</f>
        <v/>
      </c>
      <c r="AT6" s="62">
        <f>IF(SUMPRODUCT(('حجز الإجازات'!$B$5:$B$104='الموظفون'!$B$4)*('حجز الإجازات'!$D$5:$D$104&lt;=AT$3)*(('حجز الإجازات'!$E$5:$E$104)&gt;=AT$3)*('حجز الإجازات'!$G$5:$G$104="معتمد")*ROW('حجز الإجازات'!$B$5:$B$104))=0,IF(AT$3&lt;'الموظفون'!$D$4,"",IF(ISNUMBER(MATCH(AT$3,Holidays,0)),"عطلة",IF(MOD(AT$3-'الموظفون'!$D$4,CycleWork+CycleRest)&lt;CycleWork,INDEX('الإعدادات والقوائم'!$H$2:$H$4,MOD(INT(MOD(AT$3-'الموظفون'!$D$4,CycleWork+CycleRest)*3/CycleWork)+MATCH(StartShift,'الإعدادات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الإجازات'!$D$5:$D$104&lt;=AT$3)*(('حجز الإجازات'!$E$5:$E$104)&gt;=AT$3)*('حجز الإجازات'!$G$5:$G$104="معتمد")*ROW('حجز الإجازات'!$B$5:$B$104)))-5+1))</f>
        <v/>
      </c>
      <c r="AU6" s="62">
        <f>IF(SUMPRODUCT(('حجز الإجازات'!$B$5:$B$104='الموظفون'!$B$4)*('حجز الإجازات'!$D$5:$D$104&lt;=AU$3)*(('حجز الإجازات'!$E$5:$E$104)&gt;=AU$3)*('حجز الإجازات'!$G$5:$G$104="معتمد")*ROW('حجز الإجازات'!$B$5:$B$104))=0,IF(AU$3&lt;'الموظفون'!$D$4,"",IF(ISNUMBER(MATCH(AU$3,Holidays,0)),"عطلة",IF(MOD(AU$3-'الموظفون'!$D$4,CycleWork+CycleRest)&lt;CycleWork,INDEX('الإعدادات والقوائم'!$H$2:$H$4,MOD(INT(MOD(AU$3-'الموظفون'!$D$4,CycleWork+CycleRest)*3/CycleWork)+MATCH(StartShift,'الإعدادات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الإجازات'!$D$5:$D$104&lt;=AU$3)*(('حجز الإجازات'!$E$5:$E$104)&gt;=AU$3)*('حجز الإجازات'!$G$5:$G$104="معتمد")*ROW('حجز الإجازات'!$B$5:$B$104)))-5+1))</f>
        <v/>
      </c>
      <c r="AV6" s="62">
        <f>IF(SUMPRODUCT(('حجز الإجازات'!$B$5:$B$104='الموظفون'!$B$4)*('حجز الإجازات'!$D$5:$D$104&lt;=AV$3)*(('حجز الإجازات'!$E$5:$E$104)&gt;=AV$3)*('حجز الإجازات'!$G$5:$G$104="معتمد")*ROW('حجز الإجازات'!$B$5:$B$104))=0,IF(AV$3&lt;'الموظفون'!$D$4,"",IF(ISNUMBER(MATCH(AV$3,Holidays,0)),"عطلة",IF(MOD(AV$3-'الموظفون'!$D$4,CycleWork+CycleRest)&lt;CycleWork,INDEX('الإعدادات والقوائم'!$H$2:$H$4,MOD(INT(MOD(AV$3-'الموظفون'!$D$4,CycleWork+CycleRest)*3/CycleWork)+MATCH(StartShift,'الإعدادات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الإجازات'!$D$5:$D$104&lt;=AV$3)*(('حجز الإجازات'!$E$5:$E$104)&gt;=AV$3)*('حجز الإجازات'!$G$5:$G$104="معتمد")*ROW('حجز الإجازات'!$B$5:$B$104)))-5+1))</f>
        <v/>
      </c>
      <c r="AW6" s="62">
        <f>IF(SUMPRODUCT(('حجز الإجازات'!$B$5:$B$104='الموظفون'!$B$4)*('حجز الإجازات'!$D$5:$D$104&lt;=AW$3)*(('حجز الإجازات'!$E$5:$E$104)&gt;=AW$3)*('حجز الإجازات'!$G$5:$G$104="معتمد")*ROW('حجز الإجازات'!$B$5:$B$104))=0,IF(AW$3&lt;'الموظفون'!$D$4,"",IF(ISNUMBER(MATCH(AW$3,Holidays,0)),"عطلة",IF(MOD(AW$3-'الموظفون'!$D$4,CycleWork+CycleRest)&lt;CycleWork,INDEX('الإعدادات والقوائم'!$H$2:$H$4,MOD(INT(MOD(AW$3-'الموظفون'!$D$4,CycleWork+CycleRest)*3/CycleWork)+MATCH(StartShift,'الإعدادات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الإجازات'!$D$5:$D$104&lt;=AW$3)*(('حجز الإجازات'!$E$5:$E$104)&gt;=AW$3)*('حجز الإجازات'!$G$5:$G$104="معتمد")*ROW('حجز الإجازات'!$B$5:$B$104)))-5+1))</f>
        <v/>
      </c>
      <c r="AX6" s="62">
        <f>IF(SUMPRODUCT(('حجز الإجازات'!$B$5:$B$104='الموظفون'!$B$4)*('حجز الإجازات'!$D$5:$D$104&lt;=AX$3)*(('حجز الإجازات'!$E$5:$E$104)&gt;=AX$3)*('حجز الإجازات'!$G$5:$G$104="معتمد")*ROW('حجز الإجازات'!$B$5:$B$104))=0,IF(AX$3&lt;'الموظفون'!$D$4,"",IF(ISNUMBER(MATCH(AX$3,Holidays,0)),"عطلة",IF(MOD(AX$3-'الموظفون'!$D$4,CycleWork+CycleRest)&lt;CycleWork,INDEX('الإعدادات والقوائم'!$H$2:$H$4,MOD(INT(MOD(AX$3-'الموظفون'!$D$4,CycleWork+CycleRest)*3/CycleWork)+MATCH(StartShift,'الإعدادات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الإجازات'!$D$5:$D$104&lt;=AX$3)*(('حجز الإجازات'!$E$5:$E$104)&gt;=AX$3)*('حجز الإجازات'!$G$5:$G$104="معتمد")*ROW('حجز الإجازات'!$B$5:$B$104)))-5+1))</f>
        <v/>
      </c>
      <c r="AY6" s="62">
        <f>IF(SUMPRODUCT(('حجز الإجازات'!$B$5:$B$104='الموظفون'!$B$4)*('حجز الإجازات'!$D$5:$D$104&lt;=AY$3)*(('حجز الإجازات'!$E$5:$E$104)&gt;=AY$3)*('حجز الإجازات'!$G$5:$G$104="معتمد")*ROW('حجز الإجازات'!$B$5:$B$104))=0,IF(AY$3&lt;'الموظفون'!$D$4,"",IF(ISNUMBER(MATCH(AY$3,Holidays,0)),"عطلة",IF(MOD(AY$3-'الموظفون'!$D$4,CycleWork+CycleRest)&lt;CycleWork,INDEX('الإعدادات والقوائم'!$H$2:$H$4,MOD(INT(MOD(AY$3-'الموظفون'!$D$4,CycleWork+CycleRest)*3/CycleWork)+MATCH(StartShift,'الإعدادات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الإجازات'!$D$5:$D$104&lt;=AY$3)*(('حجز الإجازات'!$E$5:$E$104)&gt;=AY$3)*('حجز الإجازات'!$G$5:$G$104="معتمد")*ROW('حجز الإجازات'!$B$5:$B$104)))-5+1))</f>
        <v/>
      </c>
      <c r="AZ6" s="62">
        <f>IF(SUMPRODUCT(('حجز الإجازات'!$B$5:$B$104='الموظفون'!$B$4)*('حجز الإجازات'!$D$5:$D$104&lt;=AZ$3)*(('حجز الإجازات'!$E$5:$E$104)&gt;=AZ$3)*('حجز الإجازات'!$G$5:$G$104="معتمد")*ROW('حجز الإجازات'!$B$5:$B$104))=0,IF(AZ$3&lt;'الموظفون'!$D$4,"",IF(ISNUMBER(MATCH(AZ$3,Holidays,0)),"عطلة",IF(MOD(AZ$3-'الموظفون'!$D$4,CycleWork+CycleRest)&lt;CycleWork,INDEX('الإعدادات والقوائم'!$H$2:$H$4,MOD(INT(MOD(AZ$3-'الموظفون'!$D$4,CycleWork+CycleRest)*3/CycleWork)+MATCH(StartShift,'الإعدادات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الإجازات'!$D$5:$D$104&lt;=AZ$3)*(('حجز الإجازات'!$E$5:$E$104)&gt;=AZ$3)*('حجز الإجازات'!$G$5:$G$104="معتمد")*ROW('حجز الإجازات'!$B$5:$B$104)))-5+1))</f>
        <v/>
      </c>
      <c r="BA6" s="62">
        <f>IF(SUMPRODUCT(('حجز الإجازات'!$B$5:$B$104='الموظفون'!$B$4)*('حجز الإجازات'!$D$5:$D$104&lt;=BA$3)*(('حجز الإجازات'!$E$5:$E$104)&gt;=BA$3)*('حجز الإجازات'!$G$5:$G$104="معتمد")*ROW('حجز الإجازات'!$B$5:$B$104))=0,IF(BA$3&lt;'الموظفون'!$D$4,"",IF(ISNUMBER(MATCH(BA$3,Holidays,0)),"عطلة",IF(MOD(BA$3-'الموظفون'!$D$4,CycleWork+CycleRest)&lt;CycleWork,INDEX('الإعدادات والقوائم'!$H$2:$H$4,MOD(INT(MOD(BA$3-'الموظفون'!$D$4,CycleWork+CycleRest)*3/CycleWork)+MATCH(StartShift,'الإعدادات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الإجازات'!$D$5:$D$104&lt;=BA$3)*(('حجز الإجازات'!$E$5:$E$104)&gt;=BA$3)*('حجز الإجازات'!$G$5:$G$104="معتمد")*ROW('حجز الإجازات'!$B$5:$B$104)))-5+1))</f>
        <v/>
      </c>
      <c r="BB6" s="62">
        <f>IF(SUMPRODUCT(('حجز الإجازات'!$B$5:$B$104='الموظفون'!$B$4)*('حجز الإجازات'!$D$5:$D$104&lt;=BB$3)*(('حجز الإجازات'!$E$5:$E$104)&gt;=BB$3)*('حجز الإجازات'!$G$5:$G$104="معتمد")*ROW('حجز الإجازات'!$B$5:$B$104))=0,IF(BB$3&lt;'الموظفون'!$D$4,"",IF(ISNUMBER(MATCH(BB$3,Holidays,0)),"عطلة",IF(MOD(BB$3-'الموظفون'!$D$4,CycleWork+CycleRest)&lt;CycleWork,INDEX('الإعدادات والقوائم'!$H$2:$H$4,MOD(INT(MOD(BB$3-'الموظفون'!$D$4,CycleWork+CycleRest)*3/CycleWork)+MATCH(StartShift,'الإعدادات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الإجازات'!$D$5:$D$104&lt;=BB$3)*(('حجز الإجازات'!$E$5:$E$104)&gt;=BB$3)*('حجز الإجازات'!$G$5:$G$104="معتمد")*ROW('حجز الإجازات'!$B$5:$B$104)))-5+1))</f>
        <v/>
      </c>
      <c r="BC6" s="62">
        <f>IF(SUMPRODUCT(('حجز الإجازات'!$B$5:$B$104='الموظفون'!$B$4)*('حجز الإجازات'!$D$5:$D$104&lt;=BC$3)*(('حجز الإجازات'!$E$5:$E$104)&gt;=BC$3)*('حجز الإجازات'!$G$5:$G$104="معتمد")*ROW('حجز الإجازات'!$B$5:$B$104))=0,IF(BC$3&lt;'الموظفون'!$D$4,"",IF(ISNUMBER(MATCH(BC$3,Holidays,0)),"عطلة",IF(MOD(BC$3-'الموظفون'!$D$4,CycleWork+CycleRest)&lt;CycleWork,INDEX('الإعدادات والقوائم'!$H$2:$H$4,MOD(INT(MOD(BC$3-'الموظفون'!$D$4,CycleWork+CycleRest)*3/CycleWork)+MATCH(StartShift,'الإعدادات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الإجازات'!$D$5:$D$104&lt;=BC$3)*(('حجز الإجازات'!$E$5:$E$104)&gt;=BC$3)*('حجز الإجازات'!$G$5:$G$104="معتمد")*ROW('حجز الإجازات'!$B$5:$B$104)))-5+1))</f>
        <v/>
      </c>
      <c r="BD6" s="62">
        <f>IF(SUMPRODUCT(('حجز الإجازات'!$B$5:$B$104='الموظفون'!$B$4)*('حجز الإجازات'!$D$5:$D$104&lt;=BD$3)*(('حجز الإجازات'!$E$5:$E$104)&gt;=BD$3)*('حجز الإجازات'!$G$5:$G$104="معتمد")*ROW('حجز الإجازات'!$B$5:$B$104))=0,IF(BD$3&lt;'الموظفون'!$D$4,"",IF(ISNUMBER(MATCH(BD$3,Holidays,0)),"عطلة",IF(MOD(BD$3-'الموظفون'!$D$4,CycleWork+CycleRest)&lt;CycleWork,INDEX('الإعدادات والقوائم'!$H$2:$H$4,MOD(INT(MOD(BD$3-'الموظفون'!$D$4,CycleWork+CycleRest)*3/CycleWork)+MATCH(StartShift,'الإعدادات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الإجازات'!$D$5:$D$104&lt;=BD$3)*(('حجز الإجازات'!$E$5:$E$104)&gt;=BD$3)*('حجز الإجازات'!$G$5:$G$104="معتمد")*ROW('حجز الإجازات'!$B$5:$B$104)))-5+1))</f>
        <v/>
      </c>
      <c r="BE6" s="62">
        <f>IF(SUMPRODUCT(('حجز الإجازات'!$B$5:$B$104='الموظفون'!$B$4)*('حجز الإجازات'!$D$5:$D$104&lt;=BE$3)*(('حجز الإجازات'!$E$5:$E$104)&gt;=BE$3)*('حجز الإجازات'!$G$5:$G$104="معتمد")*ROW('حجز الإجازات'!$B$5:$B$104))=0,IF(BE$3&lt;'الموظفون'!$D$4,"",IF(ISNUMBER(MATCH(BE$3,Holidays,0)),"عطلة",IF(MOD(BE$3-'الموظفون'!$D$4,CycleWork+CycleRest)&lt;CycleWork,INDEX('الإعدادات والقوائم'!$H$2:$H$4,MOD(INT(MOD(BE$3-'الموظفون'!$D$4,CycleWork+CycleRest)*3/CycleWork)+MATCH(StartShift,'الإعدادات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الإجازات'!$D$5:$D$104&lt;=BE$3)*(('حجز الإجازات'!$E$5:$E$104)&gt;=BE$3)*('حجز الإجازات'!$G$5:$G$104="معتمد")*ROW('حجز الإجازات'!$B$5:$B$104)))-5+1))</f>
        <v/>
      </c>
      <c r="BF6" s="62">
        <f>IF(SUMPRODUCT(('حجز الإجازات'!$B$5:$B$104='الموظفون'!$B$4)*('حجز الإجازات'!$D$5:$D$104&lt;=BF$3)*(('حجز الإجازات'!$E$5:$E$104)&gt;=BF$3)*('حجز الإجازات'!$G$5:$G$104="معتمد")*ROW('حجز الإجازات'!$B$5:$B$104))=0,IF(BF$3&lt;'الموظفون'!$D$4,"",IF(ISNUMBER(MATCH(BF$3,Holidays,0)),"عطلة",IF(MOD(BF$3-'الموظفون'!$D$4,CycleWork+CycleRest)&lt;CycleWork,INDEX('الإعدادات والقوائم'!$H$2:$H$4,MOD(INT(MOD(BF$3-'الموظفون'!$D$4,CycleWork+CycleRest)*3/CycleWork)+MATCH(StartShift,'الإعدادات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الإجازات'!$D$5:$D$104&lt;=BF$3)*(('حجز الإجازات'!$E$5:$E$104)&gt;=BF$3)*('حجز الإجازات'!$G$5:$G$104="معتمد")*ROW('حجز الإجازات'!$B$5:$B$104)))-5+1))</f>
        <v/>
      </c>
      <c r="BG6" s="62">
        <f>IF(SUMPRODUCT(('حجز الإجازات'!$B$5:$B$104='الموظفون'!$B$4)*('حجز الإجازات'!$D$5:$D$104&lt;=BG$3)*(('حجز الإجازات'!$E$5:$E$104)&gt;=BG$3)*('حجز الإجازات'!$G$5:$G$104="معتمد")*ROW('حجز الإجازات'!$B$5:$B$104))=0,IF(BG$3&lt;'الموظفون'!$D$4,"",IF(ISNUMBER(MATCH(BG$3,Holidays,0)),"عطلة",IF(MOD(BG$3-'الموظفون'!$D$4,CycleWork+CycleRest)&lt;CycleWork,INDEX('الإعدادات والقوائم'!$H$2:$H$4,MOD(INT(MOD(BG$3-'الموظفون'!$D$4,CycleWork+CycleRest)*3/CycleWork)+MATCH(StartShift,'الإعدادات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الإجازات'!$D$5:$D$104&lt;=BG$3)*(('حجز الإجازات'!$E$5:$E$104)&gt;=BG$3)*('حجز الإجازات'!$G$5:$G$104="معتمد")*ROW('حجز الإجازات'!$B$5:$B$104)))-5+1))</f>
        <v/>
      </c>
      <c r="BH6" s="62">
        <f>IF(SUMPRODUCT(('حجز الإجازات'!$B$5:$B$104='الموظفون'!$B$4)*('حجز الإجازات'!$D$5:$D$104&lt;=BH$3)*(('حجز الإجازات'!$E$5:$E$104)&gt;=BH$3)*('حجز الإجازات'!$G$5:$G$104="معتمد")*ROW('حجز الإجازات'!$B$5:$B$104))=0,IF(BH$3&lt;'الموظفون'!$D$4,"",IF(ISNUMBER(MATCH(BH$3,Holidays,0)),"عطلة",IF(MOD(BH$3-'الموظفون'!$D$4,CycleWork+CycleRest)&lt;CycleWork,INDEX('الإعدادات والقوائم'!$H$2:$H$4,MOD(INT(MOD(BH$3-'الموظفون'!$D$4,CycleWork+CycleRest)*3/CycleWork)+MATCH(StartShift,'الإعدادات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الإجازات'!$D$5:$D$104&lt;=BH$3)*(('حجز الإجازات'!$E$5:$E$104)&gt;=BH$3)*('حجز الإجازات'!$G$5:$G$104="معتمد")*ROW('حجز الإجازات'!$B$5:$B$104)))-5+1))</f>
        <v/>
      </c>
      <c r="BI6" s="62">
        <f>IF(SUMPRODUCT(('حجز الإجازات'!$B$5:$B$104='الموظفون'!$B$4)*('حجز الإجازات'!$D$5:$D$104&lt;=BI$3)*(('حجز الإجازات'!$E$5:$E$104)&gt;=BI$3)*('حجز الإجازات'!$G$5:$G$104="معتمد")*ROW('حجز الإجازات'!$B$5:$B$104))=0,IF(BI$3&lt;'الموظفون'!$D$4,"",IF(ISNUMBER(MATCH(BI$3,Holidays,0)),"عطلة",IF(MOD(BI$3-'الموظفون'!$D$4,CycleWork+CycleRest)&lt;CycleWork,INDEX('الإعدادات والقوائم'!$H$2:$H$4,MOD(INT(MOD(BI$3-'الموظفون'!$D$4,CycleWork+CycleRest)*3/CycleWork)+MATCH(StartShift,'الإعدادات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الإجازات'!$D$5:$D$104&lt;=BI$3)*(('حجز الإجازات'!$E$5:$E$104)&gt;=BI$3)*('حجز الإجازات'!$G$5:$G$104="معتمد")*ROW('حجز الإجازات'!$B$5:$B$104)))-5+1))</f>
        <v/>
      </c>
      <c r="BJ6" s="62">
        <f>IF(SUMPRODUCT(('حجز الإجازات'!$B$5:$B$104='الموظفون'!$B$4)*('حجز الإجازات'!$D$5:$D$104&lt;=BJ$3)*(('حجز الإجازات'!$E$5:$E$104)&gt;=BJ$3)*('حجز الإجازات'!$G$5:$G$104="معتمد")*ROW('حجز الإجازات'!$B$5:$B$104))=0,IF(BJ$3&lt;'الموظفون'!$D$4,"",IF(ISNUMBER(MATCH(BJ$3,Holidays,0)),"عطلة",IF(MOD(BJ$3-'الموظفون'!$D$4,CycleWork+CycleRest)&lt;CycleWork,INDEX('الإعدادات والقوائم'!$H$2:$H$4,MOD(INT(MOD(BJ$3-'الموظفون'!$D$4,CycleWork+CycleRest)*3/CycleWork)+MATCH(StartShift,'الإعدادات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الإجازات'!$D$5:$D$104&lt;=BJ$3)*(('حجز الإجازات'!$E$5:$E$104)&gt;=BJ$3)*('حجز الإجازات'!$G$5:$G$104="معتمد")*ROW('حجز الإجازات'!$B$5:$B$104)))-5+1))</f>
        <v/>
      </c>
      <c r="BK6" s="62">
        <f>IF(SUMPRODUCT(('حجز الإجازات'!$B$5:$B$104='الموظفون'!$B$4)*('حجز الإجازات'!$D$5:$D$104&lt;=BK$3)*(('حجز الإجازات'!$E$5:$E$104)&gt;=BK$3)*('حجز الإجازات'!$G$5:$G$104="معتمد")*ROW('حجز الإجازات'!$B$5:$B$104))=0,IF(BK$3&lt;'الموظفون'!$D$4,"",IF(ISNUMBER(MATCH(BK$3,Holidays,0)),"عطلة",IF(MOD(BK$3-'الموظفون'!$D$4,CycleWork+CycleRest)&lt;CycleWork,INDEX('الإعدادات والقوائم'!$H$2:$H$4,MOD(INT(MOD(BK$3-'الموظفون'!$D$4,CycleWork+CycleRest)*3/CycleWork)+MATCH(StartShift,'الإعدادات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الإجازات'!$D$5:$D$104&lt;=BK$3)*(('حجز الإجازات'!$E$5:$E$104)&gt;=BK$3)*('حجز الإجازات'!$G$5:$G$104="معتمد")*ROW('حجز الإجازات'!$B$5:$B$104)))-5+1))</f>
        <v/>
      </c>
      <c r="BL6" s="62">
        <f>IF(SUMPRODUCT(('حجز الإجازات'!$B$5:$B$104='الموظفون'!$B$4)*('حجز الإجازات'!$D$5:$D$104&lt;=BL$3)*(('حجز الإجازات'!$E$5:$E$104)&gt;=BL$3)*('حجز الإجازات'!$G$5:$G$104="معتمد")*ROW('حجز الإجازات'!$B$5:$B$104))=0,IF(BL$3&lt;'الموظفون'!$D$4,"",IF(ISNUMBER(MATCH(BL$3,Holidays,0)),"عطلة",IF(MOD(BL$3-'الموظفون'!$D$4,CycleWork+CycleRest)&lt;CycleWork,INDEX('الإعدادات والقوائم'!$H$2:$H$4,MOD(INT(MOD(BL$3-'الموظفون'!$D$4,CycleWork+CycleRest)*3/CycleWork)+MATCH(StartShift,'الإعدادات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الإجازات'!$D$5:$D$104&lt;=BL$3)*(('حجز الإجازات'!$E$5:$E$104)&gt;=BL$3)*('حجز الإجازات'!$G$5:$G$104="معتمد")*ROW('حجز الإجازات'!$B$5:$B$104)))-5+1))</f>
        <v/>
      </c>
      <c r="BM6" s="62">
        <f>IF(SUMPRODUCT(('حجز الإجازات'!$B$5:$B$104='الموظفون'!$B$4)*('حجز الإجازات'!$D$5:$D$104&lt;=BM$3)*(('حجز الإجازات'!$E$5:$E$104)&gt;=BM$3)*('حجز الإجازات'!$G$5:$G$104="معتمد")*ROW('حجز الإجازات'!$B$5:$B$104))=0,IF(BM$3&lt;'الموظفون'!$D$4,"",IF(ISNUMBER(MATCH(BM$3,Holidays,0)),"عطلة",IF(MOD(BM$3-'الموظفون'!$D$4,CycleWork+CycleRest)&lt;CycleWork,INDEX('الإعدادات والقوائم'!$H$2:$H$4,MOD(INT(MOD(BM$3-'الموظفون'!$D$4,CycleWork+CycleRest)*3/CycleWork)+MATCH(StartShift,'الإعدادات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الإجازات'!$D$5:$D$104&lt;=BM$3)*(('حجز الإجازات'!$E$5:$E$104)&gt;=BM$3)*('حجز الإجازات'!$G$5:$G$104="معتمد")*ROW('حجز الإجازات'!$B$5:$B$104)))-5+1))</f>
        <v/>
      </c>
      <c r="BN6" s="62">
        <f>IF(SUMPRODUCT(('حجز الإجازات'!$B$5:$B$104='الموظفون'!$B$4)*('حجز الإجازات'!$D$5:$D$104&lt;=BN$3)*(('حجز الإجازات'!$E$5:$E$104)&gt;=BN$3)*('حجز الإجازات'!$G$5:$G$104="معتمد")*ROW('حجز الإجازات'!$B$5:$B$104))=0,IF(BN$3&lt;'الموظفون'!$D$4,"",IF(ISNUMBER(MATCH(BN$3,Holidays,0)),"عطلة",IF(MOD(BN$3-'الموظفون'!$D$4,CycleWork+CycleRest)&lt;CycleWork,INDEX('الإعدادات والقوائم'!$H$2:$H$4,MOD(INT(MOD(BN$3-'الموظفون'!$D$4,CycleWork+CycleRest)*3/CycleWork)+MATCH(StartShift,'الإعدادات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الإجازات'!$D$5:$D$104&lt;=BN$3)*(('حجز الإجازات'!$E$5:$E$104)&gt;=BN$3)*('حجز الإجازات'!$G$5:$G$104="معتمد")*ROW('حجز الإجازات'!$B$5:$B$104)))-5+1))</f>
        <v/>
      </c>
      <c r="BO6" s="62">
        <f>IF(SUMPRODUCT(('حجز الإجازات'!$B$5:$B$104='الموظفون'!$B$4)*('حجز الإجازات'!$D$5:$D$104&lt;=BO$3)*(('حجز الإجازات'!$E$5:$E$104)&gt;=BO$3)*('حجز الإجازات'!$G$5:$G$104="معتمد")*ROW('حجز الإجازات'!$B$5:$B$104))=0,IF(BO$3&lt;'الموظفون'!$D$4,"",IF(ISNUMBER(MATCH(BO$3,Holidays,0)),"عطلة",IF(MOD(BO$3-'الموظفون'!$D$4,CycleWork+CycleRest)&lt;CycleWork,INDEX('الإعدادات والقوائم'!$H$2:$H$4,MOD(INT(MOD(BO$3-'الموظفون'!$D$4,CycleWork+CycleRest)*3/CycleWork)+MATCH(StartShift,'الإعدادات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الإجازات'!$D$5:$D$104&lt;=BO$3)*(('حجز الإجازات'!$E$5:$E$104)&gt;=BO$3)*('حجز الإجازات'!$G$5:$G$104="معتمد")*ROW('حجز الإجازات'!$B$5:$B$104)))-5+1))</f>
        <v/>
      </c>
      <c r="BP6" s="62">
        <f>IF(SUMPRODUCT(('حجز الإجازات'!$B$5:$B$104='الموظفون'!$B$4)*('حجز الإجازات'!$D$5:$D$104&lt;=BP$3)*(('حجز الإجازات'!$E$5:$E$104)&gt;=BP$3)*('حجز الإجازات'!$G$5:$G$104="معتمد")*ROW('حجز الإجازات'!$B$5:$B$104))=0,IF(BP$3&lt;'الموظفون'!$D$4,"",IF(ISNUMBER(MATCH(BP$3,Holidays,0)),"عطلة",IF(MOD(BP$3-'الموظفون'!$D$4,CycleWork+CycleRest)&lt;CycleWork,INDEX('الإعدادات والقوائم'!$H$2:$H$4,MOD(INT(MOD(BP$3-'الموظفون'!$D$4,CycleWork+CycleRest)*3/CycleWork)+MATCH(StartShift,'الإعدادات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الإجازات'!$D$5:$D$104&lt;=BP$3)*(('حجز الإجازات'!$E$5:$E$104)&gt;=BP$3)*('حجز الإجازات'!$G$5:$G$104="معتمد")*ROW('حجز الإجازات'!$B$5:$B$104)))-5+1))</f>
        <v/>
      </c>
      <c r="BQ6" s="62">
        <f>IF(SUMPRODUCT(('حجز الإجازات'!$B$5:$B$104='الموظفون'!$B$4)*('حجز الإجازات'!$D$5:$D$104&lt;=BQ$3)*(('حجز الإجازات'!$E$5:$E$104)&gt;=BQ$3)*('حجز الإجازات'!$G$5:$G$104="معتمد")*ROW('حجز الإجازات'!$B$5:$B$104))=0,IF(BQ$3&lt;'الموظفون'!$D$4,"",IF(ISNUMBER(MATCH(BQ$3,Holidays,0)),"عطلة",IF(MOD(BQ$3-'الموظفون'!$D$4,CycleWork+CycleRest)&lt;CycleWork,INDEX('الإعدادات والقوائم'!$H$2:$H$4,MOD(INT(MOD(BQ$3-'الموظفون'!$D$4,CycleWork+CycleRest)*3/CycleWork)+MATCH(StartShift,'الإعدادات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الإجازات'!$D$5:$D$104&lt;=BQ$3)*(('حجز الإجازات'!$E$5:$E$104)&gt;=BQ$3)*('حجز الإجازات'!$G$5:$G$104="معتمد")*ROW('حجز الإجازات'!$B$5:$B$104)))-5+1))</f>
        <v/>
      </c>
      <c r="BR6" s="62">
        <f>IF(SUMPRODUCT(('حجز الإجازات'!$B$5:$B$104='الموظفون'!$B$4)*('حجز الإجازات'!$D$5:$D$104&lt;=BR$3)*(('حجز الإجازات'!$E$5:$E$104)&gt;=BR$3)*('حجز الإجازات'!$G$5:$G$104="معتمد")*ROW('حجز الإجازات'!$B$5:$B$104))=0,IF(BR$3&lt;'الموظفون'!$D$4,"",IF(ISNUMBER(MATCH(BR$3,Holidays,0)),"عطلة",IF(MOD(BR$3-'الموظفون'!$D$4,CycleWork+CycleRest)&lt;CycleWork,INDEX('الإعدادات والقوائم'!$H$2:$H$4,MOD(INT(MOD(BR$3-'الموظفون'!$D$4,CycleWork+CycleRest)*3/CycleWork)+MATCH(StartShift,'الإعدادات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الإجازات'!$D$5:$D$104&lt;=BR$3)*(('حجز الإجازات'!$E$5:$E$104)&gt;=BR$3)*('حجز الإجازات'!$G$5:$G$104="معتمد")*ROW('حجز الإجازات'!$B$5:$B$104)))-5+1))</f>
        <v/>
      </c>
      <c r="BS6" s="62">
        <f>IF(SUMPRODUCT(('حجز الإجازات'!$B$5:$B$104='الموظفون'!$B$4)*('حجز الإجازات'!$D$5:$D$104&lt;=BS$3)*(('حجز الإجازات'!$E$5:$E$104)&gt;=BS$3)*('حجز الإجازات'!$G$5:$G$104="معتمد")*ROW('حجز الإجازات'!$B$5:$B$104))=0,IF(BS$3&lt;'الموظفون'!$D$4,"",IF(ISNUMBER(MATCH(BS$3,Holidays,0)),"عطلة",IF(MOD(BS$3-'الموظفون'!$D$4,CycleWork+CycleRest)&lt;CycleWork,INDEX('الإعدادات والقوائم'!$H$2:$H$4,MOD(INT(MOD(BS$3-'الموظفون'!$D$4,CycleWork+CycleRest)*3/CycleWork)+MATCH(StartShift,'الإعدادات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الإجازات'!$D$5:$D$104&lt;=BS$3)*(('حجز الإجازات'!$E$5:$E$104)&gt;=BS$3)*('حجز الإجازات'!$G$5:$G$104="معتمد")*ROW('حجز الإجازات'!$B$5:$B$104)))-5+1))</f>
        <v/>
      </c>
      <c r="BT6" s="62">
        <f>IF(SUMPRODUCT(('حجز الإجازات'!$B$5:$B$104='الموظفون'!$B$4)*('حجز الإجازات'!$D$5:$D$104&lt;=BT$3)*(('حجز الإجازات'!$E$5:$E$104)&gt;=BT$3)*('حجز الإجازات'!$G$5:$G$104="معتمد")*ROW('حجز الإجازات'!$B$5:$B$104))=0,IF(BT$3&lt;'الموظفون'!$D$4,"",IF(ISNUMBER(MATCH(BT$3,Holidays,0)),"عطلة",IF(MOD(BT$3-'الموظفون'!$D$4,CycleWork+CycleRest)&lt;CycleWork,INDEX('الإعدادات والقوائم'!$H$2:$H$4,MOD(INT(MOD(BT$3-'الموظفون'!$D$4,CycleWork+CycleRest)*3/CycleWork)+MATCH(StartShift,'الإعدادات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الإجازات'!$D$5:$D$104&lt;=BT$3)*(('حجز الإجازات'!$E$5:$E$104)&gt;=BT$3)*('حجز الإجازات'!$G$5:$G$104="معتمد")*ROW('حجز الإجازات'!$B$5:$B$104)))-5+1))</f>
        <v/>
      </c>
      <c r="BU6" s="62">
        <f>IF(SUMPRODUCT(('حجز الإجازات'!$B$5:$B$104='الموظفون'!$B$4)*('حجز الإجازات'!$D$5:$D$104&lt;=BU$3)*(('حجز الإجازات'!$E$5:$E$104)&gt;=BU$3)*('حجز الإجازات'!$G$5:$G$104="معتمد")*ROW('حجز الإجازات'!$B$5:$B$104))=0,IF(BU$3&lt;'الموظفون'!$D$4,"",IF(ISNUMBER(MATCH(BU$3,Holidays,0)),"عطلة",IF(MOD(BU$3-'الموظفون'!$D$4,CycleWork+CycleRest)&lt;CycleWork,INDEX('الإعدادات والقوائم'!$H$2:$H$4,MOD(INT(MOD(BU$3-'الموظفون'!$D$4,CycleWork+CycleRest)*3/CycleWork)+MATCH(StartShift,'الإعدادات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الإجازات'!$D$5:$D$104&lt;=BU$3)*(('حجز الإجازات'!$E$5:$E$104)&gt;=BU$3)*('حجز الإجازات'!$G$5:$G$104="معتمد")*ROW('حجز الإجازات'!$B$5:$B$104)))-5+1))</f>
        <v/>
      </c>
      <c r="BV6" s="62">
        <f>IF(SUMPRODUCT(('حجز الإجازات'!$B$5:$B$104='الموظفون'!$B$4)*('حجز الإجازات'!$D$5:$D$104&lt;=BV$3)*(('حجز الإجازات'!$E$5:$E$104)&gt;=BV$3)*('حجز الإجازات'!$G$5:$G$104="معتمد")*ROW('حجز الإجازات'!$B$5:$B$104))=0,IF(BV$3&lt;'الموظفون'!$D$4,"",IF(ISNUMBER(MATCH(BV$3,Holidays,0)),"عطلة",IF(MOD(BV$3-'الموظفون'!$D$4,CycleWork+CycleRest)&lt;CycleWork,INDEX('الإعدادات والقوائم'!$H$2:$H$4,MOD(INT(MOD(BV$3-'الموظفون'!$D$4,CycleWork+CycleRest)*3/CycleWork)+MATCH(StartShift,'الإعدادات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الإجازات'!$D$5:$D$104&lt;=BV$3)*(('حجز الإجازات'!$E$5:$E$104)&gt;=BV$3)*('حجز الإجازات'!$G$5:$G$104="معتمد")*ROW('حجز الإجازات'!$B$5:$B$104)))-5+1))</f>
        <v/>
      </c>
      <c r="BW6" s="62">
        <f>IF(SUMPRODUCT(('حجز الإجازات'!$B$5:$B$104='الموظفون'!$B$4)*('حجز الإجازات'!$D$5:$D$104&lt;=BW$3)*(('حجز الإجازات'!$E$5:$E$104)&gt;=BW$3)*('حجز الإجازات'!$G$5:$G$104="معتمد")*ROW('حجز الإجازات'!$B$5:$B$104))=0,IF(BW$3&lt;'الموظفون'!$D$4,"",IF(ISNUMBER(MATCH(BW$3,Holidays,0)),"عطلة",IF(MOD(BW$3-'الموظفون'!$D$4,CycleWork+CycleRest)&lt;CycleWork,INDEX('الإعدادات والقوائم'!$H$2:$H$4,MOD(INT(MOD(BW$3-'الموظفون'!$D$4,CycleWork+CycleRest)*3/CycleWork)+MATCH(StartShift,'الإعدادات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الإجازات'!$D$5:$D$104&lt;=BW$3)*(('حجز الإجازات'!$E$5:$E$104)&gt;=BW$3)*('حجز الإجازات'!$G$5:$G$104="معتمد")*ROW('حجز الإجازات'!$B$5:$B$104)))-5+1))</f>
        <v/>
      </c>
      <c r="BX6" s="62">
        <f>IF(SUMPRODUCT(('حجز الإجازات'!$B$5:$B$104='الموظفون'!$B$4)*('حجز الإجازات'!$D$5:$D$104&lt;=BX$3)*(('حجز الإجازات'!$E$5:$E$104)&gt;=BX$3)*('حجز الإجازات'!$G$5:$G$104="معتمد")*ROW('حجز الإجازات'!$B$5:$B$104))=0,IF(BX$3&lt;'الموظفون'!$D$4,"",IF(ISNUMBER(MATCH(BX$3,Holidays,0)),"عطلة",IF(MOD(BX$3-'الموظفون'!$D$4,CycleWork+CycleRest)&lt;CycleWork,INDEX('الإعدادات والقوائم'!$H$2:$H$4,MOD(INT(MOD(BX$3-'الموظفون'!$D$4,CycleWork+CycleRest)*3/CycleWork)+MATCH(StartShift,'الإعدادات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الإجازات'!$D$5:$D$104&lt;=BX$3)*(('حجز الإجازات'!$E$5:$E$104)&gt;=BX$3)*('حجز الإجازات'!$G$5:$G$104="معتمد")*ROW('حجز الإجازات'!$B$5:$B$104)))-5+1))</f>
        <v/>
      </c>
      <c r="BY6" s="62">
        <f>IF(SUMPRODUCT(('حجز الإجازات'!$B$5:$B$104='الموظفون'!$B$4)*('حجز الإجازات'!$D$5:$D$104&lt;=BY$3)*(('حجز الإجازات'!$E$5:$E$104)&gt;=BY$3)*('حجز الإجازات'!$G$5:$G$104="معتمد")*ROW('حجز الإجازات'!$B$5:$B$104))=0,IF(BY$3&lt;'الموظفون'!$D$4,"",IF(ISNUMBER(MATCH(BY$3,Holidays,0)),"عطلة",IF(MOD(BY$3-'الموظفون'!$D$4,CycleWork+CycleRest)&lt;CycleWork,INDEX('الإعدادات والقوائم'!$H$2:$H$4,MOD(INT(MOD(BY$3-'الموظفون'!$D$4,CycleWork+CycleRest)*3/CycleWork)+MATCH(StartShift,'الإعدادات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الإجازات'!$D$5:$D$104&lt;=BY$3)*(('حجز الإجازات'!$E$5:$E$104)&gt;=BY$3)*('حجز الإجازات'!$G$5:$G$104="معتمد")*ROW('حجز الإجازات'!$B$5:$B$104)))-5+1))</f>
        <v/>
      </c>
      <c r="BZ6" s="62">
        <f>IF(SUMPRODUCT(('حجز الإجازات'!$B$5:$B$104='الموظفون'!$B$4)*('حجز الإجازات'!$D$5:$D$104&lt;=BZ$3)*(('حجز الإجازات'!$E$5:$E$104)&gt;=BZ$3)*('حجز الإجازات'!$G$5:$G$104="معتمد")*ROW('حجز الإجازات'!$B$5:$B$104))=0,IF(BZ$3&lt;'الموظفون'!$D$4,"",IF(ISNUMBER(MATCH(BZ$3,Holidays,0)),"عطلة",IF(MOD(BZ$3-'الموظفون'!$D$4,CycleWork+CycleRest)&lt;CycleWork,INDEX('الإعدادات والقوائم'!$H$2:$H$4,MOD(INT(MOD(BZ$3-'الموظفون'!$D$4,CycleWork+CycleRest)*3/CycleWork)+MATCH(StartShift,'الإعدادات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الإجازات'!$D$5:$D$104&lt;=BZ$3)*(('حجز الإجازات'!$E$5:$E$104)&gt;=BZ$3)*('حجز الإجازات'!$G$5:$G$104="معتمد")*ROW('حجز الإجازات'!$B$5:$B$104)))-5+1))</f>
        <v/>
      </c>
      <c r="CA6" s="62">
        <f>IF(SUMPRODUCT(('حجز الإجازات'!$B$5:$B$104='الموظفون'!$B$4)*('حجز الإجازات'!$D$5:$D$104&lt;=CA$3)*(('حجز الإجازات'!$E$5:$E$104)&gt;=CA$3)*('حجز الإجازات'!$G$5:$G$104="معتمد")*ROW('حجز الإجازات'!$B$5:$B$104))=0,IF(CA$3&lt;'الموظفون'!$D$4,"",IF(ISNUMBER(MATCH(CA$3,Holidays,0)),"عطلة",IF(MOD(CA$3-'الموظفون'!$D$4,CycleWork+CycleRest)&lt;CycleWork,INDEX('الإعدادات والقوائم'!$H$2:$H$4,MOD(INT(MOD(CA$3-'الموظفون'!$D$4,CycleWork+CycleRest)*3/CycleWork)+MATCH(StartShift,'الإعدادات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الإجازات'!$D$5:$D$104&lt;=CA$3)*(('حجز الإجازات'!$E$5:$E$104)&gt;=CA$3)*('حجز الإجازات'!$G$5:$G$104="معتمد")*ROW('حجز الإجازات'!$B$5:$B$104)))-5+1))</f>
        <v/>
      </c>
      <c r="CB6" s="62">
        <f>IF(SUMPRODUCT(('حجز الإجازات'!$B$5:$B$104='الموظفون'!$B$4)*('حجز الإجازات'!$D$5:$D$104&lt;=CB$3)*(('حجز الإجازات'!$E$5:$E$104)&gt;=CB$3)*('حجز الإجازات'!$G$5:$G$104="معتمد")*ROW('حجز الإجازات'!$B$5:$B$104))=0,IF(CB$3&lt;'الموظفون'!$D$4,"",IF(ISNUMBER(MATCH(CB$3,Holidays,0)),"عطلة",IF(MOD(CB$3-'الموظفون'!$D$4,CycleWork+CycleRest)&lt;CycleWork,INDEX('الإعدادات والقوائم'!$H$2:$H$4,MOD(INT(MOD(CB$3-'الموظفون'!$D$4,CycleWork+CycleRest)*3/CycleWork)+MATCH(StartShift,'الإعدادات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الإجازات'!$D$5:$D$104&lt;=CB$3)*(('حجز الإجازات'!$E$5:$E$104)&gt;=CB$3)*('حجز الإجازات'!$G$5:$G$104="معتمد")*ROW('حجز الإجازات'!$B$5:$B$104)))-5+1))</f>
        <v/>
      </c>
      <c r="CC6" s="62">
        <f>IF(SUMPRODUCT(('حجز الإجازات'!$B$5:$B$104='الموظفون'!$B$4)*('حجز الإجازات'!$D$5:$D$104&lt;=CC$3)*(('حجز الإجازات'!$E$5:$E$104)&gt;=CC$3)*('حجز الإجازات'!$G$5:$G$104="معتمد")*ROW('حجز الإجازات'!$B$5:$B$104))=0,IF(CC$3&lt;'الموظفون'!$D$4,"",IF(ISNUMBER(MATCH(CC$3,Holidays,0)),"عطلة",IF(MOD(CC$3-'الموظفون'!$D$4,CycleWork+CycleRest)&lt;CycleWork,INDEX('الإعدادات والقوائم'!$H$2:$H$4,MOD(INT(MOD(CC$3-'الموظفون'!$D$4,CycleWork+CycleRest)*3/CycleWork)+MATCH(StartShift,'الإعدادات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الإجازات'!$D$5:$D$104&lt;=CC$3)*(('حجز الإجازات'!$E$5:$E$104)&gt;=CC$3)*('حجز الإجازات'!$G$5:$G$104="معتمد")*ROW('حجز الإجازات'!$B$5:$B$104)))-5+1))</f>
        <v/>
      </c>
      <c r="CD6" s="62">
        <f>IF(SUMPRODUCT(('حجز الإجازات'!$B$5:$B$104='الموظفون'!$B$4)*('حجز الإجازات'!$D$5:$D$104&lt;=CD$3)*(('حجز الإجازات'!$E$5:$E$104)&gt;=CD$3)*('حجز الإجازات'!$G$5:$G$104="معتمد")*ROW('حجز الإجازات'!$B$5:$B$104))=0,IF(CD$3&lt;'الموظفون'!$D$4,"",IF(ISNUMBER(MATCH(CD$3,Holidays,0)),"عطلة",IF(MOD(CD$3-'الموظفون'!$D$4,CycleWork+CycleRest)&lt;CycleWork,INDEX('الإعدادات والقوائم'!$H$2:$H$4,MOD(INT(MOD(CD$3-'الموظفون'!$D$4,CycleWork+CycleRest)*3/CycleWork)+MATCH(StartShift,'الإعدادات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الإجازات'!$D$5:$D$104&lt;=CD$3)*(('حجز الإجازات'!$E$5:$E$104)&gt;=CD$3)*('حجز الإجازات'!$G$5:$G$104="معتمد")*ROW('حجز الإجازات'!$B$5:$B$104)))-5+1))</f>
        <v/>
      </c>
      <c r="CE6" s="62">
        <f>IF(SUMPRODUCT(('حجز الإجازات'!$B$5:$B$104='الموظفون'!$B$4)*('حجز الإجازات'!$D$5:$D$104&lt;=CE$3)*(('حجز الإجازات'!$E$5:$E$104)&gt;=CE$3)*('حجز الإجازات'!$G$5:$G$104="معتمد")*ROW('حجز الإجازات'!$B$5:$B$104))=0,IF(CE$3&lt;'الموظفون'!$D$4,"",IF(ISNUMBER(MATCH(CE$3,Holidays,0)),"عطلة",IF(MOD(CE$3-'الموظفون'!$D$4,CycleWork+CycleRest)&lt;CycleWork,INDEX('الإعدادات والقوائم'!$H$2:$H$4,MOD(INT(MOD(CE$3-'الموظفون'!$D$4,CycleWork+CycleRest)*3/CycleWork)+MATCH(StartShift,'الإعدادات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الإجازات'!$D$5:$D$104&lt;=CE$3)*(('حجز الإجازات'!$E$5:$E$104)&gt;=CE$3)*('حجز الإجازات'!$G$5:$G$104="معتمد")*ROW('حجز الإجازات'!$B$5:$B$104)))-5+1))</f>
        <v/>
      </c>
      <c r="CF6" s="62">
        <f>IF(SUMPRODUCT(('حجز الإجازات'!$B$5:$B$104='الموظفون'!$B$4)*('حجز الإجازات'!$D$5:$D$104&lt;=CF$3)*(('حجز الإجازات'!$E$5:$E$104)&gt;=CF$3)*('حجز الإجازات'!$G$5:$G$104="معتمد")*ROW('حجز الإجازات'!$B$5:$B$104))=0,IF(CF$3&lt;'الموظفون'!$D$4,"",IF(ISNUMBER(MATCH(CF$3,Holidays,0)),"عطلة",IF(MOD(CF$3-'الموظفون'!$D$4,CycleWork+CycleRest)&lt;CycleWork,INDEX('الإعدادات والقوائم'!$H$2:$H$4,MOD(INT(MOD(CF$3-'الموظفون'!$D$4,CycleWork+CycleRest)*3/CycleWork)+MATCH(StartShift,'الإعدادات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الإجازات'!$D$5:$D$104&lt;=CF$3)*(('حجز الإجازات'!$E$5:$E$104)&gt;=CF$3)*('حجز الإجازات'!$G$5:$G$104="معتمد")*ROW('حجز الإجازات'!$B$5:$B$104)))-5+1))</f>
        <v/>
      </c>
      <c r="CG6" s="62">
        <f>IF(SUMPRODUCT(('حجز الإجازات'!$B$5:$B$104='الموظفون'!$B$4)*('حجز الإجازات'!$D$5:$D$104&lt;=CG$3)*(('حجز الإجازات'!$E$5:$E$104)&gt;=CG$3)*('حجز الإجازات'!$G$5:$G$104="معتمد")*ROW('حجز الإجازات'!$B$5:$B$104))=0,IF(CG$3&lt;'الموظفون'!$D$4,"",IF(ISNUMBER(MATCH(CG$3,Holidays,0)),"عطلة",IF(MOD(CG$3-'الموظفون'!$D$4,CycleWork+CycleRest)&lt;CycleWork,INDEX('الإعدادات والقوائم'!$H$2:$H$4,MOD(INT(MOD(CG$3-'الموظفون'!$D$4,CycleWork+CycleRest)*3/CycleWork)+MATCH(StartShift,'الإعدادات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الإجازات'!$D$5:$D$104&lt;=CG$3)*(('حجز الإجازات'!$E$5:$E$104)&gt;=CG$3)*('حجز الإجازات'!$G$5:$G$104="معتمد")*ROW('حجز الإجازات'!$B$5:$B$104)))-5+1))</f>
        <v/>
      </c>
      <c r="CH6" s="62">
        <f>IF(SUMPRODUCT(('حجز الإجازات'!$B$5:$B$104='الموظفون'!$B$4)*('حجز الإجازات'!$D$5:$D$104&lt;=CH$3)*(('حجز الإجازات'!$E$5:$E$104)&gt;=CH$3)*('حجز الإجازات'!$G$5:$G$104="معتمد")*ROW('حجز الإجازات'!$B$5:$B$104))=0,IF(CH$3&lt;'الموظفون'!$D$4,"",IF(ISNUMBER(MATCH(CH$3,Holidays,0)),"عطلة",IF(MOD(CH$3-'الموظفون'!$D$4,CycleWork+CycleRest)&lt;CycleWork,INDEX('الإعدادات والقوائم'!$H$2:$H$4,MOD(INT(MOD(CH$3-'الموظفون'!$D$4,CycleWork+CycleRest)*3/CycleWork)+MATCH(StartShift,'الإعدادات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الإجازات'!$D$5:$D$104&lt;=CH$3)*(('حجز الإجازات'!$E$5:$E$104)&gt;=CH$3)*('حجز الإجازات'!$G$5:$G$104="معتمد")*ROW('حجز الإجازات'!$B$5:$B$104)))-5+1))</f>
        <v/>
      </c>
      <c r="CI6" s="62">
        <f>IF(SUMPRODUCT(('حجز الإجازات'!$B$5:$B$104='الموظفون'!$B$4)*('حجز الإجازات'!$D$5:$D$104&lt;=CI$3)*(('حجز الإجازات'!$E$5:$E$104)&gt;=CI$3)*('حجز الإجازات'!$G$5:$G$104="معتمد")*ROW('حجز الإجازات'!$B$5:$B$104))=0,IF(CI$3&lt;'الموظفون'!$D$4,"",IF(ISNUMBER(MATCH(CI$3,Holidays,0)),"عطلة",IF(MOD(CI$3-'الموظفون'!$D$4,CycleWork+CycleRest)&lt;CycleWork,INDEX('الإعدادات والقوائم'!$H$2:$H$4,MOD(INT(MOD(CI$3-'الموظفون'!$D$4,CycleWork+CycleRest)*3/CycleWork)+MATCH(StartShift,'الإعدادات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الإجازات'!$D$5:$D$104&lt;=CI$3)*(('حجز الإجازات'!$E$5:$E$104)&gt;=CI$3)*('حجز الإجازات'!$G$5:$G$104="معتمد")*ROW('حجز الإجازات'!$B$5:$B$104)))-5+1))</f>
        <v/>
      </c>
      <c r="CJ6" s="62">
        <f>IF(SUMPRODUCT(('حجز الإجازات'!$B$5:$B$104='الموظفون'!$B$4)*('حجز الإجازات'!$D$5:$D$104&lt;=CJ$3)*(('حجز الإجازات'!$E$5:$E$104)&gt;=CJ$3)*('حجز الإجازات'!$G$5:$G$104="معتمد")*ROW('حجز الإجازات'!$B$5:$B$104))=0,IF(CJ$3&lt;'الموظفون'!$D$4,"",IF(ISNUMBER(MATCH(CJ$3,Holidays,0)),"عطلة",IF(MOD(CJ$3-'الموظفون'!$D$4,CycleWork+CycleRest)&lt;CycleWork,INDEX('الإعدادات والقوائم'!$H$2:$H$4,MOD(INT(MOD(CJ$3-'الموظفون'!$D$4,CycleWork+CycleRest)*3/CycleWork)+MATCH(StartShift,'الإعدادات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الإجازات'!$D$5:$D$104&lt;=CJ$3)*(('حجز الإجازات'!$E$5:$E$104)&gt;=CJ$3)*('حجز الإجازات'!$G$5:$G$104="معتمد")*ROW('حجز الإجازات'!$B$5:$B$104)))-5+1))</f>
        <v/>
      </c>
      <c r="CK6" s="62">
        <f>IF(SUMPRODUCT(('حجز الإجازات'!$B$5:$B$104='الموظفون'!$B$4)*('حجز الإجازات'!$D$5:$D$104&lt;=CK$3)*(('حجز الإجازات'!$E$5:$E$104)&gt;=CK$3)*('حجز الإجازات'!$G$5:$G$104="معتمد")*ROW('حجز الإجازات'!$B$5:$B$104))=0,IF(CK$3&lt;'الموظفون'!$D$4,"",IF(ISNUMBER(MATCH(CK$3,Holidays,0)),"عطلة",IF(MOD(CK$3-'الموظفون'!$D$4,CycleWork+CycleRest)&lt;CycleWork,INDEX('الإعدادات والقوائم'!$H$2:$H$4,MOD(INT(MOD(CK$3-'الموظفون'!$D$4,CycleWork+CycleRest)*3/CycleWork)+MATCH(StartShift,'الإعدادات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الإجازات'!$D$5:$D$104&lt;=CK$3)*(('حجز الإجازات'!$E$5:$E$104)&gt;=CK$3)*('حجز الإجازات'!$G$5:$G$104="معتمد")*ROW('حجز الإجازات'!$B$5:$B$104)))-5+1))</f>
        <v/>
      </c>
      <c r="CL6" s="62">
        <f>IF(SUMPRODUCT(('حجز الإجازات'!$B$5:$B$104='الموظفون'!$B$4)*('حجز الإجازات'!$D$5:$D$104&lt;=CL$3)*(('حجز الإجازات'!$E$5:$E$104)&gt;=CL$3)*('حجز الإجازات'!$G$5:$G$104="معتمد")*ROW('حجز الإجازات'!$B$5:$B$104))=0,IF(CL$3&lt;'الموظفون'!$D$4,"",IF(ISNUMBER(MATCH(CL$3,Holidays,0)),"عطلة",IF(MOD(CL$3-'الموظفون'!$D$4,CycleWork+CycleRest)&lt;CycleWork,INDEX('الإعدادات والقوائم'!$H$2:$H$4,MOD(INT(MOD(CL$3-'الموظفون'!$D$4,CycleWork+CycleRest)*3/CycleWork)+MATCH(StartShift,'الإعدادات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الإجازات'!$D$5:$D$104&lt;=CL$3)*(('حجز الإجازات'!$E$5:$E$104)&gt;=CL$3)*('حجز الإجازات'!$G$5:$G$104="معتمد")*ROW('حجز الإجازات'!$B$5:$B$104)))-5+1))</f>
        <v/>
      </c>
      <c r="CM6" s="62">
        <f>IF(SUMPRODUCT(('حجز الإجازات'!$B$5:$B$104='الموظفون'!$B$4)*('حجز الإجازات'!$D$5:$D$104&lt;=CM$3)*(('حجز الإجازات'!$E$5:$E$104)&gt;=CM$3)*('حجز الإجازات'!$G$5:$G$104="معتمد")*ROW('حجز الإجازات'!$B$5:$B$104))=0,IF(CM$3&lt;'الموظفون'!$D$4,"",IF(ISNUMBER(MATCH(CM$3,Holidays,0)),"عطلة",IF(MOD(CM$3-'الموظفون'!$D$4,CycleWork+CycleRest)&lt;CycleWork,INDEX('الإعدادات والقوائم'!$H$2:$H$4,MOD(INT(MOD(CM$3-'الموظفون'!$D$4,CycleWork+CycleRest)*3/CycleWork)+MATCH(StartShift,'الإعدادات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الإجازات'!$D$5:$D$104&lt;=CM$3)*(('حجز الإجازات'!$E$5:$E$104)&gt;=CM$3)*('حجز الإجازات'!$G$5:$G$104="معتمد")*ROW('حجز الإجازات'!$B$5:$B$104)))-5+1))</f>
        <v/>
      </c>
      <c r="CN6" s="62">
        <f>IF(SUMPRODUCT(('حجز الإجازات'!$B$5:$B$104='الموظفون'!$B$4)*('حجز الإجازات'!$D$5:$D$104&lt;=CN$3)*(('حجز الإجازات'!$E$5:$E$104)&gt;=CN$3)*('حجز الإجازات'!$G$5:$G$104="معتمد")*ROW('حجز الإجازات'!$B$5:$B$104))=0,IF(CN$3&lt;'الموظفون'!$D$4,"",IF(ISNUMBER(MATCH(CN$3,Holidays,0)),"عطلة",IF(MOD(CN$3-'الموظفون'!$D$4,CycleWork+CycleRest)&lt;CycleWork,INDEX('الإعدادات والقوائم'!$H$2:$H$4,MOD(INT(MOD(CN$3-'الموظفون'!$D$4,CycleWork+CycleRest)*3/CycleWork)+MATCH(StartShift,'الإعدادات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الإجازات'!$D$5:$D$104&lt;=CN$3)*(('حجز الإجازات'!$E$5:$E$104)&gt;=CN$3)*('حجز الإجازات'!$G$5:$G$104="معتمد")*ROW('حجز الإجازات'!$B$5:$B$104)))-5+1))</f>
        <v/>
      </c>
      <c r="CO6" s="62">
        <f>IF(SUMPRODUCT(('حجز الإجازات'!$B$5:$B$104='الموظفون'!$B$4)*('حجز الإجازات'!$D$5:$D$104&lt;=CO$3)*(('حجز الإجازات'!$E$5:$E$104)&gt;=CO$3)*('حجز الإجازات'!$G$5:$G$104="معتمد")*ROW('حجز الإجازات'!$B$5:$B$104))=0,IF(CO$3&lt;'الموظفون'!$D$4,"",IF(ISNUMBER(MATCH(CO$3,Holidays,0)),"عطلة",IF(MOD(CO$3-'الموظفون'!$D$4,CycleWork+CycleRest)&lt;CycleWork,INDEX('الإعدادات والقوائم'!$H$2:$H$4,MOD(INT(MOD(CO$3-'الموظفون'!$D$4,CycleWork+CycleRest)*3/CycleWork)+MATCH(StartShift,'الإعدادات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الإجازات'!$D$5:$D$104&lt;=CO$3)*(('حجز الإجازات'!$E$5:$E$104)&gt;=CO$3)*('حجز الإجازات'!$G$5:$G$104="معتمد")*ROW('حجز الإجازات'!$B$5:$B$104)))-5+1))</f>
        <v/>
      </c>
      <c r="CP6" s="62">
        <f>IF(SUMPRODUCT(('حجز الإجازات'!$B$5:$B$104='الموظفون'!$B$4)*('حجز الإجازات'!$D$5:$D$104&lt;=CP$3)*(('حجز الإجازات'!$E$5:$E$104)&gt;=CP$3)*('حجز الإجازات'!$G$5:$G$104="معتمد")*ROW('حجز الإجازات'!$B$5:$B$104))=0,IF(CP$3&lt;'الموظفون'!$D$4,"",IF(ISNUMBER(MATCH(CP$3,Holidays,0)),"عطلة",IF(MOD(CP$3-'الموظفون'!$D$4,CycleWork+CycleRest)&lt;CycleWork,INDEX('الإعدادات والقوائم'!$H$2:$H$4,MOD(INT(MOD(CP$3-'الموظفون'!$D$4,CycleWork+CycleRest)*3/CycleWork)+MATCH(StartShift,'الإعدادات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الإجازات'!$D$5:$D$104&lt;=CP$3)*(('حجز الإجازات'!$E$5:$E$104)&gt;=CP$3)*('حجز الإجازات'!$G$5:$G$104="معتمد")*ROW('حجز الإجازات'!$B$5:$B$104)))-5+1))</f>
        <v/>
      </c>
      <c r="CQ6" s="62">
        <f>IF(SUMPRODUCT(('حجز الإجازات'!$B$5:$B$104='الموظفون'!$B$4)*('حجز الإجازات'!$D$5:$D$104&lt;=CQ$3)*(('حجز الإجازات'!$E$5:$E$104)&gt;=CQ$3)*('حجز الإجازات'!$G$5:$G$104="معتمد")*ROW('حجز الإجازات'!$B$5:$B$104))=0,IF(CQ$3&lt;'الموظفون'!$D$4,"",IF(ISNUMBER(MATCH(CQ$3,Holidays,0)),"عطلة",IF(MOD(CQ$3-'الموظفون'!$D$4,CycleWork+CycleRest)&lt;CycleWork,INDEX('الإعدادات والقوائم'!$H$2:$H$4,MOD(INT(MOD(CQ$3-'الموظفون'!$D$4,CycleWork+CycleRest)*3/CycleWork)+MATCH(StartShift,'الإعدادات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الإجازات'!$D$5:$D$104&lt;=CQ$3)*(('حجز الإجازات'!$E$5:$E$104)&gt;=CQ$3)*('حجز الإجازات'!$G$5:$G$104="معتمد")*ROW('حجز الإجازات'!$B$5:$B$104)))-5+1))</f>
        <v/>
      </c>
      <c r="CR6" s="62">
        <f>IF(SUMPRODUCT(('حجز الإجازات'!$B$5:$B$104='الموظفون'!$B$4)*('حجز الإجازات'!$D$5:$D$104&lt;=CR$3)*(('حجز الإجازات'!$E$5:$E$104)&gt;=CR$3)*('حجز الإجازات'!$G$5:$G$104="معتمد")*ROW('حجز الإجازات'!$B$5:$B$104))=0,IF(CR$3&lt;'الموظفون'!$D$4,"",IF(ISNUMBER(MATCH(CR$3,Holidays,0)),"عطلة",IF(MOD(CR$3-'الموظفون'!$D$4,CycleWork+CycleRest)&lt;CycleWork,INDEX('الإعدادات والقوائم'!$H$2:$H$4,MOD(INT(MOD(CR$3-'الموظفون'!$D$4,CycleWork+CycleRest)*3/CycleWork)+MATCH(StartShift,'الإعدادات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الإجازات'!$D$5:$D$104&lt;=CR$3)*(('حجز الإجازات'!$E$5:$E$104)&gt;=CR$3)*('حجز الإجازات'!$G$5:$G$104="معتمد")*ROW('حجز الإجازات'!$B$5:$B$104)))-5+1))</f>
        <v/>
      </c>
      <c r="CS6" s="62">
        <f>IF(SUMPRODUCT(('حجز الإجازات'!$B$5:$B$104='الموظفون'!$B$4)*('حجز الإجازات'!$D$5:$D$104&lt;=CS$3)*(('حجز الإجازات'!$E$5:$E$104)&gt;=CS$3)*('حجز الإجازات'!$G$5:$G$104="معتمد")*ROW('حجز الإجازات'!$B$5:$B$104))=0,IF(CS$3&lt;'الموظفون'!$D$4,"",IF(ISNUMBER(MATCH(CS$3,Holidays,0)),"عطلة",IF(MOD(CS$3-'الموظفون'!$D$4,CycleWork+CycleRest)&lt;CycleWork,INDEX('الإعدادات والقوائم'!$H$2:$H$4,MOD(INT(MOD(CS$3-'الموظفون'!$D$4,CycleWork+CycleRest)*3/CycleWork)+MATCH(StartShift,'الإعدادات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الإجازات'!$D$5:$D$104&lt;=CS$3)*(('حجز الإجازات'!$E$5:$E$104)&gt;=CS$3)*('حجز الإجازات'!$G$5:$G$104="معتمد")*ROW('حجز الإجازات'!$B$5:$B$104)))-5+1))</f>
        <v/>
      </c>
      <c r="CT6" s="62">
        <f>IF(SUMPRODUCT(('حجز الإجازات'!$B$5:$B$104='الموظفون'!$B$4)*('حجز الإجازات'!$D$5:$D$104&lt;=CT$3)*(('حجز الإجازات'!$E$5:$E$104)&gt;=CT$3)*('حجز الإجازات'!$G$5:$G$104="معتمد")*ROW('حجز الإجازات'!$B$5:$B$104))=0,IF(CT$3&lt;'الموظفون'!$D$4,"",IF(ISNUMBER(MATCH(CT$3,Holidays,0)),"عطلة",IF(MOD(CT$3-'الموظفون'!$D$4,CycleWork+CycleRest)&lt;CycleWork,INDEX('الإعدادات والقوائم'!$H$2:$H$4,MOD(INT(MOD(CT$3-'الموظفون'!$D$4,CycleWork+CycleRest)*3/CycleWork)+MATCH(StartShift,'الإعدادات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الإجازات'!$D$5:$D$104&lt;=CT$3)*(('حجز الإجازات'!$E$5:$E$104)&gt;=CT$3)*('حجز الإجازات'!$G$5:$G$104="معتمد")*ROW('حجز الإجازات'!$B$5:$B$104)))-5+1))</f>
        <v/>
      </c>
      <c r="CU6" s="62">
        <f>IF(SUMPRODUCT(('حجز الإجازات'!$B$5:$B$104='الموظفون'!$B$4)*('حجز الإجازات'!$D$5:$D$104&lt;=CU$3)*(('حجز الإجازات'!$E$5:$E$104)&gt;=CU$3)*('حجز الإجازات'!$G$5:$G$104="معتمد")*ROW('حجز الإجازات'!$B$5:$B$104))=0,IF(CU$3&lt;'الموظفون'!$D$4,"",IF(ISNUMBER(MATCH(CU$3,Holidays,0)),"عطلة",IF(MOD(CU$3-'الموظفون'!$D$4,CycleWork+CycleRest)&lt;CycleWork,INDEX('الإعدادات والقوائم'!$H$2:$H$4,MOD(INT(MOD(CU$3-'الموظفون'!$D$4,CycleWork+CycleRest)*3/CycleWork)+MATCH(StartShift,'الإعدادات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الإجازات'!$D$5:$D$104&lt;=CU$3)*(('حجز الإجازات'!$E$5:$E$104)&gt;=CU$3)*('حجز الإجازات'!$G$5:$G$104="معتمد")*ROW('حجز الإجازات'!$B$5:$B$104)))-5+1))</f>
        <v/>
      </c>
      <c r="CV6" s="62">
        <f>IF(SUMPRODUCT(('حجز الإجازات'!$B$5:$B$104='الموظفون'!$B$4)*('حجز الإجازات'!$D$5:$D$104&lt;=CV$3)*(('حجز الإجازات'!$E$5:$E$104)&gt;=CV$3)*('حجز الإجازات'!$G$5:$G$104="معتمد")*ROW('حجز الإجازات'!$B$5:$B$104))=0,IF(CV$3&lt;'الموظفون'!$D$4,"",IF(ISNUMBER(MATCH(CV$3,Holidays,0)),"عطلة",IF(MOD(CV$3-'الموظفون'!$D$4,CycleWork+CycleRest)&lt;CycleWork,INDEX('الإعدادات والقوائم'!$H$2:$H$4,MOD(INT(MOD(CV$3-'الموظفون'!$D$4,CycleWork+CycleRest)*3/CycleWork)+MATCH(StartShift,'الإعدادات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الإجازات'!$D$5:$D$104&lt;=CV$3)*(('حجز الإجازات'!$E$5:$E$104)&gt;=CV$3)*('حجز الإجازات'!$G$5:$G$104="معتمد")*ROW('حجز الإجازات'!$B$5:$B$104)))-5+1))</f>
        <v/>
      </c>
      <c r="CW6" s="62">
        <f>IF(SUMPRODUCT(('حجز الإجازات'!$B$5:$B$104='الموظفون'!$B$4)*('حجز الإجازات'!$D$5:$D$104&lt;=CW$3)*(('حجز الإجازات'!$E$5:$E$104)&gt;=CW$3)*('حجز الإجازات'!$G$5:$G$104="معتمد")*ROW('حجز الإجازات'!$B$5:$B$104))=0,IF(CW$3&lt;'الموظفون'!$D$4,"",IF(ISNUMBER(MATCH(CW$3,Holidays,0)),"عطلة",IF(MOD(CW$3-'الموظفون'!$D$4,CycleWork+CycleRest)&lt;CycleWork,INDEX('الإعدادات والقوائم'!$H$2:$H$4,MOD(INT(MOD(CW$3-'الموظفون'!$D$4,CycleWork+CycleRest)*3/CycleWork)+MATCH(StartShift,'الإعدادات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الإجازات'!$D$5:$D$104&lt;=CW$3)*(('حجز الإجازات'!$E$5:$E$104)&gt;=CW$3)*('حجز الإجازات'!$G$5:$G$104="معتمد")*ROW('حجز الإجازات'!$B$5:$B$104)))-5+1))</f>
        <v/>
      </c>
      <c r="CX6" s="62">
        <f>IF(SUMPRODUCT(('حجز الإجازات'!$B$5:$B$104='الموظفون'!$B$4)*('حجز الإجازات'!$D$5:$D$104&lt;=CX$3)*(('حجز الإجازات'!$E$5:$E$104)&gt;=CX$3)*('حجز الإجازات'!$G$5:$G$104="معتمد")*ROW('حجز الإجازات'!$B$5:$B$104))=0,IF(CX$3&lt;'الموظفون'!$D$4,"",IF(ISNUMBER(MATCH(CX$3,Holidays,0)),"عطلة",IF(MOD(CX$3-'الموظفون'!$D$4,CycleWork+CycleRest)&lt;CycleWork,INDEX('الإعدادات والقوائم'!$H$2:$H$4,MOD(INT(MOD(CX$3-'الموظفون'!$D$4,CycleWork+CycleRest)*3/CycleWork)+MATCH(StartShift,'الإعدادات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الإجازات'!$D$5:$D$104&lt;=CX$3)*(('حجز الإجازات'!$E$5:$E$104)&gt;=CX$3)*('حجز الإجازات'!$G$5:$G$104="معتمد")*ROW('حجز الإجازات'!$B$5:$B$104)))-5+1))</f>
        <v/>
      </c>
      <c r="CY6" s="62">
        <f>IF(SUMPRODUCT(('حجز الإجازات'!$B$5:$B$104='الموظفون'!$B$4)*('حجز الإجازات'!$D$5:$D$104&lt;=CY$3)*(('حجز الإجازات'!$E$5:$E$104)&gt;=CY$3)*('حجز الإجازات'!$G$5:$G$104="معتمد")*ROW('حجز الإجازات'!$B$5:$B$104))=0,IF(CY$3&lt;'الموظفون'!$D$4,"",IF(ISNUMBER(MATCH(CY$3,Holidays,0)),"عطلة",IF(MOD(CY$3-'الموظفون'!$D$4,CycleWork+CycleRest)&lt;CycleWork,INDEX('الإعدادات والقوائم'!$H$2:$H$4,MOD(INT(MOD(CY$3-'الموظفون'!$D$4,CycleWork+CycleRest)*3/CycleWork)+MATCH(StartShift,'الإعدادات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الإجازات'!$D$5:$D$104&lt;=CY$3)*(('حجز الإجازات'!$E$5:$E$104)&gt;=CY$3)*('حجز الإجازات'!$G$5:$G$104="معتمد")*ROW('حجز الإجازات'!$B$5:$B$104)))-5+1))</f>
        <v/>
      </c>
      <c r="CZ6" s="62">
        <f>IF(SUMPRODUCT(('حجز الإجازات'!$B$5:$B$104='الموظفون'!$B$4)*('حجز الإجازات'!$D$5:$D$104&lt;=CZ$3)*(('حجز الإجازات'!$E$5:$E$104)&gt;=CZ$3)*('حجز الإجازات'!$G$5:$G$104="معتمد")*ROW('حجز الإجازات'!$B$5:$B$104))=0,IF(CZ$3&lt;'الموظفون'!$D$4,"",IF(ISNUMBER(MATCH(CZ$3,Holidays,0)),"عطلة",IF(MOD(CZ$3-'الموظفون'!$D$4,CycleWork+CycleRest)&lt;CycleWork,INDEX('الإعدادات والقوائم'!$H$2:$H$4,MOD(INT(MOD(CZ$3-'الموظفون'!$D$4,CycleWork+CycleRest)*3/CycleWork)+MATCH(StartShift,'الإعدادات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الإجازات'!$D$5:$D$104&lt;=CZ$3)*(('حجز الإجازات'!$E$5:$E$104)&gt;=CZ$3)*('حجز الإجازات'!$G$5:$G$104="معتمد")*ROW('حجز الإجازات'!$B$5:$B$104)))-5+1))</f>
        <v/>
      </c>
      <c r="DA6" s="62">
        <f>IF(SUMPRODUCT(('حجز الإجازات'!$B$5:$B$104='الموظفون'!$B$4)*('حجز الإجازات'!$D$5:$D$104&lt;=DA$3)*(('حجز الإجازات'!$E$5:$E$104)&gt;=DA$3)*('حجز الإجازات'!$G$5:$G$104="معتمد")*ROW('حجز الإجازات'!$B$5:$B$104))=0,IF(DA$3&lt;'الموظفون'!$D$4,"",IF(ISNUMBER(MATCH(DA$3,Holidays,0)),"عطلة",IF(MOD(DA$3-'الموظفون'!$D$4,CycleWork+CycleRest)&lt;CycleWork,INDEX('الإعدادات والقوائم'!$H$2:$H$4,MOD(INT(MOD(DA$3-'الموظفون'!$D$4,CycleWork+CycleRest)*3/CycleWork)+MATCH(StartShift,'الإعدادات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الإجازات'!$D$5:$D$104&lt;=DA$3)*(('حجز الإجازات'!$E$5:$E$104)&gt;=DA$3)*('حجز الإجازات'!$G$5:$G$104="معتمد")*ROW('حجز الإجازات'!$B$5:$B$104)))-5+1))</f>
        <v/>
      </c>
      <c r="DB6" s="62">
        <f>IF(SUMPRODUCT(('حجز الإجازات'!$B$5:$B$104='الموظفون'!$B$4)*('حجز الإجازات'!$D$5:$D$104&lt;=DB$3)*(('حجز الإجازات'!$E$5:$E$104)&gt;=DB$3)*('حجز الإجازات'!$G$5:$G$104="معتمد")*ROW('حجز الإجازات'!$B$5:$B$104))=0,IF(DB$3&lt;'الموظفون'!$D$4,"",IF(ISNUMBER(MATCH(DB$3,Holidays,0)),"عطلة",IF(MOD(DB$3-'الموظفون'!$D$4,CycleWork+CycleRest)&lt;CycleWork,INDEX('الإعدادات والقوائم'!$H$2:$H$4,MOD(INT(MOD(DB$3-'الموظفون'!$D$4,CycleWork+CycleRest)*3/CycleWork)+MATCH(StartShift,'الإعدادات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الإجازات'!$D$5:$D$104&lt;=DB$3)*(('حجز الإجازات'!$E$5:$E$104)&gt;=DB$3)*('حجز الإجازات'!$G$5:$G$104="معتمد")*ROW('حجز الإجازات'!$B$5:$B$104)))-5+1))</f>
        <v/>
      </c>
      <c r="DC6" s="62">
        <f>IF(SUMPRODUCT(('حجز الإجازات'!$B$5:$B$104='الموظفون'!$B$4)*('حجز الإجازات'!$D$5:$D$104&lt;=DC$3)*(('حجز الإجازات'!$E$5:$E$104)&gt;=DC$3)*('حجز الإجازات'!$G$5:$G$104="معتمد")*ROW('حجز الإجازات'!$B$5:$B$104))=0,IF(DC$3&lt;'الموظفون'!$D$4,"",IF(ISNUMBER(MATCH(DC$3,Holidays,0)),"عطلة",IF(MOD(DC$3-'الموظفون'!$D$4,CycleWork+CycleRest)&lt;CycleWork,INDEX('الإعدادات والقوائم'!$H$2:$H$4,MOD(INT(MOD(DC$3-'الموظفون'!$D$4,CycleWork+CycleRest)*3/CycleWork)+MATCH(StartShift,'الإعدادات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الإجازات'!$D$5:$D$104&lt;=DC$3)*(('حجز الإجازات'!$E$5:$E$104)&gt;=DC$3)*('حجز الإجازات'!$G$5:$G$104="معتمد")*ROW('حجز الإجازات'!$B$5:$B$104)))-5+1))</f>
        <v/>
      </c>
      <c r="DD6" s="62">
        <f>IF(SUMPRODUCT(('حجز الإجازات'!$B$5:$B$104='الموظفون'!$B$4)*('حجز الإجازات'!$D$5:$D$104&lt;=DD$3)*(('حجز الإجازات'!$E$5:$E$104)&gt;=DD$3)*('حجز الإجازات'!$G$5:$G$104="معتمد")*ROW('حجز الإجازات'!$B$5:$B$104))=0,IF(DD$3&lt;'الموظفون'!$D$4,"",IF(ISNUMBER(MATCH(DD$3,Holidays,0)),"عطلة",IF(MOD(DD$3-'الموظفون'!$D$4,CycleWork+CycleRest)&lt;CycleWork,INDEX('الإعدادات والقوائم'!$H$2:$H$4,MOD(INT(MOD(DD$3-'الموظفون'!$D$4,CycleWork+CycleRest)*3/CycleWork)+MATCH(StartShift,'الإعدادات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الإجازات'!$D$5:$D$104&lt;=DD$3)*(('حجز الإجازات'!$E$5:$E$104)&gt;=DD$3)*('حجز الإجازات'!$G$5:$G$104="معتمد")*ROW('حجز الإجازات'!$B$5:$B$104)))-5+1))</f>
        <v/>
      </c>
      <c r="DE6" s="62">
        <f>IF(SUMPRODUCT(('حجز الإجازات'!$B$5:$B$104='الموظفون'!$B$4)*('حجز الإجازات'!$D$5:$D$104&lt;=DE$3)*(('حجز الإجازات'!$E$5:$E$104)&gt;=DE$3)*('حجز الإجازات'!$G$5:$G$104="معتمد")*ROW('حجز الإجازات'!$B$5:$B$104))=0,IF(DE$3&lt;'الموظفون'!$D$4,"",IF(ISNUMBER(MATCH(DE$3,Holidays,0)),"عطلة",IF(MOD(DE$3-'الموظفون'!$D$4,CycleWork+CycleRest)&lt;CycleWork,INDEX('الإعدادات والقوائم'!$H$2:$H$4,MOD(INT(MOD(DE$3-'الموظفون'!$D$4,CycleWork+CycleRest)*3/CycleWork)+MATCH(StartShift,'الإعدادات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الإجازات'!$D$5:$D$104&lt;=DE$3)*(('حجز الإجازات'!$E$5:$E$104)&gt;=DE$3)*('حجز الإجازات'!$G$5:$G$104="معتمد")*ROW('حجز الإجازات'!$B$5:$B$104)))-5+1))</f>
        <v/>
      </c>
      <c r="DF6" s="62">
        <f>IF(SUMPRODUCT(('حجز الإجازات'!$B$5:$B$104='الموظفون'!$B$4)*('حجز الإجازات'!$D$5:$D$104&lt;=DF$3)*(('حجز الإجازات'!$E$5:$E$104)&gt;=DF$3)*('حجز الإجازات'!$G$5:$G$104="معتمد")*ROW('حجز الإجازات'!$B$5:$B$104))=0,IF(DF$3&lt;'الموظفون'!$D$4,"",IF(ISNUMBER(MATCH(DF$3,Holidays,0)),"عطلة",IF(MOD(DF$3-'الموظفون'!$D$4,CycleWork+CycleRest)&lt;CycleWork,INDEX('الإعدادات والقوائم'!$H$2:$H$4,MOD(INT(MOD(DF$3-'الموظفون'!$D$4,CycleWork+CycleRest)*3/CycleWork)+MATCH(StartShift,'الإعدادات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الإجازات'!$D$5:$D$104&lt;=DF$3)*(('حجز الإجازات'!$E$5:$E$104)&gt;=DF$3)*('حجز الإجازات'!$G$5:$G$104="معتمد")*ROW('حجز الإجازات'!$B$5:$B$104)))-5+1))</f>
        <v/>
      </c>
      <c r="DG6" s="62">
        <f>IF(SUMPRODUCT(('حجز الإجازات'!$B$5:$B$104='الموظفون'!$B$4)*('حجز الإجازات'!$D$5:$D$104&lt;=DG$3)*(('حجز الإجازات'!$E$5:$E$104)&gt;=DG$3)*('حجز الإجازات'!$G$5:$G$104="معتمد")*ROW('حجز الإجازات'!$B$5:$B$104))=0,IF(DG$3&lt;'الموظفون'!$D$4,"",IF(ISNUMBER(MATCH(DG$3,Holidays,0)),"عطلة",IF(MOD(DG$3-'الموظفون'!$D$4,CycleWork+CycleRest)&lt;CycleWork,INDEX('الإعدادات والقوائم'!$H$2:$H$4,MOD(INT(MOD(DG$3-'الموظفون'!$D$4,CycleWork+CycleRest)*3/CycleWork)+MATCH(StartShift,'الإعدادات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الإجازات'!$D$5:$D$104&lt;=DG$3)*(('حجز الإجازات'!$E$5:$E$104)&gt;=DG$3)*('حجز الإجازات'!$G$5:$G$104="معتمد")*ROW('حجز الإجازات'!$B$5:$B$104)))-5+1))</f>
        <v/>
      </c>
      <c r="DH6" s="62">
        <f>IF(SUMPRODUCT(('حجز الإجازات'!$B$5:$B$104='الموظفون'!$B$4)*('حجز الإجازات'!$D$5:$D$104&lt;=DH$3)*(('حجز الإجازات'!$E$5:$E$104)&gt;=DH$3)*('حجز الإجازات'!$G$5:$G$104="معتمد")*ROW('حجز الإجازات'!$B$5:$B$104))=0,IF(DH$3&lt;'الموظفون'!$D$4,"",IF(ISNUMBER(MATCH(DH$3,Holidays,0)),"عطلة",IF(MOD(DH$3-'الموظفون'!$D$4,CycleWork+CycleRest)&lt;CycleWork,INDEX('الإعدادات والقوائم'!$H$2:$H$4,MOD(INT(MOD(DH$3-'الموظفون'!$D$4,CycleWork+CycleRest)*3/CycleWork)+MATCH(StartShift,'الإعدادات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الإجازات'!$D$5:$D$104&lt;=DH$3)*(('حجز الإجازات'!$E$5:$E$104)&gt;=DH$3)*('حجز الإجازات'!$G$5:$G$104="معتمد")*ROW('حجز الإجازات'!$B$5:$B$104)))-5+1))</f>
        <v/>
      </c>
      <c r="DI6" s="62">
        <f>IF(SUMPRODUCT(('حجز الإجازات'!$B$5:$B$104='الموظفون'!$B$4)*('حجز الإجازات'!$D$5:$D$104&lt;=DI$3)*(('حجز الإجازات'!$E$5:$E$104)&gt;=DI$3)*('حجز الإجازات'!$G$5:$G$104="معتمد")*ROW('حجز الإجازات'!$B$5:$B$104))=0,IF(DI$3&lt;'الموظفون'!$D$4,"",IF(ISNUMBER(MATCH(DI$3,Holidays,0)),"عطلة",IF(MOD(DI$3-'الموظفون'!$D$4,CycleWork+CycleRest)&lt;CycleWork,INDEX('الإعدادات والقوائم'!$H$2:$H$4,MOD(INT(MOD(DI$3-'الموظفون'!$D$4,CycleWork+CycleRest)*3/CycleWork)+MATCH(StartShift,'الإعدادات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الإجازات'!$D$5:$D$104&lt;=DI$3)*(('حجز الإجازات'!$E$5:$E$104)&gt;=DI$3)*('حجز الإجازات'!$G$5:$G$104="معتمد")*ROW('حجز الإجازات'!$B$5:$B$104)))-5+1))</f>
        <v/>
      </c>
      <c r="DJ6" s="62">
        <f>IF(SUMPRODUCT(('حجز الإجازات'!$B$5:$B$104='الموظفون'!$B$4)*('حجز الإجازات'!$D$5:$D$104&lt;=DJ$3)*(('حجز الإجازات'!$E$5:$E$104)&gt;=DJ$3)*('حجز الإجازات'!$G$5:$G$104="معتمد")*ROW('حجز الإجازات'!$B$5:$B$104))=0,IF(DJ$3&lt;'الموظفون'!$D$4,"",IF(ISNUMBER(MATCH(DJ$3,Holidays,0)),"عطلة",IF(MOD(DJ$3-'الموظفون'!$D$4,CycleWork+CycleRest)&lt;CycleWork,INDEX('الإعدادات والقوائم'!$H$2:$H$4,MOD(INT(MOD(DJ$3-'الموظفون'!$D$4,CycleWork+CycleRest)*3/CycleWork)+MATCH(StartShift,'الإعدادات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الإجازات'!$D$5:$D$104&lt;=DJ$3)*(('حجز الإجازات'!$E$5:$E$104)&gt;=DJ$3)*('حجز الإجازات'!$G$5:$G$104="معتمد")*ROW('حجز الإجازات'!$B$5:$B$104)))-5+1))</f>
        <v/>
      </c>
      <c r="DK6" s="62">
        <f>IF(SUMPRODUCT(('حجز الإجازات'!$B$5:$B$104='الموظفون'!$B$4)*('حجز الإجازات'!$D$5:$D$104&lt;=DK$3)*(('حجز الإجازات'!$E$5:$E$104)&gt;=DK$3)*('حجز الإجازات'!$G$5:$G$104="معتمد")*ROW('حجز الإجازات'!$B$5:$B$104))=0,IF(DK$3&lt;'الموظفون'!$D$4,"",IF(ISNUMBER(MATCH(DK$3,Holidays,0)),"عطلة",IF(MOD(DK$3-'الموظفون'!$D$4,CycleWork+CycleRest)&lt;CycleWork,INDEX('الإعدادات والقوائم'!$H$2:$H$4,MOD(INT(MOD(DK$3-'الموظفون'!$D$4,CycleWork+CycleRest)*3/CycleWork)+MATCH(StartShift,'الإعدادات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الإجازات'!$D$5:$D$104&lt;=DK$3)*(('حجز الإجازات'!$E$5:$E$104)&gt;=DK$3)*('حجز الإجازات'!$G$5:$G$104="معتمد")*ROW('حجز الإجازات'!$B$5:$B$104)))-5+1))</f>
        <v/>
      </c>
      <c r="DL6" s="62">
        <f>IF(SUMPRODUCT(('حجز الإجازات'!$B$5:$B$104='الموظفون'!$B$4)*('حجز الإجازات'!$D$5:$D$104&lt;=DL$3)*(('حجز الإجازات'!$E$5:$E$104)&gt;=DL$3)*('حجز الإجازات'!$G$5:$G$104="معتمد")*ROW('حجز الإجازات'!$B$5:$B$104))=0,IF(DL$3&lt;'الموظفون'!$D$4,"",IF(ISNUMBER(MATCH(DL$3,Holidays,0)),"عطلة",IF(MOD(DL$3-'الموظفون'!$D$4,CycleWork+CycleRest)&lt;CycleWork,INDEX('الإعدادات والقوائم'!$H$2:$H$4,MOD(INT(MOD(DL$3-'الموظفون'!$D$4,CycleWork+CycleRest)*3/CycleWork)+MATCH(StartShift,'الإعدادات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الإجازات'!$D$5:$D$104&lt;=DL$3)*(('حجز الإجازات'!$E$5:$E$104)&gt;=DL$3)*('حجز الإجازات'!$G$5:$G$104="معتمد")*ROW('حجز الإجازات'!$B$5:$B$104)))-5+1))</f>
        <v/>
      </c>
      <c r="DM6" s="62">
        <f>IF(SUMPRODUCT(('حجز الإجازات'!$B$5:$B$104='الموظفون'!$B$4)*('حجز الإجازات'!$D$5:$D$104&lt;=DM$3)*(('حجز الإجازات'!$E$5:$E$104)&gt;=DM$3)*('حجز الإجازات'!$G$5:$G$104="معتمد")*ROW('حجز الإجازات'!$B$5:$B$104))=0,IF(DM$3&lt;'الموظفون'!$D$4,"",IF(ISNUMBER(MATCH(DM$3,Holidays,0)),"عطلة",IF(MOD(DM$3-'الموظفون'!$D$4,CycleWork+CycleRest)&lt;CycleWork,INDEX('الإعدادات والقوائم'!$H$2:$H$4,MOD(INT(MOD(DM$3-'الموظفون'!$D$4,CycleWork+CycleRest)*3/CycleWork)+MATCH(StartShift,'الإعدادات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الإجازات'!$D$5:$D$104&lt;=DM$3)*(('حجز الإجازات'!$E$5:$E$104)&gt;=DM$3)*('حجز الإجازات'!$G$5:$G$104="معتمد")*ROW('حجز الإجازات'!$B$5:$B$104)))-5+1))</f>
        <v/>
      </c>
      <c r="DN6" s="62">
        <f>IF(SUMPRODUCT(('حجز الإجازات'!$B$5:$B$104='الموظفون'!$B$4)*('حجز الإجازات'!$D$5:$D$104&lt;=DN$3)*(('حجز الإجازات'!$E$5:$E$104)&gt;=DN$3)*('حجز الإجازات'!$G$5:$G$104="معتمد")*ROW('حجز الإجازات'!$B$5:$B$104))=0,IF(DN$3&lt;'الموظفون'!$D$4,"",IF(ISNUMBER(MATCH(DN$3,Holidays,0)),"عطلة",IF(MOD(DN$3-'الموظفون'!$D$4,CycleWork+CycleRest)&lt;CycleWork,INDEX('الإعدادات والقوائم'!$H$2:$H$4,MOD(INT(MOD(DN$3-'الموظفون'!$D$4,CycleWork+CycleRest)*3/CycleWork)+MATCH(StartShift,'الإعدادات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الإجازات'!$D$5:$D$104&lt;=DN$3)*(('حجز الإجازات'!$E$5:$E$104)&gt;=DN$3)*('حجز الإجازات'!$G$5:$G$104="معتمد")*ROW('حجز الإجازات'!$B$5:$B$104)))-5+1))</f>
        <v/>
      </c>
      <c r="DO6" s="62">
        <f>IF(SUMPRODUCT(('حجز الإجازات'!$B$5:$B$104='الموظفون'!$B$4)*('حجز الإجازات'!$D$5:$D$104&lt;=DO$3)*(('حجز الإجازات'!$E$5:$E$104)&gt;=DO$3)*('حجز الإجازات'!$G$5:$G$104="معتمد")*ROW('حجز الإجازات'!$B$5:$B$104))=0,IF(DO$3&lt;'الموظفون'!$D$4,"",IF(ISNUMBER(MATCH(DO$3,Holidays,0)),"عطلة",IF(MOD(DO$3-'الموظفون'!$D$4,CycleWork+CycleRest)&lt;CycleWork,INDEX('الإعدادات والقوائم'!$H$2:$H$4,MOD(INT(MOD(DO$3-'الموظفون'!$D$4,CycleWork+CycleRest)*3/CycleWork)+MATCH(StartShift,'الإعدادات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الإجازات'!$D$5:$D$104&lt;=DO$3)*(('حجز الإجازات'!$E$5:$E$104)&gt;=DO$3)*('حجز الإجازات'!$G$5:$G$104="معتمد")*ROW('حجز الإجازات'!$B$5:$B$104)))-5+1))</f>
        <v/>
      </c>
      <c r="DP6" s="62">
        <f>IF(SUMPRODUCT(('حجز الإجازات'!$B$5:$B$104='الموظفون'!$B$4)*('حجز الإجازات'!$D$5:$D$104&lt;=DP$3)*(('حجز الإجازات'!$E$5:$E$104)&gt;=DP$3)*('حجز الإجازات'!$G$5:$G$104="معتمد")*ROW('حجز الإجازات'!$B$5:$B$104))=0,IF(DP$3&lt;'الموظفون'!$D$4,"",IF(ISNUMBER(MATCH(DP$3,Holidays,0)),"عطلة",IF(MOD(DP$3-'الموظفون'!$D$4,CycleWork+CycleRest)&lt;CycleWork,INDEX('الإعدادات والقوائم'!$H$2:$H$4,MOD(INT(MOD(DP$3-'الموظفون'!$D$4,CycleWork+CycleRest)*3/CycleWork)+MATCH(StartShift,'الإعدادات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الإجازات'!$D$5:$D$104&lt;=DP$3)*(('حجز الإجازات'!$E$5:$E$104)&gt;=DP$3)*('حجز الإجازات'!$G$5:$G$104="معتمد")*ROW('حجز الإجازات'!$B$5:$B$104)))-5+1))</f>
        <v/>
      </c>
      <c r="DQ6" s="62">
        <f>IF(SUMPRODUCT(('حجز الإجازات'!$B$5:$B$104='الموظفون'!$B$4)*('حجز الإجازات'!$D$5:$D$104&lt;=DQ$3)*(('حجز الإجازات'!$E$5:$E$104)&gt;=DQ$3)*('حجز الإجازات'!$G$5:$G$104="معتمد")*ROW('حجز الإجازات'!$B$5:$B$104))=0,IF(DQ$3&lt;'الموظفون'!$D$4,"",IF(ISNUMBER(MATCH(DQ$3,Holidays,0)),"عطلة",IF(MOD(DQ$3-'الموظفون'!$D$4,CycleWork+CycleRest)&lt;CycleWork,INDEX('الإعدادات والقوائم'!$H$2:$H$4,MOD(INT(MOD(DQ$3-'الموظفون'!$D$4,CycleWork+CycleRest)*3/CycleWork)+MATCH(StartShift,'الإعدادات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الإجازات'!$D$5:$D$104&lt;=DQ$3)*(('حجز الإجازات'!$E$5:$E$104)&gt;=DQ$3)*('حجز الإجازات'!$G$5:$G$104="معتمد")*ROW('حجز الإجازات'!$B$5:$B$104)))-5+1))</f>
        <v/>
      </c>
      <c r="DR6" s="62">
        <f>IF(SUMPRODUCT(('حجز الإجازات'!$B$5:$B$104='الموظفون'!$B$4)*('حجز الإجازات'!$D$5:$D$104&lt;=DR$3)*(('حجز الإجازات'!$E$5:$E$104)&gt;=DR$3)*('حجز الإجازات'!$G$5:$G$104="معتمد")*ROW('حجز الإجازات'!$B$5:$B$104))=0,IF(DR$3&lt;'الموظفون'!$D$4,"",IF(ISNUMBER(MATCH(DR$3,Holidays,0)),"عطلة",IF(MOD(DR$3-'الموظفون'!$D$4,CycleWork+CycleRest)&lt;CycleWork,INDEX('الإعدادات والقوائم'!$H$2:$H$4,MOD(INT(MOD(DR$3-'الموظفون'!$D$4,CycleWork+CycleRest)*3/CycleWork)+MATCH(StartShift,'الإعدادات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الإجازات'!$D$5:$D$104&lt;=DR$3)*(('حجز الإجازات'!$E$5:$E$104)&gt;=DR$3)*('حجز الإجازات'!$G$5:$G$104="معتمد")*ROW('حجز الإجازات'!$B$5:$B$104)))-5+1))</f>
        <v/>
      </c>
      <c r="DS6" s="62">
        <f>IF(SUMPRODUCT(('حجز الإجازات'!$B$5:$B$104='الموظفون'!$B$4)*('حجز الإجازات'!$D$5:$D$104&lt;=DS$3)*(('حجز الإجازات'!$E$5:$E$104)&gt;=DS$3)*('حجز الإجازات'!$G$5:$G$104="معتمد")*ROW('حجز الإجازات'!$B$5:$B$104))=0,IF(DS$3&lt;'الموظفون'!$D$4,"",IF(ISNUMBER(MATCH(DS$3,Holidays,0)),"عطلة",IF(MOD(DS$3-'الموظفون'!$D$4,CycleWork+CycleRest)&lt;CycleWork,INDEX('الإعدادات والقوائم'!$H$2:$H$4,MOD(INT(MOD(DS$3-'الموظفون'!$D$4,CycleWork+CycleRest)*3/CycleWork)+MATCH(StartShift,'الإعدادات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الإجازات'!$D$5:$D$104&lt;=DS$3)*(('حجز الإجازات'!$E$5:$E$104)&gt;=DS$3)*('حجز الإجازات'!$G$5:$G$104="معتمد")*ROW('حجز الإجازات'!$B$5:$B$104)))-5+1))</f>
        <v/>
      </c>
      <c r="DT6" s="62">
        <f>IF(SUMPRODUCT(('حجز الإجازات'!$B$5:$B$104='الموظفون'!$B$4)*('حجز الإجازات'!$D$5:$D$104&lt;=DT$3)*(('حجز الإجازات'!$E$5:$E$104)&gt;=DT$3)*('حجز الإجازات'!$G$5:$G$104="معتمد")*ROW('حجز الإجازات'!$B$5:$B$104))=0,IF(DT$3&lt;'الموظفون'!$D$4,"",IF(ISNUMBER(MATCH(DT$3,Holidays,0)),"عطلة",IF(MOD(DT$3-'الموظفون'!$D$4,CycleWork+CycleRest)&lt;CycleWork,INDEX('الإعدادات والقوائم'!$H$2:$H$4,MOD(INT(MOD(DT$3-'الموظفون'!$D$4,CycleWork+CycleRest)*3/CycleWork)+MATCH(StartShift,'الإعدادات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الإجازات'!$D$5:$D$104&lt;=DT$3)*(('حجز الإجازات'!$E$5:$E$104)&gt;=DT$3)*('حجز الإجازات'!$G$5:$G$104="معتمد")*ROW('حجز الإجازات'!$B$5:$B$104)))-5+1))</f>
        <v/>
      </c>
      <c r="DU6" s="62">
        <f>IF(SUMPRODUCT(('حجز الإجازات'!$B$5:$B$104='الموظفون'!$B$4)*('حجز الإجازات'!$D$5:$D$104&lt;=DU$3)*(('حجز الإجازات'!$E$5:$E$104)&gt;=DU$3)*('حجز الإجازات'!$G$5:$G$104="معتمد")*ROW('حجز الإجازات'!$B$5:$B$104))=0,IF(DU$3&lt;'الموظفون'!$D$4,"",IF(ISNUMBER(MATCH(DU$3,Holidays,0)),"عطلة",IF(MOD(DU$3-'الموظفون'!$D$4,CycleWork+CycleRest)&lt;CycleWork,INDEX('الإعدادات والقوائم'!$H$2:$H$4,MOD(INT(MOD(DU$3-'الموظفون'!$D$4,CycleWork+CycleRest)*3/CycleWork)+MATCH(StartShift,'الإعدادات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الإجازات'!$D$5:$D$104&lt;=DU$3)*(('حجز الإجازات'!$E$5:$E$104)&gt;=DU$3)*('حجز الإجازات'!$G$5:$G$104="معتمد")*ROW('حجز الإجازات'!$B$5:$B$104)))-5+1))</f>
        <v/>
      </c>
      <c r="DV6" s="62">
        <f>IF(SUMPRODUCT(('حجز الإجازات'!$B$5:$B$104='الموظفون'!$B$4)*('حجز الإجازات'!$D$5:$D$104&lt;=DV$3)*(('حجز الإجازات'!$E$5:$E$104)&gt;=DV$3)*('حجز الإجازات'!$G$5:$G$104="معتمد")*ROW('حجز الإجازات'!$B$5:$B$104))=0,IF(DV$3&lt;'الموظفون'!$D$4,"",IF(ISNUMBER(MATCH(DV$3,Holidays,0)),"عطلة",IF(MOD(DV$3-'الموظفون'!$D$4,CycleWork+CycleRest)&lt;CycleWork,INDEX('الإعدادات والقوائم'!$H$2:$H$4,MOD(INT(MOD(DV$3-'الموظفون'!$D$4,CycleWork+CycleRest)*3/CycleWork)+MATCH(StartShift,'الإعدادات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الإجازات'!$D$5:$D$104&lt;=DV$3)*(('حجز الإجازات'!$E$5:$E$104)&gt;=DV$3)*('حجز الإجازات'!$G$5:$G$104="معتمد")*ROW('حجز الإجازات'!$B$5:$B$104)))-5+1))</f>
        <v/>
      </c>
      <c r="DW6" s="62">
        <f>IF(SUMPRODUCT(('حجز الإجازات'!$B$5:$B$104='الموظفون'!$B$4)*('حجز الإجازات'!$D$5:$D$104&lt;=DW$3)*(('حجز الإجازات'!$E$5:$E$104)&gt;=DW$3)*('حجز الإجازات'!$G$5:$G$104="معتمد")*ROW('حجز الإجازات'!$B$5:$B$104))=0,IF(DW$3&lt;'الموظفون'!$D$4,"",IF(ISNUMBER(MATCH(DW$3,Holidays,0)),"عطلة",IF(MOD(DW$3-'الموظفون'!$D$4,CycleWork+CycleRest)&lt;CycleWork,INDEX('الإعدادات والقوائم'!$H$2:$H$4,MOD(INT(MOD(DW$3-'الموظفون'!$D$4,CycleWork+CycleRest)*3/CycleWork)+MATCH(StartShift,'الإعدادات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الإجازات'!$D$5:$D$104&lt;=DW$3)*(('حجز الإجازات'!$E$5:$E$104)&gt;=DW$3)*('حجز الإجازات'!$G$5:$G$104="معتمد")*ROW('حجز الإجازات'!$B$5:$B$104)))-5+1))</f>
        <v/>
      </c>
      <c r="DX6" s="62">
        <f>IF(SUMPRODUCT(('حجز الإجازات'!$B$5:$B$104='الموظفون'!$B$4)*('حجز الإجازات'!$D$5:$D$104&lt;=DX$3)*(('حجز الإجازات'!$E$5:$E$104)&gt;=DX$3)*('حجز الإجازات'!$G$5:$G$104="معتمد")*ROW('حجز الإجازات'!$B$5:$B$104))=0,IF(DX$3&lt;'الموظفون'!$D$4,"",IF(ISNUMBER(MATCH(DX$3,Holidays,0)),"عطلة",IF(MOD(DX$3-'الموظفون'!$D$4,CycleWork+CycleRest)&lt;CycleWork,INDEX('الإعدادات والقوائم'!$H$2:$H$4,MOD(INT(MOD(DX$3-'الموظفون'!$D$4,CycleWork+CycleRest)*3/CycleWork)+MATCH(StartShift,'الإعدادات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الإجازات'!$D$5:$D$104&lt;=DX$3)*(('حجز الإجازات'!$E$5:$E$104)&gt;=DX$3)*('حجز الإجازات'!$G$5:$G$104="معتمد")*ROW('حجز الإجازات'!$B$5:$B$104)))-5+1))</f>
        <v/>
      </c>
      <c r="DY6" s="62">
        <f>IF(SUMPRODUCT(('حجز الإجازات'!$B$5:$B$104='الموظفون'!$B$4)*('حجز الإجازات'!$D$5:$D$104&lt;=DY$3)*(('حجز الإجازات'!$E$5:$E$104)&gt;=DY$3)*('حجز الإجازات'!$G$5:$G$104="معتمد")*ROW('حجز الإجازات'!$B$5:$B$104))=0,IF(DY$3&lt;'الموظفون'!$D$4,"",IF(ISNUMBER(MATCH(DY$3,Holidays,0)),"عطلة",IF(MOD(DY$3-'الموظفون'!$D$4,CycleWork+CycleRest)&lt;CycleWork,INDEX('الإعدادات والقوائم'!$H$2:$H$4,MOD(INT(MOD(DY$3-'الموظفون'!$D$4,CycleWork+CycleRest)*3/CycleWork)+MATCH(StartShift,'الإعدادات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الإجازات'!$D$5:$D$104&lt;=DY$3)*(('حجز الإجازات'!$E$5:$E$104)&gt;=DY$3)*('حجز الإجازات'!$G$5:$G$104="معتمد")*ROW('حجز الإجازات'!$B$5:$B$104)))-5+1))</f>
        <v/>
      </c>
      <c r="DZ6" s="62">
        <f>IF(SUMPRODUCT(('حجز الإجازات'!$B$5:$B$104='الموظفون'!$B$4)*('حجز الإجازات'!$D$5:$D$104&lt;=DZ$3)*(('حجز الإجازات'!$E$5:$E$104)&gt;=DZ$3)*('حجز الإجازات'!$G$5:$G$104="معتمد")*ROW('حجز الإجازات'!$B$5:$B$104))=0,IF(DZ$3&lt;'الموظفون'!$D$4,"",IF(ISNUMBER(MATCH(DZ$3,Holidays,0)),"عطلة",IF(MOD(DZ$3-'الموظفون'!$D$4,CycleWork+CycleRest)&lt;CycleWork,INDEX('الإعدادات والقوائم'!$H$2:$H$4,MOD(INT(MOD(DZ$3-'الموظفون'!$D$4,CycleWork+CycleRest)*3/CycleWork)+MATCH(StartShift,'الإعدادات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الإجازات'!$D$5:$D$104&lt;=DZ$3)*(('حجز الإجازات'!$E$5:$E$104)&gt;=DZ$3)*('حجز الإجازات'!$G$5:$G$104="معتمد")*ROW('حجز الإجازات'!$B$5:$B$104)))-5+1))</f>
        <v/>
      </c>
      <c r="EA6" s="62">
        <f>IF(SUMPRODUCT(('حجز الإجازات'!$B$5:$B$104='الموظفون'!$B$4)*('حجز الإجازات'!$D$5:$D$104&lt;=EA$3)*(('حجز الإجازات'!$E$5:$E$104)&gt;=EA$3)*('حجز الإجازات'!$G$5:$G$104="معتمد")*ROW('حجز الإجازات'!$B$5:$B$104))=0,IF(EA$3&lt;'الموظفون'!$D$4,"",IF(ISNUMBER(MATCH(EA$3,Holidays,0)),"عطلة",IF(MOD(EA$3-'الموظفون'!$D$4,CycleWork+CycleRest)&lt;CycleWork,INDEX('الإعدادات والقوائم'!$H$2:$H$4,MOD(INT(MOD(EA$3-'الموظفون'!$D$4,CycleWork+CycleRest)*3/CycleWork)+MATCH(StartShift,'الإعدادات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الإجازات'!$D$5:$D$104&lt;=EA$3)*(('حجز الإجازات'!$E$5:$E$104)&gt;=EA$3)*('حجز الإجازات'!$G$5:$G$104="معتمد")*ROW('حجز الإجازات'!$B$5:$B$104)))-5+1))</f>
        <v/>
      </c>
      <c r="EB6" s="62">
        <f>IF(SUMPRODUCT(('حجز الإجازات'!$B$5:$B$104='الموظفون'!$B$4)*('حجز الإجازات'!$D$5:$D$104&lt;=EB$3)*(('حجز الإجازات'!$E$5:$E$104)&gt;=EB$3)*('حجز الإجازات'!$G$5:$G$104="معتمد")*ROW('حجز الإجازات'!$B$5:$B$104))=0,IF(EB$3&lt;'الموظفون'!$D$4,"",IF(ISNUMBER(MATCH(EB$3,Holidays,0)),"عطلة",IF(MOD(EB$3-'الموظفون'!$D$4,CycleWork+CycleRest)&lt;CycleWork,INDEX('الإعدادات والقوائم'!$H$2:$H$4,MOD(INT(MOD(EB$3-'الموظفون'!$D$4,CycleWork+CycleRest)*3/CycleWork)+MATCH(StartShift,'الإعدادات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الإجازات'!$D$5:$D$104&lt;=EB$3)*(('حجز الإجازات'!$E$5:$E$104)&gt;=EB$3)*('حجز الإجازات'!$G$5:$G$104="معتمد")*ROW('حجز الإجازات'!$B$5:$B$104)))-5+1))</f>
        <v/>
      </c>
      <c r="EC6" s="62">
        <f>IF(SUMPRODUCT(('حجز الإجازات'!$B$5:$B$104='الموظفون'!$B$4)*('حجز الإجازات'!$D$5:$D$104&lt;=EC$3)*(('حجز الإجازات'!$E$5:$E$104)&gt;=EC$3)*('حجز الإجازات'!$G$5:$G$104="معتمد")*ROW('حجز الإجازات'!$B$5:$B$104))=0,IF(EC$3&lt;'الموظفون'!$D$4,"",IF(ISNUMBER(MATCH(EC$3,Holidays,0)),"عطلة",IF(MOD(EC$3-'الموظفون'!$D$4,CycleWork+CycleRest)&lt;CycleWork,INDEX('الإعدادات والقوائم'!$H$2:$H$4,MOD(INT(MOD(EC$3-'الموظفون'!$D$4,CycleWork+CycleRest)*3/CycleWork)+MATCH(StartShift,'الإعدادات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الإجازات'!$D$5:$D$104&lt;=EC$3)*(('حجز الإجازات'!$E$5:$E$104)&gt;=EC$3)*('حجز الإجازات'!$G$5:$G$104="معتمد")*ROW('حجز الإجازات'!$B$5:$B$104)))-5+1))</f>
        <v/>
      </c>
      <c r="ED6" s="62">
        <f>IF(SUMPRODUCT(('حجز الإجازات'!$B$5:$B$104='الموظفون'!$B$4)*('حجز الإجازات'!$D$5:$D$104&lt;=ED$3)*(('حجز الإجازات'!$E$5:$E$104)&gt;=ED$3)*('حجز الإجازات'!$G$5:$G$104="معتمد")*ROW('حجز الإجازات'!$B$5:$B$104))=0,IF(ED$3&lt;'الموظفون'!$D$4,"",IF(ISNUMBER(MATCH(ED$3,Holidays,0)),"عطلة",IF(MOD(ED$3-'الموظفون'!$D$4,CycleWork+CycleRest)&lt;CycleWork,INDEX('الإعدادات والقوائم'!$H$2:$H$4,MOD(INT(MOD(ED$3-'الموظفون'!$D$4,CycleWork+CycleRest)*3/CycleWork)+MATCH(StartShift,'الإعدادات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الإجازات'!$D$5:$D$104&lt;=ED$3)*(('حجز الإجازات'!$E$5:$E$104)&gt;=ED$3)*('حجز الإجازات'!$G$5:$G$104="معتمد")*ROW('حجز الإجازات'!$B$5:$B$104)))-5+1))</f>
        <v/>
      </c>
      <c r="EE6" s="62">
        <f>IF(SUMPRODUCT(('حجز الإجازات'!$B$5:$B$104='الموظفون'!$B$4)*('حجز الإجازات'!$D$5:$D$104&lt;=EE$3)*(('حجز الإجازات'!$E$5:$E$104)&gt;=EE$3)*('حجز الإجازات'!$G$5:$G$104="معتمد")*ROW('حجز الإجازات'!$B$5:$B$104))=0,IF(EE$3&lt;'الموظفون'!$D$4,"",IF(ISNUMBER(MATCH(EE$3,Holidays,0)),"عطلة",IF(MOD(EE$3-'الموظفون'!$D$4,CycleWork+CycleRest)&lt;CycleWork,INDEX('الإعدادات والقوائم'!$H$2:$H$4,MOD(INT(MOD(EE$3-'الموظفون'!$D$4,CycleWork+CycleRest)*3/CycleWork)+MATCH(StartShift,'الإعدادات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الإجازات'!$D$5:$D$104&lt;=EE$3)*(('حجز الإجازات'!$E$5:$E$104)&gt;=EE$3)*('حجز الإجازات'!$G$5:$G$104="معتمد")*ROW('حجز الإجازات'!$B$5:$B$104)))-5+1))</f>
        <v/>
      </c>
      <c r="EF6" s="62">
        <f>IF(SUMPRODUCT(('حجز الإجازات'!$B$5:$B$104='الموظفون'!$B$4)*('حجز الإجازات'!$D$5:$D$104&lt;=EF$3)*(('حجز الإجازات'!$E$5:$E$104)&gt;=EF$3)*('حجز الإجازات'!$G$5:$G$104="معتمد")*ROW('حجز الإجازات'!$B$5:$B$104))=0,IF(EF$3&lt;'الموظفون'!$D$4,"",IF(ISNUMBER(MATCH(EF$3,Holidays,0)),"عطلة",IF(MOD(EF$3-'الموظفون'!$D$4,CycleWork+CycleRest)&lt;CycleWork,INDEX('الإعدادات والقوائم'!$H$2:$H$4,MOD(INT(MOD(EF$3-'الموظفون'!$D$4,CycleWork+CycleRest)*3/CycleWork)+MATCH(StartShift,'الإعدادات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الإجازات'!$D$5:$D$104&lt;=EF$3)*(('حجز الإجازات'!$E$5:$E$104)&gt;=EF$3)*('حجز الإجازات'!$G$5:$G$104="معتمد")*ROW('حجز الإجازات'!$B$5:$B$104)))-5+1))</f>
        <v/>
      </c>
      <c r="EG6" s="62">
        <f>IF(SUMPRODUCT(('حجز الإجازات'!$B$5:$B$104='الموظفون'!$B$4)*('حجز الإجازات'!$D$5:$D$104&lt;=EG$3)*(('حجز الإجازات'!$E$5:$E$104)&gt;=EG$3)*('حجز الإجازات'!$G$5:$G$104="معتمد")*ROW('حجز الإجازات'!$B$5:$B$104))=0,IF(EG$3&lt;'الموظفون'!$D$4,"",IF(ISNUMBER(MATCH(EG$3,Holidays,0)),"عطلة",IF(MOD(EG$3-'الموظفون'!$D$4,CycleWork+CycleRest)&lt;CycleWork,INDEX('الإعدادات والقوائم'!$H$2:$H$4,MOD(INT(MOD(EG$3-'الموظفون'!$D$4,CycleWork+CycleRest)*3/CycleWork)+MATCH(StartShift,'الإعدادات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الإجازات'!$D$5:$D$104&lt;=EG$3)*(('حجز الإجازات'!$E$5:$E$104)&gt;=EG$3)*('حجز الإجازات'!$G$5:$G$104="معتمد")*ROW('حجز الإجازات'!$B$5:$B$104)))-5+1))</f>
        <v/>
      </c>
      <c r="EH6" s="62">
        <f>IF(SUMPRODUCT(('حجز الإجازات'!$B$5:$B$104='الموظفون'!$B$4)*('حجز الإجازات'!$D$5:$D$104&lt;=EH$3)*(('حجز الإجازات'!$E$5:$E$104)&gt;=EH$3)*('حجز الإجازات'!$G$5:$G$104="معتمد")*ROW('حجز الإجازات'!$B$5:$B$104))=0,IF(EH$3&lt;'الموظفون'!$D$4,"",IF(ISNUMBER(MATCH(EH$3,Holidays,0)),"عطلة",IF(MOD(EH$3-'الموظفون'!$D$4,CycleWork+CycleRest)&lt;CycleWork,INDEX('الإعدادات والقوائم'!$H$2:$H$4,MOD(INT(MOD(EH$3-'الموظفون'!$D$4,CycleWork+CycleRest)*3/CycleWork)+MATCH(StartShift,'الإعدادات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الإجازات'!$D$5:$D$104&lt;=EH$3)*(('حجز الإجازات'!$E$5:$E$104)&gt;=EH$3)*('حجز الإجازات'!$G$5:$G$104="معتمد")*ROW('حجز الإجازات'!$B$5:$B$104)))-5+1))</f>
        <v/>
      </c>
      <c r="EI6" s="62">
        <f>IF(SUMPRODUCT(('حجز الإجازات'!$B$5:$B$104='الموظفون'!$B$4)*('حجز الإجازات'!$D$5:$D$104&lt;=EI$3)*(('حجز الإجازات'!$E$5:$E$104)&gt;=EI$3)*('حجز الإجازات'!$G$5:$G$104="معتمد")*ROW('حجز الإجازات'!$B$5:$B$104))=0,IF(EI$3&lt;'الموظفون'!$D$4,"",IF(ISNUMBER(MATCH(EI$3,Holidays,0)),"عطلة",IF(MOD(EI$3-'الموظفون'!$D$4,CycleWork+CycleRest)&lt;CycleWork,INDEX('الإعدادات والقوائم'!$H$2:$H$4,MOD(INT(MOD(EI$3-'الموظفون'!$D$4,CycleWork+CycleRest)*3/CycleWork)+MATCH(StartShift,'الإعدادات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الإجازات'!$D$5:$D$104&lt;=EI$3)*(('حجز الإجازات'!$E$5:$E$104)&gt;=EI$3)*('حجز الإجازات'!$G$5:$G$104="معتمد")*ROW('حجز الإجازات'!$B$5:$B$104)))-5+1))</f>
        <v/>
      </c>
      <c r="EJ6" s="62">
        <f>IF(SUMPRODUCT(('حجز الإجازات'!$B$5:$B$104='الموظفون'!$B$4)*('حجز الإجازات'!$D$5:$D$104&lt;=EJ$3)*(('حجز الإجازات'!$E$5:$E$104)&gt;=EJ$3)*('حجز الإجازات'!$G$5:$G$104="معتمد")*ROW('حجز الإجازات'!$B$5:$B$104))=0,IF(EJ$3&lt;'الموظفون'!$D$4,"",IF(ISNUMBER(MATCH(EJ$3,Holidays,0)),"عطلة",IF(MOD(EJ$3-'الموظفون'!$D$4,CycleWork+CycleRest)&lt;CycleWork,INDEX('الإعدادات والقوائم'!$H$2:$H$4,MOD(INT(MOD(EJ$3-'الموظفون'!$D$4,CycleWork+CycleRest)*3/CycleWork)+MATCH(StartShift,'الإعدادات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الإجازات'!$D$5:$D$104&lt;=EJ$3)*(('حجز الإجازات'!$E$5:$E$104)&gt;=EJ$3)*('حجز الإجازات'!$G$5:$G$104="معتمد")*ROW('حجز الإجازات'!$B$5:$B$104)))-5+1))</f>
        <v/>
      </c>
      <c r="EK6" s="62">
        <f>IF(SUMPRODUCT(('حجز الإجازات'!$B$5:$B$104='الموظفون'!$B$4)*('حجز الإجازات'!$D$5:$D$104&lt;=EK$3)*(('حجز الإجازات'!$E$5:$E$104)&gt;=EK$3)*('حجز الإجازات'!$G$5:$G$104="معتمد")*ROW('حجز الإجازات'!$B$5:$B$104))=0,IF(EK$3&lt;'الموظفون'!$D$4,"",IF(ISNUMBER(MATCH(EK$3,Holidays,0)),"عطلة",IF(MOD(EK$3-'الموظفون'!$D$4,CycleWork+CycleRest)&lt;CycleWork,INDEX('الإعدادات والقوائم'!$H$2:$H$4,MOD(INT(MOD(EK$3-'الموظفون'!$D$4,CycleWork+CycleRest)*3/CycleWork)+MATCH(StartShift,'الإعدادات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الإجازات'!$D$5:$D$104&lt;=EK$3)*(('حجز الإجازات'!$E$5:$E$104)&gt;=EK$3)*('حجز الإجازات'!$G$5:$G$104="معتمد")*ROW('حجز الإجازات'!$B$5:$B$104)))-5+1))</f>
        <v/>
      </c>
      <c r="EL6" s="62">
        <f>IF(SUMPRODUCT(('حجز الإجازات'!$B$5:$B$104='الموظفون'!$B$4)*('حجز الإجازات'!$D$5:$D$104&lt;=EL$3)*(('حجز الإجازات'!$E$5:$E$104)&gt;=EL$3)*('حجز الإجازات'!$G$5:$G$104="معتمد")*ROW('حجز الإجازات'!$B$5:$B$104))=0,IF(EL$3&lt;'الموظفون'!$D$4,"",IF(ISNUMBER(MATCH(EL$3,Holidays,0)),"عطلة",IF(MOD(EL$3-'الموظفون'!$D$4,CycleWork+CycleRest)&lt;CycleWork,INDEX('الإعدادات والقوائم'!$H$2:$H$4,MOD(INT(MOD(EL$3-'الموظفون'!$D$4,CycleWork+CycleRest)*3/CycleWork)+MATCH(StartShift,'الإعدادات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الإجازات'!$D$5:$D$104&lt;=EL$3)*(('حجز الإجازات'!$E$5:$E$104)&gt;=EL$3)*('حجز الإجازات'!$G$5:$G$104="معتمد")*ROW('حجز الإجازات'!$B$5:$B$104)))-5+1))</f>
        <v/>
      </c>
      <c r="EM6" s="62">
        <f>IF(SUMPRODUCT(('حجز الإجازات'!$B$5:$B$104='الموظفون'!$B$4)*('حجز الإجازات'!$D$5:$D$104&lt;=EM$3)*(('حجز الإجازات'!$E$5:$E$104)&gt;=EM$3)*('حجز الإجازات'!$G$5:$G$104="معتمد")*ROW('حجز الإجازات'!$B$5:$B$104))=0,IF(EM$3&lt;'الموظفون'!$D$4,"",IF(ISNUMBER(MATCH(EM$3,Holidays,0)),"عطلة",IF(MOD(EM$3-'الموظفون'!$D$4,CycleWork+CycleRest)&lt;CycleWork,INDEX('الإعدادات والقوائم'!$H$2:$H$4,MOD(INT(MOD(EM$3-'الموظفون'!$D$4,CycleWork+CycleRest)*3/CycleWork)+MATCH(StartShift,'الإعدادات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الإجازات'!$D$5:$D$104&lt;=EM$3)*(('حجز الإجازات'!$E$5:$E$104)&gt;=EM$3)*('حجز الإجازات'!$G$5:$G$104="معتمد")*ROW('حجز الإجازات'!$B$5:$B$104)))-5+1))</f>
        <v/>
      </c>
      <c r="EN6" s="62">
        <f>IF(SUMPRODUCT(('حجز الإجازات'!$B$5:$B$104='الموظفون'!$B$4)*('حجز الإجازات'!$D$5:$D$104&lt;=EN$3)*(('حجز الإجازات'!$E$5:$E$104)&gt;=EN$3)*('حجز الإجازات'!$G$5:$G$104="معتمد")*ROW('حجز الإجازات'!$B$5:$B$104))=0,IF(EN$3&lt;'الموظفون'!$D$4,"",IF(ISNUMBER(MATCH(EN$3,Holidays,0)),"عطلة",IF(MOD(EN$3-'الموظفون'!$D$4,CycleWork+CycleRest)&lt;CycleWork,INDEX('الإعدادات والقوائم'!$H$2:$H$4,MOD(INT(MOD(EN$3-'الموظفون'!$D$4,CycleWork+CycleRest)*3/CycleWork)+MATCH(StartShift,'الإعدادات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الإجازات'!$D$5:$D$104&lt;=EN$3)*(('حجز الإجازات'!$E$5:$E$104)&gt;=EN$3)*('حجز الإجازات'!$G$5:$G$104="معتمد")*ROW('حجز الإجازات'!$B$5:$B$104)))-5+1))</f>
        <v/>
      </c>
      <c r="EO6" s="62">
        <f>IF(SUMPRODUCT(('حجز الإجازات'!$B$5:$B$104='الموظفون'!$B$4)*('حجز الإجازات'!$D$5:$D$104&lt;=EO$3)*(('حجز الإجازات'!$E$5:$E$104)&gt;=EO$3)*('حجز الإجازات'!$G$5:$G$104="معتمد")*ROW('حجز الإجازات'!$B$5:$B$104))=0,IF(EO$3&lt;'الموظفون'!$D$4,"",IF(ISNUMBER(MATCH(EO$3,Holidays,0)),"عطلة",IF(MOD(EO$3-'الموظفون'!$D$4,CycleWork+CycleRest)&lt;CycleWork,INDEX('الإعدادات والقوائم'!$H$2:$H$4,MOD(INT(MOD(EO$3-'الموظفون'!$D$4,CycleWork+CycleRest)*3/CycleWork)+MATCH(StartShift,'الإعدادات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الإجازات'!$D$5:$D$104&lt;=EO$3)*(('حجز الإجازات'!$E$5:$E$104)&gt;=EO$3)*('حجز الإجازات'!$G$5:$G$104="معتمد")*ROW('حجز الإجازات'!$B$5:$B$104)))-5+1))</f>
        <v/>
      </c>
      <c r="EP6" s="62">
        <f>IF(SUMPRODUCT(('حجز الإجازات'!$B$5:$B$104='الموظفون'!$B$4)*('حجز الإجازات'!$D$5:$D$104&lt;=EP$3)*(('حجز الإجازات'!$E$5:$E$104)&gt;=EP$3)*('حجز الإجازات'!$G$5:$G$104="معتمد")*ROW('حجز الإجازات'!$B$5:$B$104))=0,IF(EP$3&lt;'الموظفون'!$D$4,"",IF(ISNUMBER(MATCH(EP$3,Holidays,0)),"عطلة",IF(MOD(EP$3-'الموظفون'!$D$4,CycleWork+CycleRest)&lt;CycleWork,INDEX('الإعدادات والقوائم'!$H$2:$H$4,MOD(INT(MOD(EP$3-'الموظفون'!$D$4,CycleWork+CycleRest)*3/CycleWork)+MATCH(StartShift,'الإعدادات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الإجازات'!$D$5:$D$104&lt;=EP$3)*(('حجز الإجازات'!$E$5:$E$104)&gt;=EP$3)*('حجز الإجازات'!$G$5:$G$104="معتمد")*ROW('حجز الإجازات'!$B$5:$B$104)))-5+1))</f>
        <v/>
      </c>
      <c r="EQ6" s="62">
        <f>IF(SUMPRODUCT(('حجز الإجازات'!$B$5:$B$104='الموظفون'!$B$4)*('حجز الإجازات'!$D$5:$D$104&lt;=EQ$3)*(('حجز الإجازات'!$E$5:$E$104)&gt;=EQ$3)*('حجز الإجازات'!$G$5:$G$104="معتمد")*ROW('حجز الإجازات'!$B$5:$B$104))=0,IF(EQ$3&lt;'الموظفون'!$D$4,"",IF(ISNUMBER(MATCH(EQ$3,Holidays,0)),"عطلة",IF(MOD(EQ$3-'الموظفون'!$D$4,CycleWork+CycleRest)&lt;CycleWork,INDEX('الإعدادات والقوائم'!$H$2:$H$4,MOD(INT(MOD(EQ$3-'الموظفون'!$D$4,CycleWork+CycleRest)*3/CycleWork)+MATCH(StartShift,'الإعدادات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الإجازات'!$D$5:$D$104&lt;=EQ$3)*(('حجز الإجازات'!$E$5:$E$104)&gt;=EQ$3)*('حجز الإجازات'!$G$5:$G$104="معتمد")*ROW('حجز الإجازات'!$B$5:$B$104)))-5+1))</f>
        <v/>
      </c>
      <c r="ER6" s="62">
        <f>IF(SUMPRODUCT(('حجز الإجازات'!$B$5:$B$104='الموظفون'!$B$4)*('حجز الإجازات'!$D$5:$D$104&lt;=ER$3)*(('حجز الإجازات'!$E$5:$E$104)&gt;=ER$3)*('حجز الإجازات'!$G$5:$G$104="معتمد")*ROW('حجز الإجازات'!$B$5:$B$104))=0,IF(ER$3&lt;'الموظفون'!$D$4,"",IF(ISNUMBER(MATCH(ER$3,Holidays,0)),"عطلة",IF(MOD(ER$3-'الموظفون'!$D$4,CycleWork+CycleRest)&lt;CycleWork,INDEX('الإعدادات والقوائم'!$H$2:$H$4,MOD(INT(MOD(ER$3-'الموظفون'!$D$4,CycleWork+CycleRest)*3/CycleWork)+MATCH(StartShift,'الإعدادات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الإجازات'!$D$5:$D$104&lt;=ER$3)*(('حجز الإجازات'!$E$5:$E$104)&gt;=ER$3)*('حجز الإجازات'!$G$5:$G$104="معتمد")*ROW('حجز الإجازات'!$B$5:$B$104)))-5+1))</f>
        <v/>
      </c>
      <c r="ES6" s="62">
        <f>IF(SUMPRODUCT(('حجز الإجازات'!$B$5:$B$104='الموظفون'!$B$4)*('حجز الإجازات'!$D$5:$D$104&lt;=ES$3)*(('حجز الإجازات'!$E$5:$E$104)&gt;=ES$3)*('حجز الإجازات'!$G$5:$G$104="معتمد")*ROW('حجز الإجازات'!$B$5:$B$104))=0,IF(ES$3&lt;'الموظفون'!$D$4,"",IF(ISNUMBER(MATCH(ES$3,Holidays,0)),"عطلة",IF(MOD(ES$3-'الموظفون'!$D$4,CycleWork+CycleRest)&lt;CycleWork,INDEX('الإعدادات والقوائم'!$H$2:$H$4,MOD(INT(MOD(ES$3-'الموظفون'!$D$4,CycleWork+CycleRest)*3/CycleWork)+MATCH(StartShift,'الإعدادات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الإجازات'!$D$5:$D$104&lt;=ES$3)*(('حجز الإجازات'!$E$5:$E$104)&gt;=ES$3)*('حجز الإجازات'!$G$5:$G$104="معتمد")*ROW('حجز الإجازات'!$B$5:$B$104)))-5+1))</f>
        <v/>
      </c>
      <c r="ET6" s="62">
        <f>IF(SUMPRODUCT(('حجز الإجازات'!$B$5:$B$104='الموظفون'!$B$4)*('حجز الإجازات'!$D$5:$D$104&lt;=ET$3)*(('حجز الإجازات'!$E$5:$E$104)&gt;=ET$3)*('حجز الإجازات'!$G$5:$G$104="معتمد")*ROW('حجز الإجازات'!$B$5:$B$104))=0,IF(ET$3&lt;'الموظفون'!$D$4,"",IF(ISNUMBER(MATCH(ET$3,Holidays,0)),"عطلة",IF(MOD(ET$3-'الموظفون'!$D$4,CycleWork+CycleRest)&lt;CycleWork,INDEX('الإعدادات والقوائم'!$H$2:$H$4,MOD(INT(MOD(ET$3-'الموظفون'!$D$4,CycleWork+CycleRest)*3/CycleWork)+MATCH(StartShift,'الإعدادات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الإجازات'!$D$5:$D$104&lt;=ET$3)*(('حجز الإجازات'!$E$5:$E$104)&gt;=ET$3)*('حجز الإجازات'!$G$5:$G$104="معتمد")*ROW('حجز الإجازات'!$B$5:$B$104)))-5+1))</f>
        <v/>
      </c>
      <c r="EU6" s="62">
        <f>IF(SUMPRODUCT(('حجز الإجازات'!$B$5:$B$104='الموظفون'!$B$4)*('حجز الإجازات'!$D$5:$D$104&lt;=EU$3)*(('حجز الإجازات'!$E$5:$E$104)&gt;=EU$3)*('حجز الإجازات'!$G$5:$G$104="معتمد")*ROW('حجز الإجازات'!$B$5:$B$104))=0,IF(EU$3&lt;'الموظفون'!$D$4,"",IF(ISNUMBER(MATCH(EU$3,Holidays,0)),"عطلة",IF(MOD(EU$3-'الموظفون'!$D$4,CycleWork+CycleRest)&lt;CycleWork,INDEX('الإعدادات والقوائم'!$H$2:$H$4,MOD(INT(MOD(EU$3-'الموظفون'!$D$4,CycleWork+CycleRest)*3/CycleWork)+MATCH(StartShift,'الإعدادات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الإجازات'!$D$5:$D$104&lt;=EU$3)*(('حجز الإجازات'!$E$5:$E$104)&gt;=EU$3)*('حجز الإجازات'!$G$5:$G$104="معتمد")*ROW('حجز الإجازات'!$B$5:$B$104)))-5+1))</f>
        <v/>
      </c>
      <c r="EV6" s="62">
        <f>IF(SUMPRODUCT(('حجز الإجازات'!$B$5:$B$104='الموظفون'!$B$4)*('حجز الإجازات'!$D$5:$D$104&lt;=EV$3)*(('حجز الإجازات'!$E$5:$E$104)&gt;=EV$3)*('حجز الإجازات'!$G$5:$G$104="معتمد")*ROW('حجز الإجازات'!$B$5:$B$104))=0,IF(EV$3&lt;'الموظفون'!$D$4,"",IF(ISNUMBER(MATCH(EV$3,Holidays,0)),"عطلة",IF(MOD(EV$3-'الموظفون'!$D$4,CycleWork+CycleRest)&lt;CycleWork,INDEX('الإعدادات والقوائم'!$H$2:$H$4,MOD(INT(MOD(EV$3-'الموظفون'!$D$4,CycleWork+CycleRest)*3/CycleWork)+MATCH(StartShift,'الإعدادات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الإجازات'!$D$5:$D$104&lt;=EV$3)*(('حجز الإجازات'!$E$5:$E$104)&gt;=EV$3)*('حجز الإجازات'!$G$5:$G$104="معتمد")*ROW('حجز الإجازات'!$B$5:$B$104)))-5+1))</f>
        <v/>
      </c>
      <c r="EW6" s="62">
        <f>IF(SUMPRODUCT(('حجز الإجازات'!$B$5:$B$104='الموظفون'!$B$4)*('حجز الإجازات'!$D$5:$D$104&lt;=EW$3)*(('حجز الإجازات'!$E$5:$E$104)&gt;=EW$3)*('حجز الإجازات'!$G$5:$G$104="معتمد")*ROW('حجز الإجازات'!$B$5:$B$104))=0,IF(EW$3&lt;'الموظفون'!$D$4,"",IF(ISNUMBER(MATCH(EW$3,Holidays,0)),"عطلة",IF(MOD(EW$3-'الموظفون'!$D$4,CycleWork+CycleRest)&lt;CycleWork,INDEX('الإعدادات والقوائم'!$H$2:$H$4,MOD(INT(MOD(EW$3-'الموظفون'!$D$4,CycleWork+CycleRest)*3/CycleWork)+MATCH(StartShift,'الإعدادات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الإجازات'!$D$5:$D$104&lt;=EW$3)*(('حجز الإجازات'!$E$5:$E$104)&gt;=EW$3)*('حجز الإجازات'!$G$5:$G$104="معتمد")*ROW('حجز الإجازات'!$B$5:$B$104)))-5+1))</f>
        <v/>
      </c>
      <c r="EX6" s="62">
        <f>IF(SUMPRODUCT(('حجز الإجازات'!$B$5:$B$104='الموظفون'!$B$4)*('حجز الإجازات'!$D$5:$D$104&lt;=EX$3)*(('حجز الإجازات'!$E$5:$E$104)&gt;=EX$3)*('حجز الإجازات'!$G$5:$G$104="معتمد")*ROW('حجز الإجازات'!$B$5:$B$104))=0,IF(EX$3&lt;'الموظفون'!$D$4,"",IF(ISNUMBER(MATCH(EX$3,Holidays,0)),"عطلة",IF(MOD(EX$3-'الموظفون'!$D$4,CycleWork+CycleRest)&lt;CycleWork,INDEX('الإعدادات والقوائم'!$H$2:$H$4,MOD(INT(MOD(EX$3-'الموظفون'!$D$4,CycleWork+CycleRest)*3/CycleWork)+MATCH(StartShift,'الإعدادات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الإجازات'!$D$5:$D$104&lt;=EX$3)*(('حجز الإجازات'!$E$5:$E$104)&gt;=EX$3)*('حجز الإجازات'!$G$5:$G$104="معتمد")*ROW('حجز الإجازات'!$B$5:$B$104)))-5+1))</f>
        <v/>
      </c>
      <c r="EY6" s="62">
        <f>IF(SUMPRODUCT(('حجز الإجازات'!$B$5:$B$104='الموظفون'!$B$4)*('حجز الإجازات'!$D$5:$D$104&lt;=EY$3)*(('حجز الإجازات'!$E$5:$E$104)&gt;=EY$3)*('حجز الإجازات'!$G$5:$G$104="معتمد")*ROW('حجز الإجازات'!$B$5:$B$104))=0,IF(EY$3&lt;'الموظفون'!$D$4,"",IF(ISNUMBER(MATCH(EY$3,Holidays,0)),"عطلة",IF(MOD(EY$3-'الموظفون'!$D$4,CycleWork+CycleRest)&lt;CycleWork,INDEX('الإعدادات والقوائم'!$H$2:$H$4,MOD(INT(MOD(EY$3-'الموظفون'!$D$4,CycleWork+CycleRest)*3/CycleWork)+MATCH(StartShift,'الإعدادات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الإجازات'!$D$5:$D$104&lt;=EY$3)*(('حجز الإجازات'!$E$5:$E$104)&gt;=EY$3)*('حجز الإجازات'!$G$5:$G$104="معتمد")*ROW('حجز الإجازات'!$B$5:$B$104)))-5+1))</f>
        <v/>
      </c>
      <c r="EZ6" s="62">
        <f>IF(SUMPRODUCT(('حجز الإجازات'!$B$5:$B$104='الموظفون'!$B$4)*('حجز الإجازات'!$D$5:$D$104&lt;=EZ$3)*(('حجز الإجازات'!$E$5:$E$104)&gt;=EZ$3)*('حجز الإجازات'!$G$5:$G$104="معتمد")*ROW('حجز الإجازات'!$B$5:$B$104))=0,IF(EZ$3&lt;'الموظفون'!$D$4,"",IF(ISNUMBER(MATCH(EZ$3,Holidays,0)),"عطلة",IF(MOD(EZ$3-'الموظفون'!$D$4,CycleWork+CycleRest)&lt;CycleWork,INDEX('الإعدادات والقوائم'!$H$2:$H$4,MOD(INT(MOD(EZ$3-'الموظفون'!$D$4,CycleWork+CycleRest)*3/CycleWork)+MATCH(StartShift,'الإعدادات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الإجازات'!$D$5:$D$104&lt;=EZ$3)*(('حجز الإجازات'!$E$5:$E$104)&gt;=EZ$3)*('حجز الإجازات'!$G$5:$G$104="معتمد")*ROW('حجز الإجازات'!$B$5:$B$104)))-5+1))</f>
        <v/>
      </c>
      <c r="FA6" s="62">
        <f>IF(SUMPRODUCT(('حجز الإجازات'!$B$5:$B$104='الموظفون'!$B$4)*('حجز الإجازات'!$D$5:$D$104&lt;=FA$3)*(('حجز الإجازات'!$E$5:$E$104)&gt;=FA$3)*('حجز الإجازات'!$G$5:$G$104="معتمد")*ROW('حجز الإجازات'!$B$5:$B$104))=0,IF(FA$3&lt;'الموظفون'!$D$4,"",IF(ISNUMBER(MATCH(FA$3,Holidays,0)),"عطلة",IF(MOD(FA$3-'الموظفون'!$D$4,CycleWork+CycleRest)&lt;CycleWork,INDEX('الإعدادات والقوائم'!$H$2:$H$4,MOD(INT(MOD(FA$3-'الموظفون'!$D$4,CycleWork+CycleRest)*3/CycleWork)+MATCH(StartShift,'الإعدادات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الإجازات'!$D$5:$D$104&lt;=FA$3)*(('حجز الإجازات'!$E$5:$E$104)&gt;=FA$3)*('حجز الإجازات'!$G$5:$G$104="معتمد")*ROW('حجز الإجازات'!$B$5:$B$104)))-5+1))</f>
        <v/>
      </c>
      <c r="FB6" s="62">
        <f>IF(SUMPRODUCT(('حجز الإجازات'!$B$5:$B$104='الموظفون'!$B$4)*('حجز الإجازات'!$D$5:$D$104&lt;=FB$3)*(('حجز الإجازات'!$E$5:$E$104)&gt;=FB$3)*('حجز الإجازات'!$G$5:$G$104="معتمد")*ROW('حجز الإجازات'!$B$5:$B$104))=0,IF(FB$3&lt;'الموظفون'!$D$4,"",IF(ISNUMBER(MATCH(FB$3,Holidays,0)),"عطلة",IF(MOD(FB$3-'الموظفون'!$D$4,CycleWork+CycleRest)&lt;CycleWork,INDEX('الإعدادات والقوائم'!$H$2:$H$4,MOD(INT(MOD(FB$3-'الموظفون'!$D$4,CycleWork+CycleRest)*3/CycleWork)+MATCH(StartShift,'الإعدادات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الإجازات'!$D$5:$D$104&lt;=FB$3)*(('حجز الإجازات'!$E$5:$E$104)&gt;=FB$3)*('حجز الإجازات'!$G$5:$G$104="معتمد")*ROW('حجز الإجازات'!$B$5:$B$104)))-5+1))</f>
        <v/>
      </c>
      <c r="FC6" s="62">
        <f>IF(SUMPRODUCT(('حجز الإجازات'!$B$5:$B$104='الموظفون'!$B$4)*('حجز الإجازات'!$D$5:$D$104&lt;=FC$3)*(('حجز الإجازات'!$E$5:$E$104)&gt;=FC$3)*('حجز الإجازات'!$G$5:$G$104="معتمد")*ROW('حجز الإجازات'!$B$5:$B$104))=0,IF(FC$3&lt;'الموظفون'!$D$4,"",IF(ISNUMBER(MATCH(FC$3,Holidays,0)),"عطلة",IF(MOD(FC$3-'الموظفون'!$D$4,CycleWork+CycleRest)&lt;CycleWork,INDEX('الإعدادات والقوائم'!$H$2:$H$4,MOD(INT(MOD(FC$3-'الموظفون'!$D$4,CycleWork+CycleRest)*3/CycleWork)+MATCH(StartShift,'الإعدادات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الإجازات'!$D$5:$D$104&lt;=FC$3)*(('حجز الإجازات'!$E$5:$E$104)&gt;=FC$3)*('حجز الإجازات'!$G$5:$G$104="معتمد")*ROW('حجز الإجازات'!$B$5:$B$104)))-5+1))</f>
        <v/>
      </c>
      <c r="FD6" s="62">
        <f>IF(SUMPRODUCT(('حجز الإجازات'!$B$5:$B$104='الموظفون'!$B$4)*('حجز الإجازات'!$D$5:$D$104&lt;=FD$3)*(('حجز الإجازات'!$E$5:$E$104)&gt;=FD$3)*('حجز الإجازات'!$G$5:$G$104="معتمد")*ROW('حجز الإجازات'!$B$5:$B$104))=0,IF(FD$3&lt;'الموظفون'!$D$4,"",IF(ISNUMBER(MATCH(FD$3,Holidays,0)),"عطلة",IF(MOD(FD$3-'الموظفون'!$D$4,CycleWork+CycleRest)&lt;CycleWork,INDEX('الإعدادات والقوائم'!$H$2:$H$4,MOD(INT(MOD(FD$3-'الموظفون'!$D$4,CycleWork+CycleRest)*3/CycleWork)+MATCH(StartShift,'الإعدادات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الإجازات'!$D$5:$D$104&lt;=FD$3)*(('حجز الإجازات'!$E$5:$E$104)&gt;=FD$3)*('حجز الإجازات'!$G$5:$G$104="معتمد")*ROW('حجز الإجازات'!$B$5:$B$104)))-5+1))</f>
        <v/>
      </c>
      <c r="FE6" s="62">
        <f>IF(SUMPRODUCT(('حجز الإجازات'!$B$5:$B$104='الموظفون'!$B$4)*('حجز الإجازات'!$D$5:$D$104&lt;=FE$3)*(('حجز الإجازات'!$E$5:$E$104)&gt;=FE$3)*('حجز الإجازات'!$G$5:$G$104="معتمد")*ROW('حجز الإجازات'!$B$5:$B$104))=0,IF(FE$3&lt;'الموظفون'!$D$4,"",IF(ISNUMBER(MATCH(FE$3,Holidays,0)),"عطلة",IF(MOD(FE$3-'الموظفون'!$D$4,CycleWork+CycleRest)&lt;CycleWork,INDEX('الإعدادات والقوائم'!$H$2:$H$4,MOD(INT(MOD(FE$3-'الموظفون'!$D$4,CycleWork+CycleRest)*3/CycleWork)+MATCH(StartShift,'الإعدادات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الإجازات'!$D$5:$D$104&lt;=FE$3)*(('حجز الإجازات'!$E$5:$E$104)&gt;=FE$3)*('حجز الإجازات'!$G$5:$G$104="معتمد")*ROW('حجز الإجازات'!$B$5:$B$104)))-5+1))</f>
        <v/>
      </c>
      <c r="FF6" s="62">
        <f>IF(SUMPRODUCT(('حجز الإجازات'!$B$5:$B$104='الموظفون'!$B$4)*('حجز الإجازات'!$D$5:$D$104&lt;=FF$3)*(('حجز الإجازات'!$E$5:$E$104)&gt;=FF$3)*('حجز الإجازات'!$G$5:$G$104="معتمد")*ROW('حجز الإجازات'!$B$5:$B$104))=0,IF(FF$3&lt;'الموظفون'!$D$4,"",IF(ISNUMBER(MATCH(FF$3,Holidays,0)),"عطلة",IF(MOD(FF$3-'الموظفون'!$D$4,CycleWork+CycleRest)&lt;CycleWork,INDEX('الإعدادات والقوائم'!$H$2:$H$4,MOD(INT(MOD(FF$3-'الموظفون'!$D$4,CycleWork+CycleRest)*3/CycleWork)+MATCH(StartShift,'الإعدادات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الإجازات'!$D$5:$D$104&lt;=FF$3)*(('حجز الإجازات'!$E$5:$E$104)&gt;=FF$3)*('حجز الإجازات'!$G$5:$G$104="معتمد")*ROW('حجز الإجازات'!$B$5:$B$104)))-5+1))</f>
        <v/>
      </c>
      <c r="FG6" s="62">
        <f>IF(SUMPRODUCT(('حجز الإجازات'!$B$5:$B$104='الموظفون'!$B$4)*('حجز الإجازات'!$D$5:$D$104&lt;=FG$3)*(('حجز الإجازات'!$E$5:$E$104)&gt;=FG$3)*('حجز الإجازات'!$G$5:$G$104="معتمد")*ROW('حجز الإجازات'!$B$5:$B$104))=0,IF(FG$3&lt;'الموظفون'!$D$4,"",IF(ISNUMBER(MATCH(FG$3,Holidays,0)),"عطلة",IF(MOD(FG$3-'الموظفون'!$D$4,CycleWork+CycleRest)&lt;CycleWork,INDEX('الإعدادات والقوائم'!$H$2:$H$4,MOD(INT(MOD(FG$3-'الموظفون'!$D$4,CycleWork+CycleRest)*3/CycleWork)+MATCH(StartShift,'الإعدادات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الإجازات'!$D$5:$D$104&lt;=FG$3)*(('حجز الإجازات'!$E$5:$E$104)&gt;=FG$3)*('حجز الإجازات'!$G$5:$G$104="معتمد")*ROW('حجز الإجازات'!$B$5:$B$104)))-5+1))</f>
        <v/>
      </c>
      <c r="FH6" s="62">
        <f>IF(SUMPRODUCT(('حجز الإجازات'!$B$5:$B$104='الموظفون'!$B$4)*('حجز الإجازات'!$D$5:$D$104&lt;=FH$3)*(('حجز الإجازات'!$E$5:$E$104)&gt;=FH$3)*('حجز الإجازات'!$G$5:$G$104="معتمد")*ROW('حجز الإجازات'!$B$5:$B$104))=0,IF(FH$3&lt;'الموظفون'!$D$4,"",IF(ISNUMBER(MATCH(FH$3,Holidays,0)),"عطلة",IF(MOD(FH$3-'الموظفون'!$D$4,CycleWork+CycleRest)&lt;CycleWork,INDEX('الإعدادات والقوائم'!$H$2:$H$4,MOD(INT(MOD(FH$3-'الموظفون'!$D$4,CycleWork+CycleRest)*3/CycleWork)+MATCH(StartShift,'الإعدادات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الإجازات'!$D$5:$D$104&lt;=FH$3)*(('حجز الإجازات'!$E$5:$E$104)&gt;=FH$3)*('حجز الإجازات'!$G$5:$G$104="معتمد")*ROW('حجز الإجازات'!$B$5:$B$104)))-5+1))</f>
        <v/>
      </c>
      <c r="FI6" s="62">
        <f>IF(SUMPRODUCT(('حجز الإجازات'!$B$5:$B$104='الموظفون'!$B$4)*('حجز الإجازات'!$D$5:$D$104&lt;=FI$3)*(('حجز الإجازات'!$E$5:$E$104)&gt;=FI$3)*('حجز الإجازات'!$G$5:$G$104="معتمد")*ROW('حجز الإجازات'!$B$5:$B$104))=0,IF(FI$3&lt;'الموظفون'!$D$4,"",IF(ISNUMBER(MATCH(FI$3,Holidays,0)),"عطلة",IF(MOD(FI$3-'الموظفون'!$D$4,CycleWork+CycleRest)&lt;CycleWork,INDEX('الإعدادات والقوائم'!$H$2:$H$4,MOD(INT(MOD(FI$3-'الموظفون'!$D$4,CycleWork+CycleRest)*3/CycleWork)+MATCH(StartShift,'الإعدادات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الإجازات'!$D$5:$D$104&lt;=FI$3)*(('حجز الإجازات'!$E$5:$E$104)&gt;=FI$3)*('حجز الإجازات'!$G$5:$G$104="معتمد")*ROW('حجز الإجازات'!$B$5:$B$104)))-5+1))</f>
        <v/>
      </c>
      <c r="FJ6" s="62">
        <f>IF(SUMPRODUCT(('حجز الإجازات'!$B$5:$B$104='الموظفون'!$B$4)*('حجز الإجازات'!$D$5:$D$104&lt;=FJ$3)*(('حجز الإجازات'!$E$5:$E$104)&gt;=FJ$3)*('حجز الإجازات'!$G$5:$G$104="معتمد")*ROW('حجز الإجازات'!$B$5:$B$104))=0,IF(FJ$3&lt;'الموظفون'!$D$4,"",IF(ISNUMBER(MATCH(FJ$3,Holidays,0)),"عطلة",IF(MOD(FJ$3-'الموظفون'!$D$4,CycleWork+CycleRest)&lt;CycleWork,INDEX('الإعدادات والقوائم'!$H$2:$H$4,MOD(INT(MOD(FJ$3-'الموظفون'!$D$4,CycleWork+CycleRest)*3/CycleWork)+MATCH(StartShift,'الإعدادات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الإجازات'!$D$5:$D$104&lt;=FJ$3)*(('حجز الإجازات'!$E$5:$E$104)&gt;=FJ$3)*('حجز الإجازات'!$G$5:$G$104="معتمد")*ROW('حجز الإجازات'!$B$5:$B$104)))-5+1))</f>
        <v/>
      </c>
      <c r="FK6" s="62">
        <f>IF(SUMPRODUCT(('حجز الإجازات'!$B$5:$B$104='الموظفون'!$B$4)*('حجز الإجازات'!$D$5:$D$104&lt;=FK$3)*(('حجز الإجازات'!$E$5:$E$104)&gt;=FK$3)*('حجز الإجازات'!$G$5:$G$104="معتمد")*ROW('حجز الإجازات'!$B$5:$B$104))=0,IF(FK$3&lt;'الموظفون'!$D$4,"",IF(ISNUMBER(MATCH(FK$3,Holidays,0)),"عطلة",IF(MOD(FK$3-'الموظفون'!$D$4,CycleWork+CycleRest)&lt;CycleWork,INDEX('الإعدادات والقوائم'!$H$2:$H$4,MOD(INT(MOD(FK$3-'الموظفون'!$D$4,CycleWork+CycleRest)*3/CycleWork)+MATCH(StartShift,'الإعدادات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الإجازات'!$D$5:$D$104&lt;=FK$3)*(('حجز الإجازات'!$E$5:$E$104)&gt;=FK$3)*('حجز الإجازات'!$G$5:$G$104="معتمد")*ROW('حجز الإجازات'!$B$5:$B$104)))-5+1))</f>
        <v/>
      </c>
      <c r="FL6" s="62">
        <f>IF(SUMPRODUCT(('حجز الإجازات'!$B$5:$B$104='الموظفون'!$B$4)*('حجز الإجازات'!$D$5:$D$104&lt;=FL$3)*(('حجز الإجازات'!$E$5:$E$104)&gt;=FL$3)*('حجز الإجازات'!$G$5:$G$104="معتمد")*ROW('حجز الإجازات'!$B$5:$B$104))=0,IF(FL$3&lt;'الموظفون'!$D$4,"",IF(ISNUMBER(MATCH(FL$3,Holidays,0)),"عطلة",IF(MOD(FL$3-'الموظفون'!$D$4,CycleWork+CycleRest)&lt;CycleWork,INDEX('الإعدادات والقوائم'!$H$2:$H$4,MOD(INT(MOD(FL$3-'الموظفون'!$D$4,CycleWork+CycleRest)*3/CycleWork)+MATCH(StartShift,'الإعدادات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الإجازات'!$D$5:$D$104&lt;=FL$3)*(('حجز الإجازات'!$E$5:$E$104)&gt;=FL$3)*('حجز الإجازات'!$G$5:$G$104="معتمد")*ROW('حجز الإجازات'!$B$5:$B$104)))-5+1))</f>
        <v/>
      </c>
      <c r="FM6" s="62">
        <f>IF(SUMPRODUCT(('حجز الإجازات'!$B$5:$B$104='الموظفون'!$B$4)*('حجز الإجازات'!$D$5:$D$104&lt;=FM$3)*(('حجز الإجازات'!$E$5:$E$104)&gt;=FM$3)*('حجز الإجازات'!$G$5:$G$104="معتمد")*ROW('حجز الإجازات'!$B$5:$B$104))=0,IF(FM$3&lt;'الموظفون'!$D$4,"",IF(ISNUMBER(MATCH(FM$3,Holidays,0)),"عطلة",IF(MOD(FM$3-'الموظفون'!$D$4,CycleWork+CycleRest)&lt;CycleWork,INDEX('الإعدادات والقوائم'!$H$2:$H$4,MOD(INT(MOD(FM$3-'الموظفون'!$D$4,CycleWork+CycleRest)*3/CycleWork)+MATCH(StartShift,'الإعدادات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الإجازات'!$D$5:$D$104&lt;=FM$3)*(('حجز الإجازات'!$E$5:$E$104)&gt;=FM$3)*('حجز الإجازات'!$G$5:$G$104="معتمد")*ROW('حجز الإجازات'!$B$5:$B$104)))-5+1))</f>
        <v/>
      </c>
      <c r="FN6" s="62">
        <f>IF(SUMPRODUCT(('حجز الإجازات'!$B$5:$B$104='الموظفون'!$B$4)*('حجز الإجازات'!$D$5:$D$104&lt;=FN$3)*(('حجز الإجازات'!$E$5:$E$104)&gt;=FN$3)*('حجز الإجازات'!$G$5:$G$104="معتمد")*ROW('حجز الإجازات'!$B$5:$B$104))=0,IF(FN$3&lt;'الموظفون'!$D$4,"",IF(ISNUMBER(MATCH(FN$3,Holidays,0)),"عطلة",IF(MOD(FN$3-'الموظفون'!$D$4,CycleWork+CycleRest)&lt;CycleWork,INDEX('الإعدادات والقوائم'!$H$2:$H$4,MOD(INT(MOD(FN$3-'الموظفون'!$D$4,CycleWork+CycleRest)*3/CycleWork)+MATCH(StartShift,'الإعدادات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الإجازات'!$D$5:$D$104&lt;=FN$3)*(('حجز الإجازات'!$E$5:$E$104)&gt;=FN$3)*('حجز الإجازات'!$G$5:$G$104="معتمد")*ROW('حجز الإجازات'!$B$5:$B$104)))-5+1))</f>
        <v/>
      </c>
      <c r="FO6" s="62">
        <f>IF(SUMPRODUCT(('حجز الإجازات'!$B$5:$B$104='الموظفون'!$B$4)*('حجز الإجازات'!$D$5:$D$104&lt;=FO$3)*(('حجز الإجازات'!$E$5:$E$104)&gt;=FO$3)*('حجز الإجازات'!$G$5:$G$104="معتمد")*ROW('حجز الإجازات'!$B$5:$B$104))=0,IF(FO$3&lt;'الموظفون'!$D$4,"",IF(ISNUMBER(MATCH(FO$3,Holidays,0)),"عطلة",IF(MOD(FO$3-'الموظفون'!$D$4,CycleWork+CycleRest)&lt;CycleWork,INDEX('الإعدادات والقوائم'!$H$2:$H$4,MOD(INT(MOD(FO$3-'الموظفون'!$D$4,CycleWork+CycleRest)*3/CycleWork)+MATCH(StartShift,'الإعدادات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الإجازات'!$D$5:$D$104&lt;=FO$3)*(('حجز الإجازات'!$E$5:$E$104)&gt;=FO$3)*('حجز الإجازات'!$G$5:$G$104="معتمد")*ROW('حجز الإجازات'!$B$5:$B$104)))-5+1))</f>
        <v/>
      </c>
      <c r="FP6" s="62">
        <f>IF(SUMPRODUCT(('حجز الإجازات'!$B$5:$B$104='الموظفون'!$B$4)*('حجز الإجازات'!$D$5:$D$104&lt;=FP$3)*(('حجز الإجازات'!$E$5:$E$104)&gt;=FP$3)*('حجز الإجازات'!$G$5:$G$104="معتمد")*ROW('حجز الإجازات'!$B$5:$B$104))=0,IF(FP$3&lt;'الموظفون'!$D$4,"",IF(ISNUMBER(MATCH(FP$3,Holidays,0)),"عطلة",IF(MOD(FP$3-'الموظفون'!$D$4,CycleWork+CycleRest)&lt;CycleWork,INDEX('الإعدادات والقوائم'!$H$2:$H$4,MOD(INT(MOD(FP$3-'الموظفون'!$D$4,CycleWork+CycleRest)*3/CycleWork)+MATCH(StartShift,'الإعدادات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الإجازات'!$D$5:$D$104&lt;=FP$3)*(('حجز الإجازات'!$E$5:$E$104)&gt;=FP$3)*('حجز الإجازات'!$G$5:$G$104="معتمد")*ROW('حجز الإجازات'!$B$5:$B$104)))-5+1))</f>
        <v/>
      </c>
      <c r="FQ6" s="62">
        <f>IF(SUMPRODUCT(('حجز الإجازات'!$B$5:$B$104='الموظفون'!$B$4)*('حجز الإجازات'!$D$5:$D$104&lt;=FQ$3)*(('حجز الإجازات'!$E$5:$E$104)&gt;=FQ$3)*('حجز الإجازات'!$G$5:$G$104="معتمد")*ROW('حجز الإجازات'!$B$5:$B$104))=0,IF(FQ$3&lt;'الموظفون'!$D$4,"",IF(ISNUMBER(MATCH(FQ$3,Holidays,0)),"عطلة",IF(MOD(FQ$3-'الموظفون'!$D$4,CycleWork+CycleRest)&lt;CycleWork,INDEX('الإعدادات والقوائم'!$H$2:$H$4,MOD(INT(MOD(FQ$3-'الموظفون'!$D$4,CycleWork+CycleRest)*3/CycleWork)+MATCH(StartShift,'الإعدادات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الإجازات'!$D$5:$D$104&lt;=FQ$3)*(('حجز الإجازات'!$E$5:$E$104)&gt;=FQ$3)*('حجز الإجازات'!$G$5:$G$104="معتمد")*ROW('حجز الإجازات'!$B$5:$B$104)))-5+1))</f>
        <v/>
      </c>
      <c r="FR6" s="62">
        <f>IF(SUMPRODUCT(('حجز الإجازات'!$B$5:$B$104='الموظفون'!$B$4)*('حجز الإجازات'!$D$5:$D$104&lt;=FR$3)*(('حجز الإجازات'!$E$5:$E$104)&gt;=FR$3)*('حجز الإجازات'!$G$5:$G$104="معتمد")*ROW('حجز الإجازات'!$B$5:$B$104))=0,IF(FR$3&lt;'الموظفون'!$D$4,"",IF(ISNUMBER(MATCH(FR$3,Holidays,0)),"عطلة",IF(MOD(FR$3-'الموظفون'!$D$4,CycleWork+CycleRest)&lt;CycleWork,INDEX('الإعدادات والقوائم'!$H$2:$H$4,MOD(INT(MOD(FR$3-'الموظفون'!$D$4,CycleWork+CycleRest)*3/CycleWork)+MATCH(StartShift,'الإعدادات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الإجازات'!$D$5:$D$104&lt;=FR$3)*(('حجز الإجازات'!$E$5:$E$104)&gt;=FR$3)*('حجز الإجازات'!$G$5:$G$104="معتمد")*ROW('حجز الإجازات'!$B$5:$B$104)))-5+1))</f>
        <v/>
      </c>
      <c r="FS6" s="62">
        <f>IF(SUMPRODUCT(('حجز الإجازات'!$B$5:$B$104='الموظفون'!$B$4)*('حجز الإجازات'!$D$5:$D$104&lt;=FS$3)*(('حجز الإجازات'!$E$5:$E$104)&gt;=FS$3)*('حجز الإجازات'!$G$5:$G$104="معتمد")*ROW('حجز الإجازات'!$B$5:$B$104))=0,IF(FS$3&lt;'الموظفون'!$D$4,"",IF(ISNUMBER(MATCH(FS$3,Holidays,0)),"عطلة",IF(MOD(FS$3-'الموظفون'!$D$4,CycleWork+CycleRest)&lt;CycleWork,INDEX('الإعدادات والقوائم'!$H$2:$H$4,MOD(INT(MOD(FS$3-'الموظفون'!$D$4,CycleWork+CycleRest)*3/CycleWork)+MATCH(StartShift,'الإعدادات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الإجازات'!$D$5:$D$104&lt;=FS$3)*(('حجز الإجازات'!$E$5:$E$104)&gt;=FS$3)*('حجز الإجازات'!$G$5:$G$104="معتمد")*ROW('حجز الإجازات'!$B$5:$B$104)))-5+1))</f>
        <v/>
      </c>
      <c r="FT6" s="62">
        <f>IF(SUMPRODUCT(('حجز الإجازات'!$B$5:$B$104='الموظفون'!$B$4)*('حجز الإجازات'!$D$5:$D$104&lt;=FT$3)*(('حجز الإجازات'!$E$5:$E$104)&gt;=FT$3)*('حجز الإجازات'!$G$5:$G$104="معتمد")*ROW('حجز الإجازات'!$B$5:$B$104))=0,IF(FT$3&lt;'الموظفون'!$D$4,"",IF(ISNUMBER(MATCH(FT$3,Holidays,0)),"عطلة",IF(MOD(FT$3-'الموظفون'!$D$4,CycleWork+CycleRest)&lt;CycleWork,INDEX('الإعدادات والقوائم'!$H$2:$H$4,MOD(INT(MOD(FT$3-'الموظفون'!$D$4,CycleWork+CycleRest)*3/CycleWork)+MATCH(StartShift,'الإعدادات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الإجازات'!$D$5:$D$104&lt;=FT$3)*(('حجز الإجازات'!$E$5:$E$104)&gt;=FT$3)*('حجز الإجازات'!$G$5:$G$104="معتمد")*ROW('حجز الإجازات'!$B$5:$B$104)))-5+1))</f>
        <v/>
      </c>
      <c r="FU6" s="62">
        <f>IF(SUMPRODUCT(('حجز الإجازات'!$B$5:$B$104='الموظفون'!$B$4)*('حجز الإجازات'!$D$5:$D$104&lt;=FU$3)*(('حجز الإجازات'!$E$5:$E$104)&gt;=FU$3)*('حجز الإجازات'!$G$5:$G$104="معتمد")*ROW('حجز الإجازات'!$B$5:$B$104))=0,IF(FU$3&lt;'الموظفون'!$D$4,"",IF(ISNUMBER(MATCH(FU$3,Holidays,0)),"عطلة",IF(MOD(FU$3-'الموظفون'!$D$4,CycleWork+CycleRest)&lt;CycleWork,INDEX('الإعدادات والقوائم'!$H$2:$H$4,MOD(INT(MOD(FU$3-'الموظفون'!$D$4,CycleWork+CycleRest)*3/CycleWork)+MATCH(StartShift,'الإعدادات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الإجازات'!$D$5:$D$104&lt;=FU$3)*(('حجز الإجازات'!$E$5:$E$104)&gt;=FU$3)*('حجز الإجازات'!$G$5:$G$104="معتمد")*ROW('حجز الإجازات'!$B$5:$B$104)))-5+1))</f>
        <v/>
      </c>
      <c r="FV6" s="62">
        <f>IF(SUMPRODUCT(('حجز الإجازات'!$B$5:$B$104='الموظفون'!$B$4)*('حجز الإجازات'!$D$5:$D$104&lt;=FV$3)*(('حجز الإجازات'!$E$5:$E$104)&gt;=FV$3)*('حجز الإجازات'!$G$5:$G$104="معتمد")*ROW('حجز الإجازات'!$B$5:$B$104))=0,IF(FV$3&lt;'الموظفون'!$D$4,"",IF(ISNUMBER(MATCH(FV$3,Holidays,0)),"عطلة",IF(MOD(FV$3-'الموظفون'!$D$4,CycleWork+CycleRest)&lt;CycleWork,INDEX('الإعدادات والقوائم'!$H$2:$H$4,MOD(INT(MOD(FV$3-'الموظفون'!$D$4,CycleWork+CycleRest)*3/CycleWork)+MATCH(StartShift,'الإعدادات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الإجازات'!$D$5:$D$104&lt;=FV$3)*(('حجز الإجازات'!$E$5:$E$104)&gt;=FV$3)*('حجز الإجازات'!$G$5:$G$104="معتمد")*ROW('حجز الإجازات'!$B$5:$B$104)))-5+1))</f>
        <v/>
      </c>
      <c r="FW6" s="62">
        <f>IF(SUMPRODUCT(('حجز الإجازات'!$B$5:$B$104='الموظفون'!$B$4)*('حجز الإجازات'!$D$5:$D$104&lt;=FW$3)*(('حجز الإجازات'!$E$5:$E$104)&gt;=FW$3)*('حجز الإجازات'!$G$5:$G$104="معتمد")*ROW('حجز الإجازات'!$B$5:$B$104))=0,IF(FW$3&lt;'الموظفون'!$D$4,"",IF(ISNUMBER(MATCH(FW$3,Holidays,0)),"عطلة",IF(MOD(FW$3-'الموظفون'!$D$4,CycleWork+CycleRest)&lt;CycleWork,INDEX('الإعدادات والقوائم'!$H$2:$H$4,MOD(INT(MOD(FW$3-'الموظفون'!$D$4,CycleWork+CycleRest)*3/CycleWork)+MATCH(StartShift,'الإعدادات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الإجازات'!$D$5:$D$104&lt;=FW$3)*(('حجز الإجازات'!$E$5:$E$104)&gt;=FW$3)*('حجز الإجازات'!$G$5:$G$104="معتمد")*ROW('حجز الإجازات'!$B$5:$B$104)))-5+1))</f>
        <v/>
      </c>
      <c r="FX6" s="62">
        <f>IF(SUMPRODUCT(('حجز الإجازات'!$B$5:$B$104='الموظفون'!$B$4)*('حجز الإجازات'!$D$5:$D$104&lt;=FX$3)*(('حجز الإجازات'!$E$5:$E$104)&gt;=FX$3)*('حجز الإجازات'!$G$5:$G$104="معتمد")*ROW('حجز الإجازات'!$B$5:$B$104))=0,IF(FX$3&lt;'الموظفون'!$D$4,"",IF(ISNUMBER(MATCH(FX$3,Holidays,0)),"عطلة",IF(MOD(FX$3-'الموظفون'!$D$4,CycleWork+CycleRest)&lt;CycleWork,INDEX('الإعدادات والقوائم'!$H$2:$H$4,MOD(INT(MOD(FX$3-'الموظفون'!$D$4,CycleWork+CycleRest)*3/CycleWork)+MATCH(StartShift,'الإعدادات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الإجازات'!$D$5:$D$104&lt;=FX$3)*(('حجز الإجازات'!$E$5:$E$104)&gt;=FX$3)*('حجز الإجازات'!$G$5:$G$104="معتمد")*ROW('حجز الإجازات'!$B$5:$B$104)))-5+1))</f>
        <v/>
      </c>
      <c r="FY6" s="62">
        <f>IF(SUMPRODUCT(('حجز الإجازات'!$B$5:$B$104='الموظفون'!$B$4)*('حجز الإجازات'!$D$5:$D$104&lt;=FY$3)*(('حجز الإجازات'!$E$5:$E$104)&gt;=FY$3)*('حجز الإجازات'!$G$5:$G$104="معتمد")*ROW('حجز الإجازات'!$B$5:$B$104))=0,IF(FY$3&lt;'الموظفون'!$D$4,"",IF(ISNUMBER(MATCH(FY$3,Holidays,0)),"عطلة",IF(MOD(FY$3-'الموظفون'!$D$4,CycleWork+CycleRest)&lt;CycleWork,INDEX('الإعدادات والقوائم'!$H$2:$H$4,MOD(INT(MOD(FY$3-'الموظفون'!$D$4,CycleWork+CycleRest)*3/CycleWork)+MATCH(StartShift,'الإعدادات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الإجازات'!$D$5:$D$104&lt;=FY$3)*(('حجز الإجازات'!$E$5:$E$104)&gt;=FY$3)*('حجز الإجازات'!$G$5:$G$104="معتمد")*ROW('حجز الإجازات'!$B$5:$B$104)))-5+1))</f>
        <v/>
      </c>
      <c r="FZ6" s="62">
        <f>IF(SUMPRODUCT(('حجز الإجازات'!$B$5:$B$104='الموظفون'!$B$4)*('حجز الإجازات'!$D$5:$D$104&lt;=FZ$3)*(('حجز الإجازات'!$E$5:$E$104)&gt;=FZ$3)*('حجز الإجازات'!$G$5:$G$104="معتمد")*ROW('حجز الإجازات'!$B$5:$B$104))=0,IF(FZ$3&lt;'الموظفون'!$D$4,"",IF(ISNUMBER(MATCH(FZ$3,Holidays,0)),"عطلة",IF(MOD(FZ$3-'الموظفون'!$D$4,CycleWork+CycleRest)&lt;CycleWork,INDEX('الإعدادات والقوائم'!$H$2:$H$4,MOD(INT(MOD(FZ$3-'الموظفون'!$D$4,CycleWork+CycleRest)*3/CycleWork)+MATCH(StartShift,'الإعدادات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الإجازات'!$D$5:$D$104&lt;=FZ$3)*(('حجز الإجازات'!$E$5:$E$104)&gt;=FZ$3)*('حجز الإجازات'!$G$5:$G$104="معتمد")*ROW('حجز الإجازات'!$B$5:$B$104)))-5+1))</f>
        <v/>
      </c>
      <c r="GA6" s="62">
        <f>IF(SUMPRODUCT(('حجز الإجازات'!$B$5:$B$104='الموظفون'!$B$4)*('حجز الإجازات'!$D$5:$D$104&lt;=GA$3)*(('حجز الإجازات'!$E$5:$E$104)&gt;=GA$3)*('حجز الإجازات'!$G$5:$G$104="معتمد")*ROW('حجز الإجازات'!$B$5:$B$104))=0,IF(GA$3&lt;'الموظفون'!$D$4,"",IF(ISNUMBER(MATCH(GA$3,Holidays,0)),"عطلة",IF(MOD(GA$3-'الموظفون'!$D$4,CycleWork+CycleRest)&lt;CycleWork,INDEX('الإعدادات والقوائم'!$H$2:$H$4,MOD(INT(MOD(GA$3-'الموظفون'!$D$4,CycleWork+CycleRest)*3/CycleWork)+MATCH(StartShift,'الإعدادات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الإجازات'!$D$5:$D$104&lt;=GA$3)*(('حجز الإجازات'!$E$5:$E$104)&gt;=GA$3)*('حجز الإجازات'!$G$5:$G$104="معتمد")*ROW('حجز الإجازات'!$B$5:$B$104)))-5+1))</f>
        <v/>
      </c>
      <c r="GB6" s="62">
        <f>IF(SUMPRODUCT(('حجز الإجازات'!$B$5:$B$104='الموظفون'!$B$4)*('حجز الإجازات'!$D$5:$D$104&lt;=GB$3)*(('حجز الإجازات'!$E$5:$E$104)&gt;=GB$3)*('حجز الإجازات'!$G$5:$G$104="معتمد")*ROW('حجز الإجازات'!$B$5:$B$104))=0,IF(GB$3&lt;'الموظفون'!$D$4,"",IF(ISNUMBER(MATCH(GB$3,Holidays,0)),"عطلة",IF(MOD(GB$3-'الموظفون'!$D$4,CycleWork+CycleRest)&lt;CycleWork,INDEX('الإعدادات والقوائم'!$H$2:$H$4,MOD(INT(MOD(GB$3-'الموظفون'!$D$4,CycleWork+CycleRest)*3/CycleWork)+MATCH(StartShift,'الإعدادات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الإجازات'!$D$5:$D$104&lt;=GB$3)*(('حجز الإجازات'!$E$5:$E$104)&gt;=GB$3)*('حجز الإجازات'!$G$5:$G$104="معتمد")*ROW('حجز الإجازات'!$B$5:$B$104)))-5+1))</f>
        <v/>
      </c>
      <c r="GC6" s="62">
        <f>IF(SUMPRODUCT(('حجز الإجازات'!$B$5:$B$104='الموظفون'!$B$4)*('حجز الإجازات'!$D$5:$D$104&lt;=GC$3)*(('حجز الإجازات'!$E$5:$E$104)&gt;=GC$3)*('حجز الإجازات'!$G$5:$G$104="معتمد")*ROW('حجز الإجازات'!$B$5:$B$104))=0,IF(GC$3&lt;'الموظفون'!$D$4,"",IF(ISNUMBER(MATCH(GC$3,Holidays,0)),"عطلة",IF(MOD(GC$3-'الموظفون'!$D$4,CycleWork+CycleRest)&lt;CycleWork,INDEX('الإعدادات والقوائم'!$H$2:$H$4,MOD(INT(MOD(GC$3-'الموظفون'!$D$4,CycleWork+CycleRest)*3/CycleWork)+MATCH(StartShift,'الإعدادات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الإجازات'!$D$5:$D$104&lt;=GC$3)*(('حجز الإجازات'!$E$5:$E$104)&gt;=GC$3)*('حجز الإجازات'!$G$5:$G$104="معتمد")*ROW('حجز الإجازات'!$B$5:$B$104)))-5+1))</f>
        <v/>
      </c>
      <c r="GD6" s="62">
        <f>IF(SUMPRODUCT(('حجز الإجازات'!$B$5:$B$104='الموظفون'!$B$4)*('حجز الإجازات'!$D$5:$D$104&lt;=GD$3)*(('حجز الإجازات'!$E$5:$E$104)&gt;=GD$3)*('حجز الإجازات'!$G$5:$G$104="معتمد")*ROW('حجز الإجازات'!$B$5:$B$104))=0,IF(GD$3&lt;'الموظفون'!$D$4,"",IF(ISNUMBER(MATCH(GD$3,Holidays,0)),"عطلة",IF(MOD(GD$3-'الموظفون'!$D$4,CycleWork+CycleRest)&lt;CycleWork,INDEX('الإعدادات والقوائم'!$H$2:$H$4,MOD(INT(MOD(GD$3-'الموظفون'!$D$4,CycleWork+CycleRest)*3/CycleWork)+MATCH(StartShift,'الإعدادات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الإجازات'!$D$5:$D$104&lt;=GD$3)*(('حجز الإجازات'!$E$5:$E$104)&gt;=GD$3)*('حجز الإجازات'!$G$5:$G$104="معتمد")*ROW('حجز الإجازات'!$B$5:$B$104)))-5+1))</f>
        <v/>
      </c>
      <c r="GE6" s="62">
        <f>IF(SUMPRODUCT(('حجز الإجازات'!$B$5:$B$104='الموظفون'!$B$4)*('حجز الإجازات'!$D$5:$D$104&lt;=GE$3)*(('حجز الإجازات'!$E$5:$E$104)&gt;=GE$3)*('حجز الإجازات'!$G$5:$G$104="معتمد")*ROW('حجز الإجازات'!$B$5:$B$104))=0,IF(GE$3&lt;'الموظفون'!$D$4,"",IF(ISNUMBER(MATCH(GE$3,Holidays,0)),"عطلة",IF(MOD(GE$3-'الموظفون'!$D$4,CycleWork+CycleRest)&lt;CycleWork,INDEX('الإعدادات والقوائم'!$H$2:$H$4,MOD(INT(MOD(GE$3-'الموظفون'!$D$4,CycleWork+CycleRest)*3/CycleWork)+MATCH(StartShift,'الإعدادات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الإجازات'!$D$5:$D$104&lt;=GE$3)*(('حجز الإجازات'!$E$5:$E$104)&gt;=GE$3)*('حجز الإجازات'!$G$5:$G$104="معتمد")*ROW('حجز الإجازات'!$B$5:$B$104)))-5+1))</f>
        <v/>
      </c>
      <c r="GF6" s="62">
        <f>IF(SUMPRODUCT(('حجز الإجازات'!$B$5:$B$104='الموظفون'!$B$4)*('حجز الإجازات'!$D$5:$D$104&lt;=GF$3)*(('حجز الإجازات'!$E$5:$E$104)&gt;=GF$3)*('حجز الإجازات'!$G$5:$G$104="معتمد")*ROW('حجز الإجازات'!$B$5:$B$104))=0,IF(GF$3&lt;'الموظفون'!$D$4,"",IF(ISNUMBER(MATCH(GF$3,Holidays,0)),"عطلة",IF(MOD(GF$3-'الموظفون'!$D$4,CycleWork+CycleRest)&lt;CycleWork,INDEX('الإعدادات والقوائم'!$H$2:$H$4,MOD(INT(MOD(GF$3-'الموظفون'!$D$4,CycleWork+CycleRest)*3/CycleWork)+MATCH(StartShift,'الإعدادات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الإجازات'!$D$5:$D$104&lt;=GF$3)*(('حجز الإجازات'!$E$5:$E$104)&gt;=GF$3)*('حجز الإجازات'!$G$5:$G$104="معتمد")*ROW('حجز الإجازات'!$B$5:$B$104)))-5+1))</f>
        <v/>
      </c>
      <c r="GG6" s="62">
        <f>IF(SUMPRODUCT(('حجز الإجازات'!$B$5:$B$104='الموظفون'!$B$4)*('حجز الإجازات'!$D$5:$D$104&lt;=GG$3)*(('حجز الإجازات'!$E$5:$E$104)&gt;=GG$3)*('حجز الإجازات'!$G$5:$G$104="معتمد")*ROW('حجز الإجازات'!$B$5:$B$104))=0,IF(GG$3&lt;'الموظفون'!$D$4,"",IF(ISNUMBER(MATCH(GG$3,Holidays,0)),"عطلة",IF(MOD(GG$3-'الموظفون'!$D$4,CycleWork+CycleRest)&lt;CycleWork,INDEX('الإعدادات والقوائم'!$H$2:$H$4,MOD(INT(MOD(GG$3-'الموظفون'!$D$4,CycleWork+CycleRest)*3/CycleWork)+MATCH(StartShift,'الإعدادات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الإجازات'!$D$5:$D$104&lt;=GG$3)*(('حجز الإجازات'!$E$5:$E$104)&gt;=GG$3)*('حجز الإجازات'!$G$5:$G$104="معتمد")*ROW('حجز الإجازات'!$B$5:$B$104)))-5+1))</f>
        <v/>
      </c>
      <c r="GH6" s="62">
        <f>IF(SUMPRODUCT(('حجز الإجازات'!$B$5:$B$104='الموظفون'!$B$4)*('حجز الإجازات'!$D$5:$D$104&lt;=GH$3)*(('حجز الإجازات'!$E$5:$E$104)&gt;=GH$3)*('حجز الإجازات'!$G$5:$G$104="معتمد")*ROW('حجز الإجازات'!$B$5:$B$104))=0,IF(GH$3&lt;'الموظفون'!$D$4,"",IF(ISNUMBER(MATCH(GH$3,Holidays,0)),"عطلة",IF(MOD(GH$3-'الموظفون'!$D$4,CycleWork+CycleRest)&lt;CycleWork,INDEX('الإعدادات والقوائم'!$H$2:$H$4,MOD(INT(MOD(GH$3-'الموظفون'!$D$4,CycleWork+CycleRest)*3/CycleWork)+MATCH(StartShift,'الإعدادات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الإجازات'!$D$5:$D$104&lt;=GH$3)*(('حجز الإجازات'!$E$5:$E$104)&gt;=GH$3)*('حجز الإجازات'!$G$5:$G$104="معتمد")*ROW('حجز الإجازات'!$B$5:$B$104)))-5+1))</f>
        <v/>
      </c>
      <c r="GI6" s="62">
        <f>IF(SUMPRODUCT(('حجز الإجازات'!$B$5:$B$104='الموظفون'!$B$4)*('حجز الإجازات'!$D$5:$D$104&lt;=GI$3)*(('حجز الإجازات'!$E$5:$E$104)&gt;=GI$3)*('حجز الإجازات'!$G$5:$G$104="معتمد")*ROW('حجز الإجازات'!$B$5:$B$104))=0,IF(GI$3&lt;'الموظفون'!$D$4,"",IF(ISNUMBER(MATCH(GI$3,Holidays,0)),"عطلة",IF(MOD(GI$3-'الموظفون'!$D$4,CycleWork+CycleRest)&lt;CycleWork,INDEX('الإعدادات والقوائم'!$H$2:$H$4,MOD(INT(MOD(GI$3-'الموظفون'!$D$4,CycleWork+CycleRest)*3/CycleWork)+MATCH(StartShift,'الإعدادات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الإجازات'!$D$5:$D$104&lt;=GI$3)*(('حجز الإجازات'!$E$5:$E$104)&gt;=GI$3)*('حجز الإجازات'!$G$5:$G$104="معتمد")*ROW('حجز الإجازات'!$B$5:$B$104)))-5+1))</f>
        <v/>
      </c>
      <c r="GJ6" s="62">
        <f>IF(SUMPRODUCT(('حجز الإجازات'!$B$5:$B$104='الموظفون'!$B$4)*('حجز الإجازات'!$D$5:$D$104&lt;=GJ$3)*(('حجز الإجازات'!$E$5:$E$104)&gt;=GJ$3)*('حجز الإجازات'!$G$5:$G$104="معتمد")*ROW('حجز الإجازات'!$B$5:$B$104))=0,IF(GJ$3&lt;'الموظفون'!$D$4,"",IF(ISNUMBER(MATCH(GJ$3,Holidays,0)),"عطلة",IF(MOD(GJ$3-'الموظفون'!$D$4,CycleWork+CycleRest)&lt;CycleWork,INDEX('الإعدادات والقوائم'!$H$2:$H$4,MOD(INT(MOD(GJ$3-'الموظفون'!$D$4,CycleWork+CycleRest)*3/CycleWork)+MATCH(StartShift,'الإعدادات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الإجازات'!$D$5:$D$104&lt;=GJ$3)*(('حجز الإجازات'!$E$5:$E$104)&gt;=GJ$3)*('حجز الإجازات'!$G$5:$G$104="معتمد")*ROW('حجز الإجازات'!$B$5:$B$104)))-5+1))</f>
        <v/>
      </c>
      <c r="GK6" s="62">
        <f>IF(SUMPRODUCT(('حجز الإجازات'!$B$5:$B$104='الموظفون'!$B$4)*('حجز الإجازات'!$D$5:$D$104&lt;=GK$3)*(('حجز الإجازات'!$E$5:$E$104)&gt;=GK$3)*('حجز الإجازات'!$G$5:$G$104="معتمد")*ROW('حجز الإجازات'!$B$5:$B$104))=0,IF(GK$3&lt;'الموظفون'!$D$4,"",IF(ISNUMBER(MATCH(GK$3,Holidays,0)),"عطلة",IF(MOD(GK$3-'الموظفون'!$D$4,CycleWork+CycleRest)&lt;CycleWork,INDEX('الإعدادات والقوائم'!$H$2:$H$4,MOD(INT(MOD(GK$3-'الموظفون'!$D$4,CycleWork+CycleRest)*3/CycleWork)+MATCH(StartShift,'الإعدادات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الإجازات'!$D$5:$D$104&lt;=GK$3)*(('حجز الإجازات'!$E$5:$E$104)&gt;=GK$3)*('حجز الإجازات'!$G$5:$G$104="معتمد")*ROW('حجز الإجازات'!$B$5:$B$104)))-5+1))</f>
        <v/>
      </c>
      <c r="GL6" s="62">
        <f>IF(SUMPRODUCT(('حجز الإجازات'!$B$5:$B$104='الموظفون'!$B$4)*('حجز الإجازات'!$D$5:$D$104&lt;=GL$3)*(('حجز الإجازات'!$E$5:$E$104)&gt;=GL$3)*('حجز الإجازات'!$G$5:$G$104="معتمد")*ROW('حجز الإجازات'!$B$5:$B$104))=0,IF(GL$3&lt;'الموظفون'!$D$4,"",IF(ISNUMBER(MATCH(GL$3,Holidays,0)),"عطلة",IF(MOD(GL$3-'الموظفون'!$D$4,CycleWork+CycleRest)&lt;CycleWork,INDEX('الإعدادات والقوائم'!$H$2:$H$4,MOD(INT(MOD(GL$3-'الموظفون'!$D$4,CycleWork+CycleRest)*3/CycleWork)+MATCH(StartShift,'الإعدادات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الإجازات'!$D$5:$D$104&lt;=GL$3)*(('حجز الإجازات'!$E$5:$E$104)&gt;=GL$3)*('حجز الإجازات'!$G$5:$G$104="معتمد")*ROW('حجز الإجازات'!$B$5:$B$104)))-5+1))</f>
        <v/>
      </c>
      <c r="GM6" s="62">
        <f>IF(SUMPRODUCT(('حجز الإجازات'!$B$5:$B$104='الموظفون'!$B$4)*('حجز الإجازات'!$D$5:$D$104&lt;=GM$3)*(('حجز الإجازات'!$E$5:$E$104)&gt;=GM$3)*('حجز الإجازات'!$G$5:$G$104="معتمد")*ROW('حجز الإجازات'!$B$5:$B$104))=0,IF(GM$3&lt;'الموظفون'!$D$4,"",IF(ISNUMBER(MATCH(GM$3,Holidays,0)),"عطلة",IF(MOD(GM$3-'الموظفون'!$D$4,CycleWork+CycleRest)&lt;CycleWork,INDEX('الإعدادات والقوائم'!$H$2:$H$4,MOD(INT(MOD(GM$3-'الموظفون'!$D$4,CycleWork+CycleRest)*3/CycleWork)+MATCH(StartShift,'الإعدادات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الإجازات'!$D$5:$D$104&lt;=GM$3)*(('حجز الإجازات'!$E$5:$E$104)&gt;=GM$3)*('حجز الإجازات'!$G$5:$G$104="معتمد")*ROW('حجز الإجازات'!$B$5:$B$104)))-5+1))</f>
        <v/>
      </c>
      <c r="GN6" s="62">
        <f>IF(SUMPRODUCT(('حجز الإجازات'!$B$5:$B$104='الموظفون'!$B$4)*('حجز الإجازات'!$D$5:$D$104&lt;=GN$3)*(('حجز الإجازات'!$E$5:$E$104)&gt;=GN$3)*('حجز الإجازات'!$G$5:$G$104="معتمد")*ROW('حجز الإجازات'!$B$5:$B$104))=0,IF(GN$3&lt;'الموظفون'!$D$4,"",IF(ISNUMBER(MATCH(GN$3,Holidays,0)),"عطلة",IF(MOD(GN$3-'الموظفون'!$D$4,CycleWork+CycleRest)&lt;CycleWork,INDEX('الإعدادات والقوائم'!$H$2:$H$4,MOD(INT(MOD(GN$3-'الموظفون'!$D$4,CycleWork+CycleRest)*3/CycleWork)+MATCH(StartShift,'الإعدادات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الإجازات'!$D$5:$D$104&lt;=GN$3)*(('حجز الإجازات'!$E$5:$E$104)&gt;=GN$3)*('حجز الإجازات'!$G$5:$G$104="معتمد")*ROW('حجز الإجازات'!$B$5:$B$104)))-5+1))</f>
        <v/>
      </c>
      <c r="GO6" s="62">
        <f>IF(SUMPRODUCT(('حجز الإجازات'!$B$5:$B$104='الموظفون'!$B$4)*('حجز الإجازات'!$D$5:$D$104&lt;=GO$3)*(('حجز الإجازات'!$E$5:$E$104)&gt;=GO$3)*('حجز الإجازات'!$G$5:$G$104="معتمد")*ROW('حجز الإجازات'!$B$5:$B$104))=0,IF(GO$3&lt;'الموظفون'!$D$4,"",IF(ISNUMBER(MATCH(GO$3,Holidays,0)),"عطلة",IF(MOD(GO$3-'الموظفون'!$D$4,CycleWork+CycleRest)&lt;CycleWork,INDEX('الإعدادات والقوائم'!$H$2:$H$4,MOD(INT(MOD(GO$3-'الموظفون'!$D$4,CycleWork+CycleRest)*3/CycleWork)+MATCH(StartShift,'الإعدادات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الإجازات'!$D$5:$D$104&lt;=GO$3)*(('حجز الإجازات'!$E$5:$E$104)&gt;=GO$3)*('حجز الإجازات'!$G$5:$G$104="معتمد")*ROW('حجز الإجازات'!$B$5:$B$104)))-5+1))</f>
        <v/>
      </c>
      <c r="GP6" s="62">
        <f>IF(SUMPRODUCT(('حجز الإجازات'!$B$5:$B$104='الموظفون'!$B$4)*('حجز الإجازات'!$D$5:$D$104&lt;=GP$3)*(('حجز الإجازات'!$E$5:$E$104)&gt;=GP$3)*('حجز الإجازات'!$G$5:$G$104="معتمد")*ROW('حجز الإجازات'!$B$5:$B$104))=0,IF(GP$3&lt;'الموظفون'!$D$4,"",IF(ISNUMBER(MATCH(GP$3,Holidays,0)),"عطلة",IF(MOD(GP$3-'الموظفون'!$D$4,CycleWork+CycleRest)&lt;CycleWork,INDEX('الإعدادات والقوائم'!$H$2:$H$4,MOD(INT(MOD(GP$3-'الموظفون'!$D$4,CycleWork+CycleRest)*3/CycleWork)+MATCH(StartShift,'الإعدادات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الإجازات'!$D$5:$D$104&lt;=GP$3)*(('حجز الإجازات'!$E$5:$E$104)&gt;=GP$3)*('حجز الإجازات'!$G$5:$G$104="معتمد")*ROW('حجز الإجازات'!$B$5:$B$104)))-5+1))</f>
        <v/>
      </c>
      <c r="GQ6" s="62">
        <f>IF(SUMPRODUCT(('حجز الإجازات'!$B$5:$B$104='الموظفون'!$B$4)*('حجز الإجازات'!$D$5:$D$104&lt;=GQ$3)*(('حجز الإجازات'!$E$5:$E$104)&gt;=GQ$3)*('حجز الإجازات'!$G$5:$G$104="معتمد")*ROW('حجز الإجازات'!$B$5:$B$104))=0,IF(GQ$3&lt;'الموظفون'!$D$4,"",IF(ISNUMBER(MATCH(GQ$3,Holidays,0)),"عطلة",IF(MOD(GQ$3-'الموظفون'!$D$4,CycleWork+CycleRest)&lt;CycleWork,INDEX('الإعدادات والقوائم'!$H$2:$H$4,MOD(INT(MOD(GQ$3-'الموظفون'!$D$4,CycleWork+CycleRest)*3/CycleWork)+MATCH(StartShift,'الإعدادات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الإجازات'!$D$5:$D$104&lt;=GQ$3)*(('حجز الإجازات'!$E$5:$E$104)&gt;=GQ$3)*('حجز الإجازات'!$G$5:$G$104="معتمد")*ROW('حجز الإجازات'!$B$5:$B$104)))-5+1))</f>
        <v/>
      </c>
      <c r="GR6" s="62">
        <f>IF(SUMPRODUCT(('حجز الإجازات'!$B$5:$B$104='الموظفون'!$B$4)*('حجز الإجازات'!$D$5:$D$104&lt;=GR$3)*(('حجز الإجازات'!$E$5:$E$104)&gt;=GR$3)*('حجز الإجازات'!$G$5:$G$104="معتمد")*ROW('حجز الإجازات'!$B$5:$B$104))=0,IF(GR$3&lt;'الموظفون'!$D$4,"",IF(ISNUMBER(MATCH(GR$3,Holidays,0)),"عطلة",IF(MOD(GR$3-'الموظفون'!$D$4,CycleWork+CycleRest)&lt;CycleWork,INDEX('الإعدادات والقوائم'!$H$2:$H$4,MOD(INT(MOD(GR$3-'الموظفون'!$D$4,CycleWork+CycleRest)*3/CycleWork)+MATCH(StartShift,'الإعدادات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الإجازات'!$D$5:$D$104&lt;=GR$3)*(('حجز الإجازات'!$E$5:$E$104)&gt;=GR$3)*('حجز الإجازات'!$G$5:$G$104="معتمد")*ROW('حجز الإجازات'!$B$5:$B$104)))-5+1))</f>
        <v/>
      </c>
      <c r="GS6" s="62">
        <f>IF(SUMPRODUCT(('حجز الإجازات'!$B$5:$B$104='الموظفون'!$B$4)*('حجز الإجازات'!$D$5:$D$104&lt;=GS$3)*(('حجز الإجازات'!$E$5:$E$104)&gt;=GS$3)*('حجز الإجازات'!$G$5:$G$104="معتمد")*ROW('حجز الإجازات'!$B$5:$B$104))=0,IF(GS$3&lt;'الموظفون'!$D$4,"",IF(ISNUMBER(MATCH(GS$3,Holidays,0)),"عطلة",IF(MOD(GS$3-'الموظفون'!$D$4,CycleWork+CycleRest)&lt;CycleWork,INDEX('الإعدادات والقوائم'!$H$2:$H$4,MOD(INT(MOD(GS$3-'الموظفون'!$D$4,CycleWork+CycleRest)*3/CycleWork)+MATCH(StartShift,'الإعدادات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الإجازات'!$D$5:$D$104&lt;=GS$3)*(('حجز الإجازات'!$E$5:$E$104)&gt;=GS$3)*('حجز الإجازات'!$G$5:$G$104="معتمد")*ROW('حجز الإجازات'!$B$5:$B$104)))-5+1))</f>
        <v/>
      </c>
      <c r="GT6" s="62">
        <f>IF(SUMPRODUCT(('حجز الإجازات'!$B$5:$B$104='الموظفون'!$B$4)*('حجز الإجازات'!$D$5:$D$104&lt;=GT$3)*(('حجز الإجازات'!$E$5:$E$104)&gt;=GT$3)*('حجز الإجازات'!$G$5:$G$104="معتمد")*ROW('حجز الإجازات'!$B$5:$B$104))=0,IF(GT$3&lt;'الموظفون'!$D$4,"",IF(ISNUMBER(MATCH(GT$3,Holidays,0)),"عطلة",IF(MOD(GT$3-'الموظفون'!$D$4,CycleWork+CycleRest)&lt;CycleWork,INDEX('الإعدادات والقوائم'!$H$2:$H$4,MOD(INT(MOD(GT$3-'الموظفون'!$D$4,CycleWork+CycleRest)*3/CycleWork)+MATCH(StartShift,'الإعدادات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الإجازات'!$D$5:$D$104&lt;=GT$3)*(('حجز الإجازات'!$E$5:$E$104)&gt;=GT$3)*('حجز الإجازات'!$G$5:$G$104="معتمد")*ROW('حجز الإجازات'!$B$5:$B$104)))-5+1))</f>
        <v/>
      </c>
      <c r="GU6" s="62">
        <f>IF(SUMPRODUCT(('حجز الإجازات'!$B$5:$B$104='الموظفون'!$B$4)*('حجز الإجازات'!$D$5:$D$104&lt;=GU$3)*(('حجز الإجازات'!$E$5:$E$104)&gt;=GU$3)*('حجز الإجازات'!$G$5:$G$104="معتمد")*ROW('حجز الإجازات'!$B$5:$B$104))=0,IF(GU$3&lt;'الموظفون'!$D$4,"",IF(ISNUMBER(MATCH(GU$3,Holidays,0)),"عطلة",IF(MOD(GU$3-'الموظفون'!$D$4,CycleWork+CycleRest)&lt;CycleWork,INDEX('الإعدادات والقوائم'!$H$2:$H$4,MOD(INT(MOD(GU$3-'الموظفون'!$D$4,CycleWork+CycleRest)*3/CycleWork)+MATCH(StartShift,'الإعدادات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الإجازات'!$D$5:$D$104&lt;=GU$3)*(('حجز الإجازات'!$E$5:$E$104)&gt;=GU$3)*('حجز الإجازات'!$G$5:$G$104="معتمد")*ROW('حجز الإجازات'!$B$5:$B$104)))-5+1))</f>
        <v/>
      </c>
      <c r="GV6" s="62">
        <f>IF(SUMPRODUCT(('حجز الإجازات'!$B$5:$B$104='الموظفون'!$B$4)*('حجز الإجازات'!$D$5:$D$104&lt;=GV$3)*(('حجز الإجازات'!$E$5:$E$104)&gt;=GV$3)*('حجز الإجازات'!$G$5:$G$104="معتمد")*ROW('حجز الإجازات'!$B$5:$B$104))=0,IF(GV$3&lt;'الموظفون'!$D$4,"",IF(ISNUMBER(MATCH(GV$3,Holidays,0)),"عطلة",IF(MOD(GV$3-'الموظفون'!$D$4,CycleWork+CycleRest)&lt;CycleWork,INDEX('الإعدادات والقوائم'!$H$2:$H$4,MOD(INT(MOD(GV$3-'الموظفون'!$D$4,CycleWork+CycleRest)*3/CycleWork)+MATCH(StartShift,'الإعدادات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الإجازات'!$D$5:$D$104&lt;=GV$3)*(('حجز الإجازات'!$E$5:$E$104)&gt;=GV$3)*('حجز الإجازات'!$G$5:$G$104="معتمد")*ROW('حجز الإجازات'!$B$5:$B$104)))-5+1))</f>
        <v/>
      </c>
      <c r="GW6" s="62">
        <f>IF(SUMPRODUCT(('حجز الإجازات'!$B$5:$B$104='الموظفون'!$B$4)*('حجز الإجازات'!$D$5:$D$104&lt;=GW$3)*(('حجز الإجازات'!$E$5:$E$104)&gt;=GW$3)*('حجز الإجازات'!$G$5:$G$104="معتمد")*ROW('حجز الإجازات'!$B$5:$B$104))=0,IF(GW$3&lt;'الموظفون'!$D$4,"",IF(ISNUMBER(MATCH(GW$3,Holidays,0)),"عطلة",IF(MOD(GW$3-'الموظفون'!$D$4,CycleWork+CycleRest)&lt;CycleWork,INDEX('الإعدادات والقوائم'!$H$2:$H$4,MOD(INT(MOD(GW$3-'الموظفون'!$D$4,CycleWork+CycleRest)*3/CycleWork)+MATCH(StartShift,'الإعدادات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الإجازات'!$D$5:$D$104&lt;=GW$3)*(('حجز الإجازات'!$E$5:$E$104)&gt;=GW$3)*('حجز الإجازات'!$G$5:$G$104="معتمد")*ROW('حجز الإجازات'!$B$5:$B$104)))-5+1))</f>
        <v/>
      </c>
      <c r="GX6" s="62">
        <f>IF(SUMPRODUCT(('حجز الإجازات'!$B$5:$B$104='الموظفون'!$B$4)*('حجز الإجازات'!$D$5:$D$104&lt;=GX$3)*(('حجز الإجازات'!$E$5:$E$104)&gt;=GX$3)*('حجز الإجازات'!$G$5:$G$104="معتمد")*ROW('حجز الإجازات'!$B$5:$B$104))=0,IF(GX$3&lt;'الموظفون'!$D$4,"",IF(ISNUMBER(MATCH(GX$3,Holidays,0)),"عطلة",IF(MOD(GX$3-'الموظفون'!$D$4,CycleWork+CycleRest)&lt;CycleWork,INDEX('الإعدادات والقوائم'!$H$2:$H$4,MOD(INT(MOD(GX$3-'الموظفون'!$D$4,CycleWork+CycleRest)*3/CycleWork)+MATCH(StartShift,'الإعدادات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الإجازات'!$D$5:$D$104&lt;=GX$3)*(('حجز الإجازات'!$E$5:$E$104)&gt;=GX$3)*('حجز الإجازات'!$G$5:$G$104="معتمد")*ROW('حجز الإجازات'!$B$5:$B$104)))-5+1))</f>
        <v/>
      </c>
      <c r="GY6" s="62">
        <f>IF(SUMPRODUCT(('حجز الإجازات'!$B$5:$B$104='الموظفون'!$B$4)*('حجز الإجازات'!$D$5:$D$104&lt;=GY$3)*(('حجز الإجازات'!$E$5:$E$104)&gt;=GY$3)*('حجز الإجازات'!$G$5:$G$104="معتمد")*ROW('حجز الإجازات'!$B$5:$B$104))=0,IF(GY$3&lt;'الموظفون'!$D$4,"",IF(ISNUMBER(MATCH(GY$3,Holidays,0)),"عطلة",IF(MOD(GY$3-'الموظفون'!$D$4,CycleWork+CycleRest)&lt;CycleWork,INDEX('الإعدادات والقوائم'!$H$2:$H$4,MOD(INT(MOD(GY$3-'الموظفون'!$D$4,CycleWork+CycleRest)*3/CycleWork)+MATCH(StartShift,'الإعدادات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الإجازات'!$D$5:$D$104&lt;=GY$3)*(('حجز الإجازات'!$E$5:$E$104)&gt;=GY$3)*('حجز الإجازات'!$G$5:$G$104="معتمد")*ROW('حجز الإجازات'!$B$5:$B$104)))-5+1))</f>
        <v/>
      </c>
      <c r="GZ6" s="62">
        <f>IF(SUMPRODUCT(('حجز الإجازات'!$B$5:$B$104='الموظفون'!$B$4)*('حجز الإجازات'!$D$5:$D$104&lt;=GZ$3)*(('حجز الإجازات'!$E$5:$E$104)&gt;=GZ$3)*('حجز الإجازات'!$G$5:$G$104="معتمد")*ROW('حجز الإجازات'!$B$5:$B$104))=0,IF(GZ$3&lt;'الموظفون'!$D$4,"",IF(ISNUMBER(MATCH(GZ$3,Holidays,0)),"عطلة",IF(MOD(GZ$3-'الموظفون'!$D$4,CycleWork+CycleRest)&lt;CycleWork,INDEX('الإعدادات والقوائم'!$H$2:$H$4,MOD(INT(MOD(GZ$3-'الموظفون'!$D$4,CycleWork+CycleRest)*3/CycleWork)+MATCH(StartShift,'الإعدادات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الإجازات'!$D$5:$D$104&lt;=GZ$3)*(('حجز الإجازات'!$E$5:$E$104)&gt;=GZ$3)*('حجز الإجازات'!$G$5:$G$104="معتمد")*ROW('حجز الإجازات'!$B$5:$B$104)))-5+1))</f>
        <v/>
      </c>
      <c r="HA6" s="62">
        <f>IF(SUMPRODUCT(('حجز الإجازات'!$B$5:$B$104='الموظفون'!$B$4)*('حجز الإجازات'!$D$5:$D$104&lt;=HA$3)*(('حجز الإجازات'!$E$5:$E$104)&gt;=HA$3)*('حجز الإجازات'!$G$5:$G$104="معتمد")*ROW('حجز الإجازات'!$B$5:$B$104))=0,IF(HA$3&lt;'الموظفون'!$D$4,"",IF(ISNUMBER(MATCH(HA$3,Holidays,0)),"عطلة",IF(MOD(HA$3-'الموظفون'!$D$4,CycleWork+CycleRest)&lt;CycleWork,INDEX('الإعدادات والقوائم'!$H$2:$H$4,MOD(INT(MOD(HA$3-'الموظفون'!$D$4,CycleWork+CycleRest)*3/CycleWork)+MATCH(StartShift,'الإعدادات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الإجازات'!$D$5:$D$104&lt;=HA$3)*(('حجز الإجازات'!$E$5:$E$104)&gt;=HA$3)*('حجز الإجازات'!$G$5:$G$104="معتمد")*ROW('حجز الإجازات'!$B$5:$B$104)))-5+1))</f>
        <v/>
      </c>
      <c r="HB6" s="62">
        <f>IF(SUMPRODUCT(('حجز الإجازات'!$B$5:$B$104='الموظفون'!$B$4)*('حجز الإجازات'!$D$5:$D$104&lt;=HB$3)*(('حجز الإجازات'!$E$5:$E$104)&gt;=HB$3)*('حجز الإجازات'!$G$5:$G$104="معتمد")*ROW('حجز الإجازات'!$B$5:$B$104))=0,IF(HB$3&lt;'الموظفون'!$D$4,"",IF(ISNUMBER(MATCH(HB$3,Holidays,0)),"عطلة",IF(MOD(HB$3-'الموظفون'!$D$4,CycleWork+CycleRest)&lt;CycleWork,INDEX('الإعدادات والقوائم'!$H$2:$H$4,MOD(INT(MOD(HB$3-'الموظفون'!$D$4,CycleWork+CycleRest)*3/CycleWork)+MATCH(StartShift,'الإعدادات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الإجازات'!$D$5:$D$104&lt;=HB$3)*(('حجز الإجازات'!$E$5:$E$104)&gt;=HB$3)*('حجز الإجازات'!$G$5:$G$104="معتمد")*ROW('حجز الإجازات'!$B$5:$B$104)))-5+1))</f>
        <v/>
      </c>
      <c r="HC6" s="62">
        <f>IF(SUMPRODUCT(('حجز الإجازات'!$B$5:$B$104='الموظفون'!$B$4)*('حجز الإجازات'!$D$5:$D$104&lt;=HC$3)*(('حجز الإجازات'!$E$5:$E$104)&gt;=HC$3)*('حجز الإجازات'!$G$5:$G$104="معتمد")*ROW('حجز الإجازات'!$B$5:$B$104))=0,IF(HC$3&lt;'الموظفون'!$D$4,"",IF(ISNUMBER(MATCH(HC$3,Holidays,0)),"عطلة",IF(MOD(HC$3-'الموظفون'!$D$4,CycleWork+CycleRest)&lt;CycleWork,INDEX('الإعدادات والقوائم'!$H$2:$H$4,MOD(INT(MOD(HC$3-'الموظفون'!$D$4,CycleWork+CycleRest)*3/CycleWork)+MATCH(StartShift,'الإعدادات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الإجازات'!$D$5:$D$104&lt;=HC$3)*(('حجز الإجازات'!$E$5:$E$104)&gt;=HC$3)*('حجز الإجازات'!$G$5:$G$104="معتمد")*ROW('حجز الإجازات'!$B$5:$B$104)))-5+1))</f>
        <v/>
      </c>
      <c r="HD6" s="62">
        <f>IF(SUMPRODUCT(('حجز الإجازات'!$B$5:$B$104='الموظفون'!$B$4)*('حجز الإجازات'!$D$5:$D$104&lt;=HD$3)*(('حجز الإجازات'!$E$5:$E$104)&gt;=HD$3)*('حجز الإجازات'!$G$5:$G$104="معتمد")*ROW('حجز الإجازات'!$B$5:$B$104))=0,IF(HD$3&lt;'الموظفون'!$D$4,"",IF(ISNUMBER(MATCH(HD$3,Holidays,0)),"عطلة",IF(MOD(HD$3-'الموظفون'!$D$4,CycleWork+CycleRest)&lt;CycleWork,INDEX('الإعدادات والقوائم'!$H$2:$H$4,MOD(INT(MOD(HD$3-'الموظفون'!$D$4,CycleWork+CycleRest)*3/CycleWork)+MATCH(StartShift,'الإعدادات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الإجازات'!$D$5:$D$104&lt;=HD$3)*(('حجز الإجازات'!$E$5:$E$104)&gt;=HD$3)*('حجز الإجازات'!$G$5:$G$104="معتمد")*ROW('حجز الإجازات'!$B$5:$B$104)))-5+1))</f>
        <v/>
      </c>
      <c r="HE6" s="62">
        <f>IF(SUMPRODUCT(('حجز الإجازات'!$B$5:$B$104='الموظفون'!$B$4)*('حجز الإجازات'!$D$5:$D$104&lt;=HE$3)*(('حجز الإجازات'!$E$5:$E$104)&gt;=HE$3)*('حجز الإجازات'!$G$5:$G$104="معتمد")*ROW('حجز الإجازات'!$B$5:$B$104))=0,IF(HE$3&lt;'الموظفون'!$D$4,"",IF(ISNUMBER(MATCH(HE$3,Holidays,0)),"عطلة",IF(MOD(HE$3-'الموظفون'!$D$4,CycleWork+CycleRest)&lt;CycleWork,INDEX('الإعدادات والقوائم'!$H$2:$H$4,MOD(INT(MOD(HE$3-'الموظفون'!$D$4,CycleWork+CycleRest)*3/CycleWork)+MATCH(StartShift,'الإعدادات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الإجازات'!$D$5:$D$104&lt;=HE$3)*(('حجز الإجازات'!$E$5:$E$104)&gt;=HE$3)*('حجز الإجازات'!$G$5:$G$104="معتمد")*ROW('حجز الإجازات'!$B$5:$B$104)))-5+1))</f>
        <v/>
      </c>
      <c r="HF6" s="62">
        <f>IF(SUMPRODUCT(('حجز الإجازات'!$B$5:$B$104='الموظفون'!$B$4)*('حجز الإجازات'!$D$5:$D$104&lt;=HF$3)*(('حجز الإجازات'!$E$5:$E$104)&gt;=HF$3)*('حجز الإجازات'!$G$5:$G$104="معتمد")*ROW('حجز الإجازات'!$B$5:$B$104))=0,IF(HF$3&lt;'الموظفون'!$D$4,"",IF(ISNUMBER(MATCH(HF$3,Holidays,0)),"عطلة",IF(MOD(HF$3-'الموظفون'!$D$4,CycleWork+CycleRest)&lt;CycleWork,INDEX('الإعدادات والقوائم'!$H$2:$H$4,MOD(INT(MOD(HF$3-'الموظفون'!$D$4,CycleWork+CycleRest)*3/CycleWork)+MATCH(StartShift,'الإعدادات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الإجازات'!$D$5:$D$104&lt;=HF$3)*(('حجز الإجازات'!$E$5:$E$104)&gt;=HF$3)*('حجز الإجازات'!$G$5:$G$104="معتمد")*ROW('حجز الإجازات'!$B$5:$B$104)))-5+1))</f>
        <v/>
      </c>
      <c r="HG6" s="62">
        <f>IF(SUMPRODUCT(('حجز الإجازات'!$B$5:$B$104='الموظفون'!$B$4)*('حجز الإجازات'!$D$5:$D$104&lt;=HG$3)*(('حجز الإجازات'!$E$5:$E$104)&gt;=HG$3)*('حجز الإجازات'!$G$5:$G$104="معتمد")*ROW('حجز الإجازات'!$B$5:$B$104))=0,IF(HG$3&lt;'الموظفون'!$D$4,"",IF(ISNUMBER(MATCH(HG$3,Holidays,0)),"عطلة",IF(MOD(HG$3-'الموظفون'!$D$4,CycleWork+CycleRest)&lt;CycleWork,INDEX('الإعدادات والقوائم'!$H$2:$H$4,MOD(INT(MOD(HG$3-'الموظفون'!$D$4,CycleWork+CycleRest)*3/CycleWork)+MATCH(StartShift,'الإعدادات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الإجازات'!$D$5:$D$104&lt;=HG$3)*(('حجز الإجازات'!$E$5:$E$104)&gt;=HG$3)*('حجز الإجازات'!$G$5:$G$104="معتمد")*ROW('حجز الإجازات'!$B$5:$B$104)))-5+1))</f>
        <v/>
      </c>
      <c r="HH6" s="62">
        <f>IF(SUMPRODUCT(('حجز الإجازات'!$B$5:$B$104='الموظفون'!$B$4)*('حجز الإجازات'!$D$5:$D$104&lt;=HH$3)*(('حجز الإجازات'!$E$5:$E$104)&gt;=HH$3)*('حجز الإجازات'!$G$5:$G$104="معتمد")*ROW('حجز الإجازات'!$B$5:$B$104))=0,IF(HH$3&lt;'الموظفون'!$D$4,"",IF(ISNUMBER(MATCH(HH$3,Holidays,0)),"عطلة",IF(MOD(HH$3-'الموظفون'!$D$4,CycleWork+CycleRest)&lt;CycleWork,INDEX('الإعدادات والقوائم'!$H$2:$H$4,MOD(INT(MOD(HH$3-'الموظفون'!$D$4,CycleWork+CycleRest)*3/CycleWork)+MATCH(StartShift,'الإعدادات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الإجازات'!$D$5:$D$104&lt;=HH$3)*(('حجز الإجازات'!$E$5:$E$104)&gt;=HH$3)*('حجز الإجازات'!$G$5:$G$104="معتمد")*ROW('حجز الإجازات'!$B$5:$B$104)))-5+1))</f>
        <v/>
      </c>
      <c r="HI6" s="62">
        <f>IF(SUMPRODUCT(('حجز الإجازات'!$B$5:$B$104='الموظفون'!$B$4)*('حجز الإجازات'!$D$5:$D$104&lt;=HI$3)*(('حجز الإجازات'!$E$5:$E$104)&gt;=HI$3)*('حجز الإجازات'!$G$5:$G$104="معتمد")*ROW('حجز الإجازات'!$B$5:$B$104))=0,IF(HI$3&lt;'الموظفون'!$D$4,"",IF(ISNUMBER(MATCH(HI$3,Holidays,0)),"عطلة",IF(MOD(HI$3-'الموظفون'!$D$4,CycleWork+CycleRest)&lt;CycleWork,INDEX('الإعدادات والقوائم'!$H$2:$H$4,MOD(INT(MOD(HI$3-'الموظفون'!$D$4,CycleWork+CycleRest)*3/CycleWork)+MATCH(StartShift,'الإعدادات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الإجازات'!$D$5:$D$104&lt;=HI$3)*(('حجز الإجازات'!$E$5:$E$104)&gt;=HI$3)*('حجز الإجازات'!$G$5:$G$104="معتمد")*ROW('حجز الإجازات'!$B$5:$B$104)))-5+1))</f>
        <v/>
      </c>
      <c r="HJ6" s="62">
        <f>IF(SUMPRODUCT(('حجز الإجازات'!$B$5:$B$104='الموظفون'!$B$4)*('حجز الإجازات'!$D$5:$D$104&lt;=HJ$3)*(('حجز الإجازات'!$E$5:$E$104)&gt;=HJ$3)*('حجز الإجازات'!$G$5:$G$104="معتمد")*ROW('حجز الإجازات'!$B$5:$B$104))=0,IF(HJ$3&lt;'الموظفون'!$D$4,"",IF(ISNUMBER(MATCH(HJ$3,Holidays,0)),"عطلة",IF(MOD(HJ$3-'الموظفون'!$D$4,CycleWork+CycleRest)&lt;CycleWork,INDEX('الإعدادات والقوائم'!$H$2:$H$4,MOD(INT(MOD(HJ$3-'الموظفون'!$D$4,CycleWork+CycleRest)*3/CycleWork)+MATCH(StartShift,'الإعدادات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الإجازات'!$D$5:$D$104&lt;=HJ$3)*(('حجز الإجازات'!$E$5:$E$104)&gt;=HJ$3)*('حجز الإجازات'!$G$5:$G$104="معتمد")*ROW('حجز الإجازات'!$B$5:$B$104)))-5+1))</f>
        <v/>
      </c>
      <c r="HK6" s="62">
        <f>IF(SUMPRODUCT(('حجز الإجازات'!$B$5:$B$104='الموظفون'!$B$4)*('حجز الإجازات'!$D$5:$D$104&lt;=HK$3)*(('حجز الإجازات'!$E$5:$E$104)&gt;=HK$3)*('حجز الإجازات'!$G$5:$G$104="معتمد")*ROW('حجز الإجازات'!$B$5:$B$104))=0,IF(HK$3&lt;'الموظفون'!$D$4,"",IF(ISNUMBER(MATCH(HK$3,Holidays,0)),"عطلة",IF(MOD(HK$3-'الموظفون'!$D$4,CycleWork+CycleRest)&lt;CycleWork,INDEX('الإعدادات والقوائم'!$H$2:$H$4,MOD(INT(MOD(HK$3-'الموظفون'!$D$4,CycleWork+CycleRest)*3/CycleWork)+MATCH(StartShift,'الإعدادات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الإجازات'!$D$5:$D$104&lt;=HK$3)*(('حجز الإجازات'!$E$5:$E$104)&gt;=HK$3)*('حجز الإجازات'!$G$5:$G$104="معتمد")*ROW('حجز الإجازات'!$B$5:$B$104)))-5+1))</f>
        <v/>
      </c>
      <c r="HL6" s="62">
        <f>IF(SUMPRODUCT(('حجز الإجازات'!$B$5:$B$104='الموظفون'!$B$4)*('حجز الإجازات'!$D$5:$D$104&lt;=HL$3)*(('حجز الإجازات'!$E$5:$E$104)&gt;=HL$3)*('حجز الإجازات'!$G$5:$G$104="معتمد")*ROW('حجز الإجازات'!$B$5:$B$104))=0,IF(HL$3&lt;'الموظفون'!$D$4,"",IF(ISNUMBER(MATCH(HL$3,Holidays,0)),"عطلة",IF(MOD(HL$3-'الموظفون'!$D$4,CycleWork+CycleRest)&lt;CycleWork,INDEX('الإعدادات والقوائم'!$H$2:$H$4,MOD(INT(MOD(HL$3-'الموظفون'!$D$4,CycleWork+CycleRest)*3/CycleWork)+MATCH(StartShift,'الإعدادات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الإجازات'!$D$5:$D$104&lt;=HL$3)*(('حجز الإجازات'!$E$5:$E$104)&gt;=HL$3)*('حجز الإجازات'!$G$5:$G$104="معتمد")*ROW('حجز الإجازات'!$B$5:$B$104)))-5+1))</f>
        <v/>
      </c>
      <c r="HM6" s="62">
        <f>IF(SUMPRODUCT(('حجز الإجازات'!$B$5:$B$104='الموظفون'!$B$4)*('حجز الإجازات'!$D$5:$D$104&lt;=HM$3)*(('حجز الإجازات'!$E$5:$E$104)&gt;=HM$3)*('حجز الإجازات'!$G$5:$G$104="معتمد")*ROW('حجز الإجازات'!$B$5:$B$104))=0,IF(HM$3&lt;'الموظفون'!$D$4,"",IF(ISNUMBER(MATCH(HM$3,Holidays,0)),"عطلة",IF(MOD(HM$3-'الموظفون'!$D$4,CycleWork+CycleRest)&lt;CycleWork,INDEX('الإعدادات والقوائم'!$H$2:$H$4,MOD(INT(MOD(HM$3-'الموظفون'!$D$4,CycleWork+CycleRest)*3/CycleWork)+MATCH(StartShift,'الإعدادات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الإجازات'!$D$5:$D$104&lt;=HM$3)*(('حجز الإجازات'!$E$5:$E$104)&gt;=HM$3)*('حجز الإجازات'!$G$5:$G$104="معتمد")*ROW('حجز الإجازات'!$B$5:$B$104)))-5+1))</f>
        <v/>
      </c>
      <c r="HN6" s="62">
        <f>IF(SUMPRODUCT(('حجز الإجازات'!$B$5:$B$104='الموظفون'!$B$4)*('حجز الإجازات'!$D$5:$D$104&lt;=HN$3)*(('حجز الإجازات'!$E$5:$E$104)&gt;=HN$3)*('حجز الإجازات'!$G$5:$G$104="معتمد")*ROW('حجز الإجازات'!$B$5:$B$104))=0,IF(HN$3&lt;'الموظفون'!$D$4,"",IF(ISNUMBER(MATCH(HN$3,Holidays,0)),"عطلة",IF(MOD(HN$3-'الموظفون'!$D$4,CycleWork+CycleRest)&lt;CycleWork,INDEX('الإعدادات والقوائم'!$H$2:$H$4,MOD(INT(MOD(HN$3-'الموظفون'!$D$4,CycleWork+CycleRest)*3/CycleWork)+MATCH(StartShift,'الإعدادات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الإجازات'!$D$5:$D$104&lt;=HN$3)*(('حجز الإجازات'!$E$5:$E$104)&gt;=HN$3)*('حجز الإجازات'!$G$5:$G$104="معتمد")*ROW('حجز الإجازات'!$B$5:$B$104)))-5+1))</f>
        <v/>
      </c>
      <c r="HO6" s="62">
        <f>IF(SUMPRODUCT(('حجز الإجازات'!$B$5:$B$104='الموظفون'!$B$4)*('حجز الإجازات'!$D$5:$D$104&lt;=HO$3)*(('حجز الإجازات'!$E$5:$E$104)&gt;=HO$3)*('حجز الإجازات'!$G$5:$G$104="معتمد")*ROW('حجز الإجازات'!$B$5:$B$104))=0,IF(HO$3&lt;'الموظفون'!$D$4,"",IF(ISNUMBER(MATCH(HO$3,Holidays,0)),"عطلة",IF(MOD(HO$3-'الموظفون'!$D$4,CycleWork+CycleRest)&lt;CycleWork,INDEX('الإعدادات والقوائم'!$H$2:$H$4,MOD(INT(MOD(HO$3-'الموظفون'!$D$4,CycleWork+CycleRest)*3/CycleWork)+MATCH(StartShift,'الإعدادات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الإجازات'!$D$5:$D$104&lt;=HO$3)*(('حجز الإجازات'!$E$5:$E$104)&gt;=HO$3)*('حجز الإجازات'!$G$5:$G$104="معتمد")*ROW('حجز الإجازات'!$B$5:$B$104)))-5+1))</f>
        <v/>
      </c>
      <c r="HP6" s="62">
        <f>IF(SUMPRODUCT(('حجز الإجازات'!$B$5:$B$104='الموظفون'!$B$4)*('حجز الإجازات'!$D$5:$D$104&lt;=HP$3)*(('حجز الإجازات'!$E$5:$E$104)&gt;=HP$3)*('حجز الإجازات'!$G$5:$G$104="معتمد")*ROW('حجز الإجازات'!$B$5:$B$104))=0,IF(HP$3&lt;'الموظفون'!$D$4,"",IF(ISNUMBER(MATCH(HP$3,Holidays,0)),"عطلة",IF(MOD(HP$3-'الموظفون'!$D$4,CycleWork+CycleRest)&lt;CycleWork,INDEX('الإعدادات والقوائم'!$H$2:$H$4,MOD(INT(MOD(HP$3-'الموظفون'!$D$4,CycleWork+CycleRest)*3/CycleWork)+MATCH(StartShift,'الإعدادات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الإجازات'!$D$5:$D$104&lt;=HP$3)*(('حجز الإجازات'!$E$5:$E$104)&gt;=HP$3)*('حجز الإجازات'!$G$5:$G$104="معتمد")*ROW('حجز الإجازات'!$B$5:$B$104)))-5+1))</f>
        <v/>
      </c>
      <c r="HQ6" s="62">
        <f>IF(SUMPRODUCT(('حجز الإجازات'!$B$5:$B$104='الموظفون'!$B$4)*('حجز الإجازات'!$D$5:$D$104&lt;=HQ$3)*(('حجز الإجازات'!$E$5:$E$104)&gt;=HQ$3)*('حجز الإجازات'!$G$5:$G$104="معتمد")*ROW('حجز الإجازات'!$B$5:$B$104))=0,IF(HQ$3&lt;'الموظفون'!$D$4,"",IF(ISNUMBER(MATCH(HQ$3,Holidays,0)),"عطلة",IF(MOD(HQ$3-'الموظفون'!$D$4,CycleWork+CycleRest)&lt;CycleWork,INDEX('الإعدادات والقوائم'!$H$2:$H$4,MOD(INT(MOD(HQ$3-'الموظفون'!$D$4,CycleWork+CycleRest)*3/CycleWork)+MATCH(StartShift,'الإعدادات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الإجازات'!$D$5:$D$104&lt;=HQ$3)*(('حجز الإجازات'!$E$5:$E$104)&gt;=HQ$3)*('حجز الإجازات'!$G$5:$G$104="معتمد")*ROW('حجز الإجازات'!$B$5:$B$104)))-5+1))</f>
        <v/>
      </c>
      <c r="HR6" s="62">
        <f>IF(SUMPRODUCT(('حجز الإجازات'!$B$5:$B$104='الموظفون'!$B$4)*('حجز الإجازات'!$D$5:$D$104&lt;=HR$3)*(('حجز الإجازات'!$E$5:$E$104)&gt;=HR$3)*('حجز الإجازات'!$G$5:$G$104="معتمد")*ROW('حجز الإجازات'!$B$5:$B$104))=0,IF(HR$3&lt;'الموظفون'!$D$4,"",IF(ISNUMBER(MATCH(HR$3,Holidays,0)),"عطلة",IF(MOD(HR$3-'الموظفون'!$D$4,CycleWork+CycleRest)&lt;CycleWork,INDEX('الإعدادات والقوائم'!$H$2:$H$4,MOD(INT(MOD(HR$3-'الموظفون'!$D$4,CycleWork+CycleRest)*3/CycleWork)+MATCH(StartShift,'الإعدادات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الإجازات'!$D$5:$D$104&lt;=HR$3)*(('حجز الإجازات'!$E$5:$E$104)&gt;=HR$3)*('حجز الإجازات'!$G$5:$G$104="معتمد")*ROW('حجز الإجازات'!$B$5:$B$104)))-5+1))</f>
        <v/>
      </c>
      <c r="HS6" s="62">
        <f>IF(SUMPRODUCT(('حجز الإجازات'!$B$5:$B$104='الموظفون'!$B$4)*('حجز الإجازات'!$D$5:$D$104&lt;=HS$3)*(('حجز الإجازات'!$E$5:$E$104)&gt;=HS$3)*('حجز الإجازات'!$G$5:$G$104="معتمد")*ROW('حجز الإجازات'!$B$5:$B$104))=0,IF(HS$3&lt;'الموظفون'!$D$4,"",IF(ISNUMBER(MATCH(HS$3,Holidays,0)),"عطلة",IF(MOD(HS$3-'الموظفون'!$D$4,CycleWork+CycleRest)&lt;CycleWork,INDEX('الإعدادات والقوائم'!$H$2:$H$4,MOD(INT(MOD(HS$3-'الموظفون'!$D$4,CycleWork+CycleRest)*3/CycleWork)+MATCH(StartShift,'الإعدادات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الإجازات'!$D$5:$D$104&lt;=HS$3)*(('حجز الإجازات'!$E$5:$E$104)&gt;=HS$3)*('حجز الإجازات'!$G$5:$G$104="معتمد")*ROW('حجز الإجازات'!$B$5:$B$104)))-5+1))</f>
        <v/>
      </c>
      <c r="HT6" s="62">
        <f>IF(SUMPRODUCT(('حجز الإجازات'!$B$5:$B$104='الموظفون'!$B$4)*('حجز الإجازات'!$D$5:$D$104&lt;=HT$3)*(('حجز الإجازات'!$E$5:$E$104)&gt;=HT$3)*('حجز الإجازات'!$G$5:$G$104="معتمد")*ROW('حجز الإجازات'!$B$5:$B$104))=0,IF(HT$3&lt;'الموظفون'!$D$4,"",IF(ISNUMBER(MATCH(HT$3,Holidays,0)),"عطلة",IF(MOD(HT$3-'الموظفون'!$D$4,CycleWork+CycleRest)&lt;CycleWork,INDEX('الإعدادات والقوائم'!$H$2:$H$4,MOD(INT(MOD(HT$3-'الموظفون'!$D$4,CycleWork+CycleRest)*3/CycleWork)+MATCH(StartShift,'الإعدادات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الإجازات'!$D$5:$D$104&lt;=HT$3)*(('حجز الإجازات'!$E$5:$E$104)&gt;=HT$3)*('حجز الإجازات'!$G$5:$G$104="معتمد")*ROW('حجز الإجازات'!$B$5:$B$104)))-5+1))</f>
        <v/>
      </c>
      <c r="HU6" s="62">
        <f>IF(SUMPRODUCT(('حجز الإجازات'!$B$5:$B$104='الموظفون'!$B$4)*('حجز الإجازات'!$D$5:$D$104&lt;=HU$3)*(('حجز الإجازات'!$E$5:$E$104)&gt;=HU$3)*('حجز الإجازات'!$G$5:$G$104="معتمد")*ROW('حجز الإجازات'!$B$5:$B$104))=0,IF(HU$3&lt;'الموظفون'!$D$4,"",IF(ISNUMBER(MATCH(HU$3,Holidays,0)),"عطلة",IF(MOD(HU$3-'الموظفون'!$D$4,CycleWork+CycleRest)&lt;CycleWork,INDEX('الإعدادات والقوائم'!$H$2:$H$4,MOD(INT(MOD(HU$3-'الموظفون'!$D$4,CycleWork+CycleRest)*3/CycleWork)+MATCH(StartShift,'الإعدادات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الإجازات'!$D$5:$D$104&lt;=HU$3)*(('حجز الإجازات'!$E$5:$E$104)&gt;=HU$3)*('حجز الإجازات'!$G$5:$G$104="معتمد")*ROW('حجز الإجازات'!$B$5:$B$104)))-5+1))</f>
        <v/>
      </c>
      <c r="HV6" s="62">
        <f>IF(SUMPRODUCT(('حجز الإجازات'!$B$5:$B$104='الموظفون'!$B$4)*('حجز الإجازات'!$D$5:$D$104&lt;=HV$3)*(('حجز الإجازات'!$E$5:$E$104)&gt;=HV$3)*('حجز الإجازات'!$G$5:$G$104="معتمد")*ROW('حجز الإجازات'!$B$5:$B$104))=0,IF(HV$3&lt;'الموظفون'!$D$4,"",IF(ISNUMBER(MATCH(HV$3,Holidays,0)),"عطلة",IF(MOD(HV$3-'الموظفون'!$D$4,CycleWork+CycleRest)&lt;CycleWork,INDEX('الإعدادات والقوائم'!$H$2:$H$4,MOD(INT(MOD(HV$3-'الموظفون'!$D$4,CycleWork+CycleRest)*3/CycleWork)+MATCH(StartShift,'الإعدادات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الإجازات'!$D$5:$D$104&lt;=HV$3)*(('حجز الإجازات'!$E$5:$E$104)&gt;=HV$3)*('حجز الإجازات'!$G$5:$G$104="معتمد")*ROW('حجز الإجازات'!$B$5:$B$104)))-5+1))</f>
        <v/>
      </c>
      <c r="HW6" s="62">
        <f>IF(SUMPRODUCT(('حجز الإجازات'!$B$5:$B$104='الموظفون'!$B$4)*('حجز الإجازات'!$D$5:$D$104&lt;=HW$3)*(('حجز الإجازات'!$E$5:$E$104)&gt;=HW$3)*('حجز الإجازات'!$G$5:$G$104="معتمد")*ROW('حجز الإجازات'!$B$5:$B$104))=0,IF(HW$3&lt;'الموظفون'!$D$4,"",IF(ISNUMBER(MATCH(HW$3,Holidays,0)),"عطلة",IF(MOD(HW$3-'الموظفون'!$D$4,CycleWork+CycleRest)&lt;CycleWork,INDEX('الإعدادات والقوائم'!$H$2:$H$4,MOD(INT(MOD(HW$3-'الموظفون'!$D$4,CycleWork+CycleRest)*3/CycleWork)+MATCH(StartShift,'الإعدادات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الإجازات'!$D$5:$D$104&lt;=HW$3)*(('حجز الإجازات'!$E$5:$E$104)&gt;=HW$3)*('حجز الإجازات'!$G$5:$G$104="معتمد")*ROW('حجز الإجازات'!$B$5:$B$104)))-5+1))</f>
        <v/>
      </c>
      <c r="HX6" s="62">
        <f>IF(SUMPRODUCT(('حجز الإجازات'!$B$5:$B$104='الموظفون'!$B$4)*('حجز الإجازات'!$D$5:$D$104&lt;=HX$3)*(('حجز الإجازات'!$E$5:$E$104)&gt;=HX$3)*('حجز الإجازات'!$G$5:$G$104="معتمد")*ROW('حجز الإجازات'!$B$5:$B$104))=0,IF(HX$3&lt;'الموظفون'!$D$4,"",IF(ISNUMBER(MATCH(HX$3,Holidays,0)),"عطلة",IF(MOD(HX$3-'الموظفون'!$D$4,CycleWork+CycleRest)&lt;CycleWork,INDEX('الإعدادات والقوائم'!$H$2:$H$4,MOD(INT(MOD(HX$3-'الموظفون'!$D$4,CycleWork+CycleRest)*3/CycleWork)+MATCH(StartShift,'الإعدادات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الإجازات'!$D$5:$D$104&lt;=HX$3)*(('حجز الإجازات'!$E$5:$E$104)&gt;=HX$3)*('حجز الإجازات'!$G$5:$G$104="معتمد")*ROW('حجز الإجازات'!$B$5:$B$104)))-5+1))</f>
        <v/>
      </c>
      <c r="HY6" s="62">
        <f>IF(SUMPRODUCT(('حجز الإجازات'!$B$5:$B$104='الموظفون'!$B$4)*('حجز الإجازات'!$D$5:$D$104&lt;=HY$3)*(('حجز الإجازات'!$E$5:$E$104)&gt;=HY$3)*('حجز الإجازات'!$G$5:$G$104="معتمد")*ROW('حجز الإجازات'!$B$5:$B$104))=0,IF(HY$3&lt;'الموظفون'!$D$4,"",IF(ISNUMBER(MATCH(HY$3,Holidays,0)),"عطلة",IF(MOD(HY$3-'الموظفون'!$D$4,CycleWork+CycleRest)&lt;CycleWork,INDEX('الإعدادات والقوائم'!$H$2:$H$4,MOD(INT(MOD(HY$3-'الموظفون'!$D$4,CycleWork+CycleRest)*3/CycleWork)+MATCH(StartShift,'الإعدادات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الإجازات'!$D$5:$D$104&lt;=HY$3)*(('حجز الإجازات'!$E$5:$E$104)&gt;=HY$3)*('حجز الإجازات'!$G$5:$G$104="معتمد")*ROW('حجز الإجازات'!$B$5:$B$104)))-5+1))</f>
        <v/>
      </c>
      <c r="HZ6" s="62">
        <f>IF(SUMPRODUCT(('حجز الإجازات'!$B$5:$B$104='الموظفون'!$B$4)*('حجز الإجازات'!$D$5:$D$104&lt;=HZ$3)*(('حجز الإجازات'!$E$5:$E$104)&gt;=HZ$3)*('حجز الإجازات'!$G$5:$G$104="معتمد")*ROW('حجز الإجازات'!$B$5:$B$104))=0,IF(HZ$3&lt;'الموظفون'!$D$4,"",IF(ISNUMBER(MATCH(HZ$3,Holidays,0)),"عطلة",IF(MOD(HZ$3-'الموظفون'!$D$4,CycleWork+CycleRest)&lt;CycleWork,INDEX('الإعدادات والقوائم'!$H$2:$H$4,MOD(INT(MOD(HZ$3-'الموظفون'!$D$4,CycleWork+CycleRest)*3/CycleWork)+MATCH(StartShift,'الإعدادات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الإجازات'!$D$5:$D$104&lt;=HZ$3)*(('حجز الإجازات'!$E$5:$E$104)&gt;=HZ$3)*('حجز الإجازات'!$G$5:$G$104="معتمد")*ROW('حجز الإجازات'!$B$5:$B$104)))-5+1))</f>
        <v/>
      </c>
      <c r="IA6" s="62">
        <f>IF(SUMPRODUCT(('حجز الإجازات'!$B$5:$B$104='الموظفون'!$B$4)*('حجز الإجازات'!$D$5:$D$104&lt;=IA$3)*(('حجز الإجازات'!$E$5:$E$104)&gt;=IA$3)*('حجز الإجازات'!$G$5:$G$104="معتمد")*ROW('حجز الإجازات'!$B$5:$B$104))=0,IF(IA$3&lt;'الموظفون'!$D$4,"",IF(ISNUMBER(MATCH(IA$3,Holidays,0)),"عطلة",IF(MOD(IA$3-'الموظفون'!$D$4,CycleWork+CycleRest)&lt;CycleWork,INDEX('الإعدادات والقوائم'!$H$2:$H$4,MOD(INT(MOD(IA$3-'الموظفون'!$D$4,CycleWork+CycleRest)*3/CycleWork)+MATCH(StartShift,'الإعدادات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الإجازات'!$D$5:$D$104&lt;=IA$3)*(('حجز الإجازات'!$E$5:$E$104)&gt;=IA$3)*('حجز الإجازات'!$G$5:$G$104="معتمد")*ROW('حجز الإجازات'!$B$5:$B$104)))-5+1))</f>
        <v/>
      </c>
      <c r="IB6" s="62">
        <f>IF(SUMPRODUCT(('حجز الإجازات'!$B$5:$B$104='الموظفون'!$B$4)*('حجز الإجازات'!$D$5:$D$104&lt;=IB$3)*(('حجز الإجازات'!$E$5:$E$104)&gt;=IB$3)*('حجز الإجازات'!$G$5:$G$104="معتمد")*ROW('حجز الإجازات'!$B$5:$B$104))=0,IF(IB$3&lt;'الموظفون'!$D$4,"",IF(ISNUMBER(MATCH(IB$3,Holidays,0)),"عطلة",IF(MOD(IB$3-'الموظفون'!$D$4,CycleWork+CycleRest)&lt;CycleWork,INDEX('الإعدادات والقوائم'!$H$2:$H$4,MOD(INT(MOD(IB$3-'الموظفون'!$D$4,CycleWork+CycleRest)*3/CycleWork)+MATCH(StartShift,'الإعدادات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الإجازات'!$D$5:$D$104&lt;=IB$3)*(('حجز الإجازات'!$E$5:$E$104)&gt;=IB$3)*('حجز الإجازات'!$G$5:$G$104="معتمد")*ROW('حجز الإجازات'!$B$5:$B$104)))-5+1))</f>
        <v/>
      </c>
      <c r="IC6" s="62">
        <f>IF(SUMPRODUCT(('حجز الإجازات'!$B$5:$B$104='الموظفون'!$B$4)*('حجز الإجازات'!$D$5:$D$104&lt;=IC$3)*(('حجز الإجازات'!$E$5:$E$104)&gt;=IC$3)*('حجز الإجازات'!$G$5:$G$104="معتمد")*ROW('حجز الإجازات'!$B$5:$B$104))=0,IF(IC$3&lt;'الموظفون'!$D$4,"",IF(ISNUMBER(MATCH(IC$3,Holidays,0)),"عطلة",IF(MOD(IC$3-'الموظفون'!$D$4,CycleWork+CycleRest)&lt;CycleWork,INDEX('الإعدادات والقوائم'!$H$2:$H$4,MOD(INT(MOD(IC$3-'الموظفون'!$D$4,CycleWork+CycleRest)*3/CycleWork)+MATCH(StartShift,'الإعدادات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الإجازات'!$D$5:$D$104&lt;=IC$3)*(('حجز الإجازات'!$E$5:$E$104)&gt;=IC$3)*('حجز الإجازات'!$G$5:$G$104="معتمد")*ROW('حجز الإجازات'!$B$5:$B$104)))-5+1))</f>
        <v/>
      </c>
      <c r="ID6" s="62">
        <f>IF(SUMPRODUCT(('حجز الإجازات'!$B$5:$B$104='الموظفون'!$B$4)*('حجز الإجازات'!$D$5:$D$104&lt;=ID$3)*(('حجز الإجازات'!$E$5:$E$104)&gt;=ID$3)*('حجز الإجازات'!$G$5:$G$104="معتمد")*ROW('حجز الإجازات'!$B$5:$B$104))=0,IF(ID$3&lt;'الموظفون'!$D$4,"",IF(ISNUMBER(MATCH(ID$3,Holidays,0)),"عطلة",IF(MOD(ID$3-'الموظفون'!$D$4,CycleWork+CycleRest)&lt;CycleWork,INDEX('الإعدادات والقوائم'!$H$2:$H$4,MOD(INT(MOD(ID$3-'الموظفون'!$D$4,CycleWork+CycleRest)*3/CycleWork)+MATCH(StartShift,'الإعدادات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الإجازات'!$D$5:$D$104&lt;=ID$3)*(('حجز الإجازات'!$E$5:$E$104)&gt;=ID$3)*('حجز الإجازات'!$G$5:$G$104="معتمد")*ROW('حجز الإجازات'!$B$5:$B$104)))-5+1))</f>
        <v/>
      </c>
      <c r="IE6" s="62">
        <f>IF(SUMPRODUCT(('حجز الإجازات'!$B$5:$B$104='الموظفون'!$B$4)*('حجز الإجازات'!$D$5:$D$104&lt;=IE$3)*(('حجز الإجازات'!$E$5:$E$104)&gt;=IE$3)*('حجز الإجازات'!$G$5:$G$104="معتمد")*ROW('حجز الإجازات'!$B$5:$B$104))=0,IF(IE$3&lt;'الموظفون'!$D$4,"",IF(ISNUMBER(MATCH(IE$3,Holidays,0)),"عطلة",IF(MOD(IE$3-'الموظفون'!$D$4,CycleWork+CycleRest)&lt;CycleWork,INDEX('الإعدادات والقوائم'!$H$2:$H$4,MOD(INT(MOD(IE$3-'الموظفون'!$D$4,CycleWork+CycleRest)*3/CycleWork)+MATCH(StartShift,'الإعدادات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الإجازات'!$D$5:$D$104&lt;=IE$3)*(('حجز الإجازات'!$E$5:$E$104)&gt;=IE$3)*('حجز الإجازات'!$G$5:$G$104="معتمد")*ROW('حجز الإجازات'!$B$5:$B$104)))-5+1))</f>
        <v/>
      </c>
      <c r="IF6" s="62">
        <f>IF(SUMPRODUCT(('حجز الإجازات'!$B$5:$B$104='الموظفون'!$B$4)*('حجز الإجازات'!$D$5:$D$104&lt;=IF$3)*(('حجز الإجازات'!$E$5:$E$104)&gt;=IF$3)*('حجز الإجازات'!$G$5:$G$104="معتمد")*ROW('حجز الإجازات'!$B$5:$B$104))=0,IF(IF$3&lt;'الموظفون'!$D$4,"",IF(ISNUMBER(MATCH(IF$3,Holidays,0)),"عطلة",IF(MOD(IF$3-'الموظفون'!$D$4,CycleWork+CycleRest)&lt;CycleWork,INDEX('الإعدادات والقوائم'!$H$2:$H$4,MOD(INT(MOD(IF$3-'الموظفون'!$D$4,CycleWork+CycleRest)*3/CycleWork)+MATCH(StartShift,'الإعدادات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الإجازات'!$D$5:$D$104&lt;=IF$3)*(('حجز الإجازات'!$E$5:$E$104)&gt;=IF$3)*('حجز الإجازات'!$G$5:$G$104="معتمد")*ROW('حجز الإجازات'!$B$5:$B$104)))-5+1))</f>
        <v/>
      </c>
      <c r="IG6" s="62">
        <f>IF(SUMPRODUCT(('حجز الإجازات'!$B$5:$B$104='الموظفون'!$B$4)*('حجز الإجازات'!$D$5:$D$104&lt;=IG$3)*(('حجز الإجازات'!$E$5:$E$104)&gt;=IG$3)*('حجز الإجازات'!$G$5:$G$104="معتمد")*ROW('حجز الإجازات'!$B$5:$B$104))=0,IF(IG$3&lt;'الموظفون'!$D$4,"",IF(ISNUMBER(MATCH(IG$3,Holidays,0)),"عطلة",IF(MOD(IG$3-'الموظفون'!$D$4,CycleWork+CycleRest)&lt;CycleWork,INDEX('الإعدادات والقوائم'!$H$2:$H$4,MOD(INT(MOD(IG$3-'الموظفون'!$D$4,CycleWork+CycleRest)*3/CycleWork)+MATCH(StartShift,'الإعدادات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الإجازات'!$D$5:$D$104&lt;=IG$3)*(('حجز الإجازات'!$E$5:$E$104)&gt;=IG$3)*('حجز الإجازات'!$G$5:$G$104="معتمد")*ROW('حجز الإجازات'!$B$5:$B$104)))-5+1))</f>
        <v/>
      </c>
      <c r="IH6" s="62">
        <f>IF(SUMPRODUCT(('حجز الإجازات'!$B$5:$B$104='الموظفون'!$B$4)*('حجز الإجازات'!$D$5:$D$104&lt;=IH$3)*(('حجز الإجازات'!$E$5:$E$104)&gt;=IH$3)*('حجز الإجازات'!$G$5:$G$104="معتمد")*ROW('حجز الإجازات'!$B$5:$B$104))=0,IF(IH$3&lt;'الموظفون'!$D$4,"",IF(ISNUMBER(MATCH(IH$3,Holidays,0)),"عطلة",IF(MOD(IH$3-'الموظفون'!$D$4,CycleWork+CycleRest)&lt;CycleWork,INDEX('الإعدادات والقوائم'!$H$2:$H$4,MOD(INT(MOD(IH$3-'الموظفون'!$D$4,CycleWork+CycleRest)*3/CycleWork)+MATCH(StartShift,'الإعدادات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الإجازات'!$D$5:$D$104&lt;=IH$3)*(('حجز الإجازات'!$E$5:$E$104)&gt;=IH$3)*('حجز الإجازات'!$G$5:$G$104="معتمد")*ROW('حجز الإجازات'!$B$5:$B$104)))-5+1))</f>
        <v/>
      </c>
      <c r="II6" s="62">
        <f>IF(SUMPRODUCT(('حجز الإجازات'!$B$5:$B$104='الموظفون'!$B$4)*('حجز الإجازات'!$D$5:$D$104&lt;=II$3)*(('حجز الإجازات'!$E$5:$E$104)&gt;=II$3)*('حجز الإجازات'!$G$5:$G$104="معتمد")*ROW('حجز الإجازات'!$B$5:$B$104))=0,IF(II$3&lt;'الموظفون'!$D$4,"",IF(ISNUMBER(MATCH(II$3,Holidays,0)),"عطلة",IF(MOD(II$3-'الموظفون'!$D$4,CycleWork+CycleRest)&lt;CycleWork,INDEX('الإعدادات والقوائم'!$H$2:$H$4,MOD(INT(MOD(II$3-'الموظفون'!$D$4,CycleWork+CycleRest)*3/CycleWork)+MATCH(StartShift,'الإعدادات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الإجازات'!$D$5:$D$104&lt;=II$3)*(('حجز الإجازات'!$E$5:$E$104)&gt;=II$3)*('حجز الإجازات'!$G$5:$G$104="معتمد")*ROW('حجز الإجازات'!$B$5:$B$104)))-5+1))</f>
        <v/>
      </c>
      <c r="IJ6" s="62">
        <f>IF(SUMPRODUCT(('حجز الإجازات'!$B$5:$B$104='الموظفون'!$B$4)*('حجز الإجازات'!$D$5:$D$104&lt;=IJ$3)*(('حجز الإجازات'!$E$5:$E$104)&gt;=IJ$3)*('حجز الإجازات'!$G$5:$G$104="معتمد")*ROW('حجز الإجازات'!$B$5:$B$104))=0,IF(IJ$3&lt;'الموظفون'!$D$4,"",IF(ISNUMBER(MATCH(IJ$3,Holidays,0)),"عطلة",IF(MOD(IJ$3-'الموظفون'!$D$4,CycleWork+CycleRest)&lt;CycleWork,INDEX('الإعدادات والقوائم'!$H$2:$H$4,MOD(INT(MOD(IJ$3-'الموظفون'!$D$4,CycleWork+CycleRest)*3/CycleWork)+MATCH(StartShift,'الإعدادات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الإجازات'!$D$5:$D$104&lt;=IJ$3)*(('حجز الإجازات'!$E$5:$E$104)&gt;=IJ$3)*('حجز الإجازات'!$G$5:$G$104="معتمد")*ROW('حجز الإجازات'!$B$5:$B$104)))-5+1))</f>
        <v/>
      </c>
      <c r="IK6" s="62">
        <f>IF(SUMPRODUCT(('حجز الإجازات'!$B$5:$B$104='الموظفون'!$B$4)*('حجز الإجازات'!$D$5:$D$104&lt;=IK$3)*(('حجز الإجازات'!$E$5:$E$104)&gt;=IK$3)*('حجز الإجازات'!$G$5:$G$104="معتمد")*ROW('حجز الإجازات'!$B$5:$B$104))=0,IF(IK$3&lt;'الموظفون'!$D$4,"",IF(ISNUMBER(MATCH(IK$3,Holidays,0)),"عطلة",IF(MOD(IK$3-'الموظفون'!$D$4,CycleWork+CycleRest)&lt;CycleWork,INDEX('الإعدادات والقوائم'!$H$2:$H$4,MOD(INT(MOD(IK$3-'الموظفون'!$D$4,CycleWork+CycleRest)*3/CycleWork)+MATCH(StartShift,'الإعدادات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الإجازات'!$D$5:$D$104&lt;=IK$3)*(('حجز الإجازات'!$E$5:$E$104)&gt;=IK$3)*('حجز الإجازات'!$G$5:$G$104="معتمد")*ROW('حجز الإجازات'!$B$5:$B$104)))-5+1))</f>
        <v/>
      </c>
      <c r="IL6" s="62">
        <f>IF(SUMPRODUCT(('حجز الإجازات'!$B$5:$B$104='الموظفون'!$B$4)*('حجز الإجازات'!$D$5:$D$104&lt;=IL$3)*(('حجز الإجازات'!$E$5:$E$104)&gt;=IL$3)*('حجز الإجازات'!$G$5:$G$104="معتمد")*ROW('حجز الإجازات'!$B$5:$B$104))=0,IF(IL$3&lt;'الموظفون'!$D$4,"",IF(ISNUMBER(MATCH(IL$3,Holidays,0)),"عطلة",IF(MOD(IL$3-'الموظفون'!$D$4,CycleWork+CycleRest)&lt;CycleWork,INDEX('الإعدادات والقوائم'!$H$2:$H$4,MOD(INT(MOD(IL$3-'الموظفون'!$D$4,CycleWork+CycleRest)*3/CycleWork)+MATCH(StartShift,'الإعدادات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الإجازات'!$D$5:$D$104&lt;=IL$3)*(('حجز الإجازات'!$E$5:$E$104)&gt;=IL$3)*('حجز الإجازات'!$G$5:$G$104="معتمد")*ROW('حجز الإجازات'!$B$5:$B$104)))-5+1))</f>
        <v/>
      </c>
      <c r="IM6" s="62">
        <f>IF(SUMPRODUCT(('حجز الإجازات'!$B$5:$B$104='الموظفون'!$B$4)*('حجز الإجازات'!$D$5:$D$104&lt;=IM$3)*(('حجز الإجازات'!$E$5:$E$104)&gt;=IM$3)*('حجز الإجازات'!$G$5:$G$104="معتمد")*ROW('حجز الإجازات'!$B$5:$B$104))=0,IF(IM$3&lt;'الموظفون'!$D$4,"",IF(ISNUMBER(MATCH(IM$3,Holidays,0)),"عطلة",IF(MOD(IM$3-'الموظفون'!$D$4,CycleWork+CycleRest)&lt;CycleWork,INDEX('الإعدادات والقوائم'!$H$2:$H$4,MOD(INT(MOD(IM$3-'الموظفون'!$D$4,CycleWork+CycleRest)*3/CycleWork)+MATCH(StartShift,'الإعدادات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الإجازات'!$D$5:$D$104&lt;=IM$3)*(('حجز الإجازات'!$E$5:$E$104)&gt;=IM$3)*('حجز الإجازات'!$G$5:$G$104="معتمد")*ROW('حجز الإجازات'!$B$5:$B$104)))-5+1))</f>
        <v/>
      </c>
      <c r="IN6" s="62">
        <f>IF(SUMPRODUCT(('حجز الإجازات'!$B$5:$B$104='الموظفون'!$B$4)*('حجز الإجازات'!$D$5:$D$104&lt;=IN$3)*(('حجز الإجازات'!$E$5:$E$104)&gt;=IN$3)*('حجز الإجازات'!$G$5:$G$104="معتمد")*ROW('حجز الإجازات'!$B$5:$B$104))=0,IF(IN$3&lt;'الموظفون'!$D$4,"",IF(ISNUMBER(MATCH(IN$3,Holidays,0)),"عطلة",IF(MOD(IN$3-'الموظفون'!$D$4,CycleWork+CycleRest)&lt;CycleWork,INDEX('الإعدادات والقوائم'!$H$2:$H$4,MOD(INT(MOD(IN$3-'الموظفون'!$D$4,CycleWork+CycleRest)*3/CycleWork)+MATCH(StartShift,'الإعدادات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الإجازات'!$D$5:$D$104&lt;=IN$3)*(('حجز الإجازات'!$E$5:$E$104)&gt;=IN$3)*('حجز الإجازات'!$G$5:$G$104="معتمد")*ROW('حجز الإجازات'!$B$5:$B$104)))-5+1))</f>
        <v/>
      </c>
      <c r="IO6" s="62">
        <f>IF(SUMPRODUCT(('حجز الإجازات'!$B$5:$B$104='الموظفون'!$B$4)*('حجز الإجازات'!$D$5:$D$104&lt;=IO$3)*(('حجز الإجازات'!$E$5:$E$104)&gt;=IO$3)*('حجز الإجازات'!$G$5:$G$104="معتمد")*ROW('حجز الإجازات'!$B$5:$B$104))=0,IF(IO$3&lt;'الموظفون'!$D$4,"",IF(ISNUMBER(MATCH(IO$3,Holidays,0)),"عطلة",IF(MOD(IO$3-'الموظفون'!$D$4,CycleWork+CycleRest)&lt;CycleWork,INDEX('الإعدادات والقوائم'!$H$2:$H$4,MOD(INT(MOD(IO$3-'الموظفون'!$D$4,CycleWork+CycleRest)*3/CycleWork)+MATCH(StartShift,'الإعدادات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الإجازات'!$D$5:$D$104&lt;=IO$3)*(('حجز الإجازات'!$E$5:$E$104)&gt;=IO$3)*('حجز الإجازات'!$G$5:$G$104="معتمد")*ROW('حجز الإجازات'!$B$5:$B$104)))-5+1))</f>
        <v/>
      </c>
      <c r="IP6" s="62">
        <f>IF(SUMPRODUCT(('حجز الإجازات'!$B$5:$B$104='الموظفون'!$B$4)*('حجز الإجازات'!$D$5:$D$104&lt;=IP$3)*(('حجز الإجازات'!$E$5:$E$104)&gt;=IP$3)*('حجز الإجازات'!$G$5:$G$104="معتمد")*ROW('حجز الإجازات'!$B$5:$B$104))=0,IF(IP$3&lt;'الموظفون'!$D$4,"",IF(ISNUMBER(MATCH(IP$3,Holidays,0)),"عطلة",IF(MOD(IP$3-'الموظفون'!$D$4,CycleWork+CycleRest)&lt;CycleWork,INDEX('الإعدادات والقوائم'!$H$2:$H$4,MOD(INT(MOD(IP$3-'الموظفون'!$D$4,CycleWork+CycleRest)*3/CycleWork)+MATCH(StartShift,'الإعدادات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الإجازات'!$D$5:$D$104&lt;=IP$3)*(('حجز الإجازات'!$E$5:$E$104)&gt;=IP$3)*('حجز الإجازات'!$G$5:$G$104="معتمد")*ROW('حجز الإجازات'!$B$5:$B$104)))-5+1))</f>
        <v/>
      </c>
      <c r="IQ6" s="62">
        <f>IF(SUMPRODUCT(('حجز الإجازات'!$B$5:$B$104='الموظفون'!$B$4)*('حجز الإجازات'!$D$5:$D$104&lt;=IQ$3)*(('حجز الإجازات'!$E$5:$E$104)&gt;=IQ$3)*('حجز الإجازات'!$G$5:$G$104="معتمد")*ROW('حجز الإجازات'!$B$5:$B$104))=0,IF(IQ$3&lt;'الموظفون'!$D$4,"",IF(ISNUMBER(MATCH(IQ$3,Holidays,0)),"عطلة",IF(MOD(IQ$3-'الموظفون'!$D$4,CycleWork+CycleRest)&lt;CycleWork,INDEX('الإعدادات والقوائم'!$H$2:$H$4,MOD(INT(MOD(IQ$3-'الموظفون'!$D$4,CycleWork+CycleRest)*3/CycleWork)+MATCH(StartShift,'الإعدادات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الإجازات'!$D$5:$D$104&lt;=IQ$3)*(('حجز الإجازات'!$E$5:$E$104)&gt;=IQ$3)*('حجز الإجازات'!$G$5:$G$104="معتمد")*ROW('حجز الإجازات'!$B$5:$B$104)))-5+1))</f>
        <v/>
      </c>
      <c r="IR6" s="62">
        <f>IF(SUMPRODUCT(('حجز الإجازات'!$B$5:$B$104='الموظفون'!$B$4)*('حجز الإجازات'!$D$5:$D$104&lt;=IR$3)*(('حجز الإجازات'!$E$5:$E$104)&gt;=IR$3)*('حجز الإجازات'!$G$5:$G$104="معتمد")*ROW('حجز الإجازات'!$B$5:$B$104))=0,IF(IR$3&lt;'الموظفون'!$D$4,"",IF(ISNUMBER(MATCH(IR$3,Holidays,0)),"عطلة",IF(MOD(IR$3-'الموظفون'!$D$4,CycleWork+CycleRest)&lt;CycleWork,INDEX('الإعدادات والقوائم'!$H$2:$H$4,MOD(INT(MOD(IR$3-'الموظفون'!$D$4,CycleWork+CycleRest)*3/CycleWork)+MATCH(StartShift,'الإعدادات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الإجازات'!$D$5:$D$104&lt;=IR$3)*(('حجز الإجازات'!$E$5:$E$104)&gt;=IR$3)*('حجز الإجازات'!$G$5:$G$104="معتمد")*ROW('حجز الإجازات'!$B$5:$B$104)))-5+1))</f>
        <v/>
      </c>
      <c r="IS6" s="62">
        <f>IF(SUMPRODUCT(('حجز الإجازات'!$B$5:$B$104='الموظفون'!$B$4)*('حجز الإجازات'!$D$5:$D$104&lt;=IS$3)*(('حجز الإجازات'!$E$5:$E$104)&gt;=IS$3)*('حجز الإجازات'!$G$5:$G$104="معتمد")*ROW('حجز الإجازات'!$B$5:$B$104))=0,IF(IS$3&lt;'الموظفون'!$D$4,"",IF(ISNUMBER(MATCH(IS$3,Holidays,0)),"عطلة",IF(MOD(IS$3-'الموظفون'!$D$4,CycleWork+CycleRest)&lt;CycleWork,INDEX('الإعدادات والقوائم'!$H$2:$H$4,MOD(INT(MOD(IS$3-'الموظفون'!$D$4,CycleWork+CycleRest)*3/CycleWork)+MATCH(StartShift,'الإعدادات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الإجازات'!$D$5:$D$104&lt;=IS$3)*(('حجز الإجازات'!$E$5:$E$104)&gt;=IS$3)*('حجز الإجازات'!$G$5:$G$104="معتمد")*ROW('حجز الإجازات'!$B$5:$B$104)))-5+1))</f>
        <v/>
      </c>
      <c r="IT6" s="62">
        <f>IF(SUMPRODUCT(('حجز الإجازات'!$B$5:$B$104='الموظفون'!$B$4)*('حجز الإجازات'!$D$5:$D$104&lt;=IT$3)*(('حجز الإجازات'!$E$5:$E$104)&gt;=IT$3)*('حجز الإجازات'!$G$5:$G$104="معتمد")*ROW('حجز الإجازات'!$B$5:$B$104))=0,IF(IT$3&lt;'الموظفون'!$D$4,"",IF(ISNUMBER(MATCH(IT$3,Holidays,0)),"عطلة",IF(MOD(IT$3-'الموظفون'!$D$4,CycleWork+CycleRest)&lt;CycleWork,INDEX('الإعدادات والقوائم'!$H$2:$H$4,MOD(INT(MOD(IT$3-'الموظفون'!$D$4,CycleWork+CycleRest)*3/CycleWork)+MATCH(StartShift,'الإعدادات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الإجازات'!$D$5:$D$104&lt;=IT$3)*(('حجز الإجازات'!$E$5:$E$104)&gt;=IT$3)*('حجز الإجازات'!$G$5:$G$104="معتمد")*ROW('حجز الإجازات'!$B$5:$B$104)))-5+1))</f>
        <v/>
      </c>
      <c r="IU6" s="62">
        <f>IF(SUMPRODUCT(('حجز الإجازات'!$B$5:$B$104='الموظفون'!$B$4)*('حجز الإجازات'!$D$5:$D$104&lt;=IU$3)*(('حجز الإجازات'!$E$5:$E$104)&gt;=IU$3)*('حجز الإجازات'!$G$5:$G$104="معتمد")*ROW('حجز الإجازات'!$B$5:$B$104))=0,IF(IU$3&lt;'الموظفون'!$D$4,"",IF(ISNUMBER(MATCH(IU$3,Holidays,0)),"عطلة",IF(MOD(IU$3-'الموظفون'!$D$4,CycleWork+CycleRest)&lt;CycleWork,INDEX('الإعدادات والقوائم'!$H$2:$H$4,MOD(INT(MOD(IU$3-'الموظفون'!$D$4,CycleWork+CycleRest)*3/CycleWork)+MATCH(StartShift,'الإعدادات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الإجازات'!$D$5:$D$104&lt;=IU$3)*(('حجز الإجازات'!$E$5:$E$104)&gt;=IU$3)*('حجز الإجازات'!$G$5:$G$104="معتمد")*ROW('حجز الإجازات'!$B$5:$B$104)))-5+1))</f>
        <v/>
      </c>
      <c r="IV6" s="62">
        <f>IF(SUMPRODUCT(('حجز الإجازات'!$B$5:$B$104='الموظفون'!$B$4)*('حجز الإجازات'!$D$5:$D$104&lt;=IV$3)*(('حجز الإجازات'!$E$5:$E$104)&gt;=IV$3)*('حجز الإجازات'!$G$5:$G$104="معتمد")*ROW('حجز الإجازات'!$B$5:$B$104))=0,IF(IV$3&lt;'الموظفون'!$D$4,"",IF(ISNUMBER(MATCH(IV$3,Holidays,0)),"عطلة",IF(MOD(IV$3-'الموظفون'!$D$4,CycleWork+CycleRest)&lt;CycleWork,INDEX('الإعدادات والقوائم'!$H$2:$H$4,MOD(INT(MOD(IV$3-'الموظفون'!$D$4,CycleWork+CycleRest)*3/CycleWork)+MATCH(StartShift,'الإعدادات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الإجازات'!$D$5:$D$104&lt;=IV$3)*(('حجز الإجازات'!$E$5:$E$104)&gt;=IV$3)*('حجز الإجازات'!$G$5:$G$104="معتمد")*ROW('حجز الإجازات'!$B$5:$B$104)))-5+1))</f>
        <v/>
      </c>
      <c r="IW6" s="62">
        <f>IF(SUMPRODUCT(('حجز الإجازات'!$B$5:$B$104='الموظفون'!$B$4)*('حجز الإجازات'!$D$5:$D$104&lt;=IW$3)*(('حجز الإجازات'!$E$5:$E$104)&gt;=IW$3)*('حجز الإجازات'!$G$5:$G$104="معتمد")*ROW('حجز الإجازات'!$B$5:$B$104))=0,IF(IW$3&lt;'الموظفون'!$D$4,"",IF(ISNUMBER(MATCH(IW$3,Holidays,0)),"عطلة",IF(MOD(IW$3-'الموظفون'!$D$4,CycleWork+CycleRest)&lt;CycleWork,INDEX('الإعدادات والقوائم'!$H$2:$H$4,MOD(INT(MOD(IW$3-'الموظفون'!$D$4,CycleWork+CycleRest)*3/CycleWork)+MATCH(StartShift,'الإعدادات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الإجازات'!$D$5:$D$104&lt;=IW$3)*(('حجز الإجازات'!$E$5:$E$104)&gt;=IW$3)*('حجز الإجازات'!$G$5:$G$104="معتمد")*ROW('حجز الإجازات'!$B$5:$B$104)))-5+1))</f>
        <v/>
      </c>
      <c r="IX6" s="62">
        <f>IF(SUMPRODUCT(('حجز الإجازات'!$B$5:$B$104='الموظفون'!$B$4)*('حجز الإجازات'!$D$5:$D$104&lt;=IX$3)*(('حجز الإجازات'!$E$5:$E$104)&gt;=IX$3)*('حجز الإجازات'!$G$5:$G$104="معتمد")*ROW('حجز الإجازات'!$B$5:$B$104))=0,IF(IX$3&lt;'الموظفون'!$D$4,"",IF(ISNUMBER(MATCH(IX$3,Holidays,0)),"عطلة",IF(MOD(IX$3-'الموظفون'!$D$4,CycleWork+CycleRest)&lt;CycleWork,INDEX('الإعدادات والقوائم'!$H$2:$H$4,MOD(INT(MOD(IX$3-'الموظفون'!$D$4,CycleWork+CycleRest)*3/CycleWork)+MATCH(StartShift,'الإعدادات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الإجازات'!$D$5:$D$104&lt;=IX$3)*(('حجز الإجازات'!$E$5:$E$104)&gt;=IX$3)*('حجز الإجازات'!$G$5:$G$104="معتمد")*ROW('حجز الإجازات'!$B$5:$B$104)))-5+1))</f>
        <v/>
      </c>
      <c r="IY6" s="62">
        <f>IF(SUMPRODUCT(('حجز الإجازات'!$B$5:$B$104='الموظفون'!$B$4)*('حجز الإجازات'!$D$5:$D$104&lt;=IY$3)*(('حجز الإجازات'!$E$5:$E$104)&gt;=IY$3)*('حجز الإجازات'!$G$5:$G$104="معتمد")*ROW('حجز الإجازات'!$B$5:$B$104))=0,IF(IY$3&lt;'الموظفون'!$D$4,"",IF(ISNUMBER(MATCH(IY$3,Holidays,0)),"عطلة",IF(MOD(IY$3-'الموظفون'!$D$4,CycleWork+CycleRest)&lt;CycleWork,INDEX('الإعدادات والقوائم'!$H$2:$H$4,MOD(INT(MOD(IY$3-'الموظفون'!$D$4,CycleWork+CycleRest)*3/CycleWork)+MATCH(StartShift,'الإعدادات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الإجازات'!$D$5:$D$104&lt;=IY$3)*(('حجز الإجازات'!$E$5:$E$104)&gt;=IY$3)*('حجز الإجازات'!$G$5:$G$104="معتمد")*ROW('حجز الإجازات'!$B$5:$B$104)))-5+1))</f>
        <v/>
      </c>
      <c r="IZ6" s="62">
        <f>IF(SUMPRODUCT(('حجز الإجازات'!$B$5:$B$104='الموظفون'!$B$4)*('حجز الإجازات'!$D$5:$D$104&lt;=IZ$3)*(('حجز الإجازات'!$E$5:$E$104)&gt;=IZ$3)*('حجز الإجازات'!$G$5:$G$104="معتمد")*ROW('حجز الإجازات'!$B$5:$B$104))=0,IF(IZ$3&lt;'الموظفون'!$D$4,"",IF(ISNUMBER(MATCH(IZ$3,Holidays,0)),"عطلة",IF(MOD(IZ$3-'الموظفون'!$D$4,CycleWork+CycleRest)&lt;CycleWork,INDEX('الإعدادات والقوائم'!$H$2:$H$4,MOD(INT(MOD(IZ$3-'الموظفون'!$D$4,CycleWork+CycleRest)*3/CycleWork)+MATCH(StartShift,'الإعدادات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الإجازات'!$D$5:$D$104&lt;=IZ$3)*(('حجز الإجازات'!$E$5:$E$104)&gt;=IZ$3)*('حجز الإجازات'!$G$5:$G$104="معتمد")*ROW('حجز الإجازات'!$B$5:$B$104)))-5+1))</f>
        <v/>
      </c>
      <c r="JA6" s="62">
        <f>IF(SUMPRODUCT(('حجز الإجازات'!$B$5:$B$104='الموظفون'!$B$4)*('حجز الإجازات'!$D$5:$D$104&lt;=JA$3)*(('حجز الإجازات'!$E$5:$E$104)&gt;=JA$3)*('حجز الإجازات'!$G$5:$G$104="معتمد")*ROW('حجز الإجازات'!$B$5:$B$104))=0,IF(JA$3&lt;'الموظفون'!$D$4,"",IF(ISNUMBER(MATCH(JA$3,Holidays,0)),"عطلة",IF(MOD(JA$3-'الموظفون'!$D$4,CycleWork+CycleRest)&lt;CycleWork,INDEX('الإعدادات والقوائم'!$H$2:$H$4,MOD(INT(MOD(JA$3-'الموظفون'!$D$4,CycleWork+CycleRest)*3/CycleWork)+MATCH(StartShift,'الإعدادات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الإجازات'!$D$5:$D$104&lt;=JA$3)*(('حجز الإجازات'!$E$5:$E$104)&gt;=JA$3)*('حجز الإجازات'!$G$5:$G$104="معتمد")*ROW('حجز الإجازات'!$B$5:$B$104)))-5+1))</f>
        <v/>
      </c>
      <c r="JB6" s="62">
        <f>IF(SUMPRODUCT(('حجز الإجازات'!$B$5:$B$104='الموظفون'!$B$4)*('حجز الإجازات'!$D$5:$D$104&lt;=JB$3)*(('حجز الإجازات'!$E$5:$E$104)&gt;=JB$3)*('حجز الإجازات'!$G$5:$G$104="معتمد")*ROW('حجز الإجازات'!$B$5:$B$104))=0,IF(JB$3&lt;'الموظفون'!$D$4,"",IF(ISNUMBER(MATCH(JB$3,Holidays,0)),"عطلة",IF(MOD(JB$3-'الموظفون'!$D$4,CycleWork+CycleRest)&lt;CycleWork,INDEX('الإعدادات والقوائم'!$H$2:$H$4,MOD(INT(MOD(JB$3-'الموظفون'!$D$4,CycleWork+CycleRest)*3/CycleWork)+MATCH(StartShift,'الإعدادات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الإجازات'!$D$5:$D$104&lt;=JB$3)*(('حجز الإجازات'!$E$5:$E$104)&gt;=JB$3)*('حجز الإجازات'!$G$5:$G$104="معتمد")*ROW('حجز الإجازات'!$B$5:$B$104)))-5+1))</f>
        <v/>
      </c>
      <c r="JC6" s="62">
        <f>IF(SUMPRODUCT(('حجز الإجازات'!$B$5:$B$104='الموظفون'!$B$4)*('حجز الإجازات'!$D$5:$D$104&lt;=JC$3)*(('حجز الإجازات'!$E$5:$E$104)&gt;=JC$3)*('حجز الإجازات'!$G$5:$G$104="معتمد")*ROW('حجز الإجازات'!$B$5:$B$104))=0,IF(JC$3&lt;'الموظفون'!$D$4,"",IF(ISNUMBER(MATCH(JC$3,Holidays,0)),"عطلة",IF(MOD(JC$3-'الموظفون'!$D$4,CycleWork+CycleRest)&lt;CycleWork,INDEX('الإعدادات والقوائم'!$H$2:$H$4,MOD(INT(MOD(JC$3-'الموظفون'!$D$4,CycleWork+CycleRest)*3/CycleWork)+MATCH(StartShift,'الإعدادات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الإجازات'!$D$5:$D$104&lt;=JC$3)*(('حجز الإجازات'!$E$5:$E$104)&gt;=JC$3)*('حجز الإجازات'!$G$5:$G$104="معتمد")*ROW('حجز الإجازات'!$B$5:$B$104)))-5+1))</f>
        <v/>
      </c>
      <c r="JD6" s="62">
        <f>IF(SUMPRODUCT(('حجز الإجازات'!$B$5:$B$104='الموظفون'!$B$4)*('حجز الإجازات'!$D$5:$D$104&lt;=JD$3)*(('حجز الإجازات'!$E$5:$E$104)&gt;=JD$3)*('حجز الإجازات'!$G$5:$G$104="معتمد")*ROW('حجز الإجازات'!$B$5:$B$104))=0,IF(JD$3&lt;'الموظفون'!$D$4,"",IF(ISNUMBER(MATCH(JD$3,Holidays,0)),"عطلة",IF(MOD(JD$3-'الموظفون'!$D$4,CycleWork+CycleRest)&lt;CycleWork,INDEX('الإعدادات والقوائم'!$H$2:$H$4,MOD(INT(MOD(JD$3-'الموظفون'!$D$4,CycleWork+CycleRest)*3/CycleWork)+MATCH(StartShift,'الإعدادات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الإجازات'!$D$5:$D$104&lt;=JD$3)*(('حجز الإجازات'!$E$5:$E$104)&gt;=JD$3)*('حجز الإجازات'!$G$5:$G$104="معتمد")*ROW('حجز الإجازات'!$B$5:$B$104)))-5+1))</f>
        <v/>
      </c>
      <c r="JE6" s="62">
        <f>IF(SUMPRODUCT(('حجز الإجازات'!$B$5:$B$104='الموظفون'!$B$4)*('حجز الإجازات'!$D$5:$D$104&lt;=JE$3)*(('حجز الإجازات'!$E$5:$E$104)&gt;=JE$3)*('حجز الإجازات'!$G$5:$G$104="معتمد")*ROW('حجز الإجازات'!$B$5:$B$104))=0,IF(JE$3&lt;'الموظفون'!$D$4,"",IF(ISNUMBER(MATCH(JE$3,Holidays,0)),"عطلة",IF(MOD(JE$3-'الموظفون'!$D$4,CycleWork+CycleRest)&lt;CycleWork,INDEX('الإعدادات والقوائم'!$H$2:$H$4,MOD(INT(MOD(JE$3-'الموظفون'!$D$4,CycleWork+CycleRest)*3/CycleWork)+MATCH(StartShift,'الإعدادات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الإجازات'!$D$5:$D$104&lt;=JE$3)*(('حجز الإجازات'!$E$5:$E$104)&gt;=JE$3)*('حجز الإجازات'!$G$5:$G$104="معتمد")*ROW('حجز الإجازات'!$B$5:$B$104)))-5+1))</f>
        <v/>
      </c>
      <c r="JF6" s="62">
        <f>IF(SUMPRODUCT(('حجز الإجازات'!$B$5:$B$104='الموظفون'!$B$4)*('حجز الإجازات'!$D$5:$D$104&lt;=JF$3)*(('حجز الإجازات'!$E$5:$E$104)&gt;=JF$3)*('حجز الإجازات'!$G$5:$G$104="معتمد")*ROW('حجز الإجازات'!$B$5:$B$104))=0,IF(JF$3&lt;'الموظفون'!$D$4,"",IF(ISNUMBER(MATCH(JF$3,Holidays,0)),"عطلة",IF(MOD(JF$3-'الموظفون'!$D$4,CycleWork+CycleRest)&lt;CycleWork,INDEX('الإعدادات والقوائم'!$H$2:$H$4,MOD(INT(MOD(JF$3-'الموظفون'!$D$4,CycleWork+CycleRest)*3/CycleWork)+MATCH(StartShift,'الإعدادات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الإجازات'!$D$5:$D$104&lt;=JF$3)*(('حجز الإجازات'!$E$5:$E$104)&gt;=JF$3)*('حجز الإجازات'!$G$5:$G$104="معتمد")*ROW('حجز الإجازات'!$B$5:$B$104)))-5+1))</f>
        <v/>
      </c>
      <c r="JG6" s="62">
        <f>IF(SUMPRODUCT(('حجز الإجازات'!$B$5:$B$104='الموظفون'!$B$4)*('حجز الإجازات'!$D$5:$D$104&lt;=JG$3)*(('حجز الإجازات'!$E$5:$E$104)&gt;=JG$3)*('حجز الإجازات'!$G$5:$G$104="معتمد")*ROW('حجز الإجازات'!$B$5:$B$104))=0,IF(JG$3&lt;'الموظفون'!$D$4,"",IF(ISNUMBER(MATCH(JG$3,Holidays,0)),"عطلة",IF(MOD(JG$3-'الموظفون'!$D$4,CycleWork+CycleRest)&lt;CycleWork,INDEX('الإعدادات والقوائم'!$H$2:$H$4,MOD(INT(MOD(JG$3-'الموظفون'!$D$4,CycleWork+CycleRest)*3/CycleWork)+MATCH(StartShift,'الإعدادات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الإجازات'!$D$5:$D$104&lt;=JG$3)*(('حجز الإجازات'!$E$5:$E$104)&gt;=JG$3)*('حجز الإجازات'!$G$5:$G$104="معتمد")*ROW('حجز الإجازات'!$B$5:$B$104)))-5+1))</f>
        <v/>
      </c>
      <c r="JH6" s="62">
        <f>IF(SUMPRODUCT(('حجز الإجازات'!$B$5:$B$104='الموظفون'!$B$4)*('حجز الإجازات'!$D$5:$D$104&lt;=JH$3)*(('حجز الإجازات'!$E$5:$E$104)&gt;=JH$3)*('حجز الإجازات'!$G$5:$G$104="معتمد")*ROW('حجز الإجازات'!$B$5:$B$104))=0,IF(JH$3&lt;'الموظفون'!$D$4,"",IF(ISNUMBER(MATCH(JH$3,Holidays,0)),"عطلة",IF(MOD(JH$3-'الموظفون'!$D$4,CycleWork+CycleRest)&lt;CycleWork,INDEX('الإعدادات والقوائم'!$H$2:$H$4,MOD(INT(MOD(JH$3-'الموظفون'!$D$4,CycleWork+CycleRest)*3/CycleWork)+MATCH(StartShift,'الإعدادات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الإجازات'!$D$5:$D$104&lt;=JH$3)*(('حجز الإجازات'!$E$5:$E$104)&gt;=JH$3)*('حجز الإجازات'!$G$5:$G$104="معتمد")*ROW('حجز الإجازات'!$B$5:$B$104)))-5+1))</f>
        <v/>
      </c>
      <c r="JI6" s="62">
        <f>IF(SUMPRODUCT(('حجز الإجازات'!$B$5:$B$104='الموظفون'!$B$4)*('حجز الإجازات'!$D$5:$D$104&lt;=JI$3)*(('حجز الإجازات'!$E$5:$E$104)&gt;=JI$3)*('حجز الإجازات'!$G$5:$G$104="معتمد")*ROW('حجز الإجازات'!$B$5:$B$104))=0,IF(JI$3&lt;'الموظفون'!$D$4,"",IF(ISNUMBER(MATCH(JI$3,Holidays,0)),"عطلة",IF(MOD(JI$3-'الموظفون'!$D$4,CycleWork+CycleRest)&lt;CycleWork,INDEX('الإعدادات والقوائم'!$H$2:$H$4,MOD(INT(MOD(JI$3-'الموظفون'!$D$4,CycleWork+CycleRest)*3/CycleWork)+MATCH(StartShift,'الإعدادات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الإجازات'!$D$5:$D$104&lt;=JI$3)*(('حجز الإجازات'!$E$5:$E$104)&gt;=JI$3)*('حجز الإجازات'!$G$5:$G$104="معتمد")*ROW('حجز الإجازات'!$B$5:$B$104)))-5+1))</f>
        <v/>
      </c>
      <c r="JJ6" s="62">
        <f>IF(SUMPRODUCT(('حجز الإجازات'!$B$5:$B$104='الموظفون'!$B$4)*('حجز الإجازات'!$D$5:$D$104&lt;=JJ$3)*(('حجز الإجازات'!$E$5:$E$104)&gt;=JJ$3)*('حجز الإجازات'!$G$5:$G$104="معتمد")*ROW('حجز الإجازات'!$B$5:$B$104))=0,IF(JJ$3&lt;'الموظفون'!$D$4,"",IF(ISNUMBER(MATCH(JJ$3,Holidays,0)),"عطلة",IF(MOD(JJ$3-'الموظفون'!$D$4,CycleWork+CycleRest)&lt;CycleWork,INDEX('الإعدادات والقوائم'!$H$2:$H$4,MOD(INT(MOD(JJ$3-'الموظفون'!$D$4,CycleWork+CycleRest)*3/CycleWork)+MATCH(StartShift,'الإعدادات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الإجازات'!$D$5:$D$104&lt;=JJ$3)*(('حجز الإجازات'!$E$5:$E$104)&gt;=JJ$3)*('حجز الإجازات'!$G$5:$G$104="معتمد")*ROW('حجز الإجازات'!$B$5:$B$104)))-5+1))</f>
        <v/>
      </c>
      <c r="JK6" s="62">
        <f>IF(SUMPRODUCT(('حجز الإجازات'!$B$5:$B$104='الموظفون'!$B$4)*('حجز الإجازات'!$D$5:$D$104&lt;=JK$3)*(('حجز الإجازات'!$E$5:$E$104)&gt;=JK$3)*('حجز الإجازات'!$G$5:$G$104="معتمد")*ROW('حجز الإجازات'!$B$5:$B$104))=0,IF(JK$3&lt;'الموظفون'!$D$4,"",IF(ISNUMBER(MATCH(JK$3,Holidays,0)),"عطلة",IF(MOD(JK$3-'الموظفون'!$D$4,CycleWork+CycleRest)&lt;CycleWork,INDEX('الإعدادات والقوائم'!$H$2:$H$4,MOD(INT(MOD(JK$3-'الموظفون'!$D$4,CycleWork+CycleRest)*3/CycleWork)+MATCH(StartShift,'الإعدادات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الإجازات'!$D$5:$D$104&lt;=JK$3)*(('حجز الإجازات'!$E$5:$E$104)&gt;=JK$3)*('حجز الإجازات'!$G$5:$G$104="معتمد")*ROW('حجز الإجازات'!$B$5:$B$104)))-5+1))</f>
        <v/>
      </c>
      <c r="JL6" s="62">
        <f>IF(SUMPRODUCT(('حجز الإجازات'!$B$5:$B$104='الموظفون'!$B$4)*('حجز الإجازات'!$D$5:$D$104&lt;=JL$3)*(('حجز الإجازات'!$E$5:$E$104)&gt;=JL$3)*('حجز الإجازات'!$G$5:$G$104="معتمد")*ROW('حجز الإجازات'!$B$5:$B$104))=0,IF(JL$3&lt;'الموظفون'!$D$4,"",IF(ISNUMBER(MATCH(JL$3,Holidays,0)),"عطلة",IF(MOD(JL$3-'الموظفون'!$D$4,CycleWork+CycleRest)&lt;CycleWork,INDEX('الإعدادات والقوائم'!$H$2:$H$4,MOD(INT(MOD(JL$3-'الموظفون'!$D$4,CycleWork+CycleRest)*3/CycleWork)+MATCH(StartShift,'الإعدادات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الإجازات'!$D$5:$D$104&lt;=JL$3)*(('حجز الإجازات'!$E$5:$E$104)&gt;=JL$3)*('حجز الإجازات'!$G$5:$G$104="معتمد")*ROW('حجز الإجازات'!$B$5:$B$104)))-5+1))</f>
        <v/>
      </c>
      <c r="JM6" s="62">
        <f>IF(SUMPRODUCT(('حجز الإجازات'!$B$5:$B$104='الموظفون'!$B$4)*('حجز الإجازات'!$D$5:$D$104&lt;=JM$3)*(('حجز الإجازات'!$E$5:$E$104)&gt;=JM$3)*('حجز الإجازات'!$G$5:$G$104="معتمد")*ROW('حجز الإجازات'!$B$5:$B$104))=0,IF(JM$3&lt;'الموظفون'!$D$4,"",IF(ISNUMBER(MATCH(JM$3,Holidays,0)),"عطلة",IF(MOD(JM$3-'الموظفون'!$D$4,CycleWork+CycleRest)&lt;CycleWork,INDEX('الإعدادات والقوائم'!$H$2:$H$4,MOD(INT(MOD(JM$3-'الموظفون'!$D$4,CycleWork+CycleRest)*3/CycleWork)+MATCH(StartShift,'الإعدادات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الإجازات'!$D$5:$D$104&lt;=JM$3)*(('حجز الإجازات'!$E$5:$E$104)&gt;=JM$3)*('حجز الإجازات'!$G$5:$G$104="معتمد")*ROW('حجز الإجازات'!$B$5:$B$104)))-5+1))</f>
        <v/>
      </c>
      <c r="JN6" s="62">
        <f>IF(SUMPRODUCT(('حجز الإجازات'!$B$5:$B$104='الموظفون'!$B$4)*('حجز الإجازات'!$D$5:$D$104&lt;=JN$3)*(('حجز الإجازات'!$E$5:$E$104)&gt;=JN$3)*('حجز الإجازات'!$G$5:$G$104="معتمد")*ROW('حجز الإجازات'!$B$5:$B$104))=0,IF(JN$3&lt;'الموظفون'!$D$4,"",IF(ISNUMBER(MATCH(JN$3,Holidays,0)),"عطلة",IF(MOD(JN$3-'الموظفون'!$D$4,CycleWork+CycleRest)&lt;CycleWork,INDEX('الإعدادات والقوائم'!$H$2:$H$4,MOD(INT(MOD(JN$3-'الموظفون'!$D$4,CycleWork+CycleRest)*3/CycleWork)+MATCH(StartShift,'الإعدادات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الإجازات'!$D$5:$D$104&lt;=JN$3)*(('حجز الإجازات'!$E$5:$E$104)&gt;=JN$3)*('حجز الإجازات'!$G$5:$G$104="معتمد")*ROW('حجز الإجازات'!$B$5:$B$104)))-5+1))</f>
        <v/>
      </c>
      <c r="JO6" s="62">
        <f>IF(SUMPRODUCT(('حجز الإجازات'!$B$5:$B$104='الموظفون'!$B$4)*('حجز الإجازات'!$D$5:$D$104&lt;=JO$3)*(('حجز الإجازات'!$E$5:$E$104)&gt;=JO$3)*('حجز الإجازات'!$G$5:$G$104="معتمد")*ROW('حجز الإجازات'!$B$5:$B$104))=0,IF(JO$3&lt;'الموظفون'!$D$4,"",IF(ISNUMBER(MATCH(JO$3,Holidays,0)),"عطلة",IF(MOD(JO$3-'الموظفون'!$D$4,CycleWork+CycleRest)&lt;CycleWork,INDEX('الإعدادات والقوائم'!$H$2:$H$4,MOD(INT(MOD(JO$3-'الموظفون'!$D$4,CycleWork+CycleRest)*3/CycleWork)+MATCH(StartShift,'الإعدادات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الإجازات'!$D$5:$D$104&lt;=JO$3)*(('حجز الإجازات'!$E$5:$E$104)&gt;=JO$3)*('حجز الإجازات'!$G$5:$G$104="معتمد")*ROW('حجز الإجازات'!$B$5:$B$104)))-5+1))</f>
        <v/>
      </c>
      <c r="JP6" s="62">
        <f>IF(SUMPRODUCT(('حجز الإجازات'!$B$5:$B$104='الموظفون'!$B$4)*('حجز الإجازات'!$D$5:$D$104&lt;=JP$3)*(('حجز الإجازات'!$E$5:$E$104)&gt;=JP$3)*('حجز الإجازات'!$G$5:$G$104="معتمد")*ROW('حجز الإجازات'!$B$5:$B$104))=0,IF(JP$3&lt;'الموظفون'!$D$4,"",IF(ISNUMBER(MATCH(JP$3,Holidays,0)),"عطلة",IF(MOD(JP$3-'الموظفون'!$D$4,CycleWork+CycleRest)&lt;CycleWork,INDEX('الإعدادات والقوائم'!$H$2:$H$4,MOD(INT(MOD(JP$3-'الموظفون'!$D$4,CycleWork+CycleRest)*3/CycleWork)+MATCH(StartShift,'الإعدادات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الإجازات'!$D$5:$D$104&lt;=JP$3)*(('حجز الإجازات'!$E$5:$E$104)&gt;=JP$3)*('حجز الإجازات'!$G$5:$G$104="معتمد")*ROW('حجز الإجازات'!$B$5:$B$104)))-5+1))</f>
        <v/>
      </c>
      <c r="JQ6" s="62">
        <f>IF(SUMPRODUCT(('حجز الإجازات'!$B$5:$B$104='الموظفون'!$B$4)*('حجز الإجازات'!$D$5:$D$104&lt;=JQ$3)*(('حجز الإجازات'!$E$5:$E$104)&gt;=JQ$3)*('حجز الإجازات'!$G$5:$G$104="معتمد")*ROW('حجز الإجازات'!$B$5:$B$104))=0,IF(JQ$3&lt;'الموظفون'!$D$4,"",IF(ISNUMBER(MATCH(JQ$3,Holidays,0)),"عطلة",IF(MOD(JQ$3-'الموظفون'!$D$4,CycleWork+CycleRest)&lt;CycleWork,INDEX('الإعدادات والقوائم'!$H$2:$H$4,MOD(INT(MOD(JQ$3-'الموظفون'!$D$4,CycleWork+CycleRest)*3/CycleWork)+MATCH(StartShift,'الإعدادات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الإجازات'!$D$5:$D$104&lt;=JQ$3)*(('حجز الإجازات'!$E$5:$E$104)&gt;=JQ$3)*('حجز الإجازات'!$G$5:$G$104="معتمد")*ROW('حجز الإجازات'!$B$5:$B$104)))-5+1))</f>
        <v/>
      </c>
      <c r="JR6" s="62">
        <f>IF(SUMPRODUCT(('حجز الإجازات'!$B$5:$B$104='الموظفون'!$B$4)*('حجز الإجازات'!$D$5:$D$104&lt;=JR$3)*(('حجز الإجازات'!$E$5:$E$104)&gt;=JR$3)*('حجز الإجازات'!$G$5:$G$104="معتمد")*ROW('حجز الإجازات'!$B$5:$B$104))=0,IF(JR$3&lt;'الموظفون'!$D$4,"",IF(ISNUMBER(MATCH(JR$3,Holidays,0)),"عطلة",IF(MOD(JR$3-'الموظفون'!$D$4,CycleWork+CycleRest)&lt;CycleWork,INDEX('الإعدادات والقوائم'!$H$2:$H$4,MOD(INT(MOD(JR$3-'الموظفون'!$D$4,CycleWork+CycleRest)*3/CycleWork)+MATCH(StartShift,'الإعدادات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الإجازات'!$D$5:$D$104&lt;=JR$3)*(('حجز الإجازات'!$E$5:$E$104)&gt;=JR$3)*('حجز الإجازات'!$G$5:$G$104="معتمد")*ROW('حجز الإجازات'!$B$5:$B$104)))-5+1))</f>
        <v/>
      </c>
      <c r="JS6" s="62">
        <f>IF(SUMPRODUCT(('حجز الإجازات'!$B$5:$B$104='الموظفون'!$B$4)*('حجز الإجازات'!$D$5:$D$104&lt;=JS$3)*(('حجز الإجازات'!$E$5:$E$104)&gt;=JS$3)*('حجز الإجازات'!$G$5:$G$104="معتمد")*ROW('حجز الإجازات'!$B$5:$B$104))=0,IF(JS$3&lt;'الموظفون'!$D$4,"",IF(ISNUMBER(MATCH(JS$3,Holidays,0)),"عطلة",IF(MOD(JS$3-'الموظفون'!$D$4,CycleWork+CycleRest)&lt;CycleWork,INDEX('الإعدادات والقوائم'!$H$2:$H$4,MOD(INT(MOD(JS$3-'الموظفون'!$D$4,CycleWork+CycleRest)*3/CycleWork)+MATCH(StartShift,'الإعدادات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الإجازات'!$D$5:$D$104&lt;=JS$3)*(('حجز الإجازات'!$E$5:$E$104)&gt;=JS$3)*('حجز الإجازات'!$G$5:$G$104="معتمد")*ROW('حجز الإجازات'!$B$5:$B$104)))-5+1))</f>
        <v/>
      </c>
      <c r="JT6" s="62">
        <f>IF(SUMPRODUCT(('حجز الإجازات'!$B$5:$B$104='الموظفون'!$B$4)*('حجز الإجازات'!$D$5:$D$104&lt;=JT$3)*(('حجز الإجازات'!$E$5:$E$104)&gt;=JT$3)*('حجز الإجازات'!$G$5:$G$104="معتمد")*ROW('حجز الإجازات'!$B$5:$B$104))=0,IF(JT$3&lt;'الموظفون'!$D$4,"",IF(ISNUMBER(MATCH(JT$3,Holidays,0)),"عطلة",IF(MOD(JT$3-'الموظفون'!$D$4,CycleWork+CycleRest)&lt;CycleWork,INDEX('الإعدادات والقوائم'!$H$2:$H$4,MOD(INT(MOD(JT$3-'الموظفون'!$D$4,CycleWork+CycleRest)*3/CycleWork)+MATCH(StartShift,'الإعدادات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الإجازات'!$D$5:$D$104&lt;=JT$3)*(('حجز الإجازات'!$E$5:$E$104)&gt;=JT$3)*('حجز الإجازات'!$G$5:$G$104="معتمد")*ROW('حجز الإجازات'!$B$5:$B$104)))-5+1))</f>
        <v/>
      </c>
      <c r="JU6" s="62">
        <f>IF(SUMPRODUCT(('حجز الإجازات'!$B$5:$B$104='الموظفون'!$B$4)*('حجز الإجازات'!$D$5:$D$104&lt;=JU$3)*(('حجز الإجازات'!$E$5:$E$104)&gt;=JU$3)*('حجز الإجازات'!$G$5:$G$104="معتمد")*ROW('حجز الإجازات'!$B$5:$B$104))=0,IF(JU$3&lt;'الموظفون'!$D$4,"",IF(ISNUMBER(MATCH(JU$3,Holidays,0)),"عطلة",IF(MOD(JU$3-'الموظفون'!$D$4,CycleWork+CycleRest)&lt;CycleWork,INDEX('الإعدادات والقوائم'!$H$2:$H$4,MOD(INT(MOD(JU$3-'الموظفون'!$D$4,CycleWork+CycleRest)*3/CycleWork)+MATCH(StartShift,'الإعدادات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الإجازات'!$D$5:$D$104&lt;=JU$3)*(('حجز الإجازات'!$E$5:$E$104)&gt;=JU$3)*('حجز الإجازات'!$G$5:$G$104="معتمد")*ROW('حجز الإجازات'!$B$5:$B$104)))-5+1))</f>
        <v/>
      </c>
      <c r="JV6" s="62">
        <f>IF(SUMPRODUCT(('حجز الإجازات'!$B$5:$B$104='الموظفون'!$B$4)*('حجز الإجازات'!$D$5:$D$104&lt;=JV$3)*(('حجز الإجازات'!$E$5:$E$104)&gt;=JV$3)*('حجز الإجازات'!$G$5:$G$104="معتمد")*ROW('حجز الإجازات'!$B$5:$B$104))=0,IF(JV$3&lt;'الموظفون'!$D$4,"",IF(ISNUMBER(MATCH(JV$3,Holidays,0)),"عطلة",IF(MOD(JV$3-'الموظفون'!$D$4,CycleWork+CycleRest)&lt;CycleWork,INDEX('الإعدادات والقوائم'!$H$2:$H$4,MOD(INT(MOD(JV$3-'الموظفون'!$D$4,CycleWork+CycleRest)*3/CycleWork)+MATCH(StartShift,'الإعدادات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الإجازات'!$D$5:$D$104&lt;=JV$3)*(('حجز الإجازات'!$E$5:$E$104)&gt;=JV$3)*('حجز الإجازات'!$G$5:$G$104="معتمد")*ROW('حجز الإجازات'!$B$5:$B$104)))-5+1))</f>
        <v/>
      </c>
      <c r="JW6" s="62">
        <f>IF(SUMPRODUCT(('حجز الإجازات'!$B$5:$B$104='الموظفون'!$B$4)*('حجز الإجازات'!$D$5:$D$104&lt;=JW$3)*(('حجز الإجازات'!$E$5:$E$104)&gt;=JW$3)*('حجز الإجازات'!$G$5:$G$104="معتمد")*ROW('حجز الإجازات'!$B$5:$B$104))=0,IF(JW$3&lt;'الموظفون'!$D$4,"",IF(ISNUMBER(MATCH(JW$3,Holidays,0)),"عطلة",IF(MOD(JW$3-'الموظفون'!$D$4,CycleWork+CycleRest)&lt;CycleWork,INDEX('الإعدادات والقوائم'!$H$2:$H$4,MOD(INT(MOD(JW$3-'الموظفون'!$D$4,CycleWork+CycleRest)*3/CycleWork)+MATCH(StartShift,'الإعدادات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الإجازات'!$D$5:$D$104&lt;=JW$3)*(('حجز الإجازات'!$E$5:$E$104)&gt;=JW$3)*('حجز الإجازات'!$G$5:$G$104="معتمد")*ROW('حجز الإجازات'!$B$5:$B$104)))-5+1))</f>
        <v/>
      </c>
      <c r="JX6" s="62">
        <f>IF(SUMPRODUCT(('حجز الإجازات'!$B$5:$B$104='الموظفون'!$B$4)*('حجز الإجازات'!$D$5:$D$104&lt;=JX$3)*(('حجز الإجازات'!$E$5:$E$104)&gt;=JX$3)*('حجز الإجازات'!$G$5:$G$104="معتمد")*ROW('حجز الإجازات'!$B$5:$B$104))=0,IF(JX$3&lt;'الموظفون'!$D$4,"",IF(ISNUMBER(MATCH(JX$3,Holidays,0)),"عطلة",IF(MOD(JX$3-'الموظفون'!$D$4,CycleWork+CycleRest)&lt;CycleWork,INDEX('الإعدادات والقوائم'!$H$2:$H$4,MOD(INT(MOD(JX$3-'الموظفون'!$D$4,CycleWork+CycleRest)*3/CycleWork)+MATCH(StartShift,'الإعدادات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الإجازات'!$D$5:$D$104&lt;=JX$3)*(('حجز الإجازات'!$E$5:$E$104)&gt;=JX$3)*('حجز الإجازات'!$G$5:$G$104="معتمد")*ROW('حجز الإجازات'!$B$5:$B$104)))-5+1))</f>
        <v/>
      </c>
      <c r="JY6" s="62">
        <f>IF(SUMPRODUCT(('حجز الإجازات'!$B$5:$B$104='الموظفون'!$B$4)*('حجز الإجازات'!$D$5:$D$104&lt;=JY$3)*(('حجز الإجازات'!$E$5:$E$104)&gt;=JY$3)*('حجز الإجازات'!$G$5:$G$104="معتمد")*ROW('حجز الإجازات'!$B$5:$B$104))=0,IF(JY$3&lt;'الموظفون'!$D$4,"",IF(ISNUMBER(MATCH(JY$3,Holidays,0)),"عطلة",IF(MOD(JY$3-'الموظفون'!$D$4,CycleWork+CycleRest)&lt;CycleWork,INDEX('الإعدادات والقوائم'!$H$2:$H$4,MOD(INT(MOD(JY$3-'الموظفون'!$D$4,CycleWork+CycleRest)*3/CycleWork)+MATCH(StartShift,'الإعدادات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الإجازات'!$D$5:$D$104&lt;=JY$3)*(('حجز الإجازات'!$E$5:$E$104)&gt;=JY$3)*('حجز الإجازات'!$G$5:$G$104="معتمد")*ROW('حجز الإجازات'!$B$5:$B$104)))-5+1))</f>
        <v/>
      </c>
      <c r="JZ6" s="62">
        <f>IF(SUMPRODUCT(('حجز الإجازات'!$B$5:$B$104='الموظفون'!$B$4)*('حجز الإجازات'!$D$5:$D$104&lt;=JZ$3)*(('حجز الإجازات'!$E$5:$E$104)&gt;=JZ$3)*('حجز الإجازات'!$G$5:$G$104="معتمد")*ROW('حجز الإجازات'!$B$5:$B$104))=0,IF(JZ$3&lt;'الموظفون'!$D$4,"",IF(ISNUMBER(MATCH(JZ$3,Holidays,0)),"عطلة",IF(MOD(JZ$3-'الموظفون'!$D$4,CycleWork+CycleRest)&lt;CycleWork,INDEX('الإعدادات والقوائم'!$H$2:$H$4,MOD(INT(MOD(JZ$3-'الموظفون'!$D$4,CycleWork+CycleRest)*3/CycleWork)+MATCH(StartShift,'الإعدادات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الإجازات'!$D$5:$D$104&lt;=JZ$3)*(('حجز الإجازات'!$E$5:$E$104)&gt;=JZ$3)*('حجز الإجازات'!$G$5:$G$104="معتمد")*ROW('حجز الإجازات'!$B$5:$B$104)))-5+1))</f>
        <v/>
      </c>
      <c r="KA6" s="62">
        <f>IF(SUMPRODUCT(('حجز الإجازات'!$B$5:$B$104='الموظفون'!$B$4)*('حجز الإجازات'!$D$5:$D$104&lt;=KA$3)*(('حجز الإجازات'!$E$5:$E$104)&gt;=KA$3)*('حجز الإجازات'!$G$5:$G$104="معتمد")*ROW('حجز الإجازات'!$B$5:$B$104))=0,IF(KA$3&lt;'الموظفون'!$D$4,"",IF(ISNUMBER(MATCH(KA$3,Holidays,0)),"عطلة",IF(MOD(KA$3-'الموظفون'!$D$4,CycleWork+CycleRest)&lt;CycleWork,INDEX('الإعدادات والقوائم'!$H$2:$H$4,MOD(INT(MOD(KA$3-'الموظفون'!$D$4,CycleWork+CycleRest)*3/CycleWork)+MATCH(StartShift,'الإعدادات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الإجازات'!$D$5:$D$104&lt;=KA$3)*(('حجز الإجازات'!$E$5:$E$104)&gt;=KA$3)*('حجز الإجازات'!$G$5:$G$104="معتمد")*ROW('حجز الإجازات'!$B$5:$B$104)))-5+1))</f>
        <v/>
      </c>
      <c r="KB6" s="62">
        <f>IF(SUMPRODUCT(('حجز الإجازات'!$B$5:$B$104='الموظفون'!$B$4)*('حجز الإجازات'!$D$5:$D$104&lt;=KB$3)*(('حجز الإجازات'!$E$5:$E$104)&gt;=KB$3)*('حجز الإجازات'!$G$5:$G$104="معتمد")*ROW('حجز الإجازات'!$B$5:$B$104))=0,IF(KB$3&lt;'الموظفون'!$D$4,"",IF(ISNUMBER(MATCH(KB$3,Holidays,0)),"عطلة",IF(MOD(KB$3-'الموظفون'!$D$4,CycleWork+CycleRest)&lt;CycleWork,INDEX('الإعدادات والقوائم'!$H$2:$H$4,MOD(INT(MOD(KB$3-'الموظفون'!$D$4,CycleWork+CycleRest)*3/CycleWork)+MATCH(StartShift,'الإعدادات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الإجازات'!$D$5:$D$104&lt;=KB$3)*(('حجز الإجازات'!$E$5:$E$104)&gt;=KB$3)*('حجز الإجازات'!$G$5:$G$104="معتمد")*ROW('حجز الإجازات'!$B$5:$B$104)))-5+1))</f>
        <v/>
      </c>
      <c r="KC6" s="62">
        <f>IF(SUMPRODUCT(('حجز الإجازات'!$B$5:$B$104='الموظفون'!$B$4)*('حجز الإجازات'!$D$5:$D$104&lt;=KC$3)*(('حجز الإجازات'!$E$5:$E$104)&gt;=KC$3)*('حجز الإجازات'!$G$5:$G$104="معتمد")*ROW('حجز الإجازات'!$B$5:$B$104))=0,IF(KC$3&lt;'الموظفون'!$D$4,"",IF(ISNUMBER(MATCH(KC$3,Holidays,0)),"عطلة",IF(MOD(KC$3-'الموظفون'!$D$4,CycleWork+CycleRest)&lt;CycleWork,INDEX('الإعدادات والقوائم'!$H$2:$H$4,MOD(INT(MOD(KC$3-'الموظفون'!$D$4,CycleWork+CycleRest)*3/CycleWork)+MATCH(StartShift,'الإعدادات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الإجازات'!$D$5:$D$104&lt;=KC$3)*(('حجز الإجازات'!$E$5:$E$104)&gt;=KC$3)*('حجز الإجازات'!$G$5:$G$104="معتمد")*ROW('حجز الإجازات'!$B$5:$B$104)))-5+1))</f>
        <v/>
      </c>
      <c r="KD6" s="62">
        <f>IF(SUMPRODUCT(('حجز الإجازات'!$B$5:$B$104='الموظفون'!$B$4)*('حجز الإجازات'!$D$5:$D$104&lt;=KD$3)*(('حجز الإجازات'!$E$5:$E$104)&gt;=KD$3)*('حجز الإجازات'!$G$5:$G$104="معتمد")*ROW('حجز الإجازات'!$B$5:$B$104))=0,IF(KD$3&lt;'الموظفون'!$D$4,"",IF(ISNUMBER(MATCH(KD$3,Holidays,0)),"عطلة",IF(MOD(KD$3-'الموظفون'!$D$4,CycleWork+CycleRest)&lt;CycleWork,INDEX('الإعدادات والقوائم'!$H$2:$H$4,MOD(INT(MOD(KD$3-'الموظفون'!$D$4,CycleWork+CycleRest)*3/CycleWork)+MATCH(StartShift,'الإعدادات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الإجازات'!$D$5:$D$104&lt;=KD$3)*(('حجز الإجازات'!$E$5:$E$104)&gt;=KD$3)*('حجز الإجازات'!$G$5:$G$104="معتمد")*ROW('حجز الإجازات'!$B$5:$B$104)))-5+1))</f>
        <v/>
      </c>
      <c r="KE6" s="62">
        <f>IF(SUMPRODUCT(('حجز الإجازات'!$B$5:$B$104='الموظفون'!$B$4)*('حجز الإجازات'!$D$5:$D$104&lt;=KE$3)*(('حجز الإجازات'!$E$5:$E$104)&gt;=KE$3)*('حجز الإجازات'!$G$5:$G$104="معتمد")*ROW('حجز الإجازات'!$B$5:$B$104))=0,IF(KE$3&lt;'الموظفون'!$D$4,"",IF(ISNUMBER(MATCH(KE$3,Holidays,0)),"عطلة",IF(MOD(KE$3-'الموظفون'!$D$4,CycleWork+CycleRest)&lt;CycleWork,INDEX('الإعدادات والقوائم'!$H$2:$H$4,MOD(INT(MOD(KE$3-'الموظفون'!$D$4,CycleWork+CycleRest)*3/CycleWork)+MATCH(StartShift,'الإعدادات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الإجازات'!$D$5:$D$104&lt;=KE$3)*(('حجز الإجازات'!$E$5:$E$104)&gt;=KE$3)*('حجز الإجازات'!$G$5:$G$104="معتمد")*ROW('حجز الإجازات'!$B$5:$B$104)))-5+1))</f>
        <v/>
      </c>
      <c r="KF6" s="62">
        <f>IF(SUMPRODUCT(('حجز الإجازات'!$B$5:$B$104='الموظفون'!$B$4)*('حجز الإجازات'!$D$5:$D$104&lt;=KF$3)*(('حجز الإجازات'!$E$5:$E$104)&gt;=KF$3)*('حجز الإجازات'!$G$5:$G$104="معتمد")*ROW('حجز الإجازات'!$B$5:$B$104))=0,IF(KF$3&lt;'الموظفون'!$D$4,"",IF(ISNUMBER(MATCH(KF$3,Holidays,0)),"عطلة",IF(MOD(KF$3-'الموظفون'!$D$4,CycleWork+CycleRest)&lt;CycleWork,INDEX('الإعدادات والقوائم'!$H$2:$H$4,MOD(INT(MOD(KF$3-'الموظفون'!$D$4,CycleWork+CycleRest)*3/CycleWork)+MATCH(StartShift,'الإعدادات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الإجازات'!$D$5:$D$104&lt;=KF$3)*(('حجز الإجازات'!$E$5:$E$104)&gt;=KF$3)*('حجز الإجازات'!$G$5:$G$104="معتمد")*ROW('حجز الإجازات'!$B$5:$B$104)))-5+1))</f>
        <v/>
      </c>
      <c r="KG6" s="62">
        <f>IF(SUMPRODUCT(('حجز الإجازات'!$B$5:$B$104='الموظفون'!$B$4)*('حجز الإجازات'!$D$5:$D$104&lt;=KG$3)*(('حجز الإجازات'!$E$5:$E$104)&gt;=KG$3)*('حجز الإجازات'!$G$5:$G$104="معتمد")*ROW('حجز الإجازات'!$B$5:$B$104))=0,IF(KG$3&lt;'الموظفون'!$D$4,"",IF(ISNUMBER(MATCH(KG$3,Holidays,0)),"عطلة",IF(MOD(KG$3-'الموظفون'!$D$4,CycleWork+CycleRest)&lt;CycleWork,INDEX('الإعدادات والقوائم'!$H$2:$H$4,MOD(INT(MOD(KG$3-'الموظفون'!$D$4,CycleWork+CycleRest)*3/CycleWork)+MATCH(StartShift,'الإعدادات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الإجازات'!$D$5:$D$104&lt;=KG$3)*(('حجز الإجازات'!$E$5:$E$104)&gt;=KG$3)*('حجز الإجازات'!$G$5:$G$104="معتمد")*ROW('حجز الإجازات'!$B$5:$B$104)))-5+1))</f>
        <v/>
      </c>
      <c r="KH6" s="62">
        <f>IF(SUMPRODUCT(('حجز الإجازات'!$B$5:$B$104='الموظفون'!$B$4)*('حجز الإجازات'!$D$5:$D$104&lt;=KH$3)*(('حجز الإجازات'!$E$5:$E$104)&gt;=KH$3)*('حجز الإجازات'!$G$5:$G$104="معتمد")*ROW('حجز الإجازات'!$B$5:$B$104))=0,IF(KH$3&lt;'الموظفون'!$D$4,"",IF(ISNUMBER(MATCH(KH$3,Holidays,0)),"عطلة",IF(MOD(KH$3-'الموظفون'!$D$4,CycleWork+CycleRest)&lt;CycleWork,INDEX('الإعدادات والقوائم'!$H$2:$H$4,MOD(INT(MOD(KH$3-'الموظفون'!$D$4,CycleWork+CycleRest)*3/CycleWork)+MATCH(StartShift,'الإعدادات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الإجازات'!$D$5:$D$104&lt;=KH$3)*(('حجز الإجازات'!$E$5:$E$104)&gt;=KH$3)*('حجز الإجازات'!$G$5:$G$104="معتمد")*ROW('حجز الإجازات'!$B$5:$B$104)))-5+1))</f>
        <v/>
      </c>
      <c r="KI6" s="62">
        <f>IF(SUMPRODUCT(('حجز الإجازات'!$B$5:$B$104='الموظفون'!$B$4)*('حجز الإجازات'!$D$5:$D$104&lt;=KI$3)*(('حجز الإجازات'!$E$5:$E$104)&gt;=KI$3)*('حجز الإجازات'!$G$5:$G$104="معتمد")*ROW('حجز الإجازات'!$B$5:$B$104))=0,IF(KI$3&lt;'الموظفون'!$D$4,"",IF(ISNUMBER(MATCH(KI$3,Holidays,0)),"عطلة",IF(MOD(KI$3-'الموظفون'!$D$4,CycleWork+CycleRest)&lt;CycleWork,INDEX('الإعدادات والقوائم'!$H$2:$H$4,MOD(INT(MOD(KI$3-'الموظفون'!$D$4,CycleWork+CycleRest)*3/CycleWork)+MATCH(StartShift,'الإعدادات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الإجازات'!$D$5:$D$104&lt;=KI$3)*(('حجز الإجازات'!$E$5:$E$104)&gt;=KI$3)*('حجز الإجازات'!$G$5:$G$104="معتمد")*ROW('حجز الإجازات'!$B$5:$B$104)))-5+1))</f>
        <v/>
      </c>
      <c r="KJ6" s="62">
        <f>IF(SUMPRODUCT(('حجز الإجازات'!$B$5:$B$104='الموظفون'!$B$4)*('حجز الإجازات'!$D$5:$D$104&lt;=KJ$3)*(('حجز الإجازات'!$E$5:$E$104)&gt;=KJ$3)*('حجز الإجازات'!$G$5:$G$104="معتمد")*ROW('حجز الإجازات'!$B$5:$B$104))=0,IF(KJ$3&lt;'الموظفون'!$D$4,"",IF(ISNUMBER(MATCH(KJ$3,Holidays,0)),"عطلة",IF(MOD(KJ$3-'الموظفون'!$D$4,CycleWork+CycleRest)&lt;CycleWork,INDEX('الإعدادات والقوائم'!$H$2:$H$4,MOD(INT(MOD(KJ$3-'الموظفون'!$D$4,CycleWork+CycleRest)*3/CycleWork)+MATCH(StartShift,'الإعدادات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الإجازات'!$D$5:$D$104&lt;=KJ$3)*(('حجز الإجازات'!$E$5:$E$104)&gt;=KJ$3)*('حجز الإجازات'!$G$5:$G$104="معتمد")*ROW('حجز الإجازات'!$B$5:$B$104)))-5+1))</f>
        <v/>
      </c>
      <c r="KK6" s="62">
        <f>IF(SUMPRODUCT(('حجز الإجازات'!$B$5:$B$104='الموظفون'!$B$4)*('حجز الإجازات'!$D$5:$D$104&lt;=KK$3)*(('حجز الإجازات'!$E$5:$E$104)&gt;=KK$3)*('حجز الإجازات'!$G$5:$G$104="معتمد")*ROW('حجز الإجازات'!$B$5:$B$104))=0,IF(KK$3&lt;'الموظفون'!$D$4,"",IF(ISNUMBER(MATCH(KK$3,Holidays,0)),"عطلة",IF(MOD(KK$3-'الموظفون'!$D$4,CycleWork+CycleRest)&lt;CycleWork,INDEX('الإعدادات والقوائم'!$H$2:$H$4,MOD(INT(MOD(KK$3-'الموظفون'!$D$4,CycleWork+CycleRest)*3/CycleWork)+MATCH(StartShift,'الإعدادات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الإجازات'!$D$5:$D$104&lt;=KK$3)*(('حجز الإجازات'!$E$5:$E$104)&gt;=KK$3)*('حجز الإجازات'!$G$5:$G$104="معتمد")*ROW('حجز الإجازات'!$B$5:$B$104)))-5+1))</f>
        <v/>
      </c>
      <c r="KL6" s="62">
        <f>IF(SUMPRODUCT(('حجز الإجازات'!$B$5:$B$104='الموظفون'!$B$4)*('حجز الإجازات'!$D$5:$D$104&lt;=KL$3)*(('حجز الإجازات'!$E$5:$E$104)&gt;=KL$3)*('حجز الإجازات'!$G$5:$G$104="معتمد")*ROW('حجز الإجازات'!$B$5:$B$104))=0,IF(KL$3&lt;'الموظفون'!$D$4,"",IF(ISNUMBER(MATCH(KL$3,Holidays,0)),"عطلة",IF(MOD(KL$3-'الموظفون'!$D$4,CycleWork+CycleRest)&lt;CycleWork,INDEX('الإعدادات والقوائم'!$H$2:$H$4,MOD(INT(MOD(KL$3-'الموظفون'!$D$4,CycleWork+CycleRest)*3/CycleWork)+MATCH(StartShift,'الإعدادات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الإجازات'!$D$5:$D$104&lt;=KL$3)*(('حجز الإجازات'!$E$5:$E$104)&gt;=KL$3)*('حجز الإجازات'!$G$5:$G$104="معتمد")*ROW('حجز الإجازات'!$B$5:$B$104)))-5+1))</f>
        <v/>
      </c>
      <c r="KM6" s="62">
        <f>IF(SUMPRODUCT(('حجز الإجازات'!$B$5:$B$104='الموظفون'!$B$4)*('حجز الإجازات'!$D$5:$D$104&lt;=KM$3)*(('حجز الإجازات'!$E$5:$E$104)&gt;=KM$3)*('حجز الإجازات'!$G$5:$G$104="معتمد")*ROW('حجز الإجازات'!$B$5:$B$104))=0,IF(KM$3&lt;'الموظفون'!$D$4,"",IF(ISNUMBER(MATCH(KM$3,Holidays,0)),"عطلة",IF(MOD(KM$3-'الموظفون'!$D$4,CycleWork+CycleRest)&lt;CycleWork,INDEX('الإعدادات والقوائم'!$H$2:$H$4,MOD(INT(MOD(KM$3-'الموظفون'!$D$4,CycleWork+CycleRest)*3/CycleWork)+MATCH(StartShift,'الإعدادات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الإجازات'!$D$5:$D$104&lt;=KM$3)*(('حجز الإجازات'!$E$5:$E$104)&gt;=KM$3)*('حجز الإجازات'!$G$5:$G$104="معتمد")*ROW('حجز الإجازات'!$B$5:$B$104)))-5+1))</f>
        <v/>
      </c>
      <c r="KN6" s="62">
        <f>IF(SUMPRODUCT(('حجز الإجازات'!$B$5:$B$104='الموظفون'!$B$4)*('حجز الإجازات'!$D$5:$D$104&lt;=KN$3)*(('حجز الإجازات'!$E$5:$E$104)&gt;=KN$3)*('حجز الإجازات'!$G$5:$G$104="معتمد")*ROW('حجز الإجازات'!$B$5:$B$104))=0,IF(KN$3&lt;'الموظفون'!$D$4,"",IF(ISNUMBER(MATCH(KN$3,Holidays,0)),"عطلة",IF(MOD(KN$3-'الموظفون'!$D$4,CycleWork+CycleRest)&lt;CycleWork,INDEX('الإعدادات والقوائم'!$H$2:$H$4,MOD(INT(MOD(KN$3-'الموظفون'!$D$4,CycleWork+CycleRest)*3/CycleWork)+MATCH(StartShift,'الإعدادات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الإجازات'!$D$5:$D$104&lt;=KN$3)*(('حجز الإجازات'!$E$5:$E$104)&gt;=KN$3)*('حجز الإجازات'!$G$5:$G$104="معتمد")*ROW('حجز الإجازات'!$B$5:$B$104)))-5+1))</f>
        <v/>
      </c>
      <c r="KO6" s="62">
        <f>IF(SUMPRODUCT(('حجز الإجازات'!$B$5:$B$104='الموظفون'!$B$4)*('حجز الإجازات'!$D$5:$D$104&lt;=KO$3)*(('حجز الإجازات'!$E$5:$E$104)&gt;=KO$3)*('حجز الإجازات'!$G$5:$G$104="معتمد")*ROW('حجز الإجازات'!$B$5:$B$104))=0,IF(KO$3&lt;'الموظفون'!$D$4,"",IF(ISNUMBER(MATCH(KO$3,Holidays,0)),"عطلة",IF(MOD(KO$3-'الموظفون'!$D$4,CycleWork+CycleRest)&lt;CycleWork,INDEX('الإعدادات والقوائم'!$H$2:$H$4,MOD(INT(MOD(KO$3-'الموظفون'!$D$4,CycleWork+CycleRest)*3/CycleWork)+MATCH(StartShift,'الإعدادات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الإجازات'!$D$5:$D$104&lt;=KO$3)*(('حجز الإجازات'!$E$5:$E$104)&gt;=KO$3)*('حجز الإجازات'!$G$5:$G$104="معتمد")*ROW('حجز الإجازات'!$B$5:$B$104)))-5+1))</f>
        <v/>
      </c>
      <c r="KP6" s="62">
        <f>IF(SUMPRODUCT(('حجز الإجازات'!$B$5:$B$104='الموظفون'!$B$4)*('حجز الإجازات'!$D$5:$D$104&lt;=KP$3)*(('حجز الإجازات'!$E$5:$E$104)&gt;=KP$3)*('حجز الإجازات'!$G$5:$G$104="معتمد")*ROW('حجز الإجازات'!$B$5:$B$104))=0,IF(KP$3&lt;'الموظفون'!$D$4,"",IF(ISNUMBER(MATCH(KP$3,Holidays,0)),"عطلة",IF(MOD(KP$3-'الموظفون'!$D$4,CycleWork+CycleRest)&lt;CycleWork,INDEX('الإعدادات والقوائم'!$H$2:$H$4,MOD(INT(MOD(KP$3-'الموظفون'!$D$4,CycleWork+CycleRest)*3/CycleWork)+MATCH(StartShift,'الإعدادات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الإجازات'!$D$5:$D$104&lt;=KP$3)*(('حجز الإجازات'!$E$5:$E$104)&gt;=KP$3)*('حجز الإجازات'!$G$5:$G$104="معتمد")*ROW('حجز الإجازات'!$B$5:$B$104)))-5+1))</f>
        <v/>
      </c>
      <c r="KQ6" s="62">
        <f>IF(SUMPRODUCT(('حجز الإجازات'!$B$5:$B$104='الموظفون'!$B$4)*('حجز الإجازات'!$D$5:$D$104&lt;=KQ$3)*(('حجز الإجازات'!$E$5:$E$104)&gt;=KQ$3)*('حجز الإجازات'!$G$5:$G$104="معتمد")*ROW('حجز الإجازات'!$B$5:$B$104))=0,IF(KQ$3&lt;'الموظفون'!$D$4,"",IF(ISNUMBER(MATCH(KQ$3,Holidays,0)),"عطلة",IF(MOD(KQ$3-'الموظفون'!$D$4,CycleWork+CycleRest)&lt;CycleWork,INDEX('الإعدادات والقوائم'!$H$2:$H$4,MOD(INT(MOD(KQ$3-'الموظفون'!$D$4,CycleWork+CycleRest)*3/CycleWork)+MATCH(StartShift,'الإعدادات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الإجازات'!$D$5:$D$104&lt;=KQ$3)*(('حجز الإجازات'!$E$5:$E$104)&gt;=KQ$3)*('حجز الإجازات'!$G$5:$G$104="معتمد")*ROW('حجز الإجازات'!$B$5:$B$104)))-5+1))</f>
        <v/>
      </c>
      <c r="KR6" s="62">
        <f>IF(SUMPRODUCT(('حجز الإجازات'!$B$5:$B$104='الموظفون'!$B$4)*('حجز الإجازات'!$D$5:$D$104&lt;=KR$3)*(('حجز الإجازات'!$E$5:$E$104)&gt;=KR$3)*('حجز الإجازات'!$G$5:$G$104="معتمد")*ROW('حجز الإجازات'!$B$5:$B$104))=0,IF(KR$3&lt;'الموظفون'!$D$4,"",IF(ISNUMBER(MATCH(KR$3,Holidays,0)),"عطلة",IF(MOD(KR$3-'الموظفون'!$D$4,CycleWork+CycleRest)&lt;CycleWork,INDEX('الإعدادات والقوائم'!$H$2:$H$4,MOD(INT(MOD(KR$3-'الموظفون'!$D$4,CycleWork+CycleRest)*3/CycleWork)+MATCH(StartShift,'الإعدادات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الإجازات'!$D$5:$D$104&lt;=KR$3)*(('حجز الإجازات'!$E$5:$E$104)&gt;=KR$3)*('حجز الإجازات'!$G$5:$G$104="معتمد")*ROW('حجز الإجازات'!$B$5:$B$104)))-5+1))</f>
        <v/>
      </c>
      <c r="KS6" s="62">
        <f>IF(SUMPRODUCT(('حجز الإجازات'!$B$5:$B$104='الموظفون'!$B$4)*('حجز الإجازات'!$D$5:$D$104&lt;=KS$3)*(('حجز الإجازات'!$E$5:$E$104)&gt;=KS$3)*('حجز الإجازات'!$G$5:$G$104="معتمد")*ROW('حجز الإجازات'!$B$5:$B$104))=0,IF(KS$3&lt;'الموظفون'!$D$4,"",IF(ISNUMBER(MATCH(KS$3,Holidays,0)),"عطلة",IF(MOD(KS$3-'الموظفون'!$D$4,CycleWork+CycleRest)&lt;CycleWork,INDEX('الإعدادات والقوائم'!$H$2:$H$4,MOD(INT(MOD(KS$3-'الموظفون'!$D$4,CycleWork+CycleRest)*3/CycleWork)+MATCH(StartShift,'الإعدادات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الإجازات'!$D$5:$D$104&lt;=KS$3)*(('حجز الإجازات'!$E$5:$E$104)&gt;=KS$3)*('حجز الإجازات'!$G$5:$G$104="معتمد")*ROW('حجز الإجازات'!$B$5:$B$104)))-5+1))</f>
        <v/>
      </c>
      <c r="KT6" s="62">
        <f>IF(SUMPRODUCT(('حجز الإجازات'!$B$5:$B$104='الموظفون'!$B$4)*('حجز الإجازات'!$D$5:$D$104&lt;=KT$3)*(('حجز الإجازات'!$E$5:$E$104)&gt;=KT$3)*('حجز الإجازات'!$G$5:$G$104="معتمد")*ROW('حجز الإجازات'!$B$5:$B$104))=0,IF(KT$3&lt;'الموظفون'!$D$4,"",IF(ISNUMBER(MATCH(KT$3,Holidays,0)),"عطلة",IF(MOD(KT$3-'الموظفون'!$D$4,CycleWork+CycleRest)&lt;CycleWork,INDEX('الإعدادات والقوائم'!$H$2:$H$4,MOD(INT(MOD(KT$3-'الموظفون'!$D$4,CycleWork+CycleRest)*3/CycleWork)+MATCH(StartShift,'الإعدادات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الإجازات'!$D$5:$D$104&lt;=KT$3)*(('حجز الإجازات'!$E$5:$E$104)&gt;=KT$3)*('حجز الإجازات'!$G$5:$G$104="معتمد")*ROW('حجز الإجازات'!$B$5:$B$104)))-5+1))</f>
        <v/>
      </c>
      <c r="KU6" s="62">
        <f>IF(SUMPRODUCT(('حجز الإجازات'!$B$5:$B$104='الموظفون'!$B$4)*('حجز الإجازات'!$D$5:$D$104&lt;=KU$3)*(('حجز الإجازات'!$E$5:$E$104)&gt;=KU$3)*('حجز الإجازات'!$G$5:$G$104="معتمد")*ROW('حجز الإجازات'!$B$5:$B$104))=0,IF(KU$3&lt;'الموظفون'!$D$4,"",IF(ISNUMBER(MATCH(KU$3,Holidays,0)),"عطلة",IF(MOD(KU$3-'الموظفون'!$D$4,CycleWork+CycleRest)&lt;CycleWork,INDEX('الإعدادات والقوائم'!$H$2:$H$4,MOD(INT(MOD(KU$3-'الموظفون'!$D$4,CycleWork+CycleRest)*3/CycleWork)+MATCH(StartShift,'الإعدادات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الإجازات'!$D$5:$D$104&lt;=KU$3)*(('حجز الإجازات'!$E$5:$E$104)&gt;=KU$3)*('حجز الإجازات'!$G$5:$G$104="معتمد")*ROW('حجز الإجازات'!$B$5:$B$104)))-5+1))</f>
        <v/>
      </c>
      <c r="KV6" s="62">
        <f>IF(SUMPRODUCT(('حجز الإجازات'!$B$5:$B$104='الموظفون'!$B$4)*('حجز الإجازات'!$D$5:$D$104&lt;=KV$3)*(('حجز الإجازات'!$E$5:$E$104)&gt;=KV$3)*('حجز الإجازات'!$G$5:$G$104="معتمد")*ROW('حجز الإجازات'!$B$5:$B$104))=0,IF(KV$3&lt;'الموظفون'!$D$4,"",IF(ISNUMBER(MATCH(KV$3,Holidays,0)),"عطلة",IF(MOD(KV$3-'الموظفون'!$D$4,CycleWork+CycleRest)&lt;CycleWork,INDEX('الإعدادات والقوائم'!$H$2:$H$4,MOD(INT(MOD(KV$3-'الموظفون'!$D$4,CycleWork+CycleRest)*3/CycleWork)+MATCH(StartShift,'الإعدادات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الإجازات'!$D$5:$D$104&lt;=KV$3)*(('حجز الإجازات'!$E$5:$E$104)&gt;=KV$3)*('حجز الإجازات'!$G$5:$G$104="معتمد")*ROW('حجز الإجازات'!$B$5:$B$104)))-5+1))</f>
        <v/>
      </c>
      <c r="KW6" s="62">
        <f>IF(SUMPRODUCT(('حجز الإجازات'!$B$5:$B$104='الموظفون'!$B$4)*('حجز الإجازات'!$D$5:$D$104&lt;=KW$3)*(('حجز الإجازات'!$E$5:$E$104)&gt;=KW$3)*('حجز الإجازات'!$G$5:$G$104="معتمد")*ROW('حجز الإجازات'!$B$5:$B$104))=0,IF(KW$3&lt;'الموظفون'!$D$4,"",IF(ISNUMBER(MATCH(KW$3,Holidays,0)),"عطلة",IF(MOD(KW$3-'الموظفون'!$D$4,CycleWork+CycleRest)&lt;CycleWork,INDEX('الإعدادات والقوائم'!$H$2:$H$4,MOD(INT(MOD(KW$3-'الموظفون'!$D$4,CycleWork+CycleRest)*3/CycleWork)+MATCH(StartShift,'الإعدادات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الإجازات'!$D$5:$D$104&lt;=KW$3)*(('حجز الإجازات'!$E$5:$E$104)&gt;=KW$3)*('حجز الإجازات'!$G$5:$G$104="معتمد")*ROW('حجز الإجازات'!$B$5:$B$104)))-5+1))</f>
        <v/>
      </c>
      <c r="KX6" s="62">
        <f>IF(SUMPRODUCT(('حجز الإجازات'!$B$5:$B$104='الموظفون'!$B$4)*('حجز الإجازات'!$D$5:$D$104&lt;=KX$3)*(('حجز الإجازات'!$E$5:$E$104)&gt;=KX$3)*('حجز الإجازات'!$G$5:$G$104="معتمد")*ROW('حجز الإجازات'!$B$5:$B$104))=0,IF(KX$3&lt;'الموظفون'!$D$4,"",IF(ISNUMBER(MATCH(KX$3,Holidays,0)),"عطلة",IF(MOD(KX$3-'الموظفون'!$D$4,CycleWork+CycleRest)&lt;CycleWork,INDEX('الإعدادات والقوائم'!$H$2:$H$4,MOD(INT(MOD(KX$3-'الموظفون'!$D$4,CycleWork+CycleRest)*3/CycleWork)+MATCH(StartShift,'الإعدادات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الإجازات'!$D$5:$D$104&lt;=KX$3)*(('حجز الإجازات'!$E$5:$E$104)&gt;=KX$3)*('حجز الإجازات'!$G$5:$G$104="معتمد")*ROW('حجز الإجازات'!$B$5:$B$104)))-5+1))</f>
        <v/>
      </c>
      <c r="KY6" s="62">
        <f>IF(SUMPRODUCT(('حجز الإجازات'!$B$5:$B$104='الموظفون'!$B$4)*('حجز الإجازات'!$D$5:$D$104&lt;=KY$3)*(('حجز الإجازات'!$E$5:$E$104)&gt;=KY$3)*('حجز الإجازات'!$G$5:$G$104="معتمد")*ROW('حجز الإجازات'!$B$5:$B$104))=0,IF(KY$3&lt;'الموظفون'!$D$4,"",IF(ISNUMBER(MATCH(KY$3,Holidays,0)),"عطلة",IF(MOD(KY$3-'الموظفون'!$D$4,CycleWork+CycleRest)&lt;CycleWork,INDEX('الإعدادات والقوائم'!$H$2:$H$4,MOD(INT(MOD(KY$3-'الموظفون'!$D$4,CycleWork+CycleRest)*3/CycleWork)+MATCH(StartShift,'الإعدادات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الإجازات'!$D$5:$D$104&lt;=KY$3)*(('حجز الإجازات'!$E$5:$E$104)&gt;=KY$3)*('حجز الإجازات'!$G$5:$G$104="معتمد")*ROW('حجز الإجازات'!$B$5:$B$104)))-5+1))</f>
        <v/>
      </c>
      <c r="KZ6" s="62">
        <f>IF(SUMPRODUCT(('حجز الإجازات'!$B$5:$B$104='الموظفون'!$B$4)*('حجز الإجازات'!$D$5:$D$104&lt;=KZ$3)*(('حجز الإجازات'!$E$5:$E$104)&gt;=KZ$3)*('حجز الإجازات'!$G$5:$G$104="معتمد")*ROW('حجز الإجازات'!$B$5:$B$104))=0,IF(KZ$3&lt;'الموظفون'!$D$4,"",IF(ISNUMBER(MATCH(KZ$3,Holidays,0)),"عطلة",IF(MOD(KZ$3-'الموظفون'!$D$4,CycleWork+CycleRest)&lt;CycleWork,INDEX('الإعدادات والقوائم'!$H$2:$H$4,MOD(INT(MOD(KZ$3-'الموظفون'!$D$4,CycleWork+CycleRest)*3/CycleWork)+MATCH(StartShift,'الإعدادات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الإجازات'!$D$5:$D$104&lt;=KZ$3)*(('حجز الإجازات'!$E$5:$E$104)&gt;=KZ$3)*('حجز الإجازات'!$G$5:$G$104="معتمد")*ROW('حجز الإجازات'!$B$5:$B$104)))-5+1))</f>
        <v/>
      </c>
      <c r="LA6" s="62">
        <f>IF(SUMPRODUCT(('حجز الإجازات'!$B$5:$B$104='الموظفون'!$B$4)*('حجز الإجازات'!$D$5:$D$104&lt;=LA$3)*(('حجز الإجازات'!$E$5:$E$104)&gt;=LA$3)*('حجز الإجازات'!$G$5:$G$104="معتمد")*ROW('حجز الإجازات'!$B$5:$B$104))=0,IF(LA$3&lt;'الموظفون'!$D$4,"",IF(ISNUMBER(MATCH(LA$3,Holidays,0)),"عطلة",IF(MOD(LA$3-'الموظفون'!$D$4,CycleWork+CycleRest)&lt;CycleWork,INDEX('الإعدادات والقوائم'!$H$2:$H$4,MOD(INT(MOD(LA$3-'الموظفون'!$D$4,CycleWork+CycleRest)*3/CycleWork)+MATCH(StartShift,'الإعدادات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الإجازات'!$D$5:$D$104&lt;=LA$3)*(('حجز الإجازات'!$E$5:$E$104)&gt;=LA$3)*('حجز الإجازات'!$G$5:$G$104="معتمد")*ROW('حجز الإجازات'!$B$5:$B$104)))-5+1))</f>
        <v/>
      </c>
      <c r="LB6" s="62">
        <f>IF(SUMPRODUCT(('حجز الإجازات'!$B$5:$B$104='الموظفون'!$B$4)*('حجز الإجازات'!$D$5:$D$104&lt;=LB$3)*(('حجز الإجازات'!$E$5:$E$104)&gt;=LB$3)*('حجز الإجازات'!$G$5:$G$104="معتمد")*ROW('حجز الإجازات'!$B$5:$B$104))=0,IF(LB$3&lt;'الموظفون'!$D$4,"",IF(ISNUMBER(MATCH(LB$3,Holidays,0)),"عطلة",IF(MOD(LB$3-'الموظفون'!$D$4,CycleWork+CycleRest)&lt;CycleWork,INDEX('الإعدادات والقوائم'!$H$2:$H$4,MOD(INT(MOD(LB$3-'الموظفون'!$D$4,CycleWork+CycleRest)*3/CycleWork)+MATCH(StartShift,'الإعدادات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الإجازات'!$D$5:$D$104&lt;=LB$3)*(('حجز الإجازات'!$E$5:$E$104)&gt;=LB$3)*('حجز الإجازات'!$G$5:$G$104="معتمد")*ROW('حجز الإجازات'!$B$5:$B$104)))-5+1))</f>
        <v/>
      </c>
      <c r="LC6" s="62">
        <f>IF(SUMPRODUCT(('حجز الإجازات'!$B$5:$B$104='الموظفون'!$B$4)*('حجز الإجازات'!$D$5:$D$104&lt;=LC$3)*(('حجز الإجازات'!$E$5:$E$104)&gt;=LC$3)*('حجز الإجازات'!$G$5:$G$104="معتمد")*ROW('حجز الإجازات'!$B$5:$B$104))=0,IF(LC$3&lt;'الموظفون'!$D$4,"",IF(ISNUMBER(MATCH(LC$3,Holidays,0)),"عطلة",IF(MOD(LC$3-'الموظفون'!$D$4,CycleWork+CycleRest)&lt;CycleWork,INDEX('الإعدادات والقوائم'!$H$2:$H$4,MOD(INT(MOD(LC$3-'الموظفون'!$D$4,CycleWork+CycleRest)*3/CycleWork)+MATCH(StartShift,'الإعدادات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الإجازات'!$D$5:$D$104&lt;=LC$3)*(('حجز الإجازات'!$E$5:$E$104)&gt;=LC$3)*('حجز الإجازات'!$G$5:$G$104="معتمد")*ROW('حجز الإجازات'!$B$5:$B$104)))-5+1))</f>
        <v/>
      </c>
      <c r="LD6" s="62">
        <f>IF(SUMPRODUCT(('حجز الإجازات'!$B$5:$B$104='الموظفون'!$B$4)*('حجز الإجازات'!$D$5:$D$104&lt;=LD$3)*(('حجز الإجازات'!$E$5:$E$104)&gt;=LD$3)*('حجز الإجازات'!$G$5:$G$104="معتمد")*ROW('حجز الإجازات'!$B$5:$B$104))=0,IF(LD$3&lt;'الموظفون'!$D$4,"",IF(ISNUMBER(MATCH(LD$3,Holidays,0)),"عطلة",IF(MOD(LD$3-'الموظفون'!$D$4,CycleWork+CycleRest)&lt;CycleWork,INDEX('الإعدادات والقوائم'!$H$2:$H$4,MOD(INT(MOD(LD$3-'الموظفون'!$D$4,CycleWork+CycleRest)*3/CycleWork)+MATCH(StartShift,'الإعدادات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الإجازات'!$D$5:$D$104&lt;=LD$3)*(('حجز الإجازات'!$E$5:$E$104)&gt;=LD$3)*('حجز الإجازات'!$G$5:$G$104="معتمد")*ROW('حجز الإجازات'!$B$5:$B$104)))-5+1))</f>
        <v/>
      </c>
      <c r="LE6" s="62">
        <f>IF(SUMPRODUCT(('حجز الإجازات'!$B$5:$B$104='الموظفون'!$B$4)*('حجز الإجازات'!$D$5:$D$104&lt;=LE$3)*(('حجز الإجازات'!$E$5:$E$104)&gt;=LE$3)*('حجز الإجازات'!$G$5:$G$104="معتمد")*ROW('حجز الإجازات'!$B$5:$B$104))=0,IF(LE$3&lt;'الموظفون'!$D$4,"",IF(ISNUMBER(MATCH(LE$3,Holidays,0)),"عطلة",IF(MOD(LE$3-'الموظفون'!$D$4,CycleWork+CycleRest)&lt;CycleWork,INDEX('الإعدادات والقوائم'!$H$2:$H$4,MOD(INT(MOD(LE$3-'الموظفون'!$D$4,CycleWork+CycleRest)*3/CycleWork)+MATCH(StartShift,'الإعدادات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الإجازات'!$D$5:$D$104&lt;=LE$3)*(('حجز الإجازات'!$E$5:$E$104)&gt;=LE$3)*('حجز الإجازات'!$G$5:$G$104="معتمد")*ROW('حجز الإجازات'!$B$5:$B$104)))-5+1))</f>
        <v/>
      </c>
      <c r="LF6" s="62">
        <f>IF(SUMPRODUCT(('حجز الإجازات'!$B$5:$B$104='الموظفون'!$B$4)*('حجز الإجازات'!$D$5:$D$104&lt;=LF$3)*(('حجز الإجازات'!$E$5:$E$104)&gt;=LF$3)*('حجز الإجازات'!$G$5:$G$104="معتمد")*ROW('حجز الإجازات'!$B$5:$B$104))=0,IF(LF$3&lt;'الموظفون'!$D$4,"",IF(ISNUMBER(MATCH(LF$3,Holidays,0)),"عطلة",IF(MOD(LF$3-'الموظفون'!$D$4,CycleWork+CycleRest)&lt;CycleWork,INDEX('الإعدادات والقوائم'!$H$2:$H$4,MOD(INT(MOD(LF$3-'الموظفون'!$D$4,CycleWork+CycleRest)*3/CycleWork)+MATCH(StartShift,'الإعدادات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الإجازات'!$D$5:$D$104&lt;=LF$3)*(('حجز الإجازات'!$E$5:$E$104)&gt;=LF$3)*('حجز الإجازات'!$G$5:$G$104="معتمد")*ROW('حجز الإجازات'!$B$5:$B$104)))-5+1))</f>
        <v/>
      </c>
      <c r="LG6" s="62">
        <f>IF(SUMPRODUCT(('حجز الإجازات'!$B$5:$B$104='الموظفون'!$B$4)*('حجز الإجازات'!$D$5:$D$104&lt;=LG$3)*(('حجز الإجازات'!$E$5:$E$104)&gt;=LG$3)*('حجز الإجازات'!$G$5:$G$104="معتمد")*ROW('حجز الإجازات'!$B$5:$B$104))=0,IF(LG$3&lt;'الموظفون'!$D$4,"",IF(ISNUMBER(MATCH(LG$3,Holidays,0)),"عطلة",IF(MOD(LG$3-'الموظفون'!$D$4,CycleWork+CycleRest)&lt;CycleWork,INDEX('الإعدادات والقوائم'!$H$2:$H$4,MOD(INT(MOD(LG$3-'الموظفون'!$D$4,CycleWork+CycleRest)*3/CycleWork)+MATCH(StartShift,'الإعدادات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الإجازات'!$D$5:$D$104&lt;=LG$3)*(('حجز الإجازات'!$E$5:$E$104)&gt;=LG$3)*('حجز الإجازات'!$G$5:$G$104="معتمد")*ROW('حجز الإجازات'!$B$5:$B$104)))-5+1))</f>
        <v/>
      </c>
      <c r="LH6" s="62">
        <f>IF(SUMPRODUCT(('حجز الإجازات'!$B$5:$B$104='الموظفون'!$B$4)*('حجز الإجازات'!$D$5:$D$104&lt;=LH$3)*(('حجز الإجازات'!$E$5:$E$104)&gt;=LH$3)*('حجز الإجازات'!$G$5:$G$104="معتمد")*ROW('حجز الإجازات'!$B$5:$B$104))=0,IF(LH$3&lt;'الموظفون'!$D$4,"",IF(ISNUMBER(MATCH(LH$3,Holidays,0)),"عطلة",IF(MOD(LH$3-'الموظفون'!$D$4,CycleWork+CycleRest)&lt;CycleWork,INDEX('الإعدادات والقوائم'!$H$2:$H$4,MOD(INT(MOD(LH$3-'الموظفون'!$D$4,CycleWork+CycleRest)*3/CycleWork)+MATCH(StartShift,'الإعدادات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الإجازات'!$D$5:$D$104&lt;=LH$3)*(('حجز الإجازات'!$E$5:$E$104)&gt;=LH$3)*('حجز الإجازات'!$G$5:$G$104="معتمد")*ROW('حجز الإجازات'!$B$5:$B$104)))-5+1))</f>
        <v/>
      </c>
      <c r="LI6" s="62">
        <f>IF(SUMPRODUCT(('حجز الإجازات'!$B$5:$B$104='الموظفون'!$B$4)*('حجز الإجازات'!$D$5:$D$104&lt;=LI$3)*(('حجز الإجازات'!$E$5:$E$104)&gt;=LI$3)*('حجز الإجازات'!$G$5:$G$104="معتمد")*ROW('حجز الإجازات'!$B$5:$B$104))=0,IF(LI$3&lt;'الموظفون'!$D$4,"",IF(ISNUMBER(MATCH(LI$3,Holidays,0)),"عطلة",IF(MOD(LI$3-'الموظفون'!$D$4,CycleWork+CycleRest)&lt;CycleWork,INDEX('الإعدادات والقوائم'!$H$2:$H$4,MOD(INT(MOD(LI$3-'الموظفون'!$D$4,CycleWork+CycleRest)*3/CycleWork)+MATCH(StartShift,'الإعدادات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الإجازات'!$D$5:$D$104&lt;=LI$3)*(('حجز الإجازات'!$E$5:$E$104)&gt;=LI$3)*('حجز الإجازات'!$G$5:$G$104="معتمد")*ROW('حجز الإجازات'!$B$5:$B$104)))-5+1))</f>
        <v/>
      </c>
      <c r="LJ6" s="62">
        <f>IF(SUMPRODUCT(('حجز الإجازات'!$B$5:$B$104='الموظفون'!$B$4)*('حجز الإجازات'!$D$5:$D$104&lt;=LJ$3)*(('حجز الإجازات'!$E$5:$E$104)&gt;=LJ$3)*('حجز الإجازات'!$G$5:$G$104="معتمد")*ROW('حجز الإجازات'!$B$5:$B$104))=0,IF(LJ$3&lt;'الموظفون'!$D$4,"",IF(ISNUMBER(MATCH(LJ$3,Holidays,0)),"عطلة",IF(MOD(LJ$3-'الموظفون'!$D$4,CycleWork+CycleRest)&lt;CycleWork,INDEX('الإعدادات والقوائم'!$H$2:$H$4,MOD(INT(MOD(LJ$3-'الموظفون'!$D$4,CycleWork+CycleRest)*3/CycleWork)+MATCH(StartShift,'الإعدادات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الإجازات'!$D$5:$D$104&lt;=LJ$3)*(('حجز الإجازات'!$E$5:$E$104)&gt;=LJ$3)*('حجز الإجازات'!$G$5:$G$104="معتمد")*ROW('حجز الإجازات'!$B$5:$B$104)))-5+1))</f>
        <v/>
      </c>
      <c r="LK6" s="62">
        <f>IF(SUMPRODUCT(('حجز الإجازات'!$B$5:$B$104='الموظفون'!$B$4)*('حجز الإجازات'!$D$5:$D$104&lt;=LK$3)*(('حجز الإجازات'!$E$5:$E$104)&gt;=LK$3)*('حجز الإجازات'!$G$5:$G$104="معتمد")*ROW('حجز الإجازات'!$B$5:$B$104))=0,IF(LK$3&lt;'الموظفون'!$D$4,"",IF(ISNUMBER(MATCH(LK$3,Holidays,0)),"عطلة",IF(MOD(LK$3-'الموظفون'!$D$4,CycleWork+CycleRest)&lt;CycleWork,INDEX('الإعدادات والقوائم'!$H$2:$H$4,MOD(INT(MOD(LK$3-'الموظفون'!$D$4,CycleWork+CycleRest)*3/CycleWork)+MATCH(StartShift,'الإعدادات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الإجازات'!$D$5:$D$104&lt;=LK$3)*(('حجز الإجازات'!$E$5:$E$104)&gt;=LK$3)*('حجز الإجازات'!$G$5:$G$104="معتمد")*ROW('حجز الإجازات'!$B$5:$B$104)))-5+1))</f>
        <v/>
      </c>
      <c r="LL6" s="62">
        <f>IF(SUMPRODUCT(('حجز الإجازات'!$B$5:$B$104='الموظفون'!$B$4)*('حجز الإجازات'!$D$5:$D$104&lt;=LL$3)*(('حجز الإجازات'!$E$5:$E$104)&gt;=LL$3)*('حجز الإجازات'!$G$5:$G$104="معتمد")*ROW('حجز الإجازات'!$B$5:$B$104))=0,IF(LL$3&lt;'الموظفون'!$D$4,"",IF(ISNUMBER(MATCH(LL$3,Holidays,0)),"عطلة",IF(MOD(LL$3-'الموظفون'!$D$4,CycleWork+CycleRest)&lt;CycleWork,INDEX('الإعدادات والقوائم'!$H$2:$H$4,MOD(INT(MOD(LL$3-'الموظفون'!$D$4,CycleWork+CycleRest)*3/CycleWork)+MATCH(StartShift,'الإعدادات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الإجازات'!$D$5:$D$104&lt;=LL$3)*(('حجز الإجازات'!$E$5:$E$104)&gt;=LL$3)*('حجز الإجازات'!$G$5:$G$104="معتمد")*ROW('حجز الإجازات'!$B$5:$B$104)))-5+1))</f>
        <v/>
      </c>
      <c r="LM6" s="62">
        <f>IF(SUMPRODUCT(('حجز الإجازات'!$B$5:$B$104='الموظفون'!$B$4)*('حجز الإجازات'!$D$5:$D$104&lt;=LM$3)*(('حجز الإجازات'!$E$5:$E$104)&gt;=LM$3)*('حجز الإجازات'!$G$5:$G$104="معتمد")*ROW('حجز الإجازات'!$B$5:$B$104))=0,IF(LM$3&lt;'الموظفون'!$D$4,"",IF(ISNUMBER(MATCH(LM$3,Holidays,0)),"عطلة",IF(MOD(LM$3-'الموظفون'!$D$4,CycleWork+CycleRest)&lt;CycleWork,INDEX('الإعدادات والقوائم'!$H$2:$H$4,MOD(INT(MOD(LM$3-'الموظفون'!$D$4,CycleWork+CycleRest)*3/CycleWork)+MATCH(StartShift,'الإعدادات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الإجازات'!$D$5:$D$104&lt;=LM$3)*(('حجز الإجازات'!$E$5:$E$104)&gt;=LM$3)*('حجز الإجازات'!$G$5:$G$104="معتمد")*ROW('حجز الإجازات'!$B$5:$B$104)))-5+1))</f>
        <v/>
      </c>
      <c r="LN6" s="62">
        <f>IF(SUMPRODUCT(('حجز الإجازات'!$B$5:$B$104='الموظفون'!$B$4)*('حجز الإجازات'!$D$5:$D$104&lt;=LN$3)*(('حجز الإجازات'!$E$5:$E$104)&gt;=LN$3)*('حجز الإجازات'!$G$5:$G$104="معتمد")*ROW('حجز الإجازات'!$B$5:$B$104))=0,IF(LN$3&lt;'الموظفون'!$D$4,"",IF(ISNUMBER(MATCH(LN$3,Holidays,0)),"عطلة",IF(MOD(LN$3-'الموظفون'!$D$4,CycleWork+CycleRest)&lt;CycleWork,INDEX('الإعدادات والقوائم'!$H$2:$H$4,MOD(INT(MOD(LN$3-'الموظفون'!$D$4,CycleWork+CycleRest)*3/CycleWork)+MATCH(StartShift,'الإعدادات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الإجازات'!$D$5:$D$104&lt;=LN$3)*(('حجز الإجازات'!$E$5:$E$104)&gt;=LN$3)*('حجز الإجازات'!$G$5:$G$104="معتمد")*ROW('حجز الإجازات'!$B$5:$B$104)))-5+1))</f>
        <v/>
      </c>
      <c r="LO6" s="62">
        <f>IF(SUMPRODUCT(('حجز الإجازات'!$B$5:$B$104='الموظفون'!$B$4)*('حجز الإجازات'!$D$5:$D$104&lt;=LO$3)*(('حجز الإجازات'!$E$5:$E$104)&gt;=LO$3)*('حجز الإجازات'!$G$5:$G$104="معتمد")*ROW('حجز الإجازات'!$B$5:$B$104))=0,IF(LO$3&lt;'الموظفون'!$D$4,"",IF(ISNUMBER(MATCH(LO$3,Holidays,0)),"عطلة",IF(MOD(LO$3-'الموظفون'!$D$4,CycleWork+CycleRest)&lt;CycleWork,INDEX('الإعدادات والقوائم'!$H$2:$H$4,MOD(INT(MOD(LO$3-'الموظفون'!$D$4,CycleWork+CycleRest)*3/CycleWork)+MATCH(StartShift,'الإعدادات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الإجازات'!$D$5:$D$104&lt;=LO$3)*(('حجز الإجازات'!$E$5:$E$104)&gt;=LO$3)*('حجز الإجازات'!$G$5:$G$104="معتمد")*ROW('حجز الإجازات'!$B$5:$B$104)))-5+1))</f>
        <v/>
      </c>
      <c r="LP6" s="62">
        <f>IF(SUMPRODUCT(('حجز الإجازات'!$B$5:$B$104='الموظفون'!$B$4)*('حجز الإجازات'!$D$5:$D$104&lt;=LP$3)*(('حجز الإجازات'!$E$5:$E$104)&gt;=LP$3)*('حجز الإجازات'!$G$5:$G$104="معتمد")*ROW('حجز الإجازات'!$B$5:$B$104))=0,IF(LP$3&lt;'الموظفون'!$D$4,"",IF(ISNUMBER(MATCH(LP$3,Holidays,0)),"عطلة",IF(MOD(LP$3-'الموظفون'!$D$4,CycleWork+CycleRest)&lt;CycleWork,INDEX('الإعدادات والقوائم'!$H$2:$H$4,MOD(INT(MOD(LP$3-'الموظفون'!$D$4,CycleWork+CycleRest)*3/CycleWork)+MATCH(StartShift,'الإعدادات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الإجازات'!$D$5:$D$104&lt;=LP$3)*(('حجز الإجازات'!$E$5:$E$104)&gt;=LP$3)*('حجز الإجازات'!$G$5:$G$104="معتمد")*ROW('حجز الإجازات'!$B$5:$B$104)))-5+1))</f>
        <v/>
      </c>
      <c r="LQ6" s="62">
        <f>IF(SUMPRODUCT(('حجز الإجازات'!$B$5:$B$104='الموظفون'!$B$4)*('حجز الإجازات'!$D$5:$D$104&lt;=LQ$3)*(('حجز الإجازات'!$E$5:$E$104)&gt;=LQ$3)*('حجز الإجازات'!$G$5:$G$104="معتمد")*ROW('حجز الإجازات'!$B$5:$B$104))=0,IF(LQ$3&lt;'الموظفون'!$D$4,"",IF(ISNUMBER(MATCH(LQ$3,Holidays,0)),"عطلة",IF(MOD(LQ$3-'الموظفون'!$D$4,CycleWork+CycleRest)&lt;CycleWork,INDEX('الإعدادات والقوائم'!$H$2:$H$4,MOD(INT(MOD(LQ$3-'الموظفون'!$D$4,CycleWork+CycleRest)*3/CycleWork)+MATCH(StartShift,'الإعدادات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الإجازات'!$D$5:$D$104&lt;=LQ$3)*(('حجز الإجازات'!$E$5:$E$104)&gt;=LQ$3)*('حجز الإجازات'!$G$5:$G$104="معتمد")*ROW('حجز الإجازات'!$B$5:$B$104)))-5+1))</f>
        <v/>
      </c>
      <c r="LR6" s="62">
        <f>IF(SUMPRODUCT(('حجز الإجازات'!$B$5:$B$104='الموظفون'!$B$4)*('حجز الإجازات'!$D$5:$D$104&lt;=LR$3)*(('حجز الإجازات'!$E$5:$E$104)&gt;=LR$3)*('حجز الإجازات'!$G$5:$G$104="معتمد")*ROW('حجز الإجازات'!$B$5:$B$104))=0,IF(LR$3&lt;'الموظفون'!$D$4,"",IF(ISNUMBER(MATCH(LR$3,Holidays,0)),"عطلة",IF(MOD(LR$3-'الموظفون'!$D$4,CycleWork+CycleRest)&lt;CycleWork,INDEX('الإعدادات والقوائم'!$H$2:$H$4,MOD(INT(MOD(LR$3-'الموظفون'!$D$4,CycleWork+CycleRest)*3/CycleWork)+MATCH(StartShift,'الإعدادات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الإجازات'!$D$5:$D$104&lt;=LR$3)*(('حجز الإجازات'!$E$5:$E$104)&gt;=LR$3)*('حجز الإجازات'!$G$5:$G$104="معتمد")*ROW('حجز الإجازات'!$B$5:$B$104)))-5+1))</f>
        <v/>
      </c>
      <c r="LS6" s="62">
        <f>IF(SUMPRODUCT(('حجز الإجازات'!$B$5:$B$104='الموظفون'!$B$4)*('حجز الإجازات'!$D$5:$D$104&lt;=LS$3)*(('حجز الإجازات'!$E$5:$E$104)&gt;=LS$3)*('حجز الإجازات'!$G$5:$G$104="معتمد")*ROW('حجز الإجازات'!$B$5:$B$104))=0,IF(LS$3&lt;'الموظفون'!$D$4,"",IF(ISNUMBER(MATCH(LS$3,Holidays,0)),"عطلة",IF(MOD(LS$3-'الموظفون'!$D$4,CycleWork+CycleRest)&lt;CycleWork,INDEX('الإعدادات والقوائم'!$H$2:$H$4,MOD(INT(MOD(LS$3-'الموظفون'!$D$4,CycleWork+CycleRest)*3/CycleWork)+MATCH(StartShift,'الإعدادات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الإجازات'!$D$5:$D$104&lt;=LS$3)*(('حجز الإجازات'!$E$5:$E$104)&gt;=LS$3)*('حجز الإجازات'!$G$5:$G$104="معتمد")*ROW('حجز الإجازات'!$B$5:$B$104)))-5+1))</f>
        <v/>
      </c>
      <c r="LT6" s="62">
        <f>IF(SUMPRODUCT(('حجز الإجازات'!$B$5:$B$104='الموظفون'!$B$4)*('حجز الإجازات'!$D$5:$D$104&lt;=LT$3)*(('حجز الإجازات'!$E$5:$E$104)&gt;=LT$3)*('حجز الإجازات'!$G$5:$G$104="معتمد")*ROW('حجز الإجازات'!$B$5:$B$104))=0,IF(LT$3&lt;'الموظفون'!$D$4,"",IF(ISNUMBER(MATCH(LT$3,Holidays,0)),"عطلة",IF(MOD(LT$3-'الموظفون'!$D$4,CycleWork+CycleRest)&lt;CycleWork,INDEX('الإعدادات والقوائم'!$H$2:$H$4,MOD(INT(MOD(LT$3-'الموظفون'!$D$4,CycleWork+CycleRest)*3/CycleWork)+MATCH(StartShift,'الإعدادات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الإجازات'!$D$5:$D$104&lt;=LT$3)*(('حجز الإجازات'!$E$5:$E$104)&gt;=LT$3)*('حجز الإجازات'!$G$5:$G$104="معتمد")*ROW('حجز الإجازات'!$B$5:$B$104)))-5+1))</f>
        <v/>
      </c>
      <c r="LU6" s="62">
        <f>IF(SUMPRODUCT(('حجز الإجازات'!$B$5:$B$104='الموظفون'!$B$4)*('حجز الإجازات'!$D$5:$D$104&lt;=LU$3)*(('حجز الإجازات'!$E$5:$E$104)&gt;=LU$3)*('حجز الإجازات'!$G$5:$G$104="معتمد")*ROW('حجز الإجازات'!$B$5:$B$104))=0,IF(LU$3&lt;'الموظفون'!$D$4,"",IF(ISNUMBER(MATCH(LU$3,Holidays,0)),"عطلة",IF(MOD(LU$3-'الموظفون'!$D$4,CycleWork+CycleRest)&lt;CycleWork,INDEX('الإعدادات والقوائم'!$H$2:$H$4,MOD(INT(MOD(LU$3-'الموظفون'!$D$4,CycleWork+CycleRest)*3/CycleWork)+MATCH(StartShift,'الإعدادات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الإجازات'!$D$5:$D$104&lt;=LU$3)*(('حجز الإجازات'!$E$5:$E$104)&gt;=LU$3)*('حجز الإجازات'!$G$5:$G$104="معتمد")*ROW('حجز الإجازات'!$B$5:$B$104)))-5+1))</f>
        <v/>
      </c>
      <c r="LV6" s="62">
        <f>IF(SUMPRODUCT(('حجز الإجازات'!$B$5:$B$104='الموظفون'!$B$4)*('حجز الإجازات'!$D$5:$D$104&lt;=LV$3)*(('حجز الإجازات'!$E$5:$E$104)&gt;=LV$3)*('حجز الإجازات'!$G$5:$G$104="معتمد")*ROW('حجز الإجازات'!$B$5:$B$104))=0,IF(LV$3&lt;'الموظفون'!$D$4,"",IF(ISNUMBER(MATCH(LV$3,Holidays,0)),"عطلة",IF(MOD(LV$3-'الموظفون'!$D$4,CycleWork+CycleRest)&lt;CycleWork,INDEX('الإعدادات والقوائم'!$H$2:$H$4,MOD(INT(MOD(LV$3-'الموظفون'!$D$4,CycleWork+CycleRest)*3/CycleWork)+MATCH(StartShift,'الإعدادات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الإجازات'!$D$5:$D$104&lt;=LV$3)*(('حجز الإجازات'!$E$5:$E$104)&gt;=LV$3)*('حجز الإجازات'!$G$5:$G$104="معتمد")*ROW('حجز الإجازات'!$B$5:$B$104)))-5+1))</f>
        <v/>
      </c>
      <c r="LW6" s="62">
        <f>IF(SUMPRODUCT(('حجز الإجازات'!$B$5:$B$104='الموظفون'!$B$4)*('حجز الإجازات'!$D$5:$D$104&lt;=LW$3)*(('حجز الإجازات'!$E$5:$E$104)&gt;=LW$3)*('حجز الإجازات'!$G$5:$G$104="معتمد")*ROW('حجز الإجازات'!$B$5:$B$104))=0,IF(LW$3&lt;'الموظفون'!$D$4,"",IF(ISNUMBER(MATCH(LW$3,Holidays,0)),"عطلة",IF(MOD(LW$3-'الموظفون'!$D$4,CycleWork+CycleRest)&lt;CycleWork,INDEX('الإعدادات والقوائم'!$H$2:$H$4,MOD(INT(MOD(LW$3-'الموظفون'!$D$4,CycleWork+CycleRest)*3/CycleWork)+MATCH(StartShift,'الإعدادات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الإجازات'!$D$5:$D$104&lt;=LW$3)*(('حجز الإجازات'!$E$5:$E$104)&gt;=LW$3)*('حجز الإجازات'!$G$5:$G$104="معتمد")*ROW('حجز الإجازات'!$B$5:$B$104)))-5+1))</f>
        <v/>
      </c>
      <c r="LX6" s="62">
        <f>IF(SUMPRODUCT(('حجز الإجازات'!$B$5:$B$104='الموظفون'!$B$4)*('حجز الإجازات'!$D$5:$D$104&lt;=LX$3)*(('حجز الإجازات'!$E$5:$E$104)&gt;=LX$3)*('حجز الإجازات'!$G$5:$G$104="معتمد")*ROW('حجز الإجازات'!$B$5:$B$104))=0,IF(LX$3&lt;'الموظفون'!$D$4,"",IF(ISNUMBER(MATCH(LX$3,Holidays,0)),"عطلة",IF(MOD(LX$3-'الموظفون'!$D$4,CycleWork+CycleRest)&lt;CycleWork,INDEX('الإعدادات والقوائم'!$H$2:$H$4,MOD(INT(MOD(LX$3-'الموظفون'!$D$4,CycleWork+CycleRest)*3/CycleWork)+MATCH(StartShift,'الإعدادات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الإجازات'!$D$5:$D$104&lt;=LX$3)*(('حجز الإجازات'!$E$5:$E$104)&gt;=LX$3)*('حجز الإجازات'!$G$5:$G$104="معتمد")*ROW('حجز الإجازات'!$B$5:$B$104)))-5+1))</f>
        <v/>
      </c>
      <c r="LY6" s="62">
        <f>IF(SUMPRODUCT(('حجز الإجازات'!$B$5:$B$104='الموظفون'!$B$4)*('حجز الإجازات'!$D$5:$D$104&lt;=LY$3)*(('حجز الإجازات'!$E$5:$E$104)&gt;=LY$3)*('حجز الإجازات'!$G$5:$G$104="معتمد")*ROW('حجز الإجازات'!$B$5:$B$104))=0,IF(LY$3&lt;'الموظفون'!$D$4,"",IF(ISNUMBER(MATCH(LY$3,Holidays,0)),"عطلة",IF(MOD(LY$3-'الموظفون'!$D$4,CycleWork+CycleRest)&lt;CycleWork,INDEX('الإعدادات والقوائم'!$H$2:$H$4,MOD(INT(MOD(LY$3-'الموظفون'!$D$4,CycleWork+CycleRest)*3/CycleWork)+MATCH(StartShift,'الإعدادات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الإجازات'!$D$5:$D$104&lt;=LY$3)*(('حجز الإجازات'!$E$5:$E$104)&gt;=LY$3)*('حجز الإجازات'!$G$5:$G$104="معتمد")*ROW('حجز الإجازات'!$B$5:$B$104)))-5+1))</f>
        <v/>
      </c>
      <c r="LZ6" s="62">
        <f>IF(SUMPRODUCT(('حجز الإجازات'!$B$5:$B$104='الموظفون'!$B$4)*('حجز الإجازات'!$D$5:$D$104&lt;=LZ$3)*(('حجز الإجازات'!$E$5:$E$104)&gt;=LZ$3)*('حجز الإجازات'!$G$5:$G$104="معتمد")*ROW('حجز الإجازات'!$B$5:$B$104))=0,IF(LZ$3&lt;'الموظفون'!$D$4,"",IF(ISNUMBER(MATCH(LZ$3,Holidays,0)),"عطلة",IF(MOD(LZ$3-'الموظفون'!$D$4,CycleWork+CycleRest)&lt;CycleWork,INDEX('الإعدادات والقوائم'!$H$2:$H$4,MOD(INT(MOD(LZ$3-'الموظفون'!$D$4,CycleWork+CycleRest)*3/CycleWork)+MATCH(StartShift,'الإعدادات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الإجازات'!$D$5:$D$104&lt;=LZ$3)*(('حجز الإجازات'!$E$5:$E$104)&gt;=LZ$3)*('حجز الإجازات'!$G$5:$G$104="معتمد")*ROW('حجز الإجازات'!$B$5:$B$104)))-5+1))</f>
        <v/>
      </c>
      <c r="MA6" s="62">
        <f>IF(SUMPRODUCT(('حجز الإجازات'!$B$5:$B$104='الموظفون'!$B$4)*('حجز الإجازات'!$D$5:$D$104&lt;=MA$3)*(('حجز الإجازات'!$E$5:$E$104)&gt;=MA$3)*('حجز الإجازات'!$G$5:$G$104="معتمد")*ROW('حجز الإجازات'!$B$5:$B$104))=0,IF(MA$3&lt;'الموظفون'!$D$4,"",IF(ISNUMBER(MATCH(MA$3,Holidays,0)),"عطلة",IF(MOD(MA$3-'الموظفون'!$D$4,CycleWork+CycleRest)&lt;CycleWork,INDEX('الإعدادات والقوائم'!$H$2:$H$4,MOD(INT(MOD(MA$3-'الموظفون'!$D$4,CycleWork+CycleRest)*3/CycleWork)+MATCH(StartShift,'الإعدادات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الإجازات'!$D$5:$D$104&lt;=MA$3)*(('حجز الإجازات'!$E$5:$E$104)&gt;=MA$3)*('حجز الإجازات'!$G$5:$G$104="معتمد")*ROW('حجز الإجازات'!$B$5:$B$104)))-5+1))</f>
        <v/>
      </c>
      <c r="MB6" s="62">
        <f>IF(SUMPRODUCT(('حجز الإجازات'!$B$5:$B$104='الموظفون'!$B$4)*('حجز الإجازات'!$D$5:$D$104&lt;=MB$3)*(('حجز الإجازات'!$E$5:$E$104)&gt;=MB$3)*('حجز الإجازات'!$G$5:$G$104="معتمد")*ROW('حجز الإجازات'!$B$5:$B$104))=0,IF(MB$3&lt;'الموظفون'!$D$4,"",IF(ISNUMBER(MATCH(MB$3,Holidays,0)),"عطلة",IF(MOD(MB$3-'الموظفون'!$D$4,CycleWork+CycleRest)&lt;CycleWork,INDEX('الإعدادات والقوائم'!$H$2:$H$4,MOD(INT(MOD(MB$3-'الموظفون'!$D$4,CycleWork+CycleRest)*3/CycleWork)+MATCH(StartShift,'الإعدادات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الإجازات'!$D$5:$D$104&lt;=MB$3)*(('حجز الإجازات'!$E$5:$E$104)&gt;=MB$3)*('حجز الإجازات'!$G$5:$G$104="معتمد")*ROW('حجز الإجازات'!$B$5:$B$104)))-5+1))</f>
        <v/>
      </c>
      <c r="MC6" s="62">
        <f>IF(SUMPRODUCT(('حجز الإجازات'!$B$5:$B$104='الموظفون'!$B$4)*('حجز الإجازات'!$D$5:$D$104&lt;=MC$3)*(('حجز الإجازات'!$E$5:$E$104)&gt;=MC$3)*('حجز الإجازات'!$G$5:$G$104="معتمد")*ROW('حجز الإجازات'!$B$5:$B$104))=0,IF(MC$3&lt;'الموظفون'!$D$4,"",IF(ISNUMBER(MATCH(MC$3,Holidays,0)),"عطلة",IF(MOD(MC$3-'الموظفون'!$D$4,CycleWork+CycleRest)&lt;CycleWork,INDEX('الإعدادات والقوائم'!$H$2:$H$4,MOD(INT(MOD(MC$3-'الموظفون'!$D$4,CycleWork+CycleRest)*3/CycleWork)+MATCH(StartShift,'الإعدادات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الإجازات'!$D$5:$D$104&lt;=MC$3)*(('حجز الإجازات'!$E$5:$E$104)&gt;=MC$3)*('حجز الإجازات'!$G$5:$G$104="معتمد")*ROW('حجز الإجازات'!$B$5:$B$104)))-5+1))</f>
        <v/>
      </c>
      <c r="MD6" s="62">
        <f>IF(SUMPRODUCT(('حجز الإجازات'!$B$5:$B$104='الموظفون'!$B$4)*('حجز الإجازات'!$D$5:$D$104&lt;=MD$3)*(('حجز الإجازات'!$E$5:$E$104)&gt;=MD$3)*('حجز الإجازات'!$G$5:$G$104="معتمد")*ROW('حجز الإجازات'!$B$5:$B$104))=0,IF(MD$3&lt;'الموظفون'!$D$4,"",IF(ISNUMBER(MATCH(MD$3,Holidays,0)),"عطلة",IF(MOD(MD$3-'الموظفون'!$D$4,CycleWork+CycleRest)&lt;CycleWork,INDEX('الإعدادات والقوائم'!$H$2:$H$4,MOD(INT(MOD(MD$3-'الموظفون'!$D$4,CycleWork+CycleRest)*3/CycleWork)+MATCH(StartShift,'الإعدادات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الإجازات'!$D$5:$D$104&lt;=MD$3)*(('حجز الإجازات'!$E$5:$E$104)&gt;=MD$3)*('حجز الإجازات'!$G$5:$G$104="معتمد")*ROW('حجز الإجازات'!$B$5:$B$104)))-5+1))</f>
        <v/>
      </c>
      <c r="ME6" s="62">
        <f>IF(SUMPRODUCT(('حجز الإجازات'!$B$5:$B$104='الموظفون'!$B$4)*('حجز الإجازات'!$D$5:$D$104&lt;=ME$3)*(('حجز الإجازات'!$E$5:$E$104)&gt;=ME$3)*('حجز الإجازات'!$G$5:$G$104="معتمد")*ROW('حجز الإجازات'!$B$5:$B$104))=0,IF(ME$3&lt;'الموظفون'!$D$4,"",IF(ISNUMBER(MATCH(ME$3,Holidays,0)),"عطلة",IF(MOD(ME$3-'الموظفون'!$D$4,CycleWork+CycleRest)&lt;CycleWork,INDEX('الإعدادات والقوائم'!$H$2:$H$4,MOD(INT(MOD(ME$3-'الموظفون'!$D$4,CycleWork+CycleRest)*3/CycleWork)+MATCH(StartShift,'الإعدادات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الإجازات'!$D$5:$D$104&lt;=ME$3)*(('حجز الإجازات'!$E$5:$E$104)&gt;=ME$3)*('حجز الإجازات'!$G$5:$G$104="معتمد")*ROW('حجز الإجازات'!$B$5:$B$104)))-5+1))</f>
        <v/>
      </c>
      <c r="MF6" s="62">
        <f>IF(SUMPRODUCT(('حجز الإجازات'!$B$5:$B$104='الموظفون'!$B$4)*('حجز الإجازات'!$D$5:$D$104&lt;=MF$3)*(('حجز الإجازات'!$E$5:$E$104)&gt;=MF$3)*('حجز الإجازات'!$G$5:$G$104="معتمد")*ROW('حجز الإجازات'!$B$5:$B$104))=0,IF(MF$3&lt;'الموظفون'!$D$4,"",IF(ISNUMBER(MATCH(MF$3,Holidays,0)),"عطلة",IF(MOD(MF$3-'الموظفون'!$D$4,CycleWork+CycleRest)&lt;CycleWork,INDEX('الإعدادات والقوائم'!$H$2:$H$4,MOD(INT(MOD(MF$3-'الموظفون'!$D$4,CycleWork+CycleRest)*3/CycleWork)+MATCH(StartShift,'الإعدادات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الإجازات'!$D$5:$D$104&lt;=MF$3)*(('حجز الإجازات'!$E$5:$E$104)&gt;=MF$3)*('حجز الإجازات'!$G$5:$G$104="معتمد")*ROW('حجز الإجازات'!$B$5:$B$104)))-5+1))</f>
        <v/>
      </c>
      <c r="MG6" s="62">
        <f>IF(SUMPRODUCT(('حجز الإجازات'!$B$5:$B$104='الموظفون'!$B$4)*('حجز الإجازات'!$D$5:$D$104&lt;=MG$3)*(('حجز الإجازات'!$E$5:$E$104)&gt;=MG$3)*('حجز الإجازات'!$G$5:$G$104="معتمد")*ROW('حجز الإجازات'!$B$5:$B$104))=0,IF(MG$3&lt;'الموظفون'!$D$4,"",IF(ISNUMBER(MATCH(MG$3,Holidays,0)),"عطلة",IF(MOD(MG$3-'الموظفون'!$D$4,CycleWork+CycleRest)&lt;CycleWork,INDEX('الإعدادات والقوائم'!$H$2:$H$4,MOD(INT(MOD(MG$3-'الموظفون'!$D$4,CycleWork+CycleRest)*3/CycleWork)+MATCH(StartShift,'الإعدادات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الإجازات'!$D$5:$D$104&lt;=MG$3)*(('حجز الإجازات'!$E$5:$E$104)&gt;=MG$3)*('حجز الإجازات'!$G$5:$G$104="معتمد")*ROW('حجز الإجازات'!$B$5:$B$104)))-5+1))</f>
        <v/>
      </c>
      <c r="MH6" s="62">
        <f>IF(SUMPRODUCT(('حجز الإجازات'!$B$5:$B$104='الموظفون'!$B$4)*('حجز الإجازات'!$D$5:$D$104&lt;=MH$3)*(('حجز الإجازات'!$E$5:$E$104)&gt;=MH$3)*('حجز الإجازات'!$G$5:$G$104="معتمد")*ROW('حجز الإجازات'!$B$5:$B$104))=0,IF(MH$3&lt;'الموظفون'!$D$4,"",IF(ISNUMBER(MATCH(MH$3,Holidays,0)),"عطلة",IF(MOD(MH$3-'الموظفون'!$D$4,CycleWork+CycleRest)&lt;CycleWork,INDEX('الإعدادات والقوائم'!$H$2:$H$4,MOD(INT(MOD(MH$3-'الموظفون'!$D$4,CycleWork+CycleRest)*3/CycleWork)+MATCH(StartShift,'الإعدادات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الإجازات'!$D$5:$D$104&lt;=MH$3)*(('حجز الإجازات'!$E$5:$E$104)&gt;=MH$3)*('حجز الإجازات'!$G$5:$G$104="معتمد")*ROW('حجز الإجازات'!$B$5:$B$104)))-5+1))</f>
        <v/>
      </c>
      <c r="MI6" s="62">
        <f>IF(SUMPRODUCT(('حجز الإجازات'!$B$5:$B$104='الموظفون'!$B$4)*('حجز الإجازات'!$D$5:$D$104&lt;=MI$3)*(('حجز الإجازات'!$E$5:$E$104)&gt;=MI$3)*('حجز الإجازات'!$G$5:$G$104="معتمد")*ROW('حجز الإجازات'!$B$5:$B$104))=0,IF(MI$3&lt;'الموظفون'!$D$4,"",IF(ISNUMBER(MATCH(MI$3,Holidays,0)),"عطلة",IF(MOD(MI$3-'الموظفون'!$D$4,CycleWork+CycleRest)&lt;CycleWork,INDEX('الإعدادات والقوائم'!$H$2:$H$4,MOD(INT(MOD(MI$3-'الموظفون'!$D$4,CycleWork+CycleRest)*3/CycleWork)+MATCH(StartShift,'الإعدادات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الإجازات'!$D$5:$D$104&lt;=MI$3)*(('حجز الإجازات'!$E$5:$E$104)&gt;=MI$3)*('حجز الإجازات'!$G$5:$G$104="معتمد")*ROW('حجز الإجازات'!$B$5:$B$104)))-5+1))</f>
        <v/>
      </c>
      <c r="MJ6" s="62">
        <f>IF(SUMPRODUCT(('حجز الإجازات'!$B$5:$B$104='الموظفون'!$B$4)*('حجز الإجازات'!$D$5:$D$104&lt;=MJ$3)*(('حجز الإجازات'!$E$5:$E$104)&gt;=MJ$3)*('حجز الإجازات'!$G$5:$G$104="معتمد")*ROW('حجز الإجازات'!$B$5:$B$104))=0,IF(MJ$3&lt;'الموظفون'!$D$4,"",IF(ISNUMBER(MATCH(MJ$3,Holidays,0)),"عطلة",IF(MOD(MJ$3-'الموظفون'!$D$4,CycleWork+CycleRest)&lt;CycleWork,INDEX('الإعدادات والقوائم'!$H$2:$H$4,MOD(INT(MOD(MJ$3-'الموظفون'!$D$4,CycleWork+CycleRest)*3/CycleWork)+MATCH(StartShift,'الإعدادات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الإجازات'!$D$5:$D$104&lt;=MJ$3)*(('حجز الإجازات'!$E$5:$E$104)&gt;=MJ$3)*('حجز الإجازات'!$G$5:$G$104="معتمد")*ROW('حجز الإجازات'!$B$5:$B$104)))-5+1))</f>
        <v/>
      </c>
      <c r="MK6" s="62">
        <f>IF(SUMPRODUCT(('حجز الإجازات'!$B$5:$B$104='الموظفون'!$B$4)*('حجز الإجازات'!$D$5:$D$104&lt;=MK$3)*(('حجز الإجازات'!$E$5:$E$104)&gt;=MK$3)*('حجز الإجازات'!$G$5:$G$104="معتمد")*ROW('حجز الإجازات'!$B$5:$B$104))=0,IF(MK$3&lt;'الموظفون'!$D$4,"",IF(ISNUMBER(MATCH(MK$3,Holidays,0)),"عطلة",IF(MOD(MK$3-'الموظفون'!$D$4,CycleWork+CycleRest)&lt;CycleWork,INDEX('الإعدادات والقوائم'!$H$2:$H$4,MOD(INT(MOD(MK$3-'الموظفون'!$D$4,CycleWork+CycleRest)*3/CycleWork)+MATCH(StartShift,'الإعدادات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الإجازات'!$D$5:$D$104&lt;=MK$3)*(('حجز الإجازات'!$E$5:$E$104)&gt;=MK$3)*('حجز الإجازات'!$G$5:$G$104="معتمد")*ROW('حجز الإجازات'!$B$5:$B$104)))-5+1))</f>
        <v/>
      </c>
      <c r="ML6" s="62">
        <f>IF(SUMPRODUCT(('حجز الإجازات'!$B$5:$B$104='الموظفون'!$B$4)*('حجز الإجازات'!$D$5:$D$104&lt;=ML$3)*(('حجز الإجازات'!$E$5:$E$104)&gt;=ML$3)*('حجز الإجازات'!$G$5:$G$104="معتمد")*ROW('حجز الإجازات'!$B$5:$B$104))=0,IF(ML$3&lt;'الموظفون'!$D$4,"",IF(ISNUMBER(MATCH(ML$3,Holidays,0)),"عطلة",IF(MOD(ML$3-'الموظفون'!$D$4,CycleWork+CycleRest)&lt;CycleWork,INDEX('الإعدادات والقوائم'!$H$2:$H$4,MOD(INT(MOD(ML$3-'الموظفون'!$D$4,CycleWork+CycleRest)*3/CycleWork)+MATCH(StartShift,'الإعدادات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الإجازات'!$D$5:$D$104&lt;=ML$3)*(('حجز الإجازات'!$E$5:$E$104)&gt;=ML$3)*('حجز الإجازات'!$G$5:$G$104="معتمد")*ROW('حجز الإجازات'!$B$5:$B$104)))-5+1))</f>
        <v/>
      </c>
      <c r="MM6" s="62">
        <f>IF(SUMPRODUCT(('حجز الإجازات'!$B$5:$B$104='الموظفون'!$B$4)*('حجز الإجازات'!$D$5:$D$104&lt;=MM$3)*(('حجز الإجازات'!$E$5:$E$104)&gt;=MM$3)*('حجز الإجازات'!$G$5:$G$104="معتمد")*ROW('حجز الإجازات'!$B$5:$B$104))=0,IF(MM$3&lt;'الموظفون'!$D$4,"",IF(ISNUMBER(MATCH(MM$3,Holidays,0)),"عطلة",IF(MOD(MM$3-'الموظفون'!$D$4,CycleWork+CycleRest)&lt;CycleWork,INDEX('الإعدادات والقوائم'!$H$2:$H$4,MOD(INT(MOD(MM$3-'الموظفون'!$D$4,CycleWork+CycleRest)*3/CycleWork)+MATCH(StartShift,'الإعدادات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الإجازات'!$D$5:$D$104&lt;=MM$3)*(('حجز الإجازات'!$E$5:$E$104)&gt;=MM$3)*('حجز الإجازات'!$G$5:$G$104="معتمد")*ROW('حجز الإجازات'!$B$5:$B$104)))-5+1))</f>
        <v/>
      </c>
      <c r="MN6" s="62">
        <f>IF(SUMPRODUCT(('حجز الإجازات'!$B$5:$B$104='الموظفون'!$B$4)*('حجز الإجازات'!$D$5:$D$104&lt;=MN$3)*(('حجز الإجازات'!$E$5:$E$104)&gt;=MN$3)*('حجز الإجازات'!$G$5:$G$104="معتمد")*ROW('حجز الإجازات'!$B$5:$B$104))=0,IF(MN$3&lt;'الموظفون'!$D$4,"",IF(ISNUMBER(MATCH(MN$3,Holidays,0)),"عطلة",IF(MOD(MN$3-'الموظفون'!$D$4,CycleWork+CycleRest)&lt;CycleWork,INDEX('الإعدادات والقوائم'!$H$2:$H$4,MOD(INT(MOD(MN$3-'الموظفون'!$D$4,CycleWork+CycleRest)*3/CycleWork)+MATCH(StartShift,'الإعدادات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الإجازات'!$D$5:$D$104&lt;=MN$3)*(('حجز الإجازات'!$E$5:$E$104)&gt;=MN$3)*('حجز الإجازات'!$G$5:$G$104="معتمد")*ROW('حجز الإجازات'!$B$5:$B$104)))-5+1))</f>
        <v/>
      </c>
      <c r="MO6" s="62">
        <f>IF(SUMPRODUCT(('حجز الإجازات'!$B$5:$B$104='الموظفون'!$B$4)*('حجز الإجازات'!$D$5:$D$104&lt;=MO$3)*(('حجز الإجازات'!$E$5:$E$104)&gt;=MO$3)*('حجز الإجازات'!$G$5:$G$104="معتمد")*ROW('حجز الإجازات'!$B$5:$B$104))=0,IF(MO$3&lt;'الموظفون'!$D$4,"",IF(ISNUMBER(MATCH(MO$3,Holidays,0)),"عطلة",IF(MOD(MO$3-'الموظفون'!$D$4,CycleWork+CycleRest)&lt;CycleWork,INDEX('الإعدادات والقوائم'!$H$2:$H$4,MOD(INT(MOD(MO$3-'الموظفون'!$D$4,CycleWork+CycleRest)*3/CycleWork)+MATCH(StartShift,'الإعدادات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الإجازات'!$D$5:$D$104&lt;=MO$3)*(('حجز الإجازات'!$E$5:$E$104)&gt;=MO$3)*('حجز الإجازات'!$G$5:$G$104="معتمد")*ROW('حجز الإجازات'!$B$5:$B$104)))-5+1))</f>
        <v/>
      </c>
      <c r="MP6" s="62">
        <f>IF(SUMPRODUCT(('حجز الإجازات'!$B$5:$B$104='الموظفون'!$B$4)*('حجز الإجازات'!$D$5:$D$104&lt;=MP$3)*(('حجز الإجازات'!$E$5:$E$104)&gt;=MP$3)*('حجز الإجازات'!$G$5:$G$104="معتمد")*ROW('حجز الإجازات'!$B$5:$B$104))=0,IF(MP$3&lt;'الموظفون'!$D$4,"",IF(ISNUMBER(MATCH(MP$3,Holidays,0)),"عطلة",IF(MOD(MP$3-'الموظفون'!$D$4,CycleWork+CycleRest)&lt;CycleWork,INDEX('الإعدادات والقوائم'!$H$2:$H$4,MOD(INT(MOD(MP$3-'الموظفون'!$D$4,CycleWork+CycleRest)*3/CycleWork)+MATCH(StartShift,'الإعدادات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الإجازات'!$D$5:$D$104&lt;=MP$3)*(('حجز الإجازات'!$E$5:$E$104)&gt;=MP$3)*('حجز الإجازات'!$G$5:$G$104="معتمد")*ROW('حجز الإجازات'!$B$5:$B$104)))-5+1))</f>
        <v/>
      </c>
      <c r="MQ6" s="62">
        <f>IF(SUMPRODUCT(('حجز الإجازات'!$B$5:$B$104='الموظفون'!$B$4)*('حجز الإجازات'!$D$5:$D$104&lt;=MQ$3)*(('حجز الإجازات'!$E$5:$E$104)&gt;=MQ$3)*('حجز الإجازات'!$G$5:$G$104="معتمد")*ROW('حجز الإجازات'!$B$5:$B$104))=0,IF(MQ$3&lt;'الموظفون'!$D$4,"",IF(ISNUMBER(MATCH(MQ$3,Holidays,0)),"عطلة",IF(MOD(MQ$3-'الموظفون'!$D$4,CycleWork+CycleRest)&lt;CycleWork,INDEX('الإعدادات والقوائم'!$H$2:$H$4,MOD(INT(MOD(MQ$3-'الموظفون'!$D$4,CycleWork+CycleRest)*3/CycleWork)+MATCH(StartShift,'الإعدادات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الإجازات'!$D$5:$D$104&lt;=MQ$3)*(('حجز الإجازات'!$E$5:$E$104)&gt;=MQ$3)*('حجز الإجازات'!$G$5:$G$104="معتمد")*ROW('حجز الإجازات'!$B$5:$B$104)))-5+1))</f>
        <v/>
      </c>
      <c r="MR6" s="62">
        <f>IF(SUMPRODUCT(('حجز الإجازات'!$B$5:$B$104='الموظفون'!$B$4)*('حجز الإجازات'!$D$5:$D$104&lt;=MR$3)*(('حجز الإجازات'!$E$5:$E$104)&gt;=MR$3)*('حجز الإجازات'!$G$5:$G$104="معتمد")*ROW('حجز الإجازات'!$B$5:$B$104))=0,IF(MR$3&lt;'الموظفون'!$D$4,"",IF(ISNUMBER(MATCH(MR$3,Holidays,0)),"عطلة",IF(MOD(MR$3-'الموظفون'!$D$4,CycleWork+CycleRest)&lt;CycleWork,INDEX('الإعدادات والقوائم'!$H$2:$H$4,MOD(INT(MOD(MR$3-'الموظفون'!$D$4,CycleWork+CycleRest)*3/CycleWork)+MATCH(StartShift,'الإعدادات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الإجازات'!$D$5:$D$104&lt;=MR$3)*(('حجز الإجازات'!$E$5:$E$104)&gt;=MR$3)*('حجز الإجازات'!$G$5:$G$104="معتمد")*ROW('حجز الإجازات'!$B$5:$B$104)))-5+1))</f>
        <v/>
      </c>
      <c r="MS6" s="62">
        <f>IF(SUMPRODUCT(('حجز الإجازات'!$B$5:$B$104='الموظفون'!$B$4)*('حجز الإجازات'!$D$5:$D$104&lt;=MS$3)*(('حجز الإجازات'!$E$5:$E$104)&gt;=MS$3)*('حجز الإجازات'!$G$5:$G$104="معتمد")*ROW('حجز الإجازات'!$B$5:$B$104))=0,IF(MS$3&lt;'الموظفون'!$D$4,"",IF(ISNUMBER(MATCH(MS$3,Holidays,0)),"عطلة",IF(MOD(MS$3-'الموظفون'!$D$4,CycleWork+CycleRest)&lt;CycleWork,INDEX('الإعدادات والقوائم'!$H$2:$H$4,MOD(INT(MOD(MS$3-'الموظفون'!$D$4,CycleWork+CycleRest)*3/CycleWork)+MATCH(StartShift,'الإعدادات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الإجازات'!$D$5:$D$104&lt;=MS$3)*(('حجز الإجازات'!$E$5:$E$104)&gt;=MS$3)*('حجز الإجازات'!$G$5:$G$104="معتمد")*ROW('حجز الإجازات'!$B$5:$B$104)))-5+1))</f>
        <v/>
      </c>
      <c r="MT6" s="62">
        <f>IF(SUMPRODUCT(('حجز الإجازات'!$B$5:$B$104='الموظفون'!$B$4)*('حجز الإجازات'!$D$5:$D$104&lt;=MT$3)*(('حجز الإجازات'!$E$5:$E$104)&gt;=MT$3)*('حجز الإجازات'!$G$5:$G$104="معتمد")*ROW('حجز الإجازات'!$B$5:$B$104))=0,IF(MT$3&lt;'الموظفون'!$D$4,"",IF(ISNUMBER(MATCH(MT$3,Holidays,0)),"عطلة",IF(MOD(MT$3-'الموظفون'!$D$4,CycleWork+CycleRest)&lt;CycleWork,INDEX('الإعدادات والقوائم'!$H$2:$H$4,MOD(INT(MOD(MT$3-'الموظفون'!$D$4,CycleWork+CycleRest)*3/CycleWork)+MATCH(StartShift,'الإعدادات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الإجازات'!$D$5:$D$104&lt;=MT$3)*(('حجز الإجازات'!$E$5:$E$104)&gt;=MT$3)*('حجز الإجازات'!$G$5:$G$104="معتمد")*ROW('حجز الإجازات'!$B$5:$B$104)))-5+1))</f>
        <v/>
      </c>
      <c r="MU6" s="62">
        <f>IF(SUMPRODUCT(('حجز الإجازات'!$B$5:$B$104='الموظفون'!$B$4)*('حجز الإجازات'!$D$5:$D$104&lt;=MU$3)*(('حجز الإجازات'!$E$5:$E$104)&gt;=MU$3)*('حجز الإجازات'!$G$5:$G$104="معتمد")*ROW('حجز الإجازات'!$B$5:$B$104))=0,IF(MU$3&lt;'الموظفون'!$D$4,"",IF(ISNUMBER(MATCH(MU$3,Holidays,0)),"عطلة",IF(MOD(MU$3-'الموظفون'!$D$4,CycleWork+CycleRest)&lt;CycleWork,INDEX('الإعدادات والقوائم'!$H$2:$H$4,MOD(INT(MOD(MU$3-'الموظفون'!$D$4,CycleWork+CycleRest)*3/CycleWork)+MATCH(StartShift,'الإعدادات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الإجازات'!$D$5:$D$104&lt;=MU$3)*(('حجز الإجازات'!$E$5:$E$104)&gt;=MU$3)*('حجز الإجازات'!$G$5:$G$104="معتمد")*ROW('حجز الإجازات'!$B$5:$B$104)))-5+1))</f>
        <v/>
      </c>
      <c r="MV6" s="62">
        <f>IF(SUMPRODUCT(('حجز الإجازات'!$B$5:$B$104='الموظفون'!$B$4)*('حجز الإجازات'!$D$5:$D$104&lt;=MV$3)*(('حجز الإجازات'!$E$5:$E$104)&gt;=MV$3)*('حجز الإجازات'!$G$5:$G$104="معتمد")*ROW('حجز الإجازات'!$B$5:$B$104))=0,IF(MV$3&lt;'الموظفون'!$D$4,"",IF(ISNUMBER(MATCH(MV$3,Holidays,0)),"عطلة",IF(MOD(MV$3-'الموظفون'!$D$4,CycleWork+CycleRest)&lt;CycleWork,INDEX('الإعدادات والقوائم'!$H$2:$H$4,MOD(INT(MOD(MV$3-'الموظفون'!$D$4,CycleWork+CycleRest)*3/CycleWork)+MATCH(StartShift,'الإعدادات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الإجازات'!$D$5:$D$104&lt;=MV$3)*(('حجز الإجازات'!$E$5:$E$104)&gt;=MV$3)*('حجز الإجازات'!$G$5:$G$104="معتمد")*ROW('حجز الإجازات'!$B$5:$B$104)))-5+1))</f>
        <v/>
      </c>
      <c r="MW6" s="62">
        <f>IF(SUMPRODUCT(('حجز الإجازات'!$B$5:$B$104='الموظفون'!$B$4)*('حجز الإجازات'!$D$5:$D$104&lt;=MW$3)*(('حجز الإجازات'!$E$5:$E$104)&gt;=MW$3)*('حجز الإجازات'!$G$5:$G$104="معتمد")*ROW('حجز الإجازات'!$B$5:$B$104))=0,IF(MW$3&lt;'الموظفون'!$D$4,"",IF(ISNUMBER(MATCH(MW$3,Holidays,0)),"عطلة",IF(MOD(MW$3-'الموظفون'!$D$4,CycleWork+CycleRest)&lt;CycleWork,INDEX('الإعدادات والقوائم'!$H$2:$H$4,MOD(INT(MOD(MW$3-'الموظفون'!$D$4,CycleWork+CycleRest)*3/CycleWork)+MATCH(StartShift,'الإعدادات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الإجازات'!$D$5:$D$104&lt;=MW$3)*(('حجز الإجازات'!$E$5:$E$104)&gt;=MW$3)*('حجز الإجازات'!$G$5:$G$104="معتمد")*ROW('حجز الإجازات'!$B$5:$B$104)))-5+1))</f>
        <v/>
      </c>
      <c r="MX6" s="62">
        <f>IF(SUMPRODUCT(('حجز الإجازات'!$B$5:$B$104='الموظفون'!$B$4)*('حجز الإجازات'!$D$5:$D$104&lt;=MX$3)*(('حجز الإجازات'!$E$5:$E$104)&gt;=MX$3)*('حجز الإجازات'!$G$5:$G$104="معتمد")*ROW('حجز الإجازات'!$B$5:$B$104))=0,IF(MX$3&lt;'الموظفون'!$D$4,"",IF(ISNUMBER(MATCH(MX$3,Holidays,0)),"عطلة",IF(MOD(MX$3-'الموظفون'!$D$4,CycleWork+CycleRest)&lt;CycleWork,INDEX('الإعدادات والقوائم'!$H$2:$H$4,MOD(INT(MOD(MX$3-'الموظفون'!$D$4,CycleWork+CycleRest)*3/CycleWork)+MATCH(StartShift,'الإعدادات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الإجازات'!$D$5:$D$104&lt;=MX$3)*(('حجز الإجازات'!$E$5:$E$104)&gt;=MX$3)*('حجز الإجازات'!$G$5:$G$104="معتمد")*ROW('حجز الإجازات'!$B$5:$B$104)))-5+1))</f>
        <v/>
      </c>
      <c r="MY6" s="62">
        <f>IF(SUMPRODUCT(('حجز الإجازات'!$B$5:$B$104='الموظفون'!$B$4)*('حجز الإجازات'!$D$5:$D$104&lt;=MY$3)*(('حجز الإجازات'!$E$5:$E$104)&gt;=MY$3)*('حجز الإجازات'!$G$5:$G$104="معتمد")*ROW('حجز الإجازات'!$B$5:$B$104))=0,IF(MY$3&lt;'الموظفون'!$D$4,"",IF(ISNUMBER(MATCH(MY$3,Holidays,0)),"عطلة",IF(MOD(MY$3-'الموظفون'!$D$4,CycleWork+CycleRest)&lt;CycleWork,INDEX('الإعدادات والقوائم'!$H$2:$H$4,MOD(INT(MOD(MY$3-'الموظفون'!$D$4,CycleWork+CycleRest)*3/CycleWork)+MATCH(StartShift,'الإعدادات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الإجازات'!$D$5:$D$104&lt;=MY$3)*(('حجز الإجازات'!$E$5:$E$104)&gt;=MY$3)*('حجز الإجازات'!$G$5:$G$104="معتمد")*ROW('حجز الإجازات'!$B$5:$B$104)))-5+1))</f>
        <v/>
      </c>
      <c r="MZ6" s="62">
        <f>IF(SUMPRODUCT(('حجز الإجازات'!$B$5:$B$104='الموظفون'!$B$4)*('حجز الإجازات'!$D$5:$D$104&lt;=MZ$3)*(('حجز الإجازات'!$E$5:$E$104)&gt;=MZ$3)*('حجز الإجازات'!$G$5:$G$104="معتمد")*ROW('حجز الإجازات'!$B$5:$B$104))=0,IF(MZ$3&lt;'الموظفون'!$D$4,"",IF(ISNUMBER(MATCH(MZ$3,Holidays,0)),"عطلة",IF(MOD(MZ$3-'الموظفون'!$D$4,CycleWork+CycleRest)&lt;CycleWork,INDEX('الإعدادات والقوائم'!$H$2:$H$4,MOD(INT(MOD(MZ$3-'الموظفون'!$D$4,CycleWork+CycleRest)*3/CycleWork)+MATCH(StartShift,'الإعدادات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الإجازات'!$D$5:$D$104&lt;=MZ$3)*(('حجز الإجازات'!$E$5:$E$104)&gt;=MZ$3)*('حجز الإجازات'!$G$5:$G$104="معتمد")*ROW('حجز الإجازات'!$B$5:$B$104)))-5+1))</f>
        <v/>
      </c>
      <c r="NA6" s="62">
        <f>IF(SUMPRODUCT(('حجز الإجازات'!$B$5:$B$104='الموظفون'!$B$4)*('حجز الإجازات'!$D$5:$D$104&lt;=NA$3)*(('حجز الإجازات'!$E$5:$E$104)&gt;=NA$3)*('حجز الإجازات'!$G$5:$G$104="معتمد")*ROW('حجز الإجازات'!$B$5:$B$104))=0,IF(NA$3&lt;'الموظفون'!$D$4,"",IF(ISNUMBER(MATCH(NA$3,Holidays,0)),"عطلة",IF(MOD(NA$3-'الموظفون'!$D$4,CycleWork+CycleRest)&lt;CycleWork,INDEX('الإعدادات والقوائم'!$H$2:$H$4,MOD(INT(MOD(NA$3-'الموظفون'!$D$4,CycleWork+CycleRest)*3/CycleWork)+MATCH(StartShift,'الإعدادات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الإجازات'!$D$5:$D$104&lt;=NA$3)*(('حجز الإجازات'!$E$5:$E$104)&gt;=NA$3)*('حجز الإجازات'!$G$5:$G$104="معتمد")*ROW('حجز الإجازات'!$B$5:$B$104)))-5+1))</f>
        <v/>
      </c>
      <c r="NB6" s="62">
        <f>IF(SUMPRODUCT(('حجز الإجازات'!$B$5:$B$104='الموظفون'!$B$4)*('حجز الإجازات'!$D$5:$D$104&lt;=NB$3)*(('حجز الإجازات'!$E$5:$E$104)&gt;=NB$3)*('حجز الإجازات'!$G$5:$G$104="معتمد")*ROW('حجز الإجازات'!$B$5:$B$104))=0,IF(NB$3&lt;'الموظفون'!$D$4,"",IF(ISNUMBER(MATCH(NB$3,Holidays,0)),"عطلة",IF(MOD(NB$3-'الموظفون'!$D$4,CycleWork+CycleRest)&lt;CycleWork,INDEX('الإعدادات والقوائم'!$H$2:$H$4,MOD(INT(MOD(NB$3-'الموظفون'!$D$4,CycleWork+CycleRest)*3/CycleWork)+MATCH(StartShift,'الإعدادات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الإجازات'!$D$5:$D$104&lt;=NB$3)*(('حجز الإجازات'!$E$5:$E$104)&gt;=NB$3)*('حجز الإجازات'!$G$5:$G$104="معتمد")*ROW('حجز الإجازات'!$B$5:$B$104)))-5+1))</f>
        <v/>
      </c>
      <c r="NC6" s="62">
        <f>IF(SUMPRODUCT(('حجز الإجازات'!$B$5:$B$104='الموظفون'!$B$4)*('حجز الإجازات'!$D$5:$D$104&lt;=NC$3)*(('حجز الإجازات'!$E$5:$E$104)&gt;=NC$3)*('حجز الإجازات'!$G$5:$G$104="معتمد")*ROW('حجز الإجازات'!$B$5:$B$104))=0,IF(NC$3&lt;'الموظفون'!$D$4,"",IF(ISNUMBER(MATCH(NC$3,Holidays,0)),"عطلة",IF(MOD(NC$3-'الموظفون'!$D$4,CycleWork+CycleRest)&lt;CycleWork,INDEX('الإعدادات والقوائم'!$H$2:$H$4,MOD(INT(MOD(NC$3-'الموظفون'!$D$4,CycleWork+CycleRest)*3/CycleWork)+MATCH(StartShift,'الإعدادات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الإجازات'!$D$5:$D$104&lt;=NC$3)*(('حجز الإجازات'!$E$5:$E$104)&gt;=NC$3)*('حجز الإجازات'!$G$5:$G$104="معتمد")*ROW('حجز الإجازات'!$B$5:$B$104)))-5+1))</f>
        <v/>
      </c>
      <c r="ND6" s="62">
        <f>IF(SUMPRODUCT(('حجز الإجازات'!$B$5:$B$104='الموظفون'!$B$4)*('حجز الإجازات'!$D$5:$D$104&lt;=ND$3)*(('حجز الإجازات'!$E$5:$E$104)&gt;=ND$3)*('حجز الإجازات'!$G$5:$G$104="معتمد")*ROW('حجز الإجازات'!$B$5:$B$104))=0,IF(ND$3&lt;'الموظفون'!$D$4,"",IF(ISNUMBER(MATCH(ND$3,Holidays,0)),"عطلة",IF(MOD(ND$3-'الموظفون'!$D$4,CycleWork+CycleRest)&lt;CycleWork,INDEX('الإعدادات والقوائم'!$H$2:$H$4,MOD(INT(MOD(ND$3-'الموظفون'!$D$4,CycleWork+CycleRest)*3/CycleWork)+MATCH(StartShift,'الإعدادات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الإجازات'!$D$5:$D$104&lt;=ND$3)*(('حجز الإجازات'!$E$5:$E$104)&gt;=ND$3)*('حجز الإجازات'!$G$5:$G$104="معتمد")*ROW('حجز الإجازات'!$B$5:$B$104)))-5+1))</f>
        <v/>
      </c>
    </row>
    <row r="7">
      <c r="A7" s="16" t="n">
        <v>4</v>
      </c>
      <c r="B7" s="22">
        <f>'الموظفون'!B5</f>
        <v/>
      </c>
      <c r="C7" s="16">
        <f>'الموظفون'!C5</f>
        <v/>
      </c>
      <c r="D7" s="62">
        <f>IF(SUMPRODUCT(('حجز الإجازات'!$B$5:$B$104='الموظفون'!$B$5)*('حجز الإجازات'!$D$5:$D$104&lt;=D$3)*(('حجز الإجازات'!$E$5:$E$104)&gt;=D$3)*('حجز الإجازات'!$G$5:$G$104="معتمد")*ROW('حجز الإجازات'!$B$5:$B$104))=0,IF(D$3&lt;'الموظفون'!$D$5,"",IF(ISNUMBER(MATCH(D$3,Holidays,0)),"عطلة",IF(MOD(D$3-'الموظفون'!$D$5,CycleWork+CycleRest)&lt;CycleWork,INDEX('الإعدادات والقوائم'!$H$2:$H$4,MOD(INT(MOD(D$3-'الموظفون'!$D$5,CycleWork+CycleRest)*3/CycleWork)+MATCH(StartShift,'الإعدادات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الإجازات'!$D$5:$D$104&lt;=D$3)*(('حجز الإجازات'!$E$5:$E$104)&gt;=D$3)*('حجز الإجازات'!$G$5:$G$104="معتمد")*ROW('حجز الإجازات'!$B$5:$B$104)))-5+1))</f>
        <v/>
      </c>
      <c r="E7" s="62">
        <f>IF(SUMPRODUCT(('حجز الإجازات'!$B$5:$B$104='الموظفون'!$B$5)*('حجز الإجازات'!$D$5:$D$104&lt;=E$3)*(('حجز الإجازات'!$E$5:$E$104)&gt;=E$3)*('حجز الإجازات'!$G$5:$G$104="معتمد")*ROW('حجز الإجازات'!$B$5:$B$104))=0,IF(E$3&lt;'الموظفون'!$D$5,"",IF(ISNUMBER(MATCH(E$3,Holidays,0)),"عطلة",IF(MOD(E$3-'الموظفون'!$D$5,CycleWork+CycleRest)&lt;CycleWork,INDEX('الإعدادات والقوائم'!$H$2:$H$4,MOD(INT(MOD(E$3-'الموظفون'!$D$5,CycleWork+CycleRest)*3/CycleWork)+MATCH(StartShift,'الإعدادات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الإجازات'!$D$5:$D$104&lt;=E$3)*(('حجز الإجازات'!$E$5:$E$104)&gt;=E$3)*('حجز الإجازات'!$G$5:$G$104="معتمد")*ROW('حجز الإجازات'!$B$5:$B$104)))-5+1))</f>
        <v/>
      </c>
      <c r="F7" s="62">
        <f>IF(SUMPRODUCT(('حجز الإجازات'!$B$5:$B$104='الموظفون'!$B$5)*('حجز الإجازات'!$D$5:$D$104&lt;=F$3)*(('حجز الإجازات'!$E$5:$E$104)&gt;=F$3)*('حجز الإجازات'!$G$5:$G$104="معتمد")*ROW('حجز الإجازات'!$B$5:$B$104))=0,IF(F$3&lt;'الموظفون'!$D$5,"",IF(ISNUMBER(MATCH(F$3,Holidays,0)),"عطلة",IF(MOD(F$3-'الموظفون'!$D$5,CycleWork+CycleRest)&lt;CycleWork,INDEX('الإعدادات والقوائم'!$H$2:$H$4,MOD(INT(MOD(F$3-'الموظفون'!$D$5,CycleWork+CycleRest)*3/CycleWork)+MATCH(StartShift,'الإعدادات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الإجازات'!$D$5:$D$104&lt;=F$3)*(('حجز الإجازات'!$E$5:$E$104)&gt;=F$3)*('حجز الإجازات'!$G$5:$G$104="معتمد")*ROW('حجز الإجازات'!$B$5:$B$104)))-5+1))</f>
        <v/>
      </c>
      <c r="G7" s="62">
        <f>IF(SUMPRODUCT(('حجز الإجازات'!$B$5:$B$104='الموظفون'!$B$5)*('حجز الإجازات'!$D$5:$D$104&lt;=G$3)*(('حجز الإجازات'!$E$5:$E$104)&gt;=G$3)*('حجز الإجازات'!$G$5:$G$104="معتمد")*ROW('حجز الإجازات'!$B$5:$B$104))=0,IF(G$3&lt;'الموظفون'!$D$5,"",IF(ISNUMBER(MATCH(G$3,Holidays,0)),"عطلة",IF(MOD(G$3-'الموظفون'!$D$5,CycleWork+CycleRest)&lt;CycleWork,INDEX('الإعدادات والقوائم'!$H$2:$H$4,MOD(INT(MOD(G$3-'الموظفون'!$D$5,CycleWork+CycleRest)*3/CycleWork)+MATCH(StartShift,'الإعدادات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الإجازات'!$D$5:$D$104&lt;=G$3)*(('حجز الإجازات'!$E$5:$E$104)&gt;=G$3)*('حجز الإجازات'!$G$5:$G$104="معتمد")*ROW('حجز الإجازات'!$B$5:$B$104)))-5+1))</f>
        <v/>
      </c>
      <c r="H7" s="62">
        <f>IF(SUMPRODUCT(('حجز الإجازات'!$B$5:$B$104='الموظفون'!$B$5)*('حجز الإجازات'!$D$5:$D$104&lt;=H$3)*(('حجز الإجازات'!$E$5:$E$104)&gt;=H$3)*('حجز الإجازات'!$G$5:$G$104="معتمد")*ROW('حجز الإجازات'!$B$5:$B$104))=0,IF(H$3&lt;'الموظفون'!$D$5,"",IF(ISNUMBER(MATCH(H$3,Holidays,0)),"عطلة",IF(MOD(H$3-'الموظفون'!$D$5,CycleWork+CycleRest)&lt;CycleWork,INDEX('الإعدادات والقوائم'!$H$2:$H$4,MOD(INT(MOD(H$3-'الموظفون'!$D$5,CycleWork+CycleRest)*3/CycleWork)+MATCH(StartShift,'الإعدادات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الإجازات'!$D$5:$D$104&lt;=H$3)*(('حجز الإجازات'!$E$5:$E$104)&gt;=H$3)*('حجز الإجازات'!$G$5:$G$104="معتمد")*ROW('حجز الإجازات'!$B$5:$B$104)))-5+1))</f>
        <v/>
      </c>
      <c r="I7" s="62">
        <f>IF(SUMPRODUCT(('حجز الإجازات'!$B$5:$B$104='الموظفون'!$B$5)*('حجز الإجازات'!$D$5:$D$104&lt;=I$3)*(('حجز الإجازات'!$E$5:$E$104)&gt;=I$3)*('حجز الإجازات'!$G$5:$G$104="معتمد")*ROW('حجز الإجازات'!$B$5:$B$104))=0,IF(I$3&lt;'الموظفون'!$D$5,"",IF(ISNUMBER(MATCH(I$3,Holidays,0)),"عطلة",IF(MOD(I$3-'الموظفون'!$D$5,CycleWork+CycleRest)&lt;CycleWork,INDEX('الإعدادات والقوائم'!$H$2:$H$4,MOD(INT(MOD(I$3-'الموظفون'!$D$5,CycleWork+CycleRest)*3/CycleWork)+MATCH(StartShift,'الإعدادات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الإجازات'!$D$5:$D$104&lt;=I$3)*(('حجز الإجازات'!$E$5:$E$104)&gt;=I$3)*('حجز الإجازات'!$G$5:$G$104="معتمد")*ROW('حجز الإجازات'!$B$5:$B$104)))-5+1))</f>
        <v/>
      </c>
      <c r="J7" s="62">
        <f>IF(SUMPRODUCT(('حجز الإجازات'!$B$5:$B$104='الموظفون'!$B$5)*('حجز الإجازات'!$D$5:$D$104&lt;=J$3)*(('حجز الإجازات'!$E$5:$E$104)&gt;=J$3)*('حجز الإجازات'!$G$5:$G$104="معتمد")*ROW('حجز الإجازات'!$B$5:$B$104))=0,IF(J$3&lt;'الموظفون'!$D$5,"",IF(ISNUMBER(MATCH(J$3,Holidays,0)),"عطلة",IF(MOD(J$3-'الموظفون'!$D$5,CycleWork+CycleRest)&lt;CycleWork,INDEX('الإعدادات والقوائم'!$H$2:$H$4,MOD(INT(MOD(J$3-'الموظفون'!$D$5,CycleWork+CycleRest)*3/CycleWork)+MATCH(StartShift,'الإعدادات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الإجازات'!$D$5:$D$104&lt;=J$3)*(('حجز الإجازات'!$E$5:$E$104)&gt;=J$3)*('حجز الإجازات'!$G$5:$G$104="معتمد")*ROW('حجز الإجازات'!$B$5:$B$104)))-5+1))</f>
        <v/>
      </c>
      <c r="K7" s="62">
        <f>IF(SUMPRODUCT(('حجز الإجازات'!$B$5:$B$104='الموظفون'!$B$5)*('حجز الإجازات'!$D$5:$D$104&lt;=K$3)*(('حجز الإجازات'!$E$5:$E$104)&gt;=K$3)*('حجز الإجازات'!$G$5:$G$104="معتمد")*ROW('حجز الإجازات'!$B$5:$B$104))=0,IF(K$3&lt;'الموظفون'!$D$5,"",IF(ISNUMBER(MATCH(K$3,Holidays,0)),"عطلة",IF(MOD(K$3-'الموظفون'!$D$5,CycleWork+CycleRest)&lt;CycleWork,INDEX('الإعدادات والقوائم'!$H$2:$H$4,MOD(INT(MOD(K$3-'الموظفون'!$D$5,CycleWork+CycleRest)*3/CycleWork)+MATCH(StartShift,'الإعدادات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الإجازات'!$D$5:$D$104&lt;=K$3)*(('حجز الإجازات'!$E$5:$E$104)&gt;=K$3)*('حجز الإجازات'!$G$5:$G$104="معتمد")*ROW('حجز الإجازات'!$B$5:$B$104)))-5+1))</f>
        <v/>
      </c>
      <c r="L7" s="62">
        <f>IF(SUMPRODUCT(('حجز الإجازات'!$B$5:$B$104='الموظفون'!$B$5)*('حجز الإجازات'!$D$5:$D$104&lt;=L$3)*(('حجز الإجازات'!$E$5:$E$104)&gt;=L$3)*('حجز الإجازات'!$G$5:$G$104="معتمد")*ROW('حجز الإجازات'!$B$5:$B$104))=0,IF(L$3&lt;'الموظفون'!$D$5,"",IF(ISNUMBER(MATCH(L$3,Holidays,0)),"عطلة",IF(MOD(L$3-'الموظفون'!$D$5,CycleWork+CycleRest)&lt;CycleWork,INDEX('الإعدادات والقوائم'!$H$2:$H$4,MOD(INT(MOD(L$3-'الموظفون'!$D$5,CycleWork+CycleRest)*3/CycleWork)+MATCH(StartShift,'الإعدادات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الإجازات'!$D$5:$D$104&lt;=L$3)*(('حجز الإجازات'!$E$5:$E$104)&gt;=L$3)*('حجز الإجازات'!$G$5:$G$104="معتمد")*ROW('حجز الإجازات'!$B$5:$B$104)))-5+1))</f>
        <v/>
      </c>
      <c r="M7" s="62">
        <f>IF(SUMPRODUCT(('حجز الإجازات'!$B$5:$B$104='الموظفون'!$B$5)*('حجز الإجازات'!$D$5:$D$104&lt;=M$3)*(('حجز الإجازات'!$E$5:$E$104)&gt;=M$3)*('حجز الإجازات'!$G$5:$G$104="معتمد")*ROW('حجز الإجازات'!$B$5:$B$104))=0,IF(M$3&lt;'الموظفون'!$D$5,"",IF(ISNUMBER(MATCH(M$3,Holidays,0)),"عطلة",IF(MOD(M$3-'الموظفون'!$D$5,CycleWork+CycleRest)&lt;CycleWork,INDEX('الإعدادات والقوائم'!$H$2:$H$4,MOD(INT(MOD(M$3-'الموظفون'!$D$5,CycleWork+CycleRest)*3/CycleWork)+MATCH(StartShift,'الإعدادات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الإجازات'!$D$5:$D$104&lt;=M$3)*(('حجز الإجازات'!$E$5:$E$104)&gt;=M$3)*('حجز الإجازات'!$G$5:$G$104="معتمد")*ROW('حجز الإجازات'!$B$5:$B$104)))-5+1))</f>
        <v/>
      </c>
      <c r="N7" s="62">
        <f>IF(SUMPRODUCT(('حجز الإجازات'!$B$5:$B$104='الموظفون'!$B$5)*('حجز الإجازات'!$D$5:$D$104&lt;=N$3)*(('حجز الإجازات'!$E$5:$E$104)&gt;=N$3)*('حجز الإجازات'!$G$5:$G$104="معتمد")*ROW('حجز الإجازات'!$B$5:$B$104))=0,IF(N$3&lt;'الموظفون'!$D$5,"",IF(ISNUMBER(MATCH(N$3,Holidays,0)),"عطلة",IF(MOD(N$3-'الموظفون'!$D$5,CycleWork+CycleRest)&lt;CycleWork,INDEX('الإعدادات والقوائم'!$H$2:$H$4,MOD(INT(MOD(N$3-'الموظفون'!$D$5,CycleWork+CycleRest)*3/CycleWork)+MATCH(StartShift,'الإعدادات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الإجازات'!$D$5:$D$104&lt;=N$3)*(('حجز الإجازات'!$E$5:$E$104)&gt;=N$3)*('حجز الإجازات'!$G$5:$G$104="معتمد")*ROW('حجز الإجازات'!$B$5:$B$104)))-5+1))</f>
        <v/>
      </c>
      <c r="O7" s="62">
        <f>IF(SUMPRODUCT(('حجز الإجازات'!$B$5:$B$104='الموظفون'!$B$5)*('حجز الإجازات'!$D$5:$D$104&lt;=O$3)*(('حجز الإجازات'!$E$5:$E$104)&gt;=O$3)*('حجز الإجازات'!$G$5:$G$104="معتمد")*ROW('حجز الإجازات'!$B$5:$B$104))=0,IF(O$3&lt;'الموظفون'!$D$5,"",IF(ISNUMBER(MATCH(O$3,Holidays,0)),"عطلة",IF(MOD(O$3-'الموظفون'!$D$5,CycleWork+CycleRest)&lt;CycleWork,INDEX('الإعدادات والقوائم'!$H$2:$H$4,MOD(INT(MOD(O$3-'الموظفون'!$D$5,CycleWork+CycleRest)*3/CycleWork)+MATCH(StartShift,'الإعدادات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الإجازات'!$D$5:$D$104&lt;=O$3)*(('حجز الإجازات'!$E$5:$E$104)&gt;=O$3)*('حجز الإجازات'!$G$5:$G$104="معتمد")*ROW('حجز الإجازات'!$B$5:$B$104)))-5+1))</f>
        <v/>
      </c>
      <c r="P7" s="62">
        <f>IF(SUMPRODUCT(('حجز الإجازات'!$B$5:$B$104='الموظفون'!$B$5)*('حجز الإجازات'!$D$5:$D$104&lt;=P$3)*(('حجز الإجازات'!$E$5:$E$104)&gt;=P$3)*('حجز الإجازات'!$G$5:$G$104="معتمد")*ROW('حجز الإجازات'!$B$5:$B$104))=0,IF(P$3&lt;'الموظفون'!$D$5,"",IF(ISNUMBER(MATCH(P$3,Holidays,0)),"عطلة",IF(MOD(P$3-'الموظفون'!$D$5,CycleWork+CycleRest)&lt;CycleWork,INDEX('الإعدادات والقوائم'!$H$2:$H$4,MOD(INT(MOD(P$3-'الموظفون'!$D$5,CycleWork+CycleRest)*3/CycleWork)+MATCH(StartShift,'الإعدادات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الإجازات'!$D$5:$D$104&lt;=P$3)*(('حجز الإجازات'!$E$5:$E$104)&gt;=P$3)*('حجز الإجازات'!$G$5:$G$104="معتمد")*ROW('حجز الإجازات'!$B$5:$B$104)))-5+1))</f>
        <v/>
      </c>
      <c r="Q7" s="62">
        <f>IF(SUMPRODUCT(('حجز الإجازات'!$B$5:$B$104='الموظفون'!$B$5)*('حجز الإجازات'!$D$5:$D$104&lt;=Q$3)*(('حجز الإجازات'!$E$5:$E$104)&gt;=Q$3)*('حجز الإجازات'!$G$5:$G$104="معتمد")*ROW('حجز الإجازات'!$B$5:$B$104))=0,IF(Q$3&lt;'الموظفون'!$D$5,"",IF(ISNUMBER(MATCH(Q$3,Holidays,0)),"عطلة",IF(MOD(Q$3-'الموظفون'!$D$5,CycleWork+CycleRest)&lt;CycleWork,INDEX('الإعدادات والقوائم'!$H$2:$H$4,MOD(INT(MOD(Q$3-'الموظفون'!$D$5,CycleWork+CycleRest)*3/CycleWork)+MATCH(StartShift,'الإعدادات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الإجازات'!$D$5:$D$104&lt;=Q$3)*(('حجز الإجازات'!$E$5:$E$104)&gt;=Q$3)*('حجز الإجازات'!$G$5:$G$104="معتمد")*ROW('حجز الإجازات'!$B$5:$B$104)))-5+1))</f>
        <v/>
      </c>
      <c r="R7" s="62">
        <f>IF(SUMPRODUCT(('حجز الإجازات'!$B$5:$B$104='الموظفون'!$B$5)*('حجز الإجازات'!$D$5:$D$104&lt;=R$3)*(('حجز الإجازات'!$E$5:$E$104)&gt;=R$3)*('حجز الإجازات'!$G$5:$G$104="معتمد")*ROW('حجز الإجازات'!$B$5:$B$104))=0,IF(R$3&lt;'الموظفون'!$D$5,"",IF(ISNUMBER(MATCH(R$3,Holidays,0)),"عطلة",IF(MOD(R$3-'الموظفون'!$D$5,CycleWork+CycleRest)&lt;CycleWork,INDEX('الإعدادات والقوائم'!$H$2:$H$4,MOD(INT(MOD(R$3-'الموظفون'!$D$5,CycleWork+CycleRest)*3/CycleWork)+MATCH(StartShift,'الإعدادات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الإجازات'!$D$5:$D$104&lt;=R$3)*(('حجز الإجازات'!$E$5:$E$104)&gt;=R$3)*('حجز الإجازات'!$G$5:$G$104="معتمد")*ROW('حجز الإجازات'!$B$5:$B$104)))-5+1))</f>
        <v/>
      </c>
      <c r="S7" s="62">
        <f>IF(SUMPRODUCT(('حجز الإجازات'!$B$5:$B$104='الموظفون'!$B$5)*('حجز الإجازات'!$D$5:$D$104&lt;=S$3)*(('حجز الإجازات'!$E$5:$E$104)&gt;=S$3)*('حجز الإجازات'!$G$5:$G$104="معتمد")*ROW('حجز الإجازات'!$B$5:$B$104))=0,IF(S$3&lt;'الموظفون'!$D$5,"",IF(ISNUMBER(MATCH(S$3,Holidays,0)),"عطلة",IF(MOD(S$3-'الموظفون'!$D$5,CycleWork+CycleRest)&lt;CycleWork,INDEX('الإعدادات والقوائم'!$H$2:$H$4,MOD(INT(MOD(S$3-'الموظفون'!$D$5,CycleWork+CycleRest)*3/CycleWork)+MATCH(StartShift,'الإعدادات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الإجازات'!$D$5:$D$104&lt;=S$3)*(('حجز الإجازات'!$E$5:$E$104)&gt;=S$3)*('حجز الإجازات'!$G$5:$G$104="معتمد")*ROW('حجز الإجازات'!$B$5:$B$104)))-5+1))</f>
        <v/>
      </c>
      <c r="T7" s="62">
        <f>IF(SUMPRODUCT(('حجز الإجازات'!$B$5:$B$104='الموظفون'!$B$5)*('حجز الإجازات'!$D$5:$D$104&lt;=T$3)*(('حجز الإجازات'!$E$5:$E$104)&gt;=T$3)*('حجز الإجازات'!$G$5:$G$104="معتمد")*ROW('حجز الإجازات'!$B$5:$B$104))=0,IF(T$3&lt;'الموظفون'!$D$5,"",IF(ISNUMBER(MATCH(T$3,Holidays,0)),"عطلة",IF(MOD(T$3-'الموظفون'!$D$5,CycleWork+CycleRest)&lt;CycleWork,INDEX('الإعدادات والقوائم'!$H$2:$H$4,MOD(INT(MOD(T$3-'الموظفون'!$D$5,CycleWork+CycleRest)*3/CycleWork)+MATCH(StartShift,'الإعدادات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الإجازات'!$D$5:$D$104&lt;=T$3)*(('حجز الإجازات'!$E$5:$E$104)&gt;=T$3)*('حجز الإجازات'!$G$5:$G$104="معتمد")*ROW('حجز الإجازات'!$B$5:$B$104)))-5+1))</f>
        <v/>
      </c>
      <c r="U7" s="62">
        <f>IF(SUMPRODUCT(('حجز الإجازات'!$B$5:$B$104='الموظفون'!$B$5)*('حجز الإجازات'!$D$5:$D$104&lt;=U$3)*(('حجز الإجازات'!$E$5:$E$104)&gt;=U$3)*('حجز الإجازات'!$G$5:$G$104="معتمد")*ROW('حجز الإجازات'!$B$5:$B$104))=0,IF(U$3&lt;'الموظفون'!$D$5,"",IF(ISNUMBER(MATCH(U$3,Holidays,0)),"عطلة",IF(MOD(U$3-'الموظفون'!$D$5,CycleWork+CycleRest)&lt;CycleWork,INDEX('الإعدادات والقوائم'!$H$2:$H$4,MOD(INT(MOD(U$3-'الموظفون'!$D$5,CycleWork+CycleRest)*3/CycleWork)+MATCH(StartShift,'الإعدادات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الإجازات'!$D$5:$D$104&lt;=U$3)*(('حجز الإجازات'!$E$5:$E$104)&gt;=U$3)*('حجز الإجازات'!$G$5:$G$104="معتمد")*ROW('حجز الإجازات'!$B$5:$B$104)))-5+1))</f>
        <v/>
      </c>
      <c r="V7" s="62">
        <f>IF(SUMPRODUCT(('حجز الإجازات'!$B$5:$B$104='الموظفون'!$B$5)*('حجز الإجازات'!$D$5:$D$104&lt;=V$3)*(('حجز الإجازات'!$E$5:$E$104)&gt;=V$3)*('حجز الإجازات'!$G$5:$G$104="معتمد")*ROW('حجز الإجازات'!$B$5:$B$104))=0,IF(V$3&lt;'الموظفون'!$D$5,"",IF(ISNUMBER(MATCH(V$3,Holidays,0)),"عطلة",IF(MOD(V$3-'الموظفون'!$D$5,CycleWork+CycleRest)&lt;CycleWork,INDEX('الإعدادات والقوائم'!$H$2:$H$4,MOD(INT(MOD(V$3-'الموظفون'!$D$5,CycleWork+CycleRest)*3/CycleWork)+MATCH(StartShift,'الإعدادات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الإجازات'!$D$5:$D$104&lt;=V$3)*(('حجز الإجازات'!$E$5:$E$104)&gt;=V$3)*('حجز الإجازات'!$G$5:$G$104="معتمد")*ROW('حجز الإجازات'!$B$5:$B$104)))-5+1))</f>
        <v/>
      </c>
      <c r="W7" s="62">
        <f>IF(SUMPRODUCT(('حجز الإجازات'!$B$5:$B$104='الموظفون'!$B$5)*('حجز الإجازات'!$D$5:$D$104&lt;=W$3)*(('حجز الإجازات'!$E$5:$E$104)&gt;=W$3)*('حجز الإجازات'!$G$5:$G$104="معتمد")*ROW('حجز الإجازات'!$B$5:$B$104))=0,IF(W$3&lt;'الموظفون'!$D$5,"",IF(ISNUMBER(MATCH(W$3,Holidays,0)),"عطلة",IF(MOD(W$3-'الموظفون'!$D$5,CycleWork+CycleRest)&lt;CycleWork,INDEX('الإعدادات والقوائم'!$H$2:$H$4,MOD(INT(MOD(W$3-'الموظفون'!$D$5,CycleWork+CycleRest)*3/CycleWork)+MATCH(StartShift,'الإعدادات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الإجازات'!$D$5:$D$104&lt;=W$3)*(('حجز الإجازات'!$E$5:$E$104)&gt;=W$3)*('حجز الإجازات'!$G$5:$G$104="معتمد")*ROW('حجز الإجازات'!$B$5:$B$104)))-5+1))</f>
        <v/>
      </c>
      <c r="X7" s="62">
        <f>IF(SUMPRODUCT(('حجز الإجازات'!$B$5:$B$104='الموظفون'!$B$5)*('حجز الإجازات'!$D$5:$D$104&lt;=X$3)*(('حجز الإجازات'!$E$5:$E$104)&gt;=X$3)*('حجز الإجازات'!$G$5:$G$104="معتمد")*ROW('حجز الإجازات'!$B$5:$B$104))=0,IF(X$3&lt;'الموظفون'!$D$5,"",IF(ISNUMBER(MATCH(X$3,Holidays,0)),"عطلة",IF(MOD(X$3-'الموظفون'!$D$5,CycleWork+CycleRest)&lt;CycleWork,INDEX('الإعدادات والقوائم'!$H$2:$H$4,MOD(INT(MOD(X$3-'الموظفون'!$D$5,CycleWork+CycleRest)*3/CycleWork)+MATCH(StartShift,'الإعدادات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الإجازات'!$D$5:$D$104&lt;=X$3)*(('حجز الإجازات'!$E$5:$E$104)&gt;=X$3)*('حجز الإجازات'!$G$5:$G$104="معتمد")*ROW('حجز الإجازات'!$B$5:$B$104)))-5+1))</f>
        <v/>
      </c>
      <c r="Y7" s="62">
        <f>IF(SUMPRODUCT(('حجز الإجازات'!$B$5:$B$104='الموظفون'!$B$5)*('حجز الإجازات'!$D$5:$D$104&lt;=Y$3)*(('حجز الإجازات'!$E$5:$E$104)&gt;=Y$3)*('حجز الإجازات'!$G$5:$G$104="معتمد")*ROW('حجز الإجازات'!$B$5:$B$104))=0,IF(Y$3&lt;'الموظفون'!$D$5,"",IF(ISNUMBER(MATCH(Y$3,Holidays,0)),"عطلة",IF(MOD(Y$3-'الموظفون'!$D$5,CycleWork+CycleRest)&lt;CycleWork,INDEX('الإعدادات والقوائم'!$H$2:$H$4,MOD(INT(MOD(Y$3-'الموظفون'!$D$5,CycleWork+CycleRest)*3/CycleWork)+MATCH(StartShift,'الإعدادات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الإجازات'!$D$5:$D$104&lt;=Y$3)*(('حجز الإجازات'!$E$5:$E$104)&gt;=Y$3)*('حجز الإجازات'!$G$5:$G$104="معتمد")*ROW('حجز الإجازات'!$B$5:$B$104)))-5+1))</f>
        <v/>
      </c>
      <c r="Z7" s="62">
        <f>IF(SUMPRODUCT(('حجز الإجازات'!$B$5:$B$104='الموظفون'!$B$5)*('حجز الإجازات'!$D$5:$D$104&lt;=Z$3)*(('حجز الإجازات'!$E$5:$E$104)&gt;=Z$3)*('حجز الإجازات'!$G$5:$G$104="معتمد")*ROW('حجز الإجازات'!$B$5:$B$104))=0,IF(Z$3&lt;'الموظفون'!$D$5,"",IF(ISNUMBER(MATCH(Z$3,Holidays,0)),"عطلة",IF(MOD(Z$3-'الموظفون'!$D$5,CycleWork+CycleRest)&lt;CycleWork,INDEX('الإعدادات والقوائم'!$H$2:$H$4,MOD(INT(MOD(Z$3-'الموظفون'!$D$5,CycleWork+CycleRest)*3/CycleWork)+MATCH(StartShift,'الإعدادات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الإجازات'!$D$5:$D$104&lt;=Z$3)*(('حجز الإجازات'!$E$5:$E$104)&gt;=Z$3)*('حجز الإجازات'!$G$5:$G$104="معتمد")*ROW('حجز الإجازات'!$B$5:$B$104)))-5+1))</f>
        <v/>
      </c>
      <c r="AA7" s="62">
        <f>IF(SUMPRODUCT(('حجز الإجازات'!$B$5:$B$104='الموظفون'!$B$5)*('حجز الإجازات'!$D$5:$D$104&lt;=AA$3)*(('حجز الإجازات'!$E$5:$E$104)&gt;=AA$3)*('حجز الإجازات'!$G$5:$G$104="معتمد")*ROW('حجز الإجازات'!$B$5:$B$104))=0,IF(AA$3&lt;'الموظفون'!$D$5,"",IF(ISNUMBER(MATCH(AA$3,Holidays,0)),"عطلة",IF(MOD(AA$3-'الموظفون'!$D$5,CycleWork+CycleRest)&lt;CycleWork,INDEX('الإعدادات والقوائم'!$H$2:$H$4,MOD(INT(MOD(AA$3-'الموظفون'!$D$5,CycleWork+CycleRest)*3/CycleWork)+MATCH(StartShift,'الإعدادات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الإجازات'!$D$5:$D$104&lt;=AA$3)*(('حجز الإجازات'!$E$5:$E$104)&gt;=AA$3)*('حجز الإجازات'!$G$5:$G$104="معتمد")*ROW('حجز الإجازات'!$B$5:$B$104)))-5+1))</f>
        <v/>
      </c>
      <c r="AB7" s="62">
        <f>IF(SUMPRODUCT(('حجز الإجازات'!$B$5:$B$104='الموظفون'!$B$5)*('حجز الإجازات'!$D$5:$D$104&lt;=AB$3)*(('حجز الإجازات'!$E$5:$E$104)&gt;=AB$3)*('حجز الإجازات'!$G$5:$G$104="معتمد")*ROW('حجز الإجازات'!$B$5:$B$104))=0,IF(AB$3&lt;'الموظفون'!$D$5,"",IF(ISNUMBER(MATCH(AB$3,Holidays,0)),"عطلة",IF(MOD(AB$3-'الموظفون'!$D$5,CycleWork+CycleRest)&lt;CycleWork,INDEX('الإعدادات والقوائم'!$H$2:$H$4,MOD(INT(MOD(AB$3-'الموظفون'!$D$5,CycleWork+CycleRest)*3/CycleWork)+MATCH(StartShift,'الإعدادات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الإجازات'!$D$5:$D$104&lt;=AB$3)*(('حجز الإجازات'!$E$5:$E$104)&gt;=AB$3)*('حجز الإجازات'!$G$5:$G$104="معتمد")*ROW('حجز الإجازات'!$B$5:$B$104)))-5+1))</f>
        <v/>
      </c>
      <c r="AC7" s="62">
        <f>IF(SUMPRODUCT(('حجز الإجازات'!$B$5:$B$104='الموظفون'!$B$5)*('حجز الإجازات'!$D$5:$D$104&lt;=AC$3)*(('حجز الإجازات'!$E$5:$E$104)&gt;=AC$3)*('حجز الإجازات'!$G$5:$G$104="معتمد")*ROW('حجز الإجازات'!$B$5:$B$104))=0,IF(AC$3&lt;'الموظفون'!$D$5,"",IF(ISNUMBER(MATCH(AC$3,Holidays,0)),"عطلة",IF(MOD(AC$3-'الموظفون'!$D$5,CycleWork+CycleRest)&lt;CycleWork,INDEX('الإعدادات والقوائم'!$H$2:$H$4,MOD(INT(MOD(AC$3-'الموظفون'!$D$5,CycleWork+CycleRest)*3/CycleWork)+MATCH(StartShift,'الإعدادات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الإجازات'!$D$5:$D$104&lt;=AC$3)*(('حجز الإجازات'!$E$5:$E$104)&gt;=AC$3)*('حجز الإجازات'!$G$5:$G$104="معتمد")*ROW('حجز الإجازات'!$B$5:$B$104)))-5+1))</f>
        <v/>
      </c>
      <c r="AD7" s="62">
        <f>IF(SUMPRODUCT(('حجز الإجازات'!$B$5:$B$104='الموظفون'!$B$5)*('حجز الإجازات'!$D$5:$D$104&lt;=AD$3)*(('حجز الإجازات'!$E$5:$E$104)&gt;=AD$3)*('حجز الإجازات'!$G$5:$G$104="معتمد")*ROW('حجز الإجازات'!$B$5:$B$104))=0,IF(AD$3&lt;'الموظفون'!$D$5,"",IF(ISNUMBER(MATCH(AD$3,Holidays,0)),"عطلة",IF(MOD(AD$3-'الموظفون'!$D$5,CycleWork+CycleRest)&lt;CycleWork,INDEX('الإعدادات والقوائم'!$H$2:$H$4,MOD(INT(MOD(AD$3-'الموظفون'!$D$5,CycleWork+CycleRest)*3/CycleWork)+MATCH(StartShift,'الإعدادات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الإجازات'!$D$5:$D$104&lt;=AD$3)*(('حجز الإجازات'!$E$5:$E$104)&gt;=AD$3)*('حجز الإجازات'!$G$5:$G$104="معتمد")*ROW('حجز الإجازات'!$B$5:$B$104)))-5+1))</f>
        <v/>
      </c>
      <c r="AE7" s="62">
        <f>IF(SUMPRODUCT(('حجز الإجازات'!$B$5:$B$104='الموظفون'!$B$5)*('حجز الإجازات'!$D$5:$D$104&lt;=AE$3)*(('حجز الإجازات'!$E$5:$E$104)&gt;=AE$3)*('حجز الإجازات'!$G$5:$G$104="معتمد")*ROW('حجز الإجازات'!$B$5:$B$104))=0,IF(AE$3&lt;'الموظفون'!$D$5,"",IF(ISNUMBER(MATCH(AE$3,Holidays,0)),"عطلة",IF(MOD(AE$3-'الموظفون'!$D$5,CycleWork+CycleRest)&lt;CycleWork,INDEX('الإعدادات والقوائم'!$H$2:$H$4,MOD(INT(MOD(AE$3-'الموظفون'!$D$5,CycleWork+CycleRest)*3/CycleWork)+MATCH(StartShift,'الإعدادات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الإجازات'!$D$5:$D$104&lt;=AE$3)*(('حجز الإجازات'!$E$5:$E$104)&gt;=AE$3)*('حجز الإجازات'!$G$5:$G$104="معتمد")*ROW('حجز الإجازات'!$B$5:$B$104)))-5+1))</f>
        <v/>
      </c>
      <c r="AF7" s="62">
        <f>IF(SUMPRODUCT(('حجز الإجازات'!$B$5:$B$104='الموظفون'!$B$5)*('حجز الإجازات'!$D$5:$D$104&lt;=AF$3)*(('حجز الإجازات'!$E$5:$E$104)&gt;=AF$3)*('حجز الإجازات'!$G$5:$G$104="معتمد")*ROW('حجز الإجازات'!$B$5:$B$104))=0,IF(AF$3&lt;'الموظفون'!$D$5,"",IF(ISNUMBER(MATCH(AF$3,Holidays,0)),"عطلة",IF(MOD(AF$3-'الموظفون'!$D$5,CycleWork+CycleRest)&lt;CycleWork,INDEX('الإعدادات والقوائم'!$H$2:$H$4,MOD(INT(MOD(AF$3-'الموظفون'!$D$5,CycleWork+CycleRest)*3/CycleWork)+MATCH(StartShift,'الإعدادات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الإجازات'!$D$5:$D$104&lt;=AF$3)*(('حجز الإجازات'!$E$5:$E$104)&gt;=AF$3)*('حجز الإجازات'!$G$5:$G$104="معتمد")*ROW('حجز الإجازات'!$B$5:$B$104)))-5+1))</f>
        <v/>
      </c>
      <c r="AG7" s="62">
        <f>IF(SUMPRODUCT(('حجز الإجازات'!$B$5:$B$104='الموظفون'!$B$5)*('حجز الإجازات'!$D$5:$D$104&lt;=AG$3)*(('حجز الإجازات'!$E$5:$E$104)&gt;=AG$3)*('حجز الإجازات'!$G$5:$G$104="معتمد")*ROW('حجز الإجازات'!$B$5:$B$104))=0,IF(AG$3&lt;'الموظفون'!$D$5,"",IF(ISNUMBER(MATCH(AG$3,Holidays,0)),"عطلة",IF(MOD(AG$3-'الموظفون'!$D$5,CycleWork+CycleRest)&lt;CycleWork,INDEX('الإعدادات والقوائم'!$H$2:$H$4,MOD(INT(MOD(AG$3-'الموظفون'!$D$5,CycleWork+CycleRest)*3/CycleWork)+MATCH(StartShift,'الإعدادات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الإجازات'!$D$5:$D$104&lt;=AG$3)*(('حجز الإجازات'!$E$5:$E$104)&gt;=AG$3)*('حجز الإجازات'!$G$5:$G$104="معتمد")*ROW('حجز الإجازات'!$B$5:$B$104)))-5+1))</f>
        <v/>
      </c>
      <c r="AH7" s="62">
        <f>IF(SUMPRODUCT(('حجز الإجازات'!$B$5:$B$104='الموظفون'!$B$5)*('حجز الإجازات'!$D$5:$D$104&lt;=AH$3)*(('حجز الإجازات'!$E$5:$E$104)&gt;=AH$3)*('حجز الإجازات'!$G$5:$G$104="معتمد")*ROW('حجز الإجازات'!$B$5:$B$104))=0,IF(AH$3&lt;'الموظفون'!$D$5,"",IF(ISNUMBER(MATCH(AH$3,Holidays,0)),"عطلة",IF(MOD(AH$3-'الموظفون'!$D$5,CycleWork+CycleRest)&lt;CycleWork,INDEX('الإعدادات والقوائم'!$H$2:$H$4,MOD(INT(MOD(AH$3-'الموظفون'!$D$5,CycleWork+CycleRest)*3/CycleWork)+MATCH(StartShift,'الإعدادات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الإجازات'!$D$5:$D$104&lt;=AH$3)*(('حجز الإجازات'!$E$5:$E$104)&gt;=AH$3)*('حجز الإجازات'!$G$5:$G$104="معتمد")*ROW('حجز الإجازات'!$B$5:$B$104)))-5+1))</f>
        <v/>
      </c>
      <c r="AI7" s="62">
        <f>IF(SUMPRODUCT(('حجز الإجازات'!$B$5:$B$104='الموظفون'!$B$5)*('حجز الإجازات'!$D$5:$D$104&lt;=AI$3)*(('حجز الإجازات'!$E$5:$E$104)&gt;=AI$3)*('حجز الإجازات'!$G$5:$G$104="معتمد")*ROW('حجز الإجازات'!$B$5:$B$104))=0,IF(AI$3&lt;'الموظفون'!$D$5,"",IF(ISNUMBER(MATCH(AI$3,Holidays,0)),"عطلة",IF(MOD(AI$3-'الموظفون'!$D$5,CycleWork+CycleRest)&lt;CycleWork,INDEX('الإعدادات والقوائم'!$H$2:$H$4,MOD(INT(MOD(AI$3-'الموظفون'!$D$5,CycleWork+CycleRest)*3/CycleWork)+MATCH(StartShift,'الإعدادات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الإجازات'!$D$5:$D$104&lt;=AI$3)*(('حجز الإجازات'!$E$5:$E$104)&gt;=AI$3)*('حجز الإجازات'!$G$5:$G$104="معتمد")*ROW('حجز الإجازات'!$B$5:$B$104)))-5+1))</f>
        <v/>
      </c>
      <c r="AJ7" s="62">
        <f>IF(SUMPRODUCT(('حجز الإجازات'!$B$5:$B$104='الموظفون'!$B$5)*('حجز الإجازات'!$D$5:$D$104&lt;=AJ$3)*(('حجز الإجازات'!$E$5:$E$104)&gt;=AJ$3)*('حجز الإجازات'!$G$5:$G$104="معتمد")*ROW('حجز الإجازات'!$B$5:$B$104))=0,IF(AJ$3&lt;'الموظفون'!$D$5,"",IF(ISNUMBER(MATCH(AJ$3,Holidays,0)),"عطلة",IF(MOD(AJ$3-'الموظفون'!$D$5,CycleWork+CycleRest)&lt;CycleWork,INDEX('الإعدادات والقوائم'!$H$2:$H$4,MOD(INT(MOD(AJ$3-'الموظفون'!$D$5,CycleWork+CycleRest)*3/CycleWork)+MATCH(StartShift,'الإعدادات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الإجازات'!$D$5:$D$104&lt;=AJ$3)*(('حجز الإجازات'!$E$5:$E$104)&gt;=AJ$3)*('حجز الإجازات'!$G$5:$G$104="معتمد")*ROW('حجز الإجازات'!$B$5:$B$104)))-5+1))</f>
        <v/>
      </c>
      <c r="AK7" s="62">
        <f>IF(SUMPRODUCT(('حجز الإجازات'!$B$5:$B$104='الموظفون'!$B$5)*('حجز الإجازات'!$D$5:$D$104&lt;=AK$3)*(('حجز الإجازات'!$E$5:$E$104)&gt;=AK$3)*('حجز الإجازات'!$G$5:$G$104="معتمد")*ROW('حجز الإجازات'!$B$5:$B$104))=0,IF(AK$3&lt;'الموظفون'!$D$5,"",IF(ISNUMBER(MATCH(AK$3,Holidays,0)),"عطلة",IF(MOD(AK$3-'الموظفون'!$D$5,CycleWork+CycleRest)&lt;CycleWork,INDEX('الإعدادات والقوائم'!$H$2:$H$4,MOD(INT(MOD(AK$3-'الموظفون'!$D$5,CycleWork+CycleRest)*3/CycleWork)+MATCH(StartShift,'الإعدادات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الإجازات'!$D$5:$D$104&lt;=AK$3)*(('حجز الإجازات'!$E$5:$E$104)&gt;=AK$3)*('حجز الإجازات'!$G$5:$G$104="معتمد")*ROW('حجز الإجازات'!$B$5:$B$104)))-5+1))</f>
        <v/>
      </c>
      <c r="AL7" s="62">
        <f>IF(SUMPRODUCT(('حجز الإجازات'!$B$5:$B$104='الموظفون'!$B$5)*('حجز الإجازات'!$D$5:$D$104&lt;=AL$3)*(('حجز الإجازات'!$E$5:$E$104)&gt;=AL$3)*('حجز الإجازات'!$G$5:$G$104="معتمد")*ROW('حجز الإجازات'!$B$5:$B$104))=0,IF(AL$3&lt;'الموظفون'!$D$5,"",IF(ISNUMBER(MATCH(AL$3,Holidays,0)),"عطلة",IF(MOD(AL$3-'الموظفون'!$D$5,CycleWork+CycleRest)&lt;CycleWork,INDEX('الإعدادات والقوائم'!$H$2:$H$4,MOD(INT(MOD(AL$3-'الموظفون'!$D$5,CycleWork+CycleRest)*3/CycleWork)+MATCH(StartShift,'الإعدادات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الإجازات'!$D$5:$D$104&lt;=AL$3)*(('حجز الإجازات'!$E$5:$E$104)&gt;=AL$3)*('حجز الإجازات'!$G$5:$G$104="معتمد")*ROW('حجز الإجازات'!$B$5:$B$104)))-5+1))</f>
        <v/>
      </c>
      <c r="AM7" s="62">
        <f>IF(SUMPRODUCT(('حجز الإجازات'!$B$5:$B$104='الموظفون'!$B$5)*('حجز الإجازات'!$D$5:$D$104&lt;=AM$3)*(('حجز الإجازات'!$E$5:$E$104)&gt;=AM$3)*('حجز الإجازات'!$G$5:$G$104="معتمد")*ROW('حجز الإجازات'!$B$5:$B$104))=0,IF(AM$3&lt;'الموظفون'!$D$5,"",IF(ISNUMBER(MATCH(AM$3,Holidays,0)),"عطلة",IF(MOD(AM$3-'الموظفون'!$D$5,CycleWork+CycleRest)&lt;CycleWork,INDEX('الإعدادات والقوائم'!$H$2:$H$4,MOD(INT(MOD(AM$3-'الموظفون'!$D$5,CycleWork+CycleRest)*3/CycleWork)+MATCH(StartShift,'الإعدادات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الإجازات'!$D$5:$D$104&lt;=AM$3)*(('حجز الإجازات'!$E$5:$E$104)&gt;=AM$3)*('حجز الإجازات'!$G$5:$G$104="معتمد")*ROW('حجز الإجازات'!$B$5:$B$104)))-5+1))</f>
        <v/>
      </c>
      <c r="AN7" s="62">
        <f>IF(SUMPRODUCT(('حجز الإجازات'!$B$5:$B$104='الموظفون'!$B$5)*('حجز الإجازات'!$D$5:$D$104&lt;=AN$3)*(('حجز الإجازات'!$E$5:$E$104)&gt;=AN$3)*('حجز الإجازات'!$G$5:$G$104="معتمد")*ROW('حجز الإجازات'!$B$5:$B$104))=0,IF(AN$3&lt;'الموظفون'!$D$5,"",IF(ISNUMBER(MATCH(AN$3,Holidays,0)),"عطلة",IF(MOD(AN$3-'الموظفون'!$D$5,CycleWork+CycleRest)&lt;CycleWork,INDEX('الإعدادات والقوائم'!$H$2:$H$4,MOD(INT(MOD(AN$3-'الموظفون'!$D$5,CycleWork+CycleRest)*3/CycleWork)+MATCH(StartShift,'الإعدادات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الإجازات'!$D$5:$D$104&lt;=AN$3)*(('حجز الإجازات'!$E$5:$E$104)&gt;=AN$3)*('حجز الإجازات'!$G$5:$G$104="معتمد")*ROW('حجز الإجازات'!$B$5:$B$104)))-5+1))</f>
        <v/>
      </c>
      <c r="AO7" s="62">
        <f>IF(SUMPRODUCT(('حجز الإجازات'!$B$5:$B$104='الموظفون'!$B$5)*('حجز الإجازات'!$D$5:$D$104&lt;=AO$3)*(('حجز الإجازات'!$E$5:$E$104)&gt;=AO$3)*('حجز الإجازات'!$G$5:$G$104="معتمد")*ROW('حجز الإجازات'!$B$5:$B$104))=0,IF(AO$3&lt;'الموظفون'!$D$5,"",IF(ISNUMBER(MATCH(AO$3,Holidays,0)),"عطلة",IF(MOD(AO$3-'الموظفون'!$D$5,CycleWork+CycleRest)&lt;CycleWork,INDEX('الإعدادات والقوائم'!$H$2:$H$4,MOD(INT(MOD(AO$3-'الموظفون'!$D$5,CycleWork+CycleRest)*3/CycleWork)+MATCH(StartShift,'الإعدادات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الإجازات'!$D$5:$D$104&lt;=AO$3)*(('حجز الإجازات'!$E$5:$E$104)&gt;=AO$3)*('حجز الإجازات'!$G$5:$G$104="معتمد")*ROW('حجز الإجازات'!$B$5:$B$104)))-5+1))</f>
        <v/>
      </c>
      <c r="AP7" s="62">
        <f>IF(SUMPRODUCT(('حجز الإجازات'!$B$5:$B$104='الموظفون'!$B$5)*('حجز الإجازات'!$D$5:$D$104&lt;=AP$3)*(('حجز الإجازات'!$E$5:$E$104)&gt;=AP$3)*('حجز الإجازات'!$G$5:$G$104="معتمد")*ROW('حجز الإجازات'!$B$5:$B$104))=0,IF(AP$3&lt;'الموظفون'!$D$5,"",IF(ISNUMBER(MATCH(AP$3,Holidays,0)),"عطلة",IF(MOD(AP$3-'الموظفون'!$D$5,CycleWork+CycleRest)&lt;CycleWork,INDEX('الإعدادات والقوائم'!$H$2:$H$4,MOD(INT(MOD(AP$3-'الموظفون'!$D$5,CycleWork+CycleRest)*3/CycleWork)+MATCH(StartShift,'الإعدادات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الإجازات'!$D$5:$D$104&lt;=AP$3)*(('حجز الإجازات'!$E$5:$E$104)&gt;=AP$3)*('حجز الإجازات'!$G$5:$G$104="معتمد")*ROW('حجز الإجازات'!$B$5:$B$104)))-5+1))</f>
        <v/>
      </c>
      <c r="AQ7" s="62">
        <f>IF(SUMPRODUCT(('حجز الإجازات'!$B$5:$B$104='الموظفون'!$B$5)*('حجز الإجازات'!$D$5:$D$104&lt;=AQ$3)*(('حجز الإجازات'!$E$5:$E$104)&gt;=AQ$3)*('حجز الإجازات'!$G$5:$G$104="معتمد")*ROW('حجز الإجازات'!$B$5:$B$104))=0,IF(AQ$3&lt;'الموظفون'!$D$5,"",IF(ISNUMBER(MATCH(AQ$3,Holidays,0)),"عطلة",IF(MOD(AQ$3-'الموظفون'!$D$5,CycleWork+CycleRest)&lt;CycleWork,INDEX('الإعدادات والقوائم'!$H$2:$H$4,MOD(INT(MOD(AQ$3-'الموظفون'!$D$5,CycleWork+CycleRest)*3/CycleWork)+MATCH(StartShift,'الإعدادات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الإجازات'!$D$5:$D$104&lt;=AQ$3)*(('حجز الإجازات'!$E$5:$E$104)&gt;=AQ$3)*('حجز الإجازات'!$G$5:$G$104="معتمد")*ROW('حجز الإجازات'!$B$5:$B$104)))-5+1))</f>
        <v/>
      </c>
      <c r="AR7" s="62">
        <f>IF(SUMPRODUCT(('حجز الإجازات'!$B$5:$B$104='الموظفون'!$B$5)*('حجز الإجازات'!$D$5:$D$104&lt;=AR$3)*(('حجز الإجازات'!$E$5:$E$104)&gt;=AR$3)*('حجز الإجازات'!$G$5:$G$104="معتمد")*ROW('حجز الإجازات'!$B$5:$B$104))=0,IF(AR$3&lt;'الموظفون'!$D$5,"",IF(ISNUMBER(MATCH(AR$3,Holidays,0)),"عطلة",IF(MOD(AR$3-'الموظفون'!$D$5,CycleWork+CycleRest)&lt;CycleWork,INDEX('الإعدادات والقوائم'!$H$2:$H$4,MOD(INT(MOD(AR$3-'الموظفون'!$D$5,CycleWork+CycleRest)*3/CycleWork)+MATCH(StartShift,'الإعدادات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الإجازات'!$D$5:$D$104&lt;=AR$3)*(('حجز الإجازات'!$E$5:$E$104)&gt;=AR$3)*('حجز الإجازات'!$G$5:$G$104="معتمد")*ROW('حجز الإجازات'!$B$5:$B$104)))-5+1))</f>
        <v/>
      </c>
      <c r="AS7" s="62">
        <f>IF(SUMPRODUCT(('حجز الإجازات'!$B$5:$B$104='الموظفون'!$B$5)*('حجز الإجازات'!$D$5:$D$104&lt;=AS$3)*(('حجز الإجازات'!$E$5:$E$104)&gt;=AS$3)*('حجز الإجازات'!$G$5:$G$104="معتمد")*ROW('حجز الإجازات'!$B$5:$B$104))=0,IF(AS$3&lt;'الموظفون'!$D$5,"",IF(ISNUMBER(MATCH(AS$3,Holidays,0)),"عطلة",IF(MOD(AS$3-'الموظفون'!$D$5,CycleWork+CycleRest)&lt;CycleWork,INDEX('الإعدادات والقوائم'!$H$2:$H$4,MOD(INT(MOD(AS$3-'الموظفون'!$D$5,CycleWork+CycleRest)*3/CycleWork)+MATCH(StartShift,'الإعدادات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الإجازات'!$D$5:$D$104&lt;=AS$3)*(('حجز الإجازات'!$E$5:$E$104)&gt;=AS$3)*('حجز الإجازات'!$G$5:$G$104="معتمد")*ROW('حجز الإجازات'!$B$5:$B$104)))-5+1))</f>
        <v/>
      </c>
      <c r="AT7" s="62">
        <f>IF(SUMPRODUCT(('حجز الإجازات'!$B$5:$B$104='الموظفون'!$B$5)*('حجز الإجازات'!$D$5:$D$104&lt;=AT$3)*(('حجز الإجازات'!$E$5:$E$104)&gt;=AT$3)*('حجز الإجازات'!$G$5:$G$104="معتمد")*ROW('حجز الإجازات'!$B$5:$B$104))=0,IF(AT$3&lt;'الموظفون'!$D$5,"",IF(ISNUMBER(MATCH(AT$3,Holidays,0)),"عطلة",IF(MOD(AT$3-'الموظفون'!$D$5,CycleWork+CycleRest)&lt;CycleWork,INDEX('الإعدادات والقوائم'!$H$2:$H$4,MOD(INT(MOD(AT$3-'الموظفون'!$D$5,CycleWork+CycleRest)*3/CycleWork)+MATCH(StartShift,'الإعدادات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الإجازات'!$D$5:$D$104&lt;=AT$3)*(('حجز الإجازات'!$E$5:$E$104)&gt;=AT$3)*('حجز الإجازات'!$G$5:$G$104="معتمد")*ROW('حجز الإجازات'!$B$5:$B$104)))-5+1))</f>
        <v/>
      </c>
      <c r="AU7" s="62">
        <f>IF(SUMPRODUCT(('حجز الإجازات'!$B$5:$B$104='الموظفون'!$B$5)*('حجز الإجازات'!$D$5:$D$104&lt;=AU$3)*(('حجز الإجازات'!$E$5:$E$104)&gt;=AU$3)*('حجز الإجازات'!$G$5:$G$104="معتمد")*ROW('حجز الإجازات'!$B$5:$B$104))=0,IF(AU$3&lt;'الموظفون'!$D$5,"",IF(ISNUMBER(MATCH(AU$3,Holidays,0)),"عطلة",IF(MOD(AU$3-'الموظفون'!$D$5,CycleWork+CycleRest)&lt;CycleWork,INDEX('الإعدادات والقوائم'!$H$2:$H$4,MOD(INT(MOD(AU$3-'الموظفون'!$D$5,CycleWork+CycleRest)*3/CycleWork)+MATCH(StartShift,'الإعدادات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الإجازات'!$D$5:$D$104&lt;=AU$3)*(('حجز الإجازات'!$E$5:$E$104)&gt;=AU$3)*('حجز الإجازات'!$G$5:$G$104="معتمد")*ROW('حجز الإجازات'!$B$5:$B$104)))-5+1))</f>
        <v/>
      </c>
      <c r="AV7" s="62">
        <f>IF(SUMPRODUCT(('حجز الإجازات'!$B$5:$B$104='الموظفون'!$B$5)*('حجز الإجازات'!$D$5:$D$104&lt;=AV$3)*(('حجز الإجازات'!$E$5:$E$104)&gt;=AV$3)*('حجز الإجازات'!$G$5:$G$104="معتمد")*ROW('حجز الإجازات'!$B$5:$B$104))=0,IF(AV$3&lt;'الموظفون'!$D$5,"",IF(ISNUMBER(MATCH(AV$3,Holidays,0)),"عطلة",IF(MOD(AV$3-'الموظفون'!$D$5,CycleWork+CycleRest)&lt;CycleWork,INDEX('الإعدادات والقوائم'!$H$2:$H$4,MOD(INT(MOD(AV$3-'الموظفون'!$D$5,CycleWork+CycleRest)*3/CycleWork)+MATCH(StartShift,'الإعدادات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الإجازات'!$D$5:$D$104&lt;=AV$3)*(('حجز الإجازات'!$E$5:$E$104)&gt;=AV$3)*('حجز الإجازات'!$G$5:$G$104="معتمد")*ROW('حجز الإجازات'!$B$5:$B$104)))-5+1))</f>
        <v/>
      </c>
      <c r="AW7" s="62">
        <f>IF(SUMPRODUCT(('حجز الإجازات'!$B$5:$B$104='الموظفون'!$B$5)*('حجز الإجازات'!$D$5:$D$104&lt;=AW$3)*(('حجز الإجازات'!$E$5:$E$104)&gt;=AW$3)*('حجز الإجازات'!$G$5:$G$104="معتمد")*ROW('حجز الإجازات'!$B$5:$B$104))=0,IF(AW$3&lt;'الموظفون'!$D$5,"",IF(ISNUMBER(MATCH(AW$3,Holidays,0)),"عطلة",IF(MOD(AW$3-'الموظفون'!$D$5,CycleWork+CycleRest)&lt;CycleWork,INDEX('الإعدادات والقوائم'!$H$2:$H$4,MOD(INT(MOD(AW$3-'الموظفون'!$D$5,CycleWork+CycleRest)*3/CycleWork)+MATCH(StartShift,'الإعدادات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الإجازات'!$D$5:$D$104&lt;=AW$3)*(('حجز الإجازات'!$E$5:$E$104)&gt;=AW$3)*('حجز الإجازات'!$G$5:$G$104="معتمد")*ROW('حجز الإجازات'!$B$5:$B$104)))-5+1))</f>
        <v/>
      </c>
      <c r="AX7" s="62">
        <f>IF(SUMPRODUCT(('حجز الإجازات'!$B$5:$B$104='الموظفون'!$B$5)*('حجز الإجازات'!$D$5:$D$104&lt;=AX$3)*(('حجز الإجازات'!$E$5:$E$104)&gt;=AX$3)*('حجز الإجازات'!$G$5:$G$104="معتمد")*ROW('حجز الإجازات'!$B$5:$B$104))=0,IF(AX$3&lt;'الموظفون'!$D$5,"",IF(ISNUMBER(MATCH(AX$3,Holidays,0)),"عطلة",IF(MOD(AX$3-'الموظفون'!$D$5,CycleWork+CycleRest)&lt;CycleWork,INDEX('الإعدادات والقوائم'!$H$2:$H$4,MOD(INT(MOD(AX$3-'الموظفون'!$D$5,CycleWork+CycleRest)*3/CycleWork)+MATCH(StartShift,'الإعدادات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الإجازات'!$D$5:$D$104&lt;=AX$3)*(('حجز الإجازات'!$E$5:$E$104)&gt;=AX$3)*('حجز الإجازات'!$G$5:$G$104="معتمد")*ROW('حجز الإجازات'!$B$5:$B$104)))-5+1))</f>
        <v/>
      </c>
      <c r="AY7" s="62">
        <f>IF(SUMPRODUCT(('حجز الإجازات'!$B$5:$B$104='الموظفون'!$B$5)*('حجز الإجازات'!$D$5:$D$104&lt;=AY$3)*(('حجز الإجازات'!$E$5:$E$104)&gt;=AY$3)*('حجز الإجازات'!$G$5:$G$104="معتمد")*ROW('حجز الإجازات'!$B$5:$B$104))=0,IF(AY$3&lt;'الموظفون'!$D$5,"",IF(ISNUMBER(MATCH(AY$3,Holidays,0)),"عطلة",IF(MOD(AY$3-'الموظفون'!$D$5,CycleWork+CycleRest)&lt;CycleWork,INDEX('الإعدادات والقوائم'!$H$2:$H$4,MOD(INT(MOD(AY$3-'الموظفون'!$D$5,CycleWork+CycleRest)*3/CycleWork)+MATCH(StartShift,'الإعدادات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الإجازات'!$D$5:$D$104&lt;=AY$3)*(('حجز الإجازات'!$E$5:$E$104)&gt;=AY$3)*('حجز الإجازات'!$G$5:$G$104="معتمد")*ROW('حجز الإجازات'!$B$5:$B$104)))-5+1))</f>
        <v/>
      </c>
      <c r="AZ7" s="62">
        <f>IF(SUMPRODUCT(('حجز الإجازات'!$B$5:$B$104='الموظفون'!$B$5)*('حجز الإجازات'!$D$5:$D$104&lt;=AZ$3)*(('حجز الإجازات'!$E$5:$E$104)&gt;=AZ$3)*('حجز الإجازات'!$G$5:$G$104="معتمد")*ROW('حجز الإجازات'!$B$5:$B$104))=0,IF(AZ$3&lt;'الموظفون'!$D$5,"",IF(ISNUMBER(MATCH(AZ$3,Holidays,0)),"عطلة",IF(MOD(AZ$3-'الموظفون'!$D$5,CycleWork+CycleRest)&lt;CycleWork,INDEX('الإعدادات والقوائم'!$H$2:$H$4,MOD(INT(MOD(AZ$3-'الموظفون'!$D$5,CycleWork+CycleRest)*3/CycleWork)+MATCH(StartShift,'الإعدادات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الإجازات'!$D$5:$D$104&lt;=AZ$3)*(('حجز الإجازات'!$E$5:$E$104)&gt;=AZ$3)*('حجز الإجازات'!$G$5:$G$104="معتمد")*ROW('حجز الإجازات'!$B$5:$B$104)))-5+1))</f>
        <v/>
      </c>
      <c r="BA7" s="62">
        <f>IF(SUMPRODUCT(('حجز الإجازات'!$B$5:$B$104='الموظفون'!$B$5)*('حجز الإجازات'!$D$5:$D$104&lt;=BA$3)*(('حجز الإجازات'!$E$5:$E$104)&gt;=BA$3)*('حجز الإجازات'!$G$5:$G$104="معتمد")*ROW('حجز الإجازات'!$B$5:$B$104))=0,IF(BA$3&lt;'الموظفون'!$D$5,"",IF(ISNUMBER(MATCH(BA$3,Holidays,0)),"عطلة",IF(MOD(BA$3-'الموظفون'!$D$5,CycleWork+CycleRest)&lt;CycleWork,INDEX('الإعدادات والقوائم'!$H$2:$H$4,MOD(INT(MOD(BA$3-'الموظفون'!$D$5,CycleWork+CycleRest)*3/CycleWork)+MATCH(StartShift,'الإعدادات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الإجازات'!$D$5:$D$104&lt;=BA$3)*(('حجز الإجازات'!$E$5:$E$104)&gt;=BA$3)*('حجز الإجازات'!$G$5:$G$104="معتمد")*ROW('حجز الإجازات'!$B$5:$B$104)))-5+1))</f>
        <v/>
      </c>
      <c r="BB7" s="62">
        <f>IF(SUMPRODUCT(('حجز الإجازات'!$B$5:$B$104='الموظفون'!$B$5)*('حجز الإجازات'!$D$5:$D$104&lt;=BB$3)*(('حجز الإجازات'!$E$5:$E$104)&gt;=BB$3)*('حجز الإجازات'!$G$5:$G$104="معتمد")*ROW('حجز الإجازات'!$B$5:$B$104))=0,IF(BB$3&lt;'الموظفون'!$D$5,"",IF(ISNUMBER(MATCH(BB$3,Holidays,0)),"عطلة",IF(MOD(BB$3-'الموظفون'!$D$5,CycleWork+CycleRest)&lt;CycleWork,INDEX('الإعدادات والقوائم'!$H$2:$H$4,MOD(INT(MOD(BB$3-'الموظفون'!$D$5,CycleWork+CycleRest)*3/CycleWork)+MATCH(StartShift,'الإعدادات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الإجازات'!$D$5:$D$104&lt;=BB$3)*(('حجز الإجازات'!$E$5:$E$104)&gt;=BB$3)*('حجز الإجازات'!$G$5:$G$104="معتمد")*ROW('حجز الإجازات'!$B$5:$B$104)))-5+1))</f>
        <v/>
      </c>
      <c r="BC7" s="62">
        <f>IF(SUMPRODUCT(('حجز الإجازات'!$B$5:$B$104='الموظفون'!$B$5)*('حجز الإجازات'!$D$5:$D$104&lt;=BC$3)*(('حجز الإجازات'!$E$5:$E$104)&gt;=BC$3)*('حجز الإجازات'!$G$5:$G$104="معتمد")*ROW('حجز الإجازات'!$B$5:$B$104))=0,IF(BC$3&lt;'الموظفون'!$D$5,"",IF(ISNUMBER(MATCH(BC$3,Holidays,0)),"عطلة",IF(MOD(BC$3-'الموظفون'!$D$5,CycleWork+CycleRest)&lt;CycleWork,INDEX('الإعدادات والقوائم'!$H$2:$H$4,MOD(INT(MOD(BC$3-'الموظفون'!$D$5,CycleWork+CycleRest)*3/CycleWork)+MATCH(StartShift,'الإعدادات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الإجازات'!$D$5:$D$104&lt;=BC$3)*(('حجز الإجازات'!$E$5:$E$104)&gt;=BC$3)*('حجز الإجازات'!$G$5:$G$104="معتمد")*ROW('حجز الإجازات'!$B$5:$B$104)))-5+1))</f>
        <v/>
      </c>
      <c r="BD7" s="62">
        <f>IF(SUMPRODUCT(('حجز الإجازات'!$B$5:$B$104='الموظفون'!$B$5)*('حجز الإجازات'!$D$5:$D$104&lt;=BD$3)*(('حجز الإجازات'!$E$5:$E$104)&gt;=BD$3)*('حجز الإجازات'!$G$5:$G$104="معتمد")*ROW('حجز الإجازات'!$B$5:$B$104))=0,IF(BD$3&lt;'الموظفون'!$D$5,"",IF(ISNUMBER(MATCH(BD$3,Holidays,0)),"عطلة",IF(MOD(BD$3-'الموظفون'!$D$5,CycleWork+CycleRest)&lt;CycleWork,INDEX('الإعدادات والقوائم'!$H$2:$H$4,MOD(INT(MOD(BD$3-'الموظفون'!$D$5,CycleWork+CycleRest)*3/CycleWork)+MATCH(StartShift,'الإعدادات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الإجازات'!$D$5:$D$104&lt;=BD$3)*(('حجز الإجازات'!$E$5:$E$104)&gt;=BD$3)*('حجز الإجازات'!$G$5:$G$104="معتمد")*ROW('حجز الإجازات'!$B$5:$B$104)))-5+1))</f>
        <v/>
      </c>
      <c r="BE7" s="62">
        <f>IF(SUMPRODUCT(('حجز الإجازات'!$B$5:$B$104='الموظفون'!$B$5)*('حجز الإجازات'!$D$5:$D$104&lt;=BE$3)*(('حجز الإجازات'!$E$5:$E$104)&gt;=BE$3)*('حجز الإجازات'!$G$5:$G$104="معتمد")*ROW('حجز الإجازات'!$B$5:$B$104))=0,IF(BE$3&lt;'الموظفون'!$D$5,"",IF(ISNUMBER(MATCH(BE$3,Holidays,0)),"عطلة",IF(MOD(BE$3-'الموظفون'!$D$5,CycleWork+CycleRest)&lt;CycleWork,INDEX('الإعدادات والقوائم'!$H$2:$H$4,MOD(INT(MOD(BE$3-'الموظفون'!$D$5,CycleWork+CycleRest)*3/CycleWork)+MATCH(StartShift,'الإعدادات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الإجازات'!$D$5:$D$104&lt;=BE$3)*(('حجز الإجازات'!$E$5:$E$104)&gt;=BE$3)*('حجز الإجازات'!$G$5:$G$104="معتمد")*ROW('حجز الإجازات'!$B$5:$B$104)))-5+1))</f>
        <v/>
      </c>
      <c r="BF7" s="62">
        <f>IF(SUMPRODUCT(('حجز الإجازات'!$B$5:$B$104='الموظفون'!$B$5)*('حجز الإجازات'!$D$5:$D$104&lt;=BF$3)*(('حجز الإجازات'!$E$5:$E$104)&gt;=BF$3)*('حجز الإجازات'!$G$5:$G$104="معتمد")*ROW('حجز الإجازات'!$B$5:$B$104))=0,IF(BF$3&lt;'الموظفون'!$D$5,"",IF(ISNUMBER(MATCH(BF$3,Holidays,0)),"عطلة",IF(MOD(BF$3-'الموظفون'!$D$5,CycleWork+CycleRest)&lt;CycleWork,INDEX('الإعدادات والقوائم'!$H$2:$H$4,MOD(INT(MOD(BF$3-'الموظفون'!$D$5,CycleWork+CycleRest)*3/CycleWork)+MATCH(StartShift,'الإعدادات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الإجازات'!$D$5:$D$104&lt;=BF$3)*(('حجز الإجازات'!$E$5:$E$104)&gt;=BF$3)*('حجز الإجازات'!$G$5:$G$104="معتمد")*ROW('حجز الإجازات'!$B$5:$B$104)))-5+1))</f>
        <v/>
      </c>
      <c r="BG7" s="62">
        <f>IF(SUMPRODUCT(('حجز الإجازات'!$B$5:$B$104='الموظفون'!$B$5)*('حجز الإجازات'!$D$5:$D$104&lt;=BG$3)*(('حجز الإجازات'!$E$5:$E$104)&gt;=BG$3)*('حجز الإجازات'!$G$5:$G$104="معتمد")*ROW('حجز الإجازات'!$B$5:$B$104))=0,IF(BG$3&lt;'الموظفون'!$D$5,"",IF(ISNUMBER(MATCH(BG$3,Holidays,0)),"عطلة",IF(MOD(BG$3-'الموظفون'!$D$5,CycleWork+CycleRest)&lt;CycleWork,INDEX('الإعدادات والقوائم'!$H$2:$H$4,MOD(INT(MOD(BG$3-'الموظفون'!$D$5,CycleWork+CycleRest)*3/CycleWork)+MATCH(StartShift,'الإعدادات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الإجازات'!$D$5:$D$104&lt;=BG$3)*(('حجز الإجازات'!$E$5:$E$104)&gt;=BG$3)*('حجز الإجازات'!$G$5:$G$104="معتمد")*ROW('حجز الإجازات'!$B$5:$B$104)))-5+1))</f>
        <v/>
      </c>
      <c r="BH7" s="62">
        <f>IF(SUMPRODUCT(('حجز الإجازات'!$B$5:$B$104='الموظفون'!$B$5)*('حجز الإجازات'!$D$5:$D$104&lt;=BH$3)*(('حجز الإجازات'!$E$5:$E$104)&gt;=BH$3)*('حجز الإجازات'!$G$5:$G$104="معتمد")*ROW('حجز الإجازات'!$B$5:$B$104))=0,IF(BH$3&lt;'الموظفون'!$D$5,"",IF(ISNUMBER(MATCH(BH$3,Holidays,0)),"عطلة",IF(MOD(BH$3-'الموظفون'!$D$5,CycleWork+CycleRest)&lt;CycleWork,INDEX('الإعدادات والقوائم'!$H$2:$H$4,MOD(INT(MOD(BH$3-'الموظفون'!$D$5,CycleWork+CycleRest)*3/CycleWork)+MATCH(StartShift,'الإعدادات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الإجازات'!$D$5:$D$104&lt;=BH$3)*(('حجز الإجازات'!$E$5:$E$104)&gt;=BH$3)*('حجز الإجازات'!$G$5:$G$104="معتمد")*ROW('حجز الإجازات'!$B$5:$B$104)))-5+1))</f>
        <v/>
      </c>
      <c r="BI7" s="62">
        <f>IF(SUMPRODUCT(('حجز الإجازات'!$B$5:$B$104='الموظفون'!$B$5)*('حجز الإجازات'!$D$5:$D$104&lt;=BI$3)*(('حجز الإجازات'!$E$5:$E$104)&gt;=BI$3)*('حجز الإجازات'!$G$5:$G$104="معتمد")*ROW('حجز الإجازات'!$B$5:$B$104))=0,IF(BI$3&lt;'الموظفون'!$D$5,"",IF(ISNUMBER(MATCH(BI$3,Holidays,0)),"عطلة",IF(MOD(BI$3-'الموظفون'!$D$5,CycleWork+CycleRest)&lt;CycleWork,INDEX('الإعدادات والقوائم'!$H$2:$H$4,MOD(INT(MOD(BI$3-'الموظفون'!$D$5,CycleWork+CycleRest)*3/CycleWork)+MATCH(StartShift,'الإعدادات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الإجازات'!$D$5:$D$104&lt;=BI$3)*(('حجز الإجازات'!$E$5:$E$104)&gt;=BI$3)*('حجز الإجازات'!$G$5:$G$104="معتمد")*ROW('حجز الإجازات'!$B$5:$B$104)))-5+1))</f>
        <v/>
      </c>
      <c r="BJ7" s="62">
        <f>IF(SUMPRODUCT(('حجز الإجازات'!$B$5:$B$104='الموظفون'!$B$5)*('حجز الإجازات'!$D$5:$D$104&lt;=BJ$3)*(('حجز الإجازات'!$E$5:$E$104)&gt;=BJ$3)*('حجز الإجازات'!$G$5:$G$104="معتمد")*ROW('حجز الإجازات'!$B$5:$B$104))=0,IF(BJ$3&lt;'الموظفون'!$D$5,"",IF(ISNUMBER(MATCH(BJ$3,Holidays,0)),"عطلة",IF(MOD(BJ$3-'الموظفون'!$D$5,CycleWork+CycleRest)&lt;CycleWork,INDEX('الإعدادات والقوائم'!$H$2:$H$4,MOD(INT(MOD(BJ$3-'الموظفون'!$D$5,CycleWork+CycleRest)*3/CycleWork)+MATCH(StartShift,'الإعدادات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الإجازات'!$D$5:$D$104&lt;=BJ$3)*(('حجز الإجازات'!$E$5:$E$104)&gt;=BJ$3)*('حجز الإجازات'!$G$5:$G$104="معتمد")*ROW('حجز الإجازات'!$B$5:$B$104)))-5+1))</f>
        <v/>
      </c>
      <c r="BK7" s="62">
        <f>IF(SUMPRODUCT(('حجز الإجازات'!$B$5:$B$104='الموظفون'!$B$5)*('حجز الإجازات'!$D$5:$D$104&lt;=BK$3)*(('حجز الإجازات'!$E$5:$E$104)&gt;=BK$3)*('حجز الإجازات'!$G$5:$G$104="معتمد")*ROW('حجز الإجازات'!$B$5:$B$104))=0,IF(BK$3&lt;'الموظفون'!$D$5,"",IF(ISNUMBER(MATCH(BK$3,Holidays,0)),"عطلة",IF(MOD(BK$3-'الموظفون'!$D$5,CycleWork+CycleRest)&lt;CycleWork,INDEX('الإعدادات والقوائم'!$H$2:$H$4,MOD(INT(MOD(BK$3-'الموظفون'!$D$5,CycleWork+CycleRest)*3/CycleWork)+MATCH(StartShift,'الإعدادات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الإجازات'!$D$5:$D$104&lt;=BK$3)*(('حجز الإجازات'!$E$5:$E$104)&gt;=BK$3)*('حجز الإجازات'!$G$5:$G$104="معتمد")*ROW('حجز الإجازات'!$B$5:$B$104)))-5+1))</f>
        <v/>
      </c>
      <c r="BL7" s="62">
        <f>IF(SUMPRODUCT(('حجز الإجازات'!$B$5:$B$104='الموظفون'!$B$5)*('حجز الإجازات'!$D$5:$D$104&lt;=BL$3)*(('حجز الإجازات'!$E$5:$E$104)&gt;=BL$3)*('حجز الإجازات'!$G$5:$G$104="معتمد")*ROW('حجز الإجازات'!$B$5:$B$104))=0,IF(BL$3&lt;'الموظفون'!$D$5,"",IF(ISNUMBER(MATCH(BL$3,Holidays,0)),"عطلة",IF(MOD(BL$3-'الموظفون'!$D$5,CycleWork+CycleRest)&lt;CycleWork,INDEX('الإعدادات والقوائم'!$H$2:$H$4,MOD(INT(MOD(BL$3-'الموظفون'!$D$5,CycleWork+CycleRest)*3/CycleWork)+MATCH(StartShift,'الإعدادات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الإجازات'!$D$5:$D$104&lt;=BL$3)*(('حجز الإجازات'!$E$5:$E$104)&gt;=BL$3)*('حجز الإجازات'!$G$5:$G$104="معتمد")*ROW('حجز الإجازات'!$B$5:$B$104)))-5+1))</f>
        <v/>
      </c>
      <c r="BM7" s="62">
        <f>IF(SUMPRODUCT(('حجز الإجازات'!$B$5:$B$104='الموظفون'!$B$5)*('حجز الإجازات'!$D$5:$D$104&lt;=BM$3)*(('حجز الإجازات'!$E$5:$E$104)&gt;=BM$3)*('حجز الإجازات'!$G$5:$G$104="معتمد")*ROW('حجز الإجازات'!$B$5:$B$104))=0,IF(BM$3&lt;'الموظفون'!$D$5,"",IF(ISNUMBER(MATCH(BM$3,Holidays,0)),"عطلة",IF(MOD(BM$3-'الموظفون'!$D$5,CycleWork+CycleRest)&lt;CycleWork,INDEX('الإعدادات والقوائم'!$H$2:$H$4,MOD(INT(MOD(BM$3-'الموظفون'!$D$5,CycleWork+CycleRest)*3/CycleWork)+MATCH(StartShift,'الإعدادات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الإجازات'!$D$5:$D$104&lt;=BM$3)*(('حجز الإجازات'!$E$5:$E$104)&gt;=BM$3)*('حجز الإجازات'!$G$5:$G$104="معتمد")*ROW('حجز الإجازات'!$B$5:$B$104)))-5+1))</f>
        <v/>
      </c>
      <c r="BN7" s="62">
        <f>IF(SUMPRODUCT(('حجز الإجازات'!$B$5:$B$104='الموظفون'!$B$5)*('حجز الإجازات'!$D$5:$D$104&lt;=BN$3)*(('حجز الإجازات'!$E$5:$E$104)&gt;=BN$3)*('حجز الإجازات'!$G$5:$G$104="معتمد")*ROW('حجز الإجازات'!$B$5:$B$104))=0,IF(BN$3&lt;'الموظفون'!$D$5,"",IF(ISNUMBER(MATCH(BN$3,Holidays,0)),"عطلة",IF(MOD(BN$3-'الموظفون'!$D$5,CycleWork+CycleRest)&lt;CycleWork,INDEX('الإعدادات والقوائم'!$H$2:$H$4,MOD(INT(MOD(BN$3-'الموظفون'!$D$5,CycleWork+CycleRest)*3/CycleWork)+MATCH(StartShift,'الإعدادات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الإجازات'!$D$5:$D$104&lt;=BN$3)*(('حجز الإجازات'!$E$5:$E$104)&gt;=BN$3)*('حجز الإجازات'!$G$5:$G$104="معتمد")*ROW('حجز الإجازات'!$B$5:$B$104)))-5+1))</f>
        <v/>
      </c>
      <c r="BO7" s="62">
        <f>IF(SUMPRODUCT(('حجز الإجازات'!$B$5:$B$104='الموظفون'!$B$5)*('حجز الإجازات'!$D$5:$D$104&lt;=BO$3)*(('حجز الإجازات'!$E$5:$E$104)&gt;=BO$3)*('حجز الإجازات'!$G$5:$G$104="معتمد")*ROW('حجز الإجازات'!$B$5:$B$104))=0,IF(BO$3&lt;'الموظفون'!$D$5,"",IF(ISNUMBER(MATCH(BO$3,Holidays,0)),"عطلة",IF(MOD(BO$3-'الموظفون'!$D$5,CycleWork+CycleRest)&lt;CycleWork,INDEX('الإعدادات والقوائم'!$H$2:$H$4,MOD(INT(MOD(BO$3-'الموظفون'!$D$5,CycleWork+CycleRest)*3/CycleWork)+MATCH(StartShift,'الإعدادات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الإجازات'!$D$5:$D$104&lt;=BO$3)*(('حجز الإجازات'!$E$5:$E$104)&gt;=BO$3)*('حجز الإجازات'!$G$5:$G$104="معتمد")*ROW('حجز الإجازات'!$B$5:$B$104)))-5+1))</f>
        <v/>
      </c>
      <c r="BP7" s="62">
        <f>IF(SUMPRODUCT(('حجز الإجازات'!$B$5:$B$104='الموظفون'!$B$5)*('حجز الإجازات'!$D$5:$D$104&lt;=BP$3)*(('حجز الإجازات'!$E$5:$E$104)&gt;=BP$3)*('حجز الإجازات'!$G$5:$G$104="معتمد")*ROW('حجز الإجازات'!$B$5:$B$104))=0,IF(BP$3&lt;'الموظفون'!$D$5,"",IF(ISNUMBER(MATCH(BP$3,Holidays,0)),"عطلة",IF(MOD(BP$3-'الموظفون'!$D$5,CycleWork+CycleRest)&lt;CycleWork,INDEX('الإعدادات والقوائم'!$H$2:$H$4,MOD(INT(MOD(BP$3-'الموظفون'!$D$5,CycleWork+CycleRest)*3/CycleWork)+MATCH(StartShift,'الإعدادات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الإجازات'!$D$5:$D$104&lt;=BP$3)*(('حجز الإجازات'!$E$5:$E$104)&gt;=BP$3)*('حجز الإجازات'!$G$5:$G$104="معتمد")*ROW('حجز الإجازات'!$B$5:$B$104)))-5+1))</f>
        <v/>
      </c>
      <c r="BQ7" s="62">
        <f>IF(SUMPRODUCT(('حجز الإجازات'!$B$5:$B$104='الموظفون'!$B$5)*('حجز الإجازات'!$D$5:$D$104&lt;=BQ$3)*(('حجز الإجازات'!$E$5:$E$104)&gt;=BQ$3)*('حجز الإجازات'!$G$5:$G$104="معتمد")*ROW('حجز الإجازات'!$B$5:$B$104))=0,IF(BQ$3&lt;'الموظفون'!$D$5,"",IF(ISNUMBER(MATCH(BQ$3,Holidays,0)),"عطلة",IF(MOD(BQ$3-'الموظفون'!$D$5,CycleWork+CycleRest)&lt;CycleWork,INDEX('الإعدادات والقوائم'!$H$2:$H$4,MOD(INT(MOD(BQ$3-'الموظفون'!$D$5,CycleWork+CycleRest)*3/CycleWork)+MATCH(StartShift,'الإعدادات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الإجازات'!$D$5:$D$104&lt;=BQ$3)*(('حجز الإجازات'!$E$5:$E$104)&gt;=BQ$3)*('حجز الإجازات'!$G$5:$G$104="معتمد")*ROW('حجز الإجازات'!$B$5:$B$104)))-5+1))</f>
        <v/>
      </c>
      <c r="BR7" s="62">
        <f>IF(SUMPRODUCT(('حجز الإجازات'!$B$5:$B$104='الموظفون'!$B$5)*('حجز الإجازات'!$D$5:$D$104&lt;=BR$3)*(('حجز الإجازات'!$E$5:$E$104)&gt;=BR$3)*('حجز الإجازات'!$G$5:$G$104="معتمد")*ROW('حجز الإجازات'!$B$5:$B$104))=0,IF(BR$3&lt;'الموظفون'!$D$5,"",IF(ISNUMBER(MATCH(BR$3,Holidays,0)),"عطلة",IF(MOD(BR$3-'الموظفون'!$D$5,CycleWork+CycleRest)&lt;CycleWork,INDEX('الإعدادات والقوائم'!$H$2:$H$4,MOD(INT(MOD(BR$3-'الموظفون'!$D$5,CycleWork+CycleRest)*3/CycleWork)+MATCH(StartShift,'الإعدادات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الإجازات'!$D$5:$D$104&lt;=BR$3)*(('حجز الإجازات'!$E$5:$E$104)&gt;=BR$3)*('حجز الإجازات'!$G$5:$G$104="معتمد")*ROW('حجز الإجازات'!$B$5:$B$104)))-5+1))</f>
        <v/>
      </c>
      <c r="BS7" s="62">
        <f>IF(SUMPRODUCT(('حجز الإجازات'!$B$5:$B$104='الموظفون'!$B$5)*('حجز الإجازات'!$D$5:$D$104&lt;=BS$3)*(('حجز الإجازات'!$E$5:$E$104)&gt;=BS$3)*('حجز الإجازات'!$G$5:$G$104="معتمد")*ROW('حجز الإجازات'!$B$5:$B$104))=0,IF(BS$3&lt;'الموظفون'!$D$5,"",IF(ISNUMBER(MATCH(BS$3,Holidays,0)),"عطلة",IF(MOD(BS$3-'الموظفون'!$D$5,CycleWork+CycleRest)&lt;CycleWork,INDEX('الإعدادات والقوائم'!$H$2:$H$4,MOD(INT(MOD(BS$3-'الموظفون'!$D$5,CycleWork+CycleRest)*3/CycleWork)+MATCH(StartShift,'الإعدادات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الإجازات'!$D$5:$D$104&lt;=BS$3)*(('حجز الإجازات'!$E$5:$E$104)&gt;=BS$3)*('حجز الإجازات'!$G$5:$G$104="معتمد")*ROW('حجز الإجازات'!$B$5:$B$104)))-5+1))</f>
        <v/>
      </c>
      <c r="BT7" s="62">
        <f>IF(SUMPRODUCT(('حجز الإجازات'!$B$5:$B$104='الموظفون'!$B$5)*('حجز الإجازات'!$D$5:$D$104&lt;=BT$3)*(('حجز الإجازات'!$E$5:$E$104)&gt;=BT$3)*('حجز الإجازات'!$G$5:$G$104="معتمد")*ROW('حجز الإجازات'!$B$5:$B$104))=0,IF(BT$3&lt;'الموظفون'!$D$5,"",IF(ISNUMBER(MATCH(BT$3,Holidays,0)),"عطلة",IF(MOD(BT$3-'الموظفون'!$D$5,CycleWork+CycleRest)&lt;CycleWork,INDEX('الإعدادات والقوائم'!$H$2:$H$4,MOD(INT(MOD(BT$3-'الموظفون'!$D$5,CycleWork+CycleRest)*3/CycleWork)+MATCH(StartShift,'الإعدادات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الإجازات'!$D$5:$D$104&lt;=BT$3)*(('حجز الإجازات'!$E$5:$E$104)&gt;=BT$3)*('حجز الإجازات'!$G$5:$G$104="معتمد")*ROW('حجز الإجازات'!$B$5:$B$104)))-5+1))</f>
        <v/>
      </c>
      <c r="BU7" s="62">
        <f>IF(SUMPRODUCT(('حجز الإجازات'!$B$5:$B$104='الموظفون'!$B$5)*('حجز الإجازات'!$D$5:$D$104&lt;=BU$3)*(('حجز الإجازات'!$E$5:$E$104)&gt;=BU$3)*('حجز الإجازات'!$G$5:$G$104="معتمد")*ROW('حجز الإجازات'!$B$5:$B$104))=0,IF(BU$3&lt;'الموظفون'!$D$5,"",IF(ISNUMBER(MATCH(BU$3,Holidays,0)),"عطلة",IF(MOD(BU$3-'الموظفون'!$D$5,CycleWork+CycleRest)&lt;CycleWork,INDEX('الإعدادات والقوائم'!$H$2:$H$4,MOD(INT(MOD(BU$3-'الموظفون'!$D$5,CycleWork+CycleRest)*3/CycleWork)+MATCH(StartShift,'الإعدادات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الإجازات'!$D$5:$D$104&lt;=BU$3)*(('حجز الإجازات'!$E$5:$E$104)&gt;=BU$3)*('حجز الإجازات'!$G$5:$G$104="معتمد")*ROW('حجز الإجازات'!$B$5:$B$104)))-5+1))</f>
        <v/>
      </c>
      <c r="BV7" s="62">
        <f>IF(SUMPRODUCT(('حجز الإجازات'!$B$5:$B$104='الموظفون'!$B$5)*('حجز الإجازات'!$D$5:$D$104&lt;=BV$3)*(('حجز الإجازات'!$E$5:$E$104)&gt;=BV$3)*('حجز الإجازات'!$G$5:$G$104="معتمد")*ROW('حجز الإجازات'!$B$5:$B$104))=0,IF(BV$3&lt;'الموظفون'!$D$5,"",IF(ISNUMBER(MATCH(BV$3,Holidays,0)),"عطلة",IF(MOD(BV$3-'الموظفون'!$D$5,CycleWork+CycleRest)&lt;CycleWork,INDEX('الإعدادات والقوائم'!$H$2:$H$4,MOD(INT(MOD(BV$3-'الموظفون'!$D$5,CycleWork+CycleRest)*3/CycleWork)+MATCH(StartShift,'الإعدادات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الإجازات'!$D$5:$D$104&lt;=BV$3)*(('حجز الإجازات'!$E$5:$E$104)&gt;=BV$3)*('حجز الإجازات'!$G$5:$G$104="معتمد")*ROW('حجز الإجازات'!$B$5:$B$104)))-5+1))</f>
        <v/>
      </c>
      <c r="BW7" s="62">
        <f>IF(SUMPRODUCT(('حجز الإجازات'!$B$5:$B$104='الموظفون'!$B$5)*('حجز الإجازات'!$D$5:$D$104&lt;=BW$3)*(('حجز الإجازات'!$E$5:$E$104)&gt;=BW$3)*('حجز الإجازات'!$G$5:$G$104="معتمد")*ROW('حجز الإجازات'!$B$5:$B$104))=0,IF(BW$3&lt;'الموظفون'!$D$5,"",IF(ISNUMBER(MATCH(BW$3,Holidays,0)),"عطلة",IF(MOD(BW$3-'الموظفون'!$D$5,CycleWork+CycleRest)&lt;CycleWork,INDEX('الإعدادات والقوائم'!$H$2:$H$4,MOD(INT(MOD(BW$3-'الموظفون'!$D$5,CycleWork+CycleRest)*3/CycleWork)+MATCH(StartShift,'الإعدادات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الإجازات'!$D$5:$D$104&lt;=BW$3)*(('حجز الإجازات'!$E$5:$E$104)&gt;=BW$3)*('حجز الإجازات'!$G$5:$G$104="معتمد")*ROW('حجز الإجازات'!$B$5:$B$104)))-5+1))</f>
        <v/>
      </c>
      <c r="BX7" s="62">
        <f>IF(SUMPRODUCT(('حجز الإجازات'!$B$5:$B$104='الموظفون'!$B$5)*('حجز الإجازات'!$D$5:$D$104&lt;=BX$3)*(('حجز الإجازات'!$E$5:$E$104)&gt;=BX$3)*('حجز الإجازات'!$G$5:$G$104="معتمد")*ROW('حجز الإجازات'!$B$5:$B$104))=0,IF(BX$3&lt;'الموظفون'!$D$5,"",IF(ISNUMBER(MATCH(BX$3,Holidays,0)),"عطلة",IF(MOD(BX$3-'الموظفون'!$D$5,CycleWork+CycleRest)&lt;CycleWork,INDEX('الإعدادات والقوائم'!$H$2:$H$4,MOD(INT(MOD(BX$3-'الموظفون'!$D$5,CycleWork+CycleRest)*3/CycleWork)+MATCH(StartShift,'الإعدادات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الإجازات'!$D$5:$D$104&lt;=BX$3)*(('حجز الإجازات'!$E$5:$E$104)&gt;=BX$3)*('حجز الإجازات'!$G$5:$G$104="معتمد")*ROW('حجز الإجازات'!$B$5:$B$104)))-5+1))</f>
        <v/>
      </c>
      <c r="BY7" s="62">
        <f>IF(SUMPRODUCT(('حجز الإجازات'!$B$5:$B$104='الموظفون'!$B$5)*('حجز الإجازات'!$D$5:$D$104&lt;=BY$3)*(('حجز الإجازات'!$E$5:$E$104)&gt;=BY$3)*('حجز الإجازات'!$G$5:$G$104="معتمد")*ROW('حجز الإجازات'!$B$5:$B$104))=0,IF(BY$3&lt;'الموظفون'!$D$5,"",IF(ISNUMBER(MATCH(BY$3,Holidays,0)),"عطلة",IF(MOD(BY$3-'الموظفون'!$D$5,CycleWork+CycleRest)&lt;CycleWork,INDEX('الإعدادات والقوائم'!$H$2:$H$4,MOD(INT(MOD(BY$3-'الموظفون'!$D$5,CycleWork+CycleRest)*3/CycleWork)+MATCH(StartShift,'الإعدادات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الإجازات'!$D$5:$D$104&lt;=BY$3)*(('حجز الإجازات'!$E$5:$E$104)&gt;=BY$3)*('حجز الإجازات'!$G$5:$G$104="معتمد")*ROW('حجز الإجازات'!$B$5:$B$104)))-5+1))</f>
        <v/>
      </c>
      <c r="BZ7" s="62">
        <f>IF(SUMPRODUCT(('حجز الإجازات'!$B$5:$B$104='الموظفون'!$B$5)*('حجز الإجازات'!$D$5:$D$104&lt;=BZ$3)*(('حجز الإجازات'!$E$5:$E$104)&gt;=BZ$3)*('حجز الإجازات'!$G$5:$G$104="معتمد")*ROW('حجز الإجازات'!$B$5:$B$104))=0,IF(BZ$3&lt;'الموظفون'!$D$5,"",IF(ISNUMBER(MATCH(BZ$3,Holidays,0)),"عطلة",IF(MOD(BZ$3-'الموظفون'!$D$5,CycleWork+CycleRest)&lt;CycleWork,INDEX('الإعدادات والقوائم'!$H$2:$H$4,MOD(INT(MOD(BZ$3-'الموظفون'!$D$5,CycleWork+CycleRest)*3/CycleWork)+MATCH(StartShift,'الإعدادات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الإجازات'!$D$5:$D$104&lt;=BZ$3)*(('حجز الإجازات'!$E$5:$E$104)&gt;=BZ$3)*('حجز الإجازات'!$G$5:$G$104="معتمد")*ROW('حجز الإجازات'!$B$5:$B$104)))-5+1))</f>
        <v/>
      </c>
      <c r="CA7" s="62">
        <f>IF(SUMPRODUCT(('حجز الإجازات'!$B$5:$B$104='الموظفون'!$B$5)*('حجز الإجازات'!$D$5:$D$104&lt;=CA$3)*(('حجز الإجازات'!$E$5:$E$104)&gt;=CA$3)*('حجز الإجازات'!$G$5:$G$104="معتمد")*ROW('حجز الإجازات'!$B$5:$B$104))=0,IF(CA$3&lt;'الموظفون'!$D$5,"",IF(ISNUMBER(MATCH(CA$3,Holidays,0)),"عطلة",IF(MOD(CA$3-'الموظفون'!$D$5,CycleWork+CycleRest)&lt;CycleWork,INDEX('الإعدادات والقوائم'!$H$2:$H$4,MOD(INT(MOD(CA$3-'الموظفون'!$D$5,CycleWork+CycleRest)*3/CycleWork)+MATCH(StartShift,'الإعدادات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الإجازات'!$D$5:$D$104&lt;=CA$3)*(('حجز الإجازات'!$E$5:$E$104)&gt;=CA$3)*('حجز الإجازات'!$G$5:$G$104="معتمد")*ROW('حجز الإجازات'!$B$5:$B$104)))-5+1))</f>
        <v/>
      </c>
      <c r="CB7" s="62">
        <f>IF(SUMPRODUCT(('حجز الإجازات'!$B$5:$B$104='الموظفون'!$B$5)*('حجز الإجازات'!$D$5:$D$104&lt;=CB$3)*(('حجز الإجازات'!$E$5:$E$104)&gt;=CB$3)*('حجز الإجازات'!$G$5:$G$104="معتمد")*ROW('حجز الإجازات'!$B$5:$B$104))=0,IF(CB$3&lt;'الموظفون'!$D$5,"",IF(ISNUMBER(MATCH(CB$3,Holidays,0)),"عطلة",IF(MOD(CB$3-'الموظفون'!$D$5,CycleWork+CycleRest)&lt;CycleWork,INDEX('الإعدادات والقوائم'!$H$2:$H$4,MOD(INT(MOD(CB$3-'الموظفون'!$D$5,CycleWork+CycleRest)*3/CycleWork)+MATCH(StartShift,'الإعدادات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الإجازات'!$D$5:$D$104&lt;=CB$3)*(('حجز الإجازات'!$E$5:$E$104)&gt;=CB$3)*('حجز الإجازات'!$G$5:$G$104="معتمد")*ROW('حجز الإجازات'!$B$5:$B$104)))-5+1))</f>
        <v/>
      </c>
      <c r="CC7" s="62">
        <f>IF(SUMPRODUCT(('حجز الإجازات'!$B$5:$B$104='الموظفون'!$B$5)*('حجز الإجازات'!$D$5:$D$104&lt;=CC$3)*(('حجز الإجازات'!$E$5:$E$104)&gt;=CC$3)*('حجز الإجازات'!$G$5:$G$104="معتمد")*ROW('حجز الإجازات'!$B$5:$B$104))=0,IF(CC$3&lt;'الموظفون'!$D$5,"",IF(ISNUMBER(MATCH(CC$3,Holidays,0)),"عطلة",IF(MOD(CC$3-'الموظفون'!$D$5,CycleWork+CycleRest)&lt;CycleWork,INDEX('الإعدادات والقوائم'!$H$2:$H$4,MOD(INT(MOD(CC$3-'الموظفون'!$D$5,CycleWork+CycleRest)*3/CycleWork)+MATCH(StartShift,'الإعدادات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الإجازات'!$D$5:$D$104&lt;=CC$3)*(('حجز الإجازات'!$E$5:$E$104)&gt;=CC$3)*('حجز الإجازات'!$G$5:$G$104="معتمد")*ROW('حجز الإجازات'!$B$5:$B$104)))-5+1))</f>
        <v/>
      </c>
      <c r="CD7" s="62">
        <f>IF(SUMPRODUCT(('حجز الإجازات'!$B$5:$B$104='الموظفون'!$B$5)*('حجز الإجازات'!$D$5:$D$104&lt;=CD$3)*(('حجز الإجازات'!$E$5:$E$104)&gt;=CD$3)*('حجز الإجازات'!$G$5:$G$104="معتمد")*ROW('حجز الإجازات'!$B$5:$B$104))=0,IF(CD$3&lt;'الموظفون'!$D$5,"",IF(ISNUMBER(MATCH(CD$3,Holidays,0)),"عطلة",IF(MOD(CD$3-'الموظفون'!$D$5,CycleWork+CycleRest)&lt;CycleWork,INDEX('الإعدادات والقوائم'!$H$2:$H$4,MOD(INT(MOD(CD$3-'الموظفون'!$D$5,CycleWork+CycleRest)*3/CycleWork)+MATCH(StartShift,'الإعدادات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الإجازات'!$D$5:$D$104&lt;=CD$3)*(('حجز الإجازات'!$E$5:$E$104)&gt;=CD$3)*('حجز الإجازات'!$G$5:$G$104="معتمد")*ROW('حجز الإجازات'!$B$5:$B$104)))-5+1))</f>
        <v/>
      </c>
      <c r="CE7" s="62">
        <f>IF(SUMPRODUCT(('حجز الإجازات'!$B$5:$B$104='الموظفون'!$B$5)*('حجز الإجازات'!$D$5:$D$104&lt;=CE$3)*(('حجز الإجازات'!$E$5:$E$104)&gt;=CE$3)*('حجز الإجازات'!$G$5:$G$104="معتمد")*ROW('حجز الإجازات'!$B$5:$B$104))=0,IF(CE$3&lt;'الموظفون'!$D$5,"",IF(ISNUMBER(MATCH(CE$3,Holidays,0)),"عطلة",IF(MOD(CE$3-'الموظفون'!$D$5,CycleWork+CycleRest)&lt;CycleWork,INDEX('الإعدادات والقوائم'!$H$2:$H$4,MOD(INT(MOD(CE$3-'الموظفون'!$D$5,CycleWork+CycleRest)*3/CycleWork)+MATCH(StartShift,'الإعدادات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الإجازات'!$D$5:$D$104&lt;=CE$3)*(('حجز الإجازات'!$E$5:$E$104)&gt;=CE$3)*('حجز الإجازات'!$G$5:$G$104="معتمد")*ROW('حجز الإجازات'!$B$5:$B$104)))-5+1))</f>
        <v/>
      </c>
      <c r="CF7" s="62">
        <f>IF(SUMPRODUCT(('حجز الإجازات'!$B$5:$B$104='الموظفون'!$B$5)*('حجز الإجازات'!$D$5:$D$104&lt;=CF$3)*(('حجز الإجازات'!$E$5:$E$104)&gt;=CF$3)*('حجز الإجازات'!$G$5:$G$104="معتمد")*ROW('حجز الإجازات'!$B$5:$B$104))=0,IF(CF$3&lt;'الموظفون'!$D$5,"",IF(ISNUMBER(MATCH(CF$3,Holidays,0)),"عطلة",IF(MOD(CF$3-'الموظفون'!$D$5,CycleWork+CycleRest)&lt;CycleWork,INDEX('الإعدادات والقوائم'!$H$2:$H$4,MOD(INT(MOD(CF$3-'الموظفون'!$D$5,CycleWork+CycleRest)*3/CycleWork)+MATCH(StartShift,'الإعدادات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الإجازات'!$D$5:$D$104&lt;=CF$3)*(('حجز الإجازات'!$E$5:$E$104)&gt;=CF$3)*('حجز الإجازات'!$G$5:$G$104="معتمد")*ROW('حجز الإجازات'!$B$5:$B$104)))-5+1))</f>
        <v/>
      </c>
      <c r="CG7" s="62">
        <f>IF(SUMPRODUCT(('حجز الإجازات'!$B$5:$B$104='الموظفون'!$B$5)*('حجز الإجازات'!$D$5:$D$104&lt;=CG$3)*(('حجز الإجازات'!$E$5:$E$104)&gt;=CG$3)*('حجز الإجازات'!$G$5:$G$104="معتمد")*ROW('حجز الإجازات'!$B$5:$B$104))=0,IF(CG$3&lt;'الموظفون'!$D$5,"",IF(ISNUMBER(MATCH(CG$3,Holidays,0)),"عطلة",IF(MOD(CG$3-'الموظفون'!$D$5,CycleWork+CycleRest)&lt;CycleWork,INDEX('الإعدادات والقوائم'!$H$2:$H$4,MOD(INT(MOD(CG$3-'الموظفون'!$D$5,CycleWork+CycleRest)*3/CycleWork)+MATCH(StartShift,'الإعدادات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الإجازات'!$D$5:$D$104&lt;=CG$3)*(('حجز الإجازات'!$E$5:$E$104)&gt;=CG$3)*('حجز الإجازات'!$G$5:$G$104="معتمد")*ROW('حجز الإجازات'!$B$5:$B$104)))-5+1))</f>
        <v/>
      </c>
      <c r="CH7" s="62">
        <f>IF(SUMPRODUCT(('حجز الإجازات'!$B$5:$B$104='الموظفون'!$B$5)*('حجز الإجازات'!$D$5:$D$104&lt;=CH$3)*(('حجز الإجازات'!$E$5:$E$104)&gt;=CH$3)*('حجز الإجازات'!$G$5:$G$104="معتمد")*ROW('حجز الإجازات'!$B$5:$B$104))=0,IF(CH$3&lt;'الموظفون'!$D$5,"",IF(ISNUMBER(MATCH(CH$3,Holidays,0)),"عطلة",IF(MOD(CH$3-'الموظفون'!$D$5,CycleWork+CycleRest)&lt;CycleWork,INDEX('الإعدادات والقوائم'!$H$2:$H$4,MOD(INT(MOD(CH$3-'الموظفون'!$D$5,CycleWork+CycleRest)*3/CycleWork)+MATCH(StartShift,'الإعدادات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الإجازات'!$D$5:$D$104&lt;=CH$3)*(('حجز الإجازات'!$E$5:$E$104)&gt;=CH$3)*('حجز الإجازات'!$G$5:$G$104="معتمد")*ROW('حجز الإجازات'!$B$5:$B$104)))-5+1))</f>
        <v/>
      </c>
      <c r="CI7" s="62">
        <f>IF(SUMPRODUCT(('حجز الإجازات'!$B$5:$B$104='الموظفون'!$B$5)*('حجز الإجازات'!$D$5:$D$104&lt;=CI$3)*(('حجز الإجازات'!$E$5:$E$104)&gt;=CI$3)*('حجز الإجازات'!$G$5:$G$104="معتمد")*ROW('حجز الإجازات'!$B$5:$B$104))=0,IF(CI$3&lt;'الموظفون'!$D$5,"",IF(ISNUMBER(MATCH(CI$3,Holidays,0)),"عطلة",IF(MOD(CI$3-'الموظفون'!$D$5,CycleWork+CycleRest)&lt;CycleWork,INDEX('الإعدادات والقوائم'!$H$2:$H$4,MOD(INT(MOD(CI$3-'الموظفون'!$D$5,CycleWork+CycleRest)*3/CycleWork)+MATCH(StartShift,'الإعدادات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الإجازات'!$D$5:$D$104&lt;=CI$3)*(('حجز الإجازات'!$E$5:$E$104)&gt;=CI$3)*('حجز الإجازات'!$G$5:$G$104="معتمد")*ROW('حجز الإجازات'!$B$5:$B$104)))-5+1))</f>
        <v/>
      </c>
      <c r="CJ7" s="62">
        <f>IF(SUMPRODUCT(('حجز الإجازات'!$B$5:$B$104='الموظفون'!$B$5)*('حجز الإجازات'!$D$5:$D$104&lt;=CJ$3)*(('حجز الإجازات'!$E$5:$E$104)&gt;=CJ$3)*('حجز الإجازات'!$G$5:$G$104="معتمد")*ROW('حجز الإجازات'!$B$5:$B$104))=0,IF(CJ$3&lt;'الموظفون'!$D$5,"",IF(ISNUMBER(MATCH(CJ$3,Holidays,0)),"عطلة",IF(MOD(CJ$3-'الموظفون'!$D$5,CycleWork+CycleRest)&lt;CycleWork,INDEX('الإعدادات والقوائم'!$H$2:$H$4,MOD(INT(MOD(CJ$3-'الموظفون'!$D$5,CycleWork+CycleRest)*3/CycleWork)+MATCH(StartShift,'الإعدادات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الإجازات'!$D$5:$D$104&lt;=CJ$3)*(('حجز الإجازات'!$E$5:$E$104)&gt;=CJ$3)*('حجز الإجازات'!$G$5:$G$104="معتمد")*ROW('حجز الإجازات'!$B$5:$B$104)))-5+1))</f>
        <v/>
      </c>
      <c r="CK7" s="62">
        <f>IF(SUMPRODUCT(('حجز الإجازات'!$B$5:$B$104='الموظفون'!$B$5)*('حجز الإجازات'!$D$5:$D$104&lt;=CK$3)*(('حجز الإجازات'!$E$5:$E$104)&gt;=CK$3)*('حجز الإجازات'!$G$5:$G$104="معتمد")*ROW('حجز الإجازات'!$B$5:$B$104))=0,IF(CK$3&lt;'الموظفون'!$D$5,"",IF(ISNUMBER(MATCH(CK$3,Holidays,0)),"عطلة",IF(MOD(CK$3-'الموظفون'!$D$5,CycleWork+CycleRest)&lt;CycleWork,INDEX('الإعدادات والقوائم'!$H$2:$H$4,MOD(INT(MOD(CK$3-'الموظفون'!$D$5,CycleWork+CycleRest)*3/CycleWork)+MATCH(StartShift,'الإعدادات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الإجازات'!$D$5:$D$104&lt;=CK$3)*(('حجز الإجازات'!$E$5:$E$104)&gt;=CK$3)*('حجز الإجازات'!$G$5:$G$104="معتمد")*ROW('حجز الإجازات'!$B$5:$B$104)))-5+1))</f>
        <v/>
      </c>
      <c r="CL7" s="62">
        <f>IF(SUMPRODUCT(('حجز الإجازات'!$B$5:$B$104='الموظفون'!$B$5)*('حجز الإجازات'!$D$5:$D$104&lt;=CL$3)*(('حجز الإجازات'!$E$5:$E$104)&gt;=CL$3)*('حجز الإجازات'!$G$5:$G$104="معتمد")*ROW('حجز الإجازات'!$B$5:$B$104))=0,IF(CL$3&lt;'الموظفون'!$D$5,"",IF(ISNUMBER(MATCH(CL$3,Holidays,0)),"عطلة",IF(MOD(CL$3-'الموظفون'!$D$5,CycleWork+CycleRest)&lt;CycleWork,INDEX('الإعدادات والقوائم'!$H$2:$H$4,MOD(INT(MOD(CL$3-'الموظفون'!$D$5,CycleWork+CycleRest)*3/CycleWork)+MATCH(StartShift,'الإعدادات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الإجازات'!$D$5:$D$104&lt;=CL$3)*(('حجز الإجازات'!$E$5:$E$104)&gt;=CL$3)*('حجز الإجازات'!$G$5:$G$104="معتمد")*ROW('حجز الإجازات'!$B$5:$B$104)))-5+1))</f>
        <v/>
      </c>
      <c r="CM7" s="62">
        <f>IF(SUMPRODUCT(('حجز الإجازات'!$B$5:$B$104='الموظفون'!$B$5)*('حجز الإجازات'!$D$5:$D$104&lt;=CM$3)*(('حجز الإجازات'!$E$5:$E$104)&gt;=CM$3)*('حجز الإجازات'!$G$5:$G$104="معتمد")*ROW('حجز الإجازات'!$B$5:$B$104))=0,IF(CM$3&lt;'الموظفون'!$D$5,"",IF(ISNUMBER(MATCH(CM$3,Holidays,0)),"عطلة",IF(MOD(CM$3-'الموظفون'!$D$5,CycleWork+CycleRest)&lt;CycleWork,INDEX('الإعدادات والقوائم'!$H$2:$H$4,MOD(INT(MOD(CM$3-'الموظفون'!$D$5,CycleWork+CycleRest)*3/CycleWork)+MATCH(StartShift,'الإعدادات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الإجازات'!$D$5:$D$104&lt;=CM$3)*(('حجز الإجازات'!$E$5:$E$104)&gt;=CM$3)*('حجز الإجازات'!$G$5:$G$104="معتمد")*ROW('حجز الإجازات'!$B$5:$B$104)))-5+1))</f>
        <v/>
      </c>
      <c r="CN7" s="62">
        <f>IF(SUMPRODUCT(('حجز الإجازات'!$B$5:$B$104='الموظفون'!$B$5)*('حجز الإجازات'!$D$5:$D$104&lt;=CN$3)*(('حجز الإجازات'!$E$5:$E$104)&gt;=CN$3)*('حجز الإجازات'!$G$5:$G$104="معتمد")*ROW('حجز الإجازات'!$B$5:$B$104))=0,IF(CN$3&lt;'الموظفون'!$D$5,"",IF(ISNUMBER(MATCH(CN$3,Holidays,0)),"عطلة",IF(MOD(CN$3-'الموظفون'!$D$5,CycleWork+CycleRest)&lt;CycleWork,INDEX('الإعدادات والقوائم'!$H$2:$H$4,MOD(INT(MOD(CN$3-'الموظفون'!$D$5,CycleWork+CycleRest)*3/CycleWork)+MATCH(StartShift,'الإعدادات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الإجازات'!$D$5:$D$104&lt;=CN$3)*(('حجز الإجازات'!$E$5:$E$104)&gt;=CN$3)*('حجز الإجازات'!$G$5:$G$104="معتمد")*ROW('حجز الإجازات'!$B$5:$B$104)))-5+1))</f>
        <v/>
      </c>
      <c r="CO7" s="62">
        <f>IF(SUMPRODUCT(('حجز الإجازات'!$B$5:$B$104='الموظفون'!$B$5)*('حجز الإجازات'!$D$5:$D$104&lt;=CO$3)*(('حجز الإجازات'!$E$5:$E$104)&gt;=CO$3)*('حجز الإجازات'!$G$5:$G$104="معتمد")*ROW('حجز الإجازات'!$B$5:$B$104))=0,IF(CO$3&lt;'الموظفون'!$D$5,"",IF(ISNUMBER(MATCH(CO$3,Holidays,0)),"عطلة",IF(MOD(CO$3-'الموظفون'!$D$5,CycleWork+CycleRest)&lt;CycleWork,INDEX('الإعدادات والقوائم'!$H$2:$H$4,MOD(INT(MOD(CO$3-'الموظفون'!$D$5,CycleWork+CycleRest)*3/CycleWork)+MATCH(StartShift,'الإعدادات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الإجازات'!$D$5:$D$104&lt;=CO$3)*(('حجز الإجازات'!$E$5:$E$104)&gt;=CO$3)*('حجز الإجازات'!$G$5:$G$104="معتمد")*ROW('حجز الإجازات'!$B$5:$B$104)))-5+1))</f>
        <v/>
      </c>
      <c r="CP7" s="62">
        <f>IF(SUMPRODUCT(('حجز الإجازات'!$B$5:$B$104='الموظفون'!$B$5)*('حجز الإجازات'!$D$5:$D$104&lt;=CP$3)*(('حجز الإجازات'!$E$5:$E$104)&gt;=CP$3)*('حجز الإجازات'!$G$5:$G$104="معتمد")*ROW('حجز الإجازات'!$B$5:$B$104))=0,IF(CP$3&lt;'الموظفون'!$D$5,"",IF(ISNUMBER(MATCH(CP$3,Holidays,0)),"عطلة",IF(MOD(CP$3-'الموظفون'!$D$5,CycleWork+CycleRest)&lt;CycleWork,INDEX('الإعدادات والقوائم'!$H$2:$H$4,MOD(INT(MOD(CP$3-'الموظفون'!$D$5,CycleWork+CycleRest)*3/CycleWork)+MATCH(StartShift,'الإعدادات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الإجازات'!$D$5:$D$104&lt;=CP$3)*(('حجز الإجازات'!$E$5:$E$104)&gt;=CP$3)*('حجز الإجازات'!$G$5:$G$104="معتمد")*ROW('حجز الإجازات'!$B$5:$B$104)))-5+1))</f>
        <v/>
      </c>
      <c r="CQ7" s="62">
        <f>IF(SUMPRODUCT(('حجز الإجازات'!$B$5:$B$104='الموظفون'!$B$5)*('حجز الإجازات'!$D$5:$D$104&lt;=CQ$3)*(('حجز الإجازات'!$E$5:$E$104)&gt;=CQ$3)*('حجز الإجازات'!$G$5:$G$104="معتمد")*ROW('حجز الإجازات'!$B$5:$B$104))=0,IF(CQ$3&lt;'الموظفون'!$D$5,"",IF(ISNUMBER(MATCH(CQ$3,Holidays,0)),"عطلة",IF(MOD(CQ$3-'الموظفون'!$D$5,CycleWork+CycleRest)&lt;CycleWork,INDEX('الإعدادات والقوائم'!$H$2:$H$4,MOD(INT(MOD(CQ$3-'الموظفون'!$D$5,CycleWork+CycleRest)*3/CycleWork)+MATCH(StartShift,'الإعدادات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الإجازات'!$D$5:$D$104&lt;=CQ$3)*(('حجز الإجازات'!$E$5:$E$104)&gt;=CQ$3)*('حجز الإجازات'!$G$5:$G$104="معتمد")*ROW('حجز الإجازات'!$B$5:$B$104)))-5+1))</f>
        <v/>
      </c>
      <c r="CR7" s="62">
        <f>IF(SUMPRODUCT(('حجز الإجازات'!$B$5:$B$104='الموظفون'!$B$5)*('حجز الإجازات'!$D$5:$D$104&lt;=CR$3)*(('حجز الإجازات'!$E$5:$E$104)&gt;=CR$3)*('حجز الإجازات'!$G$5:$G$104="معتمد")*ROW('حجز الإجازات'!$B$5:$B$104))=0,IF(CR$3&lt;'الموظفون'!$D$5,"",IF(ISNUMBER(MATCH(CR$3,Holidays,0)),"عطلة",IF(MOD(CR$3-'الموظفون'!$D$5,CycleWork+CycleRest)&lt;CycleWork,INDEX('الإعدادات والقوائم'!$H$2:$H$4,MOD(INT(MOD(CR$3-'الموظفون'!$D$5,CycleWork+CycleRest)*3/CycleWork)+MATCH(StartShift,'الإعدادات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الإجازات'!$D$5:$D$104&lt;=CR$3)*(('حجز الإجازات'!$E$5:$E$104)&gt;=CR$3)*('حجز الإجازات'!$G$5:$G$104="معتمد")*ROW('حجز الإجازات'!$B$5:$B$104)))-5+1))</f>
        <v/>
      </c>
      <c r="CS7" s="62">
        <f>IF(SUMPRODUCT(('حجز الإجازات'!$B$5:$B$104='الموظفون'!$B$5)*('حجز الإجازات'!$D$5:$D$104&lt;=CS$3)*(('حجز الإجازات'!$E$5:$E$104)&gt;=CS$3)*('حجز الإجازات'!$G$5:$G$104="معتمد")*ROW('حجز الإجازات'!$B$5:$B$104))=0,IF(CS$3&lt;'الموظفون'!$D$5,"",IF(ISNUMBER(MATCH(CS$3,Holidays,0)),"عطلة",IF(MOD(CS$3-'الموظفون'!$D$5,CycleWork+CycleRest)&lt;CycleWork,INDEX('الإعدادات والقوائم'!$H$2:$H$4,MOD(INT(MOD(CS$3-'الموظفون'!$D$5,CycleWork+CycleRest)*3/CycleWork)+MATCH(StartShift,'الإعدادات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الإجازات'!$D$5:$D$104&lt;=CS$3)*(('حجز الإجازات'!$E$5:$E$104)&gt;=CS$3)*('حجز الإجازات'!$G$5:$G$104="معتمد")*ROW('حجز الإجازات'!$B$5:$B$104)))-5+1))</f>
        <v/>
      </c>
      <c r="CT7" s="62">
        <f>IF(SUMPRODUCT(('حجز الإجازات'!$B$5:$B$104='الموظفون'!$B$5)*('حجز الإجازات'!$D$5:$D$104&lt;=CT$3)*(('حجز الإجازات'!$E$5:$E$104)&gt;=CT$3)*('حجز الإجازات'!$G$5:$G$104="معتمد")*ROW('حجز الإجازات'!$B$5:$B$104))=0,IF(CT$3&lt;'الموظفون'!$D$5,"",IF(ISNUMBER(MATCH(CT$3,Holidays,0)),"عطلة",IF(MOD(CT$3-'الموظفون'!$D$5,CycleWork+CycleRest)&lt;CycleWork,INDEX('الإعدادات والقوائم'!$H$2:$H$4,MOD(INT(MOD(CT$3-'الموظفون'!$D$5,CycleWork+CycleRest)*3/CycleWork)+MATCH(StartShift,'الإعدادات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الإجازات'!$D$5:$D$104&lt;=CT$3)*(('حجز الإجازات'!$E$5:$E$104)&gt;=CT$3)*('حجز الإجازات'!$G$5:$G$104="معتمد")*ROW('حجز الإجازات'!$B$5:$B$104)))-5+1))</f>
        <v/>
      </c>
      <c r="CU7" s="62">
        <f>IF(SUMPRODUCT(('حجز الإجازات'!$B$5:$B$104='الموظفون'!$B$5)*('حجز الإجازات'!$D$5:$D$104&lt;=CU$3)*(('حجز الإجازات'!$E$5:$E$104)&gt;=CU$3)*('حجز الإجازات'!$G$5:$G$104="معتمد")*ROW('حجز الإجازات'!$B$5:$B$104))=0,IF(CU$3&lt;'الموظفون'!$D$5,"",IF(ISNUMBER(MATCH(CU$3,Holidays,0)),"عطلة",IF(MOD(CU$3-'الموظفون'!$D$5,CycleWork+CycleRest)&lt;CycleWork,INDEX('الإعدادات والقوائم'!$H$2:$H$4,MOD(INT(MOD(CU$3-'الموظفون'!$D$5,CycleWork+CycleRest)*3/CycleWork)+MATCH(StartShift,'الإعدادات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الإجازات'!$D$5:$D$104&lt;=CU$3)*(('حجز الإجازات'!$E$5:$E$104)&gt;=CU$3)*('حجز الإجازات'!$G$5:$G$104="معتمد")*ROW('حجز الإجازات'!$B$5:$B$104)))-5+1))</f>
        <v/>
      </c>
      <c r="CV7" s="62">
        <f>IF(SUMPRODUCT(('حجز الإجازات'!$B$5:$B$104='الموظفون'!$B$5)*('حجز الإجازات'!$D$5:$D$104&lt;=CV$3)*(('حجز الإجازات'!$E$5:$E$104)&gt;=CV$3)*('حجز الإجازات'!$G$5:$G$104="معتمد")*ROW('حجز الإجازات'!$B$5:$B$104))=0,IF(CV$3&lt;'الموظفون'!$D$5,"",IF(ISNUMBER(MATCH(CV$3,Holidays,0)),"عطلة",IF(MOD(CV$3-'الموظفون'!$D$5,CycleWork+CycleRest)&lt;CycleWork,INDEX('الإعدادات والقوائم'!$H$2:$H$4,MOD(INT(MOD(CV$3-'الموظفون'!$D$5,CycleWork+CycleRest)*3/CycleWork)+MATCH(StartShift,'الإعدادات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الإجازات'!$D$5:$D$104&lt;=CV$3)*(('حجز الإجازات'!$E$5:$E$104)&gt;=CV$3)*('حجز الإجازات'!$G$5:$G$104="معتمد")*ROW('حجز الإجازات'!$B$5:$B$104)))-5+1))</f>
        <v/>
      </c>
      <c r="CW7" s="62">
        <f>IF(SUMPRODUCT(('حجز الإجازات'!$B$5:$B$104='الموظفون'!$B$5)*('حجز الإجازات'!$D$5:$D$104&lt;=CW$3)*(('حجز الإجازات'!$E$5:$E$104)&gt;=CW$3)*('حجز الإجازات'!$G$5:$G$104="معتمد")*ROW('حجز الإجازات'!$B$5:$B$104))=0,IF(CW$3&lt;'الموظفون'!$D$5,"",IF(ISNUMBER(MATCH(CW$3,Holidays,0)),"عطلة",IF(MOD(CW$3-'الموظفون'!$D$5,CycleWork+CycleRest)&lt;CycleWork,INDEX('الإعدادات والقوائم'!$H$2:$H$4,MOD(INT(MOD(CW$3-'الموظفون'!$D$5,CycleWork+CycleRest)*3/CycleWork)+MATCH(StartShift,'الإعدادات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الإجازات'!$D$5:$D$104&lt;=CW$3)*(('حجز الإجازات'!$E$5:$E$104)&gt;=CW$3)*('حجز الإجازات'!$G$5:$G$104="معتمد")*ROW('حجز الإجازات'!$B$5:$B$104)))-5+1))</f>
        <v/>
      </c>
      <c r="CX7" s="62">
        <f>IF(SUMPRODUCT(('حجز الإجازات'!$B$5:$B$104='الموظفون'!$B$5)*('حجز الإجازات'!$D$5:$D$104&lt;=CX$3)*(('حجز الإجازات'!$E$5:$E$104)&gt;=CX$3)*('حجز الإجازات'!$G$5:$G$104="معتمد")*ROW('حجز الإجازات'!$B$5:$B$104))=0,IF(CX$3&lt;'الموظفون'!$D$5,"",IF(ISNUMBER(MATCH(CX$3,Holidays,0)),"عطلة",IF(MOD(CX$3-'الموظفون'!$D$5,CycleWork+CycleRest)&lt;CycleWork,INDEX('الإعدادات والقوائم'!$H$2:$H$4,MOD(INT(MOD(CX$3-'الموظفون'!$D$5,CycleWork+CycleRest)*3/CycleWork)+MATCH(StartShift,'الإعدادات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الإجازات'!$D$5:$D$104&lt;=CX$3)*(('حجز الإجازات'!$E$5:$E$104)&gt;=CX$3)*('حجز الإجازات'!$G$5:$G$104="معتمد")*ROW('حجز الإجازات'!$B$5:$B$104)))-5+1))</f>
        <v/>
      </c>
      <c r="CY7" s="62">
        <f>IF(SUMPRODUCT(('حجز الإجازات'!$B$5:$B$104='الموظفون'!$B$5)*('حجز الإجازات'!$D$5:$D$104&lt;=CY$3)*(('حجز الإجازات'!$E$5:$E$104)&gt;=CY$3)*('حجز الإجازات'!$G$5:$G$104="معتمد")*ROW('حجز الإجازات'!$B$5:$B$104))=0,IF(CY$3&lt;'الموظفون'!$D$5,"",IF(ISNUMBER(MATCH(CY$3,Holidays,0)),"عطلة",IF(MOD(CY$3-'الموظفون'!$D$5,CycleWork+CycleRest)&lt;CycleWork,INDEX('الإعدادات والقوائم'!$H$2:$H$4,MOD(INT(MOD(CY$3-'الموظفون'!$D$5,CycleWork+CycleRest)*3/CycleWork)+MATCH(StartShift,'الإعدادات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الإجازات'!$D$5:$D$104&lt;=CY$3)*(('حجز الإجازات'!$E$5:$E$104)&gt;=CY$3)*('حجز الإجازات'!$G$5:$G$104="معتمد")*ROW('حجز الإجازات'!$B$5:$B$104)))-5+1))</f>
        <v/>
      </c>
      <c r="CZ7" s="62">
        <f>IF(SUMPRODUCT(('حجز الإجازات'!$B$5:$B$104='الموظفون'!$B$5)*('حجز الإجازات'!$D$5:$D$104&lt;=CZ$3)*(('حجز الإجازات'!$E$5:$E$104)&gt;=CZ$3)*('حجز الإجازات'!$G$5:$G$104="معتمد")*ROW('حجز الإجازات'!$B$5:$B$104))=0,IF(CZ$3&lt;'الموظفون'!$D$5,"",IF(ISNUMBER(MATCH(CZ$3,Holidays,0)),"عطلة",IF(MOD(CZ$3-'الموظفون'!$D$5,CycleWork+CycleRest)&lt;CycleWork,INDEX('الإعدادات والقوائم'!$H$2:$H$4,MOD(INT(MOD(CZ$3-'الموظفون'!$D$5,CycleWork+CycleRest)*3/CycleWork)+MATCH(StartShift,'الإعدادات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الإجازات'!$D$5:$D$104&lt;=CZ$3)*(('حجز الإجازات'!$E$5:$E$104)&gt;=CZ$3)*('حجز الإجازات'!$G$5:$G$104="معتمد")*ROW('حجز الإجازات'!$B$5:$B$104)))-5+1))</f>
        <v/>
      </c>
      <c r="DA7" s="62">
        <f>IF(SUMPRODUCT(('حجز الإجازات'!$B$5:$B$104='الموظفون'!$B$5)*('حجز الإجازات'!$D$5:$D$104&lt;=DA$3)*(('حجز الإجازات'!$E$5:$E$104)&gt;=DA$3)*('حجز الإجازات'!$G$5:$G$104="معتمد")*ROW('حجز الإجازات'!$B$5:$B$104))=0,IF(DA$3&lt;'الموظفون'!$D$5,"",IF(ISNUMBER(MATCH(DA$3,Holidays,0)),"عطلة",IF(MOD(DA$3-'الموظفون'!$D$5,CycleWork+CycleRest)&lt;CycleWork,INDEX('الإعدادات والقوائم'!$H$2:$H$4,MOD(INT(MOD(DA$3-'الموظفون'!$D$5,CycleWork+CycleRest)*3/CycleWork)+MATCH(StartShift,'الإعدادات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الإجازات'!$D$5:$D$104&lt;=DA$3)*(('حجز الإجازات'!$E$5:$E$104)&gt;=DA$3)*('حجز الإجازات'!$G$5:$G$104="معتمد")*ROW('حجز الإجازات'!$B$5:$B$104)))-5+1))</f>
        <v/>
      </c>
      <c r="DB7" s="62">
        <f>IF(SUMPRODUCT(('حجز الإجازات'!$B$5:$B$104='الموظفون'!$B$5)*('حجز الإجازات'!$D$5:$D$104&lt;=DB$3)*(('حجز الإجازات'!$E$5:$E$104)&gt;=DB$3)*('حجز الإجازات'!$G$5:$G$104="معتمد")*ROW('حجز الإجازات'!$B$5:$B$104))=0,IF(DB$3&lt;'الموظفون'!$D$5,"",IF(ISNUMBER(MATCH(DB$3,Holidays,0)),"عطلة",IF(MOD(DB$3-'الموظفون'!$D$5,CycleWork+CycleRest)&lt;CycleWork,INDEX('الإعدادات والقوائم'!$H$2:$H$4,MOD(INT(MOD(DB$3-'الموظفون'!$D$5,CycleWork+CycleRest)*3/CycleWork)+MATCH(StartShift,'الإعدادات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الإجازات'!$D$5:$D$104&lt;=DB$3)*(('حجز الإجازات'!$E$5:$E$104)&gt;=DB$3)*('حجز الإجازات'!$G$5:$G$104="معتمد")*ROW('حجز الإجازات'!$B$5:$B$104)))-5+1))</f>
        <v/>
      </c>
      <c r="DC7" s="62">
        <f>IF(SUMPRODUCT(('حجز الإجازات'!$B$5:$B$104='الموظفون'!$B$5)*('حجز الإجازات'!$D$5:$D$104&lt;=DC$3)*(('حجز الإجازات'!$E$5:$E$104)&gt;=DC$3)*('حجز الإجازات'!$G$5:$G$104="معتمد")*ROW('حجز الإجازات'!$B$5:$B$104))=0,IF(DC$3&lt;'الموظفون'!$D$5,"",IF(ISNUMBER(MATCH(DC$3,Holidays,0)),"عطلة",IF(MOD(DC$3-'الموظفون'!$D$5,CycleWork+CycleRest)&lt;CycleWork,INDEX('الإعدادات والقوائم'!$H$2:$H$4,MOD(INT(MOD(DC$3-'الموظفون'!$D$5,CycleWork+CycleRest)*3/CycleWork)+MATCH(StartShift,'الإعدادات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الإجازات'!$D$5:$D$104&lt;=DC$3)*(('حجز الإجازات'!$E$5:$E$104)&gt;=DC$3)*('حجز الإجازات'!$G$5:$G$104="معتمد")*ROW('حجز الإجازات'!$B$5:$B$104)))-5+1))</f>
        <v/>
      </c>
      <c r="DD7" s="62">
        <f>IF(SUMPRODUCT(('حجز الإجازات'!$B$5:$B$104='الموظفون'!$B$5)*('حجز الإجازات'!$D$5:$D$104&lt;=DD$3)*(('حجز الإجازات'!$E$5:$E$104)&gt;=DD$3)*('حجز الإجازات'!$G$5:$G$104="معتمد")*ROW('حجز الإجازات'!$B$5:$B$104))=0,IF(DD$3&lt;'الموظفون'!$D$5,"",IF(ISNUMBER(MATCH(DD$3,Holidays,0)),"عطلة",IF(MOD(DD$3-'الموظفون'!$D$5,CycleWork+CycleRest)&lt;CycleWork,INDEX('الإعدادات والقوائم'!$H$2:$H$4,MOD(INT(MOD(DD$3-'الموظفون'!$D$5,CycleWork+CycleRest)*3/CycleWork)+MATCH(StartShift,'الإعدادات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الإجازات'!$D$5:$D$104&lt;=DD$3)*(('حجز الإجازات'!$E$5:$E$104)&gt;=DD$3)*('حجز الإجازات'!$G$5:$G$104="معتمد")*ROW('حجز الإجازات'!$B$5:$B$104)))-5+1))</f>
        <v/>
      </c>
      <c r="DE7" s="62">
        <f>IF(SUMPRODUCT(('حجز الإجازات'!$B$5:$B$104='الموظفون'!$B$5)*('حجز الإجازات'!$D$5:$D$104&lt;=DE$3)*(('حجز الإجازات'!$E$5:$E$104)&gt;=DE$3)*('حجز الإجازات'!$G$5:$G$104="معتمد")*ROW('حجز الإجازات'!$B$5:$B$104))=0,IF(DE$3&lt;'الموظفون'!$D$5,"",IF(ISNUMBER(MATCH(DE$3,Holidays,0)),"عطلة",IF(MOD(DE$3-'الموظفون'!$D$5,CycleWork+CycleRest)&lt;CycleWork,INDEX('الإعدادات والقوائم'!$H$2:$H$4,MOD(INT(MOD(DE$3-'الموظفون'!$D$5,CycleWork+CycleRest)*3/CycleWork)+MATCH(StartShift,'الإعدادات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الإجازات'!$D$5:$D$104&lt;=DE$3)*(('حجز الإجازات'!$E$5:$E$104)&gt;=DE$3)*('حجز الإجازات'!$G$5:$G$104="معتمد")*ROW('حجز الإجازات'!$B$5:$B$104)))-5+1))</f>
        <v/>
      </c>
      <c r="DF7" s="62">
        <f>IF(SUMPRODUCT(('حجز الإجازات'!$B$5:$B$104='الموظفون'!$B$5)*('حجز الإجازات'!$D$5:$D$104&lt;=DF$3)*(('حجز الإجازات'!$E$5:$E$104)&gt;=DF$3)*('حجز الإجازات'!$G$5:$G$104="معتمد")*ROW('حجز الإجازات'!$B$5:$B$104))=0,IF(DF$3&lt;'الموظفون'!$D$5,"",IF(ISNUMBER(MATCH(DF$3,Holidays,0)),"عطلة",IF(MOD(DF$3-'الموظفون'!$D$5,CycleWork+CycleRest)&lt;CycleWork,INDEX('الإعدادات والقوائم'!$H$2:$H$4,MOD(INT(MOD(DF$3-'الموظفون'!$D$5,CycleWork+CycleRest)*3/CycleWork)+MATCH(StartShift,'الإعدادات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الإجازات'!$D$5:$D$104&lt;=DF$3)*(('حجز الإجازات'!$E$5:$E$104)&gt;=DF$3)*('حجز الإجازات'!$G$5:$G$104="معتمد")*ROW('حجز الإجازات'!$B$5:$B$104)))-5+1))</f>
        <v/>
      </c>
      <c r="DG7" s="62">
        <f>IF(SUMPRODUCT(('حجز الإجازات'!$B$5:$B$104='الموظفون'!$B$5)*('حجز الإجازات'!$D$5:$D$104&lt;=DG$3)*(('حجز الإجازات'!$E$5:$E$104)&gt;=DG$3)*('حجز الإجازات'!$G$5:$G$104="معتمد")*ROW('حجز الإجازات'!$B$5:$B$104))=0,IF(DG$3&lt;'الموظفون'!$D$5,"",IF(ISNUMBER(MATCH(DG$3,Holidays,0)),"عطلة",IF(MOD(DG$3-'الموظفون'!$D$5,CycleWork+CycleRest)&lt;CycleWork,INDEX('الإعدادات والقوائم'!$H$2:$H$4,MOD(INT(MOD(DG$3-'الموظفون'!$D$5,CycleWork+CycleRest)*3/CycleWork)+MATCH(StartShift,'الإعدادات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الإجازات'!$D$5:$D$104&lt;=DG$3)*(('حجز الإجازات'!$E$5:$E$104)&gt;=DG$3)*('حجز الإجازات'!$G$5:$G$104="معتمد")*ROW('حجز الإجازات'!$B$5:$B$104)))-5+1))</f>
        <v/>
      </c>
      <c r="DH7" s="62">
        <f>IF(SUMPRODUCT(('حجز الإجازات'!$B$5:$B$104='الموظفون'!$B$5)*('حجز الإجازات'!$D$5:$D$104&lt;=DH$3)*(('حجز الإجازات'!$E$5:$E$104)&gt;=DH$3)*('حجز الإجازات'!$G$5:$G$104="معتمد")*ROW('حجز الإجازات'!$B$5:$B$104))=0,IF(DH$3&lt;'الموظفون'!$D$5,"",IF(ISNUMBER(MATCH(DH$3,Holidays,0)),"عطلة",IF(MOD(DH$3-'الموظفون'!$D$5,CycleWork+CycleRest)&lt;CycleWork,INDEX('الإعدادات والقوائم'!$H$2:$H$4,MOD(INT(MOD(DH$3-'الموظفون'!$D$5,CycleWork+CycleRest)*3/CycleWork)+MATCH(StartShift,'الإعدادات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الإجازات'!$D$5:$D$104&lt;=DH$3)*(('حجز الإجازات'!$E$5:$E$104)&gt;=DH$3)*('حجز الإجازات'!$G$5:$G$104="معتمد")*ROW('حجز الإجازات'!$B$5:$B$104)))-5+1))</f>
        <v/>
      </c>
      <c r="DI7" s="62">
        <f>IF(SUMPRODUCT(('حجز الإجازات'!$B$5:$B$104='الموظفون'!$B$5)*('حجز الإجازات'!$D$5:$D$104&lt;=DI$3)*(('حجز الإجازات'!$E$5:$E$104)&gt;=DI$3)*('حجز الإجازات'!$G$5:$G$104="معتمد")*ROW('حجز الإجازات'!$B$5:$B$104))=0,IF(DI$3&lt;'الموظفون'!$D$5,"",IF(ISNUMBER(MATCH(DI$3,Holidays,0)),"عطلة",IF(MOD(DI$3-'الموظفون'!$D$5,CycleWork+CycleRest)&lt;CycleWork,INDEX('الإعدادات والقوائم'!$H$2:$H$4,MOD(INT(MOD(DI$3-'الموظفون'!$D$5,CycleWork+CycleRest)*3/CycleWork)+MATCH(StartShift,'الإعدادات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الإجازات'!$D$5:$D$104&lt;=DI$3)*(('حجز الإجازات'!$E$5:$E$104)&gt;=DI$3)*('حجز الإجازات'!$G$5:$G$104="معتمد")*ROW('حجز الإجازات'!$B$5:$B$104)))-5+1))</f>
        <v/>
      </c>
      <c r="DJ7" s="62">
        <f>IF(SUMPRODUCT(('حجز الإجازات'!$B$5:$B$104='الموظفون'!$B$5)*('حجز الإجازات'!$D$5:$D$104&lt;=DJ$3)*(('حجز الإجازات'!$E$5:$E$104)&gt;=DJ$3)*('حجز الإجازات'!$G$5:$G$104="معتمد")*ROW('حجز الإجازات'!$B$5:$B$104))=0,IF(DJ$3&lt;'الموظفون'!$D$5,"",IF(ISNUMBER(MATCH(DJ$3,Holidays,0)),"عطلة",IF(MOD(DJ$3-'الموظفون'!$D$5,CycleWork+CycleRest)&lt;CycleWork,INDEX('الإعدادات والقوائم'!$H$2:$H$4,MOD(INT(MOD(DJ$3-'الموظفون'!$D$5,CycleWork+CycleRest)*3/CycleWork)+MATCH(StartShift,'الإعدادات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الإجازات'!$D$5:$D$104&lt;=DJ$3)*(('حجز الإجازات'!$E$5:$E$104)&gt;=DJ$3)*('حجز الإجازات'!$G$5:$G$104="معتمد")*ROW('حجز الإجازات'!$B$5:$B$104)))-5+1))</f>
        <v/>
      </c>
      <c r="DK7" s="62">
        <f>IF(SUMPRODUCT(('حجز الإجازات'!$B$5:$B$104='الموظفون'!$B$5)*('حجز الإجازات'!$D$5:$D$104&lt;=DK$3)*(('حجز الإجازات'!$E$5:$E$104)&gt;=DK$3)*('حجز الإجازات'!$G$5:$G$104="معتمد")*ROW('حجز الإجازات'!$B$5:$B$104))=0,IF(DK$3&lt;'الموظفون'!$D$5,"",IF(ISNUMBER(MATCH(DK$3,Holidays,0)),"عطلة",IF(MOD(DK$3-'الموظفون'!$D$5,CycleWork+CycleRest)&lt;CycleWork,INDEX('الإعدادات والقوائم'!$H$2:$H$4,MOD(INT(MOD(DK$3-'الموظفون'!$D$5,CycleWork+CycleRest)*3/CycleWork)+MATCH(StartShift,'الإعدادات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الإجازات'!$D$5:$D$104&lt;=DK$3)*(('حجز الإجازات'!$E$5:$E$104)&gt;=DK$3)*('حجز الإجازات'!$G$5:$G$104="معتمد")*ROW('حجز الإجازات'!$B$5:$B$104)))-5+1))</f>
        <v/>
      </c>
      <c r="DL7" s="62">
        <f>IF(SUMPRODUCT(('حجز الإجازات'!$B$5:$B$104='الموظفون'!$B$5)*('حجز الإجازات'!$D$5:$D$104&lt;=DL$3)*(('حجز الإجازات'!$E$5:$E$104)&gt;=DL$3)*('حجز الإجازات'!$G$5:$G$104="معتمد")*ROW('حجز الإجازات'!$B$5:$B$104))=0,IF(DL$3&lt;'الموظفون'!$D$5,"",IF(ISNUMBER(MATCH(DL$3,Holidays,0)),"عطلة",IF(MOD(DL$3-'الموظفون'!$D$5,CycleWork+CycleRest)&lt;CycleWork,INDEX('الإعدادات والقوائم'!$H$2:$H$4,MOD(INT(MOD(DL$3-'الموظفون'!$D$5,CycleWork+CycleRest)*3/CycleWork)+MATCH(StartShift,'الإعدادات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الإجازات'!$D$5:$D$104&lt;=DL$3)*(('حجز الإجازات'!$E$5:$E$104)&gt;=DL$3)*('حجز الإجازات'!$G$5:$G$104="معتمد")*ROW('حجز الإجازات'!$B$5:$B$104)))-5+1))</f>
        <v/>
      </c>
      <c r="DM7" s="62">
        <f>IF(SUMPRODUCT(('حجز الإجازات'!$B$5:$B$104='الموظفون'!$B$5)*('حجز الإجازات'!$D$5:$D$104&lt;=DM$3)*(('حجز الإجازات'!$E$5:$E$104)&gt;=DM$3)*('حجز الإجازات'!$G$5:$G$104="معتمد")*ROW('حجز الإجازات'!$B$5:$B$104))=0,IF(DM$3&lt;'الموظفون'!$D$5,"",IF(ISNUMBER(MATCH(DM$3,Holidays,0)),"عطلة",IF(MOD(DM$3-'الموظفون'!$D$5,CycleWork+CycleRest)&lt;CycleWork,INDEX('الإعدادات والقوائم'!$H$2:$H$4,MOD(INT(MOD(DM$3-'الموظفون'!$D$5,CycleWork+CycleRest)*3/CycleWork)+MATCH(StartShift,'الإعدادات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الإجازات'!$D$5:$D$104&lt;=DM$3)*(('حجز الإجازات'!$E$5:$E$104)&gt;=DM$3)*('حجز الإجازات'!$G$5:$G$104="معتمد")*ROW('حجز الإجازات'!$B$5:$B$104)))-5+1))</f>
        <v/>
      </c>
      <c r="DN7" s="62">
        <f>IF(SUMPRODUCT(('حجز الإجازات'!$B$5:$B$104='الموظفون'!$B$5)*('حجز الإجازات'!$D$5:$D$104&lt;=DN$3)*(('حجز الإجازات'!$E$5:$E$104)&gt;=DN$3)*('حجز الإجازات'!$G$5:$G$104="معتمد")*ROW('حجز الإجازات'!$B$5:$B$104))=0,IF(DN$3&lt;'الموظفون'!$D$5,"",IF(ISNUMBER(MATCH(DN$3,Holidays,0)),"عطلة",IF(MOD(DN$3-'الموظفون'!$D$5,CycleWork+CycleRest)&lt;CycleWork,INDEX('الإعدادات والقوائم'!$H$2:$H$4,MOD(INT(MOD(DN$3-'الموظفون'!$D$5,CycleWork+CycleRest)*3/CycleWork)+MATCH(StartShift,'الإعدادات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الإجازات'!$D$5:$D$104&lt;=DN$3)*(('حجز الإجازات'!$E$5:$E$104)&gt;=DN$3)*('حجز الإجازات'!$G$5:$G$104="معتمد")*ROW('حجز الإجازات'!$B$5:$B$104)))-5+1))</f>
        <v/>
      </c>
      <c r="DO7" s="62">
        <f>IF(SUMPRODUCT(('حجز الإجازات'!$B$5:$B$104='الموظفون'!$B$5)*('حجز الإجازات'!$D$5:$D$104&lt;=DO$3)*(('حجز الإجازات'!$E$5:$E$104)&gt;=DO$3)*('حجز الإجازات'!$G$5:$G$104="معتمد")*ROW('حجز الإجازات'!$B$5:$B$104))=0,IF(DO$3&lt;'الموظفون'!$D$5,"",IF(ISNUMBER(MATCH(DO$3,Holidays,0)),"عطلة",IF(MOD(DO$3-'الموظفون'!$D$5,CycleWork+CycleRest)&lt;CycleWork,INDEX('الإعدادات والقوائم'!$H$2:$H$4,MOD(INT(MOD(DO$3-'الموظفون'!$D$5,CycleWork+CycleRest)*3/CycleWork)+MATCH(StartShift,'الإعدادات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الإجازات'!$D$5:$D$104&lt;=DO$3)*(('حجز الإجازات'!$E$5:$E$104)&gt;=DO$3)*('حجز الإجازات'!$G$5:$G$104="معتمد")*ROW('حجز الإجازات'!$B$5:$B$104)))-5+1))</f>
        <v/>
      </c>
      <c r="DP7" s="62">
        <f>IF(SUMPRODUCT(('حجز الإجازات'!$B$5:$B$104='الموظفون'!$B$5)*('حجز الإجازات'!$D$5:$D$104&lt;=DP$3)*(('حجز الإجازات'!$E$5:$E$104)&gt;=DP$3)*('حجز الإجازات'!$G$5:$G$104="معتمد")*ROW('حجز الإجازات'!$B$5:$B$104))=0,IF(DP$3&lt;'الموظفون'!$D$5,"",IF(ISNUMBER(MATCH(DP$3,Holidays,0)),"عطلة",IF(MOD(DP$3-'الموظفون'!$D$5,CycleWork+CycleRest)&lt;CycleWork,INDEX('الإعدادات والقوائم'!$H$2:$H$4,MOD(INT(MOD(DP$3-'الموظفون'!$D$5,CycleWork+CycleRest)*3/CycleWork)+MATCH(StartShift,'الإعدادات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الإجازات'!$D$5:$D$104&lt;=DP$3)*(('حجز الإجازات'!$E$5:$E$104)&gt;=DP$3)*('حجز الإجازات'!$G$5:$G$104="معتمد")*ROW('حجز الإجازات'!$B$5:$B$104)))-5+1))</f>
        <v/>
      </c>
      <c r="DQ7" s="62">
        <f>IF(SUMPRODUCT(('حجز الإجازات'!$B$5:$B$104='الموظفون'!$B$5)*('حجز الإجازات'!$D$5:$D$104&lt;=DQ$3)*(('حجز الإجازات'!$E$5:$E$104)&gt;=DQ$3)*('حجز الإجازات'!$G$5:$G$104="معتمد")*ROW('حجز الإجازات'!$B$5:$B$104))=0,IF(DQ$3&lt;'الموظفون'!$D$5,"",IF(ISNUMBER(MATCH(DQ$3,Holidays,0)),"عطلة",IF(MOD(DQ$3-'الموظفون'!$D$5,CycleWork+CycleRest)&lt;CycleWork,INDEX('الإعدادات والقوائم'!$H$2:$H$4,MOD(INT(MOD(DQ$3-'الموظفون'!$D$5,CycleWork+CycleRest)*3/CycleWork)+MATCH(StartShift,'الإعدادات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الإجازات'!$D$5:$D$104&lt;=DQ$3)*(('حجز الإجازات'!$E$5:$E$104)&gt;=DQ$3)*('حجز الإجازات'!$G$5:$G$104="معتمد")*ROW('حجز الإجازات'!$B$5:$B$104)))-5+1))</f>
        <v/>
      </c>
      <c r="DR7" s="62">
        <f>IF(SUMPRODUCT(('حجز الإجازات'!$B$5:$B$104='الموظفون'!$B$5)*('حجز الإجازات'!$D$5:$D$104&lt;=DR$3)*(('حجز الإجازات'!$E$5:$E$104)&gt;=DR$3)*('حجز الإجازات'!$G$5:$G$104="معتمد")*ROW('حجز الإجازات'!$B$5:$B$104))=0,IF(DR$3&lt;'الموظفون'!$D$5,"",IF(ISNUMBER(MATCH(DR$3,Holidays,0)),"عطلة",IF(MOD(DR$3-'الموظفون'!$D$5,CycleWork+CycleRest)&lt;CycleWork,INDEX('الإعدادات والقوائم'!$H$2:$H$4,MOD(INT(MOD(DR$3-'الموظفون'!$D$5,CycleWork+CycleRest)*3/CycleWork)+MATCH(StartShift,'الإعدادات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الإجازات'!$D$5:$D$104&lt;=DR$3)*(('حجز الإجازات'!$E$5:$E$104)&gt;=DR$3)*('حجز الإجازات'!$G$5:$G$104="معتمد")*ROW('حجز الإجازات'!$B$5:$B$104)))-5+1))</f>
        <v/>
      </c>
      <c r="DS7" s="62">
        <f>IF(SUMPRODUCT(('حجز الإجازات'!$B$5:$B$104='الموظفون'!$B$5)*('حجز الإجازات'!$D$5:$D$104&lt;=DS$3)*(('حجز الإجازات'!$E$5:$E$104)&gt;=DS$3)*('حجز الإجازات'!$G$5:$G$104="معتمد")*ROW('حجز الإجازات'!$B$5:$B$104))=0,IF(DS$3&lt;'الموظفون'!$D$5,"",IF(ISNUMBER(MATCH(DS$3,Holidays,0)),"عطلة",IF(MOD(DS$3-'الموظفون'!$D$5,CycleWork+CycleRest)&lt;CycleWork,INDEX('الإعدادات والقوائم'!$H$2:$H$4,MOD(INT(MOD(DS$3-'الموظفون'!$D$5,CycleWork+CycleRest)*3/CycleWork)+MATCH(StartShift,'الإعدادات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الإجازات'!$D$5:$D$104&lt;=DS$3)*(('حجز الإجازات'!$E$5:$E$104)&gt;=DS$3)*('حجز الإجازات'!$G$5:$G$104="معتمد")*ROW('حجز الإجازات'!$B$5:$B$104)))-5+1))</f>
        <v/>
      </c>
      <c r="DT7" s="62">
        <f>IF(SUMPRODUCT(('حجز الإجازات'!$B$5:$B$104='الموظفون'!$B$5)*('حجز الإجازات'!$D$5:$D$104&lt;=DT$3)*(('حجز الإجازات'!$E$5:$E$104)&gt;=DT$3)*('حجز الإجازات'!$G$5:$G$104="معتمد")*ROW('حجز الإجازات'!$B$5:$B$104))=0,IF(DT$3&lt;'الموظفون'!$D$5,"",IF(ISNUMBER(MATCH(DT$3,Holidays,0)),"عطلة",IF(MOD(DT$3-'الموظفون'!$D$5,CycleWork+CycleRest)&lt;CycleWork,INDEX('الإعدادات والقوائم'!$H$2:$H$4,MOD(INT(MOD(DT$3-'الموظفون'!$D$5,CycleWork+CycleRest)*3/CycleWork)+MATCH(StartShift,'الإعدادات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الإجازات'!$D$5:$D$104&lt;=DT$3)*(('حجز الإجازات'!$E$5:$E$104)&gt;=DT$3)*('حجز الإجازات'!$G$5:$G$104="معتمد")*ROW('حجز الإجازات'!$B$5:$B$104)))-5+1))</f>
        <v/>
      </c>
      <c r="DU7" s="62">
        <f>IF(SUMPRODUCT(('حجز الإجازات'!$B$5:$B$104='الموظفون'!$B$5)*('حجز الإجازات'!$D$5:$D$104&lt;=DU$3)*(('حجز الإجازات'!$E$5:$E$104)&gt;=DU$3)*('حجز الإجازات'!$G$5:$G$104="معتمد")*ROW('حجز الإجازات'!$B$5:$B$104))=0,IF(DU$3&lt;'الموظفون'!$D$5,"",IF(ISNUMBER(MATCH(DU$3,Holidays,0)),"عطلة",IF(MOD(DU$3-'الموظفون'!$D$5,CycleWork+CycleRest)&lt;CycleWork,INDEX('الإعدادات والقوائم'!$H$2:$H$4,MOD(INT(MOD(DU$3-'الموظفون'!$D$5,CycleWork+CycleRest)*3/CycleWork)+MATCH(StartShift,'الإعدادات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الإجازات'!$D$5:$D$104&lt;=DU$3)*(('حجز الإجازات'!$E$5:$E$104)&gt;=DU$3)*('حجز الإجازات'!$G$5:$G$104="معتمد")*ROW('حجز الإجازات'!$B$5:$B$104)))-5+1))</f>
        <v/>
      </c>
      <c r="DV7" s="62">
        <f>IF(SUMPRODUCT(('حجز الإجازات'!$B$5:$B$104='الموظفون'!$B$5)*('حجز الإجازات'!$D$5:$D$104&lt;=DV$3)*(('حجز الإجازات'!$E$5:$E$104)&gt;=DV$3)*('حجز الإجازات'!$G$5:$G$104="معتمد")*ROW('حجز الإجازات'!$B$5:$B$104))=0,IF(DV$3&lt;'الموظفون'!$D$5,"",IF(ISNUMBER(MATCH(DV$3,Holidays,0)),"عطلة",IF(MOD(DV$3-'الموظفون'!$D$5,CycleWork+CycleRest)&lt;CycleWork,INDEX('الإعدادات والقوائم'!$H$2:$H$4,MOD(INT(MOD(DV$3-'الموظفون'!$D$5,CycleWork+CycleRest)*3/CycleWork)+MATCH(StartShift,'الإعدادات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الإجازات'!$D$5:$D$104&lt;=DV$3)*(('حجز الإجازات'!$E$5:$E$104)&gt;=DV$3)*('حجز الإجازات'!$G$5:$G$104="معتمد")*ROW('حجز الإجازات'!$B$5:$B$104)))-5+1))</f>
        <v/>
      </c>
      <c r="DW7" s="62">
        <f>IF(SUMPRODUCT(('حجز الإجازات'!$B$5:$B$104='الموظفون'!$B$5)*('حجز الإجازات'!$D$5:$D$104&lt;=DW$3)*(('حجز الإجازات'!$E$5:$E$104)&gt;=DW$3)*('حجز الإجازات'!$G$5:$G$104="معتمد")*ROW('حجز الإجازات'!$B$5:$B$104))=0,IF(DW$3&lt;'الموظفون'!$D$5,"",IF(ISNUMBER(MATCH(DW$3,Holidays,0)),"عطلة",IF(MOD(DW$3-'الموظفون'!$D$5,CycleWork+CycleRest)&lt;CycleWork,INDEX('الإعدادات والقوائم'!$H$2:$H$4,MOD(INT(MOD(DW$3-'الموظفون'!$D$5,CycleWork+CycleRest)*3/CycleWork)+MATCH(StartShift,'الإعدادات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الإجازات'!$D$5:$D$104&lt;=DW$3)*(('حجز الإجازات'!$E$5:$E$104)&gt;=DW$3)*('حجز الإجازات'!$G$5:$G$104="معتمد")*ROW('حجز الإجازات'!$B$5:$B$104)))-5+1))</f>
        <v/>
      </c>
      <c r="DX7" s="62">
        <f>IF(SUMPRODUCT(('حجز الإجازات'!$B$5:$B$104='الموظفون'!$B$5)*('حجز الإجازات'!$D$5:$D$104&lt;=DX$3)*(('حجز الإجازات'!$E$5:$E$104)&gt;=DX$3)*('حجز الإجازات'!$G$5:$G$104="معتمد")*ROW('حجز الإجازات'!$B$5:$B$104))=0,IF(DX$3&lt;'الموظفون'!$D$5,"",IF(ISNUMBER(MATCH(DX$3,Holidays,0)),"عطلة",IF(MOD(DX$3-'الموظفون'!$D$5,CycleWork+CycleRest)&lt;CycleWork,INDEX('الإعدادات والقوائم'!$H$2:$H$4,MOD(INT(MOD(DX$3-'الموظفون'!$D$5,CycleWork+CycleRest)*3/CycleWork)+MATCH(StartShift,'الإعدادات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الإجازات'!$D$5:$D$104&lt;=DX$3)*(('حجز الإجازات'!$E$5:$E$104)&gt;=DX$3)*('حجز الإجازات'!$G$5:$G$104="معتمد")*ROW('حجز الإجازات'!$B$5:$B$104)))-5+1))</f>
        <v/>
      </c>
      <c r="DY7" s="62">
        <f>IF(SUMPRODUCT(('حجز الإجازات'!$B$5:$B$104='الموظفون'!$B$5)*('حجز الإجازات'!$D$5:$D$104&lt;=DY$3)*(('حجز الإجازات'!$E$5:$E$104)&gt;=DY$3)*('حجز الإجازات'!$G$5:$G$104="معتمد")*ROW('حجز الإجازات'!$B$5:$B$104))=0,IF(DY$3&lt;'الموظفون'!$D$5,"",IF(ISNUMBER(MATCH(DY$3,Holidays,0)),"عطلة",IF(MOD(DY$3-'الموظفون'!$D$5,CycleWork+CycleRest)&lt;CycleWork,INDEX('الإعدادات والقوائم'!$H$2:$H$4,MOD(INT(MOD(DY$3-'الموظفون'!$D$5,CycleWork+CycleRest)*3/CycleWork)+MATCH(StartShift,'الإعدادات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الإجازات'!$D$5:$D$104&lt;=DY$3)*(('حجز الإجازات'!$E$5:$E$104)&gt;=DY$3)*('حجز الإجازات'!$G$5:$G$104="معتمد")*ROW('حجز الإجازات'!$B$5:$B$104)))-5+1))</f>
        <v/>
      </c>
      <c r="DZ7" s="62">
        <f>IF(SUMPRODUCT(('حجز الإجازات'!$B$5:$B$104='الموظفون'!$B$5)*('حجز الإجازات'!$D$5:$D$104&lt;=DZ$3)*(('حجز الإجازات'!$E$5:$E$104)&gt;=DZ$3)*('حجز الإجازات'!$G$5:$G$104="معتمد")*ROW('حجز الإجازات'!$B$5:$B$104))=0,IF(DZ$3&lt;'الموظفون'!$D$5,"",IF(ISNUMBER(MATCH(DZ$3,Holidays,0)),"عطلة",IF(MOD(DZ$3-'الموظفون'!$D$5,CycleWork+CycleRest)&lt;CycleWork,INDEX('الإعدادات والقوائم'!$H$2:$H$4,MOD(INT(MOD(DZ$3-'الموظفون'!$D$5,CycleWork+CycleRest)*3/CycleWork)+MATCH(StartShift,'الإعدادات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الإجازات'!$D$5:$D$104&lt;=DZ$3)*(('حجز الإجازات'!$E$5:$E$104)&gt;=DZ$3)*('حجز الإجازات'!$G$5:$G$104="معتمد")*ROW('حجز الإجازات'!$B$5:$B$104)))-5+1))</f>
        <v/>
      </c>
      <c r="EA7" s="62">
        <f>IF(SUMPRODUCT(('حجز الإجازات'!$B$5:$B$104='الموظفون'!$B$5)*('حجز الإجازات'!$D$5:$D$104&lt;=EA$3)*(('حجز الإجازات'!$E$5:$E$104)&gt;=EA$3)*('حجز الإجازات'!$G$5:$G$104="معتمد")*ROW('حجز الإجازات'!$B$5:$B$104))=0,IF(EA$3&lt;'الموظفون'!$D$5,"",IF(ISNUMBER(MATCH(EA$3,Holidays,0)),"عطلة",IF(MOD(EA$3-'الموظفون'!$D$5,CycleWork+CycleRest)&lt;CycleWork,INDEX('الإعدادات والقوائم'!$H$2:$H$4,MOD(INT(MOD(EA$3-'الموظفون'!$D$5,CycleWork+CycleRest)*3/CycleWork)+MATCH(StartShift,'الإعدادات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الإجازات'!$D$5:$D$104&lt;=EA$3)*(('حجز الإجازات'!$E$5:$E$104)&gt;=EA$3)*('حجز الإجازات'!$G$5:$G$104="معتمد")*ROW('حجز الإجازات'!$B$5:$B$104)))-5+1))</f>
        <v/>
      </c>
      <c r="EB7" s="62">
        <f>IF(SUMPRODUCT(('حجز الإجازات'!$B$5:$B$104='الموظفون'!$B$5)*('حجز الإجازات'!$D$5:$D$104&lt;=EB$3)*(('حجز الإجازات'!$E$5:$E$104)&gt;=EB$3)*('حجز الإجازات'!$G$5:$G$104="معتمد")*ROW('حجز الإجازات'!$B$5:$B$104))=0,IF(EB$3&lt;'الموظفون'!$D$5,"",IF(ISNUMBER(MATCH(EB$3,Holidays,0)),"عطلة",IF(MOD(EB$3-'الموظفون'!$D$5,CycleWork+CycleRest)&lt;CycleWork,INDEX('الإعدادات والقوائم'!$H$2:$H$4,MOD(INT(MOD(EB$3-'الموظفون'!$D$5,CycleWork+CycleRest)*3/CycleWork)+MATCH(StartShift,'الإعدادات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الإجازات'!$D$5:$D$104&lt;=EB$3)*(('حجز الإجازات'!$E$5:$E$104)&gt;=EB$3)*('حجز الإجازات'!$G$5:$G$104="معتمد")*ROW('حجز الإجازات'!$B$5:$B$104)))-5+1))</f>
        <v/>
      </c>
      <c r="EC7" s="62">
        <f>IF(SUMPRODUCT(('حجز الإجازات'!$B$5:$B$104='الموظفون'!$B$5)*('حجز الإجازات'!$D$5:$D$104&lt;=EC$3)*(('حجز الإجازات'!$E$5:$E$104)&gt;=EC$3)*('حجز الإجازات'!$G$5:$G$104="معتمد")*ROW('حجز الإجازات'!$B$5:$B$104))=0,IF(EC$3&lt;'الموظفون'!$D$5,"",IF(ISNUMBER(MATCH(EC$3,Holidays,0)),"عطلة",IF(MOD(EC$3-'الموظفون'!$D$5,CycleWork+CycleRest)&lt;CycleWork,INDEX('الإعدادات والقوائم'!$H$2:$H$4,MOD(INT(MOD(EC$3-'الموظفون'!$D$5,CycleWork+CycleRest)*3/CycleWork)+MATCH(StartShift,'الإعدادات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الإجازات'!$D$5:$D$104&lt;=EC$3)*(('حجز الإجازات'!$E$5:$E$104)&gt;=EC$3)*('حجز الإجازات'!$G$5:$G$104="معتمد")*ROW('حجز الإجازات'!$B$5:$B$104)))-5+1))</f>
        <v/>
      </c>
      <c r="ED7" s="62">
        <f>IF(SUMPRODUCT(('حجز الإجازات'!$B$5:$B$104='الموظفون'!$B$5)*('حجز الإجازات'!$D$5:$D$104&lt;=ED$3)*(('حجز الإجازات'!$E$5:$E$104)&gt;=ED$3)*('حجز الإجازات'!$G$5:$G$104="معتمد")*ROW('حجز الإجازات'!$B$5:$B$104))=0,IF(ED$3&lt;'الموظفون'!$D$5,"",IF(ISNUMBER(MATCH(ED$3,Holidays,0)),"عطلة",IF(MOD(ED$3-'الموظفون'!$D$5,CycleWork+CycleRest)&lt;CycleWork,INDEX('الإعدادات والقوائم'!$H$2:$H$4,MOD(INT(MOD(ED$3-'الموظفون'!$D$5,CycleWork+CycleRest)*3/CycleWork)+MATCH(StartShift,'الإعدادات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الإجازات'!$D$5:$D$104&lt;=ED$3)*(('حجز الإجازات'!$E$5:$E$104)&gt;=ED$3)*('حجز الإجازات'!$G$5:$G$104="معتمد")*ROW('حجز الإجازات'!$B$5:$B$104)))-5+1))</f>
        <v/>
      </c>
      <c r="EE7" s="62">
        <f>IF(SUMPRODUCT(('حجز الإجازات'!$B$5:$B$104='الموظفون'!$B$5)*('حجز الإجازات'!$D$5:$D$104&lt;=EE$3)*(('حجز الإجازات'!$E$5:$E$104)&gt;=EE$3)*('حجز الإجازات'!$G$5:$G$104="معتمد")*ROW('حجز الإجازات'!$B$5:$B$104))=0,IF(EE$3&lt;'الموظفون'!$D$5,"",IF(ISNUMBER(MATCH(EE$3,Holidays,0)),"عطلة",IF(MOD(EE$3-'الموظفون'!$D$5,CycleWork+CycleRest)&lt;CycleWork,INDEX('الإعدادات والقوائم'!$H$2:$H$4,MOD(INT(MOD(EE$3-'الموظفون'!$D$5,CycleWork+CycleRest)*3/CycleWork)+MATCH(StartShift,'الإعدادات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الإجازات'!$D$5:$D$104&lt;=EE$3)*(('حجز الإجازات'!$E$5:$E$104)&gt;=EE$3)*('حجز الإجازات'!$G$5:$G$104="معتمد")*ROW('حجز الإجازات'!$B$5:$B$104)))-5+1))</f>
        <v/>
      </c>
      <c r="EF7" s="62">
        <f>IF(SUMPRODUCT(('حجز الإجازات'!$B$5:$B$104='الموظفون'!$B$5)*('حجز الإجازات'!$D$5:$D$104&lt;=EF$3)*(('حجز الإجازات'!$E$5:$E$104)&gt;=EF$3)*('حجز الإجازات'!$G$5:$G$104="معتمد")*ROW('حجز الإجازات'!$B$5:$B$104))=0,IF(EF$3&lt;'الموظفون'!$D$5,"",IF(ISNUMBER(MATCH(EF$3,Holidays,0)),"عطلة",IF(MOD(EF$3-'الموظفون'!$D$5,CycleWork+CycleRest)&lt;CycleWork,INDEX('الإعدادات والقوائم'!$H$2:$H$4,MOD(INT(MOD(EF$3-'الموظفون'!$D$5,CycleWork+CycleRest)*3/CycleWork)+MATCH(StartShift,'الإعدادات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الإجازات'!$D$5:$D$104&lt;=EF$3)*(('حجز الإجازات'!$E$5:$E$104)&gt;=EF$3)*('حجز الإجازات'!$G$5:$G$104="معتمد")*ROW('حجز الإجازات'!$B$5:$B$104)))-5+1))</f>
        <v/>
      </c>
      <c r="EG7" s="62">
        <f>IF(SUMPRODUCT(('حجز الإجازات'!$B$5:$B$104='الموظفون'!$B$5)*('حجز الإجازات'!$D$5:$D$104&lt;=EG$3)*(('حجز الإجازات'!$E$5:$E$104)&gt;=EG$3)*('حجز الإجازات'!$G$5:$G$104="معتمد")*ROW('حجز الإجازات'!$B$5:$B$104))=0,IF(EG$3&lt;'الموظفون'!$D$5,"",IF(ISNUMBER(MATCH(EG$3,Holidays,0)),"عطلة",IF(MOD(EG$3-'الموظفون'!$D$5,CycleWork+CycleRest)&lt;CycleWork,INDEX('الإعدادات والقوائم'!$H$2:$H$4,MOD(INT(MOD(EG$3-'الموظفون'!$D$5,CycleWork+CycleRest)*3/CycleWork)+MATCH(StartShift,'الإعدادات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الإجازات'!$D$5:$D$104&lt;=EG$3)*(('حجز الإجازات'!$E$5:$E$104)&gt;=EG$3)*('حجز الإجازات'!$G$5:$G$104="معتمد")*ROW('حجز الإجازات'!$B$5:$B$104)))-5+1))</f>
        <v/>
      </c>
      <c r="EH7" s="62">
        <f>IF(SUMPRODUCT(('حجز الإجازات'!$B$5:$B$104='الموظفون'!$B$5)*('حجز الإجازات'!$D$5:$D$104&lt;=EH$3)*(('حجز الإجازات'!$E$5:$E$104)&gt;=EH$3)*('حجز الإجازات'!$G$5:$G$104="معتمد")*ROW('حجز الإجازات'!$B$5:$B$104))=0,IF(EH$3&lt;'الموظفون'!$D$5,"",IF(ISNUMBER(MATCH(EH$3,Holidays,0)),"عطلة",IF(MOD(EH$3-'الموظفون'!$D$5,CycleWork+CycleRest)&lt;CycleWork,INDEX('الإعدادات والقوائم'!$H$2:$H$4,MOD(INT(MOD(EH$3-'الموظفون'!$D$5,CycleWork+CycleRest)*3/CycleWork)+MATCH(StartShift,'الإعدادات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الإجازات'!$D$5:$D$104&lt;=EH$3)*(('حجز الإجازات'!$E$5:$E$104)&gt;=EH$3)*('حجز الإجازات'!$G$5:$G$104="معتمد")*ROW('حجز الإجازات'!$B$5:$B$104)))-5+1))</f>
        <v/>
      </c>
      <c r="EI7" s="62">
        <f>IF(SUMPRODUCT(('حجز الإجازات'!$B$5:$B$104='الموظفون'!$B$5)*('حجز الإجازات'!$D$5:$D$104&lt;=EI$3)*(('حجز الإجازات'!$E$5:$E$104)&gt;=EI$3)*('حجز الإجازات'!$G$5:$G$104="معتمد")*ROW('حجز الإجازات'!$B$5:$B$104))=0,IF(EI$3&lt;'الموظفون'!$D$5,"",IF(ISNUMBER(MATCH(EI$3,Holidays,0)),"عطلة",IF(MOD(EI$3-'الموظفون'!$D$5,CycleWork+CycleRest)&lt;CycleWork,INDEX('الإعدادات والقوائم'!$H$2:$H$4,MOD(INT(MOD(EI$3-'الموظفون'!$D$5,CycleWork+CycleRest)*3/CycleWork)+MATCH(StartShift,'الإعدادات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الإجازات'!$D$5:$D$104&lt;=EI$3)*(('حجز الإجازات'!$E$5:$E$104)&gt;=EI$3)*('حجز الإجازات'!$G$5:$G$104="معتمد")*ROW('حجز الإجازات'!$B$5:$B$104)))-5+1))</f>
        <v/>
      </c>
      <c r="EJ7" s="62">
        <f>IF(SUMPRODUCT(('حجز الإجازات'!$B$5:$B$104='الموظفون'!$B$5)*('حجز الإجازات'!$D$5:$D$104&lt;=EJ$3)*(('حجز الإجازات'!$E$5:$E$104)&gt;=EJ$3)*('حجز الإجازات'!$G$5:$G$104="معتمد")*ROW('حجز الإجازات'!$B$5:$B$104))=0,IF(EJ$3&lt;'الموظفون'!$D$5,"",IF(ISNUMBER(MATCH(EJ$3,Holidays,0)),"عطلة",IF(MOD(EJ$3-'الموظفون'!$D$5,CycleWork+CycleRest)&lt;CycleWork,INDEX('الإعدادات والقوائم'!$H$2:$H$4,MOD(INT(MOD(EJ$3-'الموظفون'!$D$5,CycleWork+CycleRest)*3/CycleWork)+MATCH(StartShift,'الإعدادات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الإجازات'!$D$5:$D$104&lt;=EJ$3)*(('حجز الإجازات'!$E$5:$E$104)&gt;=EJ$3)*('حجز الإجازات'!$G$5:$G$104="معتمد")*ROW('حجز الإجازات'!$B$5:$B$104)))-5+1))</f>
        <v/>
      </c>
      <c r="EK7" s="62">
        <f>IF(SUMPRODUCT(('حجز الإجازات'!$B$5:$B$104='الموظفون'!$B$5)*('حجز الإجازات'!$D$5:$D$104&lt;=EK$3)*(('حجز الإجازات'!$E$5:$E$104)&gt;=EK$3)*('حجز الإجازات'!$G$5:$G$104="معتمد")*ROW('حجز الإجازات'!$B$5:$B$104))=0,IF(EK$3&lt;'الموظفون'!$D$5,"",IF(ISNUMBER(MATCH(EK$3,Holidays,0)),"عطلة",IF(MOD(EK$3-'الموظفون'!$D$5,CycleWork+CycleRest)&lt;CycleWork,INDEX('الإعدادات والقوائم'!$H$2:$H$4,MOD(INT(MOD(EK$3-'الموظفون'!$D$5,CycleWork+CycleRest)*3/CycleWork)+MATCH(StartShift,'الإعدادات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الإجازات'!$D$5:$D$104&lt;=EK$3)*(('حجز الإجازات'!$E$5:$E$104)&gt;=EK$3)*('حجز الإجازات'!$G$5:$G$104="معتمد")*ROW('حجز الإجازات'!$B$5:$B$104)))-5+1))</f>
        <v/>
      </c>
      <c r="EL7" s="62">
        <f>IF(SUMPRODUCT(('حجز الإجازات'!$B$5:$B$104='الموظفون'!$B$5)*('حجز الإجازات'!$D$5:$D$104&lt;=EL$3)*(('حجز الإجازات'!$E$5:$E$104)&gt;=EL$3)*('حجز الإجازات'!$G$5:$G$104="معتمد")*ROW('حجز الإجازات'!$B$5:$B$104))=0,IF(EL$3&lt;'الموظفون'!$D$5,"",IF(ISNUMBER(MATCH(EL$3,Holidays,0)),"عطلة",IF(MOD(EL$3-'الموظفون'!$D$5,CycleWork+CycleRest)&lt;CycleWork,INDEX('الإعدادات والقوائم'!$H$2:$H$4,MOD(INT(MOD(EL$3-'الموظفون'!$D$5,CycleWork+CycleRest)*3/CycleWork)+MATCH(StartShift,'الإعدادات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الإجازات'!$D$5:$D$104&lt;=EL$3)*(('حجز الإجازات'!$E$5:$E$104)&gt;=EL$3)*('حجز الإجازات'!$G$5:$G$104="معتمد")*ROW('حجز الإجازات'!$B$5:$B$104)))-5+1))</f>
        <v/>
      </c>
      <c r="EM7" s="62">
        <f>IF(SUMPRODUCT(('حجز الإجازات'!$B$5:$B$104='الموظفون'!$B$5)*('حجز الإجازات'!$D$5:$D$104&lt;=EM$3)*(('حجز الإجازات'!$E$5:$E$104)&gt;=EM$3)*('حجز الإجازات'!$G$5:$G$104="معتمد")*ROW('حجز الإجازات'!$B$5:$B$104))=0,IF(EM$3&lt;'الموظفون'!$D$5,"",IF(ISNUMBER(MATCH(EM$3,Holidays,0)),"عطلة",IF(MOD(EM$3-'الموظفون'!$D$5,CycleWork+CycleRest)&lt;CycleWork,INDEX('الإعدادات والقوائم'!$H$2:$H$4,MOD(INT(MOD(EM$3-'الموظفون'!$D$5,CycleWork+CycleRest)*3/CycleWork)+MATCH(StartShift,'الإعدادات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الإجازات'!$D$5:$D$104&lt;=EM$3)*(('حجز الإجازات'!$E$5:$E$104)&gt;=EM$3)*('حجز الإجازات'!$G$5:$G$104="معتمد")*ROW('حجز الإجازات'!$B$5:$B$104)))-5+1))</f>
        <v/>
      </c>
      <c r="EN7" s="62">
        <f>IF(SUMPRODUCT(('حجز الإجازات'!$B$5:$B$104='الموظفون'!$B$5)*('حجز الإجازات'!$D$5:$D$104&lt;=EN$3)*(('حجز الإجازات'!$E$5:$E$104)&gt;=EN$3)*('حجز الإجازات'!$G$5:$G$104="معتمد")*ROW('حجز الإجازات'!$B$5:$B$104))=0,IF(EN$3&lt;'الموظفون'!$D$5,"",IF(ISNUMBER(MATCH(EN$3,Holidays,0)),"عطلة",IF(MOD(EN$3-'الموظفون'!$D$5,CycleWork+CycleRest)&lt;CycleWork,INDEX('الإعدادات والقوائم'!$H$2:$H$4,MOD(INT(MOD(EN$3-'الموظفون'!$D$5,CycleWork+CycleRest)*3/CycleWork)+MATCH(StartShift,'الإعدادات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الإجازات'!$D$5:$D$104&lt;=EN$3)*(('حجز الإجازات'!$E$5:$E$104)&gt;=EN$3)*('حجز الإجازات'!$G$5:$G$104="معتمد")*ROW('حجز الإجازات'!$B$5:$B$104)))-5+1))</f>
        <v/>
      </c>
      <c r="EO7" s="62">
        <f>IF(SUMPRODUCT(('حجز الإجازات'!$B$5:$B$104='الموظفون'!$B$5)*('حجز الإجازات'!$D$5:$D$104&lt;=EO$3)*(('حجز الإجازات'!$E$5:$E$104)&gt;=EO$3)*('حجز الإجازات'!$G$5:$G$104="معتمد")*ROW('حجز الإجازات'!$B$5:$B$104))=0,IF(EO$3&lt;'الموظفون'!$D$5,"",IF(ISNUMBER(MATCH(EO$3,Holidays,0)),"عطلة",IF(MOD(EO$3-'الموظفون'!$D$5,CycleWork+CycleRest)&lt;CycleWork,INDEX('الإعدادات والقوائم'!$H$2:$H$4,MOD(INT(MOD(EO$3-'الموظفون'!$D$5,CycleWork+CycleRest)*3/CycleWork)+MATCH(StartShift,'الإعدادات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الإجازات'!$D$5:$D$104&lt;=EO$3)*(('حجز الإجازات'!$E$5:$E$104)&gt;=EO$3)*('حجز الإجازات'!$G$5:$G$104="معتمد")*ROW('حجز الإجازات'!$B$5:$B$104)))-5+1))</f>
        <v/>
      </c>
      <c r="EP7" s="62">
        <f>IF(SUMPRODUCT(('حجز الإجازات'!$B$5:$B$104='الموظفون'!$B$5)*('حجز الإجازات'!$D$5:$D$104&lt;=EP$3)*(('حجز الإجازات'!$E$5:$E$104)&gt;=EP$3)*('حجز الإجازات'!$G$5:$G$104="معتمد")*ROW('حجز الإجازات'!$B$5:$B$104))=0,IF(EP$3&lt;'الموظفون'!$D$5,"",IF(ISNUMBER(MATCH(EP$3,Holidays,0)),"عطلة",IF(MOD(EP$3-'الموظفون'!$D$5,CycleWork+CycleRest)&lt;CycleWork,INDEX('الإعدادات والقوائم'!$H$2:$H$4,MOD(INT(MOD(EP$3-'الموظفون'!$D$5,CycleWork+CycleRest)*3/CycleWork)+MATCH(StartShift,'الإعدادات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الإجازات'!$D$5:$D$104&lt;=EP$3)*(('حجز الإجازات'!$E$5:$E$104)&gt;=EP$3)*('حجز الإجازات'!$G$5:$G$104="معتمد")*ROW('حجز الإجازات'!$B$5:$B$104)))-5+1))</f>
        <v/>
      </c>
      <c r="EQ7" s="62">
        <f>IF(SUMPRODUCT(('حجز الإجازات'!$B$5:$B$104='الموظفون'!$B$5)*('حجز الإجازات'!$D$5:$D$104&lt;=EQ$3)*(('حجز الإجازات'!$E$5:$E$104)&gt;=EQ$3)*('حجز الإجازات'!$G$5:$G$104="معتمد")*ROW('حجز الإجازات'!$B$5:$B$104))=0,IF(EQ$3&lt;'الموظفون'!$D$5,"",IF(ISNUMBER(MATCH(EQ$3,Holidays,0)),"عطلة",IF(MOD(EQ$3-'الموظفون'!$D$5,CycleWork+CycleRest)&lt;CycleWork,INDEX('الإعدادات والقوائم'!$H$2:$H$4,MOD(INT(MOD(EQ$3-'الموظفون'!$D$5,CycleWork+CycleRest)*3/CycleWork)+MATCH(StartShift,'الإعدادات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الإجازات'!$D$5:$D$104&lt;=EQ$3)*(('حجز الإجازات'!$E$5:$E$104)&gt;=EQ$3)*('حجز الإجازات'!$G$5:$G$104="معتمد")*ROW('حجز الإجازات'!$B$5:$B$104)))-5+1))</f>
        <v/>
      </c>
      <c r="ER7" s="62">
        <f>IF(SUMPRODUCT(('حجز الإجازات'!$B$5:$B$104='الموظفون'!$B$5)*('حجز الإجازات'!$D$5:$D$104&lt;=ER$3)*(('حجز الإجازات'!$E$5:$E$104)&gt;=ER$3)*('حجز الإجازات'!$G$5:$G$104="معتمد")*ROW('حجز الإجازات'!$B$5:$B$104))=0,IF(ER$3&lt;'الموظفون'!$D$5,"",IF(ISNUMBER(MATCH(ER$3,Holidays,0)),"عطلة",IF(MOD(ER$3-'الموظفون'!$D$5,CycleWork+CycleRest)&lt;CycleWork,INDEX('الإعدادات والقوائم'!$H$2:$H$4,MOD(INT(MOD(ER$3-'الموظفون'!$D$5,CycleWork+CycleRest)*3/CycleWork)+MATCH(StartShift,'الإعدادات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الإجازات'!$D$5:$D$104&lt;=ER$3)*(('حجز الإجازات'!$E$5:$E$104)&gt;=ER$3)*('حجز الإجازات'!$G$5:$G$104="معتمد")*ROW('حجز الإجازات'!$B$5:$B$104)))-5+1))</f>
        <v/>
      </c>
      <c r="ES7" s="62">
        <f>IF(SUMPRODUCT(('حجز الإجازات'!$B$5:$B$104='الموظفون'!$B$5)*('حجز الإجازات'!$D$5:$D$104&lt;=ES$3)*(('حجز الإجازات'!$E$5:$E$104)&gt;=ES$3)*('حجز الإجازات'!$G$5:$G$104="معتمد")*ROW('حجز الإجازات'!$B$5:$B$104))=0,IF(ES$3&lt;'الموظفون'!$D$5,"",IF(ISNUMBER(MATCH(ES$3,Holidays,0)),"عطلة",IF(MOD(ES$3-'الموظفون'!$D$5,CycleWork+CycleRest)&lt;CycleWork,INDEX('الإعدادات والقوائم'!$H$2:$H$4,MOD(INT(MOD(ES$3-'الموظفون'!$D$5,CycleWork+CycleRest)*3/CycleWork)+MATCH(StartShift,'الإعدادات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الإجازات'!$D$5:$D$104&lt;=ES$3)*(('حجز الإجازات'!$E$5:$E$104)&gt;=ES$3)*('حجز الإجازات'!$G$5:$G$104="معتمد")*ROW('حجز الإجازات'!$B$5:$B$104)))-5+1))</f>
        <v/>
      </c>
      <c r="ET7" s="62">
        <f>IF(SUMPRODUCT(('حجز الإجازات'!$B$5:$B$104='الموظفون'!$B$5)*('حجز الإجازات'!$D$5:$D$104&lt;=ET$3)*(('حجز الإجازات'!$E$5:$E$104)&gt;=ET$3)*('حجز الإجازات'!$G$5:$G$104="معتمد")*ROW('حجز الإجازات'!$B$5:$B$104))=0,IF(ET$3&lt;'الموظفون'!$D$5,"",IF(ISNUMBER(MATCH(ET$3,Holidays,0)),"عطلة",IF(MOD(ET$3-'الموظفون'!$D$5,CycleWork+CycleRest)&lt;CycleWork,INDEX('الإعدادات والقوائم'!$H$2:$H$4,MOD(INT(MOD(ET$3-'الموظفون'!$D$5,CycleWork+CycleRest)*3/CycleWork)+MATCH(StartShift,'الإعدادات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الإجازات'!$D$5:$D$104&lt;=ET$3)*(('حجز الإجازات'!$E$5:$E$104)&gt;=ET$3)*('حجز الإجازات'!$G$5:$G$104="معتمد")*ROW('حجز الإجازات'!$B$5:$B$104)))-5+1))</f>
        <v/>
      </c>
      <c r="EU7" s="62">
        <f>IF(SUMPRODUCT(('حجز الإجازات'!$B$5:$B$104='الموظفون'!$B$5)*('حجز الإجازات'!$D$5:$D$104&lt;=EU$3)*(('حجز الإجازات'!$E$5:$E$104)&gt;=EU$3)*('حجز الإجازات'!$G$5:$G$104="معتمد")*ROW('حجز الإجازات'!$B$5:$B$104))=0,IF(EU$3&lt;'الموظفون'!$D$5,"",IF(ISNUMBER(MATCH(EU$3,Holidays,0)),"عطلة",IF(MOD(EU$3-'الموظفون'!$D$5,CycleWork+CycleRest)&lt;CycleWork,INDEX('الإعدادات والقوائم'!$H$2:$H$4,MOD(INT(MOD(EU$3-'الموظفون'!$D$5,CycleWork+CycleRest)*3/CycleWork)+MATCH(StartShift,'الإعدادات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الإجازات'!$D$5:$D$104&lt;=EU$3)*(('حجز الإجازات'!$E$5:$E$104)&gt;=EU$3)*('حجز الإجازات'!$G$5:$G$104="معتمد")*ROW('حجز الإجازات'!$B$5:$B$104)))-5+1))</f>
        <v/>
      </c>
      <c r="EV7" s="62">
        <f>IF(SUMPRODUCT(('حجز الإجازات'!$B$5:$B$104='الموظفون'!$B$5)*('حجز الإجازات'!$D$5:$D$104&lt;=EV$3)*(('حجز الإجازات'!$E$5:$E$104)&gt;=EV$3)*('حجز الإجازات'!$G$5:$G$104="معتمد")*ROW('حجز الإجازات'!$B$5:$B$104))=0,IF(EV$3&lt;'الموظفون'!$D$5,"",IF(ISNUMBER(MATCH(EV$3,Holidays,0)),"عطلة",IF(MOD(EV$3-'الموظفون'!$D$5,CycleWork+CycleRest)&lt;CycleWork,INDEX('الإعدادات والقوائم'!$H$2:$H$4,MOD(INT(MOD(EV$3-'الموظفون'!$D$5,CycleWork+CycleRest)*3/CycleWork)+MATCH(StartShift,'الإعدادات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الإجازات'!$D$5:$D$104&lt;=EV$3)*(('حجز الإجازات'!$E$5:$E$104)&gt;=EV$3)*('حجز الإجازات'!$G$5:$G$104="معتمد")*ROW('حجز الإجازات'!$B$5:$B$104)))-5+1))</f>
        <v/>
      </c>
      <c r="EW7" s="62">
        <f>IF(SUMPRODUCT(('حجز الإجازات'!$B$5:$B$104='الموظفون'!$B$5)*('حجز الإجازات'!$D$5:$D$104&lt;=EW$3)*(('حجز الإجازات'!$E$5:$E$104)&gt;=EW$3)*('حجز الإجازات'!$G$5:$G$104="معتمد")*ROW('حجز الإجازات'!$B$5:$B$104))=0,IF(EW$3&lt;'الموظفون'!$D$5,"",IF(ISNUMBER(MATCH(EW$3,Holidays,0)),"عطلة",IF(MOD(EW$3-'الموظفون'!$D$5,CycleWork+CycleRest)&lt;CycleWork,INDEX('الإعدادات والقوائم'!$H$2:$H$4,MOD(INT(MOD(EW$3-'الموظفون'!$D$5,CycleWork+CycleRest)*3/CycleWork)+MATCH(StartShift,'الإعدادات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الإجازات'!$D$5:$D$104&lt;=EW$3)*(('حجز الإجازات'!$E$5:$E$104)&gt;=EW$3)*('حجز الإجازات'!$G$5:$G$104="معتمد")*ROW('حجز الإجازات'!$B$5:$B$104)))-5+1))</f>
        <v/>
      </c>
      <c r="EX7" s="62">
        <f>IF(SUMPRODUCT(('حجز الإجازات'!$B$5:$B$104='الموظفون'!$B$5)*('حجز الإجازات'!$D$5:$D$104&lt;=EX$3)*(('حجز الإجازات'!$E$5:$E$104)&gt;=EX$3)*('حجز الإجازات'!$G$5:$G$104="معتمد")*ROW('حجز الإجازات'!$B$5:$B$104))=0,IF(EX$3&lt;'الموظفون'!$D$5,"",IF(ISNUMBER(MATCH(EX$3,Holidays,0)),"عطلة",IF(MOD(EX$3-'الموظفون'!$D$5,CycleWork+CycleRest)&lt;CycleWork,INDEX('الإعدادات والقوائم'!$H$2:$H$4,MOD(INT(MOD(EX$3-'الموظفون'!$D$5,CycleWork+CycleRest)*3/CycleWork)+MATCH(StartShift,'الإعدادات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الإجازات'!$D$5:$D$104&lt;=EX$3)*(('حجز الإجازات'!$E$5:$E$104)&gt;=EX$3)*('حجز الإجازات'!$G$5:$G$104="معتمد")*ROW('حجز الإجازات'!$B$5:$B$104)))-5+1))</f>
        <v/>
      </c>
      <c r="EY7" s="62">
        <f>IF(SUMPRODUCT(('حجز الإجازات'!$B$5:$B$104='الموظفون'!$B$5)*('حجز الإجازات'!$D$5:$D$104&lt;=EY$3)*(('حجز الإجازات'!$E$5:$E$104)&gt;=EY$3)*('حجز الإجازات'!$G$5:$G$104="معتمد")*ROW('حجز الإجازات'!$B$5:$B$104))=0,IF(EY$3&lt;'الموظفون'!$D$5,"",IF(ISNUMBER(MATCH(EY$3,Holidays,0)),"عطلة",IF(MOD(EY$3-'الموظفون'!$D$5,CycleWork+CycleRest)&lt;CycleWork,INDEX('الإعدادات والقوائم'!$H$2:$H$4,MOD(INT(MOD(EY$3-'الموظفون'!$D$5,CycleWork+CycleRest)*3/CycleWork)+MATCH(StartShift,'الإعدادات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الإجازات'!$D$5:$D$104&lt;=EY$3)*(('حجز الإجازات'!$E$5:$E$104)&gt;=EY$3)*('حجز الإجازات'!$G$5:$G$104="معتمد")*ROW('حجز الإجازات'!$B$5:$B$104)))-5+1))</f>
        <v/>
      </c>
      <c r="EZ7" s="62">
        <f>IF(SUMPRODUCT(('حجز الإجازات'!$B$5:$B$104='الموظفون'!$B$5)*('حجز الإجازات'!$D$5:$D$104&lt;=EZ$3)*(('حجز الإجازات'!$E$5:$E$104)&gt;=EZ$3)*('حجز الإجازات'!$G$5:$G$104="معتمد")*ROW('حجز الإجازات'!$B$5:$B$104))=0,IF(EZ$3&lt;'الموظفون'!$D$5,"",IF(ISNUMBER(MATCH(EZ$3,Holidays,0)),"عطلة",IF(MOD(EZ$3-'الموظفون'!$D$5,CycleWork+CycleRest)&lt;CycleWork,INDEX('الإعدادات والقوائم'!$H$2:$H$4,MOD(INT(MOD(EZ$3-'الموظفون'!$D$5,CycleWork+CycleRest)*3/CycleWork)+MATCH(StartShift,'الإعدادات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الإجازات'!$D$5:$D$104&lt;=EZ$3)*(('حجز الإجازات'!$E$5:$E$104)&gt;=EZ$3)*('حجز الإجازات'!$G$5:$G$104="معتمد")*ROW('حجز الإجازات'!$B$5:$B$104)))-5+1))</f>
        <v/>
      </c>
      <c r="FA7" s="62">
        <f>IF(SUMPRODUCT(('حجز الإجازات'!$B$5:$B$104='الموظفون'!$B$5)*('حجز الإجازات'!$D$5:$D$104&lt;=FA$3)*(('حجز الإجازات'!$E$5:$E$104)&gt;=FA$3)*('حجز الإجازات'!$G$5:$G$104="معتمد")*ROW('حجز الإجازات'!$B$5:$B$104))=0,IF(FA$3&lt;'الموظفون'!$D$5,"",IF(ISNUMBER(MATCH(FA$3,Holidays,0)),"عطلة",IF(MOD(FA$3-'الموظفون'!$D$5,CycleWork+CycleRest)&lt;CycleWork,INDEX('الإعدادات والقوائم'!$H$2:$H$4,MOD(INT(MOD(FA$3-'الموظفون'!$D$5,CycleWork+CycleRest)*3/CycleWork)+MATCH(StartShift,'الإعدادات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الإجازات'!$D$5:$D$104&lt;=FA$3)*(('حجز الإجازات'!$E$5:$E$104)&gt;=FA$3)*('حجز الإجازات'!$G$5:$G$104="معتمد")*ROW('حجز الإجازات'!$B$5:$B$104)))-5+1))</f>
        <v/>
      </c>
      <c r="FB7" s="62">
        <f>IF(SUMPRODUCT(('حجز الإجازات'!$B$5:$B$104='الموظفون'!$B$5)*('حجز الإجازات'!$D$5:$D$104&lt;=FB$3)*(('حجز الإجازات'!$E$5:$E$104)&gt;=FB$3)*('حجز الإجازات'!$G$5:$G$104="معتمد")*ROW('حجز الإجازات'!$B$5:$B$104))=0,IF(FB$3&lt;'الموظفون'!$D$5,"",IF(ISNUMBER(MATCH(FB$3,Holidays,0)),"عطلة",IF(MOD(FB$3-'الموظفون'!$D$5,CycleWork+CycleRest)&lt;CycleWork,INDEX('الإعدادات والقوائم'!$H$2:$H$4,MOD(INT(MOD(FB$3-'الموظفون'!$D$5,CycleWork+CycleRest)*3/CycleWork)+MATCH(StartShift,'الإعدادات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الإجازات'!$D$5:$D$104&lt;=FB$3)*(('حجز الإجازات'!$E$5:$E$104)&gt;=FB$3)*('حجز الإجازات'!$G$5:$G$104="معتمد")*ROW('حجز الإجازات'!$B$5:$B$104)))-5+1))</f>
        <v/>
      </c>
      <c r="FC7" s="62">
        <f>IF(SUMPRODUCT(('حجز الإجازات'!$B$5:$B$104='الموظفون'!$B$5)*('حجز الإجازات'!$D$5:$D$104&lt;=FC$3)*(('حجز الإجازات'!$E$5:$E$104)&gt;=FC$3)*('حجز الإجازات'!$G$5:$G$104="معتمد")*ROW('حجز الإجازات'!$B$5:$B$104))=0,IF(FC$3&lt;'الموظفون'!$D$5,"",IF(ISNUMBER(MATCH(FC$3,Holidays,0)),"عطلة",IF(MOD(FC$3-'الموظفون'!$D$5,CycleWork+CycleRest)&lt;CycleWork,INDEX('الإعدادات والقوائم'!$H$2:$H$4,MOD(INT(MOD(FC$3-'الموظفون'!$D$5,CycleWork+CycleRest)*3/CycleWork)+MATCH(StartShift,'الإعدادات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الإجازات'!$D$5:$D$104&lt;=FC$3)*(('حجز الإجازات'!$E$5:$E$104)&gt;=FC$3)*('حجز الإجازات'!$G$5:$G$104="معتمد")*ROW('حجز الإجازات'!$B$5:$B$104)))-5+1))</f>
        <v/>
      </c>
      <c r="FD7" s="62">
        <f>IF(SUMPRODUCT(('حجز الإجازات'!$B$5:$B$104='الموظفون'!$B$5)*('حجز الإجازات'!$D$5:$D$104&lt;=FD$3)*(('حجز الإجازات'!$E$5:$E$104)&gt;=FD$3)*('حجز الإجازات'!$G$5:$G$104="معتمد")*ROW('حجز الإجازات'!$B$5:$B$104))=0,IF(FD$3&lt;'الموظفون'!$D$5,"",IF(ISNUMBER(MATCH(FD$3,Holidays,0)),"عطلة",IF(MOD(FD$3-'الموظفون'!$D$5,CycleWork+CycleRest)&lt;CycleWork,INDEX('الإعدادات والقوائم'!$H$2:$H$4,MOD(INT(MOD(FD$3-'الموظفون'!$D$5,CycleWork+CycleRest)*3/CycleWork)+MATCH(StartShift,'الإعدادات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الإجازات'!$D$5:$D$104&lt;=FD$3)*(('حجز الإجازات'!$E$5:$E$104)&gt;=FD$3)*('حجز الإجازات'!$G$5:$G$104="معتمد")*ROW('حجز الإجازات'!$B$5:$B$104)))-5+1))</f>
        <v/>
      </c>
      <c r="FE7" s="62">
        <f>IF(SUMPRODUCT(('حجز الإجازات'!$B$5:$B$104='الموظفون'!$B$5)*('حجز الإجازات'!$D$5:$D$104&lt;=FE$3)*(('حجز الإجازات'!$E$5:$E$104)&gt;=FE$3)*('حجز الإجازات'!$G$5:$G$104="معتمد")*ROW('حجز الإجازات'!$B$5:$B$104))=0,IF(FE$3&lt;'الموظفون'!$D$5,"",IF(ISNUMBER(MATCH(FE$3,Holidays,0)),"عطلة",IF(MOD(FE$3-'الموظفون'!$D$5,CycleWork+CycleRest)&lt;CycleWork,INDEX('الإعدادات والقوائم'!$H$2:$H$4,MOD(INT(MOD(FE$3-'الموظفون'!$D$5,CycleWork+CycleRest)*3/CycleWork)+MATCH(StartShift,'الإعدادات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الإجازات'!$D$5:$D$104&lt;=FE$3)*(('حجز الإجازات'!$E$5:$E$104)&gt;=FE$3)*('حجز الإجازات'!$G$5:$G$104="معتمد")*ROW('حجز الإجازات'!$B$5:$B$104)))-5+1))</f>
        <v/>
      </c>
      <c r="FF7" s="62">
        <f>IF(SUMPRODUCT(('حجز الإجازات'!$B$5:$B$104='الموظفون'!$B$5)*('حجز الإجازات'!$D$5:$D$104&lt;=FF$3)*(('حجز الإجازات'!$E$5:$E$104)&gt;=FF$3)*('حجز الإجازات'!$G$5:$G$104="معتمد")*ROW('حجز الإجازات'!$B$5:$B$104))=0,IF(FF$3&lt;'الموظفون'!$D$5,"",IF(ISNUMBER(MATCH(FF$3,Holidays,0)),"عطلة",IF(MOD(FF$3-'الموظفون'!$D$5,CycleWork+CycleRest)&lt;CycleWork,INDEX('الإعدادات والقوائم'!$H$2:$H$4,MOD(INT(MOD(FF$3-'الموظفون'!$D$5,CycleWork+CycleRest)*3/CycleWork)+MATCH(StartShift,'الإعدادات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الإجازات'!$D$5:$D$104&lt;=FF$3)*(('حجز الإجازات'!$E$5:$E$104)&gt;=FF$3)*('حجز الإجازات'!$G$5:$G$104="معتمد")*ROW('حجز الإجازات'!$B$5:$B$104)))-5+1))</f>
        <v/>
      </c>
      <c r="FG7" s="62">
        <f>IF(SUMPRODUCT(('حجز الإجازات'!$B$5:$B$104='الموظفون'!$B$5)*('حجز الإجازات'!$D$5:$D$104&lt;=FG$3)*(('حجز الإجازات'!$E$5:$E$104)&gt;=FG$3)*('حجز الإجازات'!$G$5:$G$104="معتمد")*ROW('حجز الإجازات'!$B$5:$B$104))=0,IF(FG$3&lt;'الموظفون'!$D$5,"",IF(ISNUMBER(MATCH(FG$3,Holidays,0)),"عطلة",IF(MOD(FG$3-'الموظفون'!$D$5,CycleWork+CycleRest)&lt;CycleWork,INDEX('الإعدادات والقوائم'!$H$2:$H$4,MOD(INT(MOD(FG$3-'الموظفون'!$D$5,CycleWork+CycleRest)*3/CycleWork)+MATCH(StartShift,'الإعدادات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الإجازات'!$D$5:$D$104&lt;=FG$3)*(('حجز الإجازات'!$E$5:$E$104)&gt;=FG$3)*('حجز الإجازات'!$G$5:$G$104="معتمد")*ROW('حجز الإجازات'!$B$5:$B$104)))-5+1))</f>
        <v/>
      </c>
      <c r="FH7" s="62">
        <f>IF(SUMPRODUCT(('حجز الإجازات'!$B$5:$B$104='الموظفون'!$B$5)*('حجز الإجازات'!$D$5:$D$104&lt;=FH$3)*(('حجز الإجازات'!$E$5:$E$104)&gt;=FH$3)*('حجز الإجازات'!$G$5:$G$104="معتمد")*ROW('حجز الإجازات'!$B$5:$B$104))=0,IF(FH$3&lt;'الموظفون'!$D$5,"",IF(ISNUMBER(MATCH(FH$3,Holidays,0)),"عطلة",IF(MOD(FH$3-'الموظفون'!$D$5,CycleWork+CycleRest)&lt;CycleWork,INDEX('الإعدادات والقوائم'!$H$2:$H$4,MOD(INT(MOD(FH$3-'الموظفون'!$D$5,CycleWork+CycleRest)*3/CycleWork)+MATCH(StartShift,'الإعدادات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الإجازات'!$D$5:$D$104&lt;=FH$3)*(('حجز الإجازات'!$E$5:$E$104)&gt;=FH$3)*('حجز الإجازات'!$G$5:$G$104="معتمد")*ROW('حجز الإجازات'!$B$5:$B$104)))-5+1))</f>
        <v/>
      </c>
      <c r="FI7" s="62">
        <f>IF(SUMPRODUCT(('حجز الإجازات'!$B$5:$B$104='الموظفون'!$B$5)*('حجز الإجازات'!$D$5:$D$104&lt;=FI$3)*(('حجز الإجازات'!$E$5:$E$104)&gt;=FI$3)*('حجز الإجازات'!$G$5:$G$104="معتمد")*ROW('حجز الإجازات'!$B$5:$B$104))=0,IF(FI$3&lt;'الموظفون'!$D$5,"",IF(ISNUMBER(MATCH(FI$3,Holidays,0)),"عطلة",IF(MOD(FI$3-'الموظفون'!$D$5,CycleWork+CycleRest)&lt;CycleWork,INDEX('الإعدادات والقوائم'!$H$2:$H$4,MOD(INT(MOD(FI$3-'الموظفون'!$D$5,CycleWork+CycleRest)*3/CycleWork)+MATCH(StartShift,'الإعدادات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الإجازات'!$D$5:$D$104&lt;=FI$3)*(('حجز الإجازات'!$E$5:$E$104)&gt;=FI$3)*('حجز الإجازات'!$G$5:$G$104="معتمد")*ROW('حجز الإجازات'!$B$5:$B$104)))-5+1))</f>
        <v/>
      </c>
      <c r="FJ7" s="62">
        <f>IF(SUMPRODUCT(('حجز الإجازات'!$B$5:$B$104='الموظفون'!$B$5)*('حجز الإجازات'!$D$5:$D$104&lt;=FJ$3)*(('حجز الإجازات'!$E$5:$E$104)&gt;=FJ$3)*('حجز الإجازات'!$G$5:$G$104="معتمد")*ROW('حجز الإجازات'!$B$5:$B$104))=0,IF(FJ$3&lt;'الموظفون'!$D$5,"",IF(ISNUMBER(MATCH(FJ$3,Holidays,0)),"عطلة",IF(MOD(FJ$3-'الموظفون'!$D$5,CycleWork+CycleRest)&lt;CycleWork,INDEX('الإعدادات والقوائم'!$H$2:$H$4,MOD(INT(MOD(FJ$3-'الموظفون'!$D$5,CycleWork+CycleRest)*3/CycleWork)+MATCH(StartShift,'الإعدادات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الإجازات'!$D$5:$D$104&lt;=FJ$3)*(('حجز الإجازات'!$E$5:$E$104)&gt;=FJ$3)*('حجز الإجازات'!$G$5:$G$104="معتمد")*ROW('حجز الإجازات'!$B$5:$B$104)))-5+1))</f>
        <v/>
      </c>
      <c r="FK7" s="62">
        <f>IF(SUMPRODUCT(('حجز الإجازات'!$B$5:$B$104='الموظفون'!$B$5)*('حجز الإجازات'!$D$5:$D$104&lt;=FK$3)*(('حجز الإجازات'!$E$5:$E$104)&gt;=FK$3)*('حجز الإجازات'!$G$5:$G$104="معتمد")*ROW('حجز الإجازات'!$B$5:$B$104))=0,IF(FK$3&lt;'الموظفون'!$D$5,"",IF(ISNUMBER(MATCH(FK$3,Holidays,0)),"عطلة",IF(MOD(FK$3-'الموظفون'!$D$5,CycleWork+CycleRest)&lt;CycleWork,INDEX('الإعدادات والقوائم'!$H$2:$H$4,MOD(INT(MOD(FK$3-'الموظفون'!$D$5,CycleWork+CycleRest)*3/CycleWork)+MATCH(StartShift,'الإعدادات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الإجازات'!$D$5:$D$104&lt;=FK$3)*(('حجز الإجازات'!$E$5:$E$104)&gt;=FK$3)*('حجز الإجازات'!$G$5:$G$104="معتمد")*ROW('حجز الإجازات'!$B$5:$B$104)))-5+1))</f>
        <v/>
      </c>
      <c r="FL7" s="62">
        <f>IF(SUMPRODUCT(('حجز الإجازات'!$B$5:$B$104='الموظفون'!$B$5)*('حجز الإجازات'!$D$5:$D$104&lt;=FL$3)*(('حجز الإجازات'!$E$5:$E$104)&gt;=FL$3)*('حجز الإجازات'!$G$5:$G$104="معتمد")*ROW('حجز الإجازات'!$B$5:$B$104))=0,IF(FL$3&lt;'الموظفون'!$D$5,"",IF(ISNUMBER(MATCH(FL$3,Holidays,0)),"عطلة",IF(MOD(FL$3-'الموظفون'!$D$5,CycleWork+CycleRest)&lt;CycleWork,INDEX('الإعدادات والقوائم'!$H$2:$H$4,MOD(INT(MOD(FL$3-'الموظفون'!$D$5,CycleWork+CycleRest)*3/CycleWork)+MATCH(StartShift,'الإعدادات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الإجازات'!$D$5:$D$104&lt;=FL$3)*(('حجز الإجازات'!$E$5:$E$104)&gt;=FL$3)*('حجز الإجازات'!$G$5:$G$104="معتمد")*ROW('حجز الإجازات'!$B$5:$B$104)))-5+1))</f>
        <v/>
      </c>
      <c r="FM7" s="62">
        <f>IF(SUMPRODUCT(('حجز الإجازات'!$B$5:$B$104='الموظفون'!$B$5)*('حجز الإجازات'!$D$5:$D$104&lt;=FM$3)*(('حجز الإجازات'!$E$5:$E$104)&gt;=FM$3)*('حجز الإجازات'!$G$5:$G$104="معتمد")*ROW('حجز الإجازات'!$B$5:$B$104))=0,IF(FM$3&lt;'الموظفون'!$D$5,"",IF(ISNUMBER(MATCH(FM$3,Holidays,0)),"عطلة",IF(MOD(FM$3-'الموظفون'!$D$5,CycleWork+CycleRest)&lt;CycleWork,INDEX('الإعدادات والقوائم'!$H$2:$H$4,MOD(INT(MOD(FM$3-'الموظفون'!$D$5,CycleWork+CycleRest)*3/CycleWork)+MATCH(StartShift,'الإعدادات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الإجازات'!$D$5:$D$104&lt;=FM$3)*(('حجز الإجازات'!$E$5:$E$104)&gt;=FM$3)*('حجز الإجازات'!$G$5:$G$104="معتمد")*ROW('حجز الإجازات'!$B$5:$B$104)))-5+1))</f>
        <v/>
      </c>
      <c r="FN7" s="62">
        <f>IF(SUMPRODUCT(('حجز الإجازات'!$B$5:$B$104='الموظفون'!$B$5)*('حجز الإجازات'!$D$5:$D$104&lt;=FN$3)*(('حجز الإجازات'!$E$5:$E$104)&gt;=FN$3)*('حجز الإجازات'!$G$5:$G$104="معتمد")*ROW('حجز الإجازات'!$B$5:$B$104))=0,IF(FN$3&lt;'الموظفون'!$D$5,"",IF(ISNUMBER(MATCH(FN$3,Holidays,0)),"عطلة",IF(MOD(FN$3-'الموظفون'!$D$5,CycleWork+CycleRest)&lt;CycleWork,INDEX('الإعدادات والقوائم'!$H$2:$H$4,MOD(INT(MOD(FN$3-'الموظفون'!$D$5,CycleWork+CycleRest)*3/CycleWork)+MATCH(StartShift,'الإعدادات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الإجازات'!$D$5:$D$104&lt;=FN$3)*(('حجز الإجازات'!$E$5:$E$104)&gt;=FN$3)*('حجز الإجازات'!$G$5:$G$104="معتمد")*ROW('حجز الإجازات'!$B$5:$B$104)))-5+1))</f>
        <v/>
      </c>
      <c r="FO7" s="62">
        <f>IF(SUMPRODUCT(('حجز الإجازات'!$B$5:$B$104='الموظفون'!$B$5)*('حجز الإجازات'!$D$5:$D$104&lt;=FO$3)*(('حجز الإجازات'!$E$5:$E$104)&gt;=FO$3)*('حجز الإجازات'!$G$5:$G$104="معتمد")*ROW('حجز الإجازات'!$B$5:$B$104))=0,IF(FO$3&lt;'الموظفون'!$D$5,"",IF(ISNUMBER(MATCH(FO$3,Holidays,0)),"عطلة",IF(MOD(FO$3-'الموظفون'!$D$5,CycleWork+CycleRest)&lt;CycleWork,INDEX('الإعدادات والقوائم'!$H$2:$H$4,MOD(INT(MOD(FO$3-'الموظفون'!$D$5,CycleWork+CycleRest)*3/CycleWork)+MATCH(StartShift,'الإعدادات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الإجازات'!$D$5:$D$104&lt;=FO$3)*(('حجز الإجازات'!$E$5:$E$104)&gt;=FO$3)*('حجز الإجازات'!$G$5:$G$104="معتمد")*ROW('حجز الإجازات'!$B$5:$B$104)))-5+1))</f>
        <v/>
      </c>
      <c r="FP7" s="62">
        <f>IF(SUMPRODUCT(('حجز الإجازات'!$B$5:$B$104='الموظفون'!$B$5)*('حجز الإجازات'!$D$5:$D$104&lt;=FP$3)*(('حجز الإجازات'!$E$5:$E$104)&gt;=FP$3)*('حجز الإجازات'!$G$5:$G$104="معتمد")*ROW('حجز الإجازات'!$B$5:$B$104))=0,IF(FP$3&lt;'الموظفون'!$D$5,"",IF(ISNUMBER(MATCH(FP$3,Holidays,0)),"عطلة",IF(MOD(FP$3-'الموظفون'!$D$5,CycleWork+CycleRest)&lt;CycleWork,INDEX('الإعدادات والقوائم'!$H$2:$H$4,MOD(INT(MOD(FP$3-'الموظفون'!$D$5,CycleWork+CycleRest)*3/CycleWork)+MATCH(StartShift,'الإعدادات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الإجازات'!$D$5:$D$104&lt;=FP$3)*(('حجز الإجازات'!$E$5:$E$104)&gt;=FP$3)*('حجز الإجازات'!$G$5:$G$104="معتمد")*ROW('حجز الإجازات'!$B$5:$B$104)))-5+1))</f>
        <v/>
      </c>
      <c r="FQ7" s="62">
        <f>IF(SUMPRODUCT(('حجز الإجازات'!$B$5:$B$104='الموظفون'!$B$5)*('حجز الإجازات'!$D$5:$D$104&lt;=FQ$3)*(('حجز الإجازات'!$E$5:$E$104)&gt;=FQ$3)*('حجز الإجازات'!$G$5:$G$104="معتمد")*ROW('حجز الإجازات'!$B$5:$B$104))=0,IF(FQ$3&lt;'الموظفون'!$D$5,"",IF(ISNUMBER(MATCH(FQ$3,Holidays,0)),"عطلة",IF(MOD(FQ$3-'الموظفون'!$D$5,CycleWork+CycleRest)&lt;CycleWork,INDEX('الإعدادات والقوائم'!$H$2:$H$4,MOD(INT(MOD(FQ$3-'الموظفون'!$D$5,CycleWork+CycleRest)*3/CycleWork)+MATCH(StartShift,'الإعدادات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الإجازات'!$D$5:$D$104&lt;=FQ$3)*(('حجز الإجازات'!$E$5:$E$104)&gt;=FQ$3)*('حجز الإجازات'!$G$5:$G$104="معتمد")*ROW('حجز الإجازات'!$B$5:$B$104)))-5+1))</f>
        <v/>
      </c>
      <c r="FR7" s="62">
        <f>IF(SUMPRODUCT(('حجز الإجازات'!$B$5:$B$104='الموظفون'!$B$5)*('حجز الإجازات'!$D$5:$D$104&lt;=FR$3)*(('حجز الإجازات'!$E$5:$E$104)&gt;=FR$3)*('حجز الإجازات'!$G$5:$G$104="معتمد")*ROW('حجز الإجازات'!$B$5:$B$104))=0,IF(FR$3&lt;'الموظفون'!$D$5,"",IF(ISNUMBER(MATCH(FR$3,Holidays,0)),"عطلة",IF(MOD(FR$3-'الموظفون'!$D$5,CycleWork+CycleRest)&lt;CycleWork,INDEX('الإعدادات والقوائم'!$H$2:$H$4,MOD(INT(MOD(FR$3-'الموظفون'!$D$5,CycleWork+CycleRest)*3/CycleWork)+MATCH(StartShift,'الإعدادات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الإجازات'!$D$5:$D$104&lt;=FR$3)*(('حجز الإجازات'!$E$5:$E$104)&gt;=FR$3)*('حجز الإجازات'!$G$5:$G$104="معتمد")*ROW('حجز الإجازات'!$B$5:$B$104)))-5+1))</f>
        <v/>
      </c>
      <c r="FS7" s="62">
        <f>IF(SUMPRODUCT(('حجز الإجازات'!$B$5:$B$104='الموظفون'!$B$5)*('حجز الإجازات'!$D$5:$D$104&lt;=FS$3)*(('حجز الإجازات'!$E$5:$E$104)&gt;=FS$3)*('حجز الإجازات'!$G$5:$G$104="معتمد")*ROW('حجز الإجازات'!$B$5:$B$104))=0,IF(FS$3&lt;'الموظفون'!$D$5,"",IF(ISNUMBER(MATCH(FS$3,Holidays,0)),"عطلة",IF(MOD(FS$3-'الموظفون'!$D$5,CycleWork+CycleRest)&lt;CycleWork,INDEX('الإعدادات والقوائم'!$H$2:$H$4,MOD(INT(MOD(FS$3-'الموظفون'!$D$5,CycleWork+CycleRest)*3/CycleWork)+MATCH(StartShift,'الإعدادات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الإجازات'!$D$5:$D$104&lt;=FS$3)*(('حجز الإجازات'!$E$5:$E$104)&gt;=FS$3)*('حجز الإجازات'!$G$5:$G$104="معتمد")*ROW('حجز الإجازات'!$B$5:$B$104)))-5+1))</f>
        <v/>
      </c>
      <c r="FT7" s="62">
        <f>IF(SUMPRODUCT(('حجز الإجازات'!$B$5:$B$104='الموظفون'!$B$5)*('حجز الإجازات'!$D$5:$D$104&lt;=FT$3)*(('حجز الإجازات'!$E$5:$E$104)&gt;=FT$3)*('حجز الإجازات'!$G$5:$G$104="معتمد")*ROW('حجز الإجازات'!$B$5:$B$104))=0,IF(FT$3&lt;'الموظفون'!$D$5,"",IF(ISNUMBER(MATCH(FT$3,Holidays,0)),"عطلة",IF(MOD(FT$3-'الموظفون'!$D$5,CycleWork+CycleRest)&lt;CycleWork,INDEX('الإعدادات والقوائم'!$H$2:$H$4,MOD(INT(MOD(FT$3-'الموظفون'!$D$5,CycleWork+CycleRest)*3/CycleWork)+MATCH(StartShift,'الإعدادات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الإجازات'!$D$5:$D$104&lt;=FT$3)*(('حجز الإجازات'!$E$5:$E$104)&gt;=FT$3)*('حجز الإجازات'!$G$5:$G$104="معتمد")*ROW('حجز الإجازات'!$B$5:$B$104)))-5+1))</f>
        <v/>
      </c>
      <c r="FU7" s="62">
        <f>IF(SUMPRODUCT(('حجز الإجازات'!$B$5:$B$104='الموظفون'!$B$5)*('حجز الإجازات'!$D$5:$D$104&lt;=FU$3)*(('حجز الإجازات'!$E$5:$E$104)&gt;=FU$3)*('حجز الإجازات'!$G$5:$G$104="معتمد")*ROW('حجز الإجازات'!$B$5:$B$104))=0,IF(FU$3&lt;'الموظفون'!$D$5,"",IF(ISNUMBER(MATCH(FU$3,Holidays,0)),"عطلة",IF(MOD(FU$3-'الموظفون'!$D$5,CycleWork+CycleRest)&lt;CycleWork,INDEX('الإعدادات والقوائم'!$H$2:$H$4,MOD(INT(MOD(FU$3-'الموظفون'!$D$5,CycleWork+CycleRest)*3/CycleWork)+MATCH(StartShift,'الإعدادات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الإجازات'!$D$5:$D$104&lt;=FU$3)*(('حجز الإجازات'!$E$5:$E$104)&gt;=FU$3)*('حجز الإجازات'!$G$5:$G$104="معتمد")*ROW('حجز الإجازات'!$B$5:$B$104)))-5+1))</f>
        <v/>
      </c>
      <c r="FV7" s="62">
        <f>IF(SUMPRODUCT(('حجز الإجازات'!$B$5:$B$104='الموظفون'!$B$5)*('حجز الإجازات'!$D$5:$D$104&lt;=FV$3)*(('حجز الإجازات'!$E$5:$E$104)&gt;=FV$3)*('حجز الإجازات'!$G$5:$G$104="معتمد")*ROW('حجز الإجازات'!$B$5:$B$104))=0,IF(FV$3&lt;'الموظفون'!$D$5,"",IF(ISNUMBER(MATCH(FV$3,Holidays,0)),"عطلة",IF(MOD(FV$3-'الموظفون'!$D$5,CycleWork+CycleRest)&lt;CycleWork,INDEX('الإعدادات والقوائم'!$H$2:$H$4,MOD(INT(MOD(FV$3-'الموظفون'!$D$5,CycleWork+CycleRest)*3/CycleWork)+MATCH(StartShift,'الإعدادات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الإجازات'!$D$5:$D$104&lt;=FV$3)*(('حجز الإجازات'!$E$5:$E$104)&gt;=FV$3)*('حجز الإجازات'!$G$5:$G$104="معتمد")*ROW('حجز الإجازات'!$B$5:$B$104)))-5+1))</f>
        <v/>
      </c>
      <c r="FW7" s="62">
        <f>IF(SUMPRODUCT(('حجز الإجازات'!$B$5:$B$104='الموظفون'!$B$5)*('حجز الإجازات'!$D$5:$D$104&lt;=FW$3)*(('حجز الإجازات'!$E$5:$E$104)&gt;=FW$3)*('حجز الإجازات'!$G$5:$G$104="معتمد")*ROW('حجز الإجازات'!$B$5:$B$104))=0,IF(FW$3&lt;'الموظفون'!$D$5,"",IF(ISNUMBER(MATCH(FW$3,Holidays,0)),"عطلة",IF(MOD(FW$3-'الموظفون'!$D$5,CycleWork+CycleRest)&lt;CycleWork,INDEX('الإعدادات والقوائم'!$H$2:$H$4,MOD(INT(MOD(FW$3-'الموظفون'!$D$5,CycleWork+CycleRest)*3/CycleWork)+MATCH(StartShift,'الإعدادات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الإجازات'!$D$5:$D$104&lt;=FW$3)*(('حجز الإجازات'!$E$5:$E$104)&gt;=FW$3)*('حجز الإجازات'!$G$5:$G$104="معتمد")*ROW('حجز الإجازات'!$B$5:$B$104)))-5+1))</f>
        <v/>
      </c>
      <c r="FX7" s="62">
        <f>IF(SUMPRODUCT(('حجز الإجازات'!$B$5:$B$104='الموظفون'!$B$5)*('حجز الإجازات'!$D$5:$D$104&lt;=FX$3)*(('حجز الإجازات'!$E$5:$E$104)&gt;=FX$3)*('حجز الإجازات'!$G$5:$G$104="معتمد")*ROW('حجز الإجازات'!$B$5:$B$104))=0,IF(FX$3&lt;'الموظفون'!$D$5,"",IF(ISNUMBER(MATCH(FX$3,Holidays,0)),"عطلة",IF(MOD(FX$3-'الموظفون'!$D$5,CycleWork+CycleRest)&lt;CycleWork,INDEX('الإعدادات والقوائم'!$H$2:$H$4,MOD(INT(MOD(FX$3-'الموظفون'!$D$5,CycleWork+CycleRest)*3/CycleWork)+MATCH(StartShift,'الإعدادات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الإجازات'!$D$5:$D$104&lt;=FX$3)*(('حجز الإجازات'!$E$5:$E$104)&gt;=FX$3)*('حجز الإجازات'!$G$5:$G$104="معتمد")*ROW('حجز الإجازات'!$B$5:$B$104)))-5+1))</f>
        <v/>
      </c>
      <c r="FY7" s="62">
        <f>IF(SUMPRODUCT(('حجز الإجازات'!$B$5:$B$104='الموظفون'!$B$5)*('حجز الإجازات'!$D$5:$D$104&lt;=FY$3)*(('حجز الإجازات'!$E$5:$E$104)&gt;=FY$3)*('حجز الإجازات'!$G$5:$G$104="معتمد")*ROW('حجز الإجازات'!$B$5:$B$104))=0,IF(FY$3&lt;'الموظفون'!$D$5,"",IF(ISNUMBER(MATCH(FY$3,Holidays,0)),"عطلة",IF(MOD(FY$3-'الموظفون'!$D$5,CycleWork+CycleRest)&lt;CycleWork,INDEX('الإعدادات والقوائم'!$H$2:$H$4,MOD(INT(MOD(FY$3-'الموظفون'!$D$5,CycleWork+CycleRest)*3/CycleWork)+MATCH(StartShift,'الإعدادات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الإجازات'!$D$5:$D$104&lt;=FY$3)*(('حجز الإجازات'!$E$5:$E$104)&gt;=FY$3)*('حجز الإجازات'!$G$5:$G$104="معتمد")*ROW('حجز الإجازات'!$B$5:$B$104)))-5+1))</f>
        <v/>
      </c>
      <c r="FZ7" s="62">
        <f>IF(SUMPRODUCT(('حجز الإجازات'!$B$5:$B$104='الموظفون'!$B$5)*('حجز الإجازات'!$D$5:$D$104&lt;=FZ$3)*(('حجز الإجازات'!$E$5:$E$104)&gt;=FZ$3)*('حجز الإجازات'!$G$5:$G$104="معتمد")*ROW('حجز الإجازات'!$B$5:$B$104))=0,IF(FZ$3&lt;'الموظفون'!$D$5,"",IF(ISNUMBER(MATCH(FZ$3,Holidays,0)),"عطلة",IF(MOD(FZ$3-'الموظفون'!$D$5,CycleWork+CycleRest)&lt;CycleWork,INDEX('الإعدادات والقوائم'!$H$2:$H$4,MOD(INT(MOD(FZ$3-'الموظفون'!$D$5,CycleWork+CycleRest)*3/CycleWork)+MATCH(StartShift,'الإعدادات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الإجازات'!$D$5:$D$104&lt;=FZ$3)*(('حجز الإجازات'!$E$5:$E$104)&gt;=FZ$3)*('حجز الإجازات'!$G$5:$G$104="معتمد")*ROW('حجز الإجازات'!$B$5:$B$104)))-5+1))</f>
        <v/>
      </c>
      <c r="GA7" s="62">
        <f>IF(SUMPRODUCT(('حجز الإجازات'!$B$5:$B$104='الموظفون'!$B$5)*('حجز الإجازات'!$D$5:$D$104&lt;=GA$3)*(('حجز الإجازات'!$E$5:$E$104)&gt;=GA$3)*('حجز الإجازات'!$G$5:$G$104="معتمد")*ROW('حجز الإجازات'!$B$5:$B$104))=0,IF(GA$3&lt;'الموظفون'!$D$5,"",IF(ISNUMBER(MATCH(GA$3,Holidays,0)),"عطلة",IF(MOD(GA$3-'الموظفون'!$D$5,CycleWork+CycleRest)&lt;CycleWork,INDEX('الإعدادات والقوائم'!$H$2:$H$4,MOD(INT(MOD(GA$3-'الموظفون'!$D$5,CycleWork+CycleRest)*3/CycleWork)+MATCH(StartShift,'الإعدادات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الإجازات'!$D$5:$D$104&lt;=GA$3)*(('حجز الإجازات'!$E$5:$E$104)&gt;=GA$3)*('حجز الإجازات'!$G$5:$G$104="معتمد")*ROW('حجز الإجازات'!$B$5:$B$104)))-5+1))</f>
        <v/>
      </c>
      <c r="GB7" s="62">
        <f>IF(SUMPRODUCT(('حجز الإجازات'!$B$5:$B$104='الموظفون'!$B$5)*('حجز الإجازات'!$D$5:$D$104&lt;=GB$3)*(('حجز الإجازات'!$E$5:$E$104)&gt;=GB$3)*('حجز الإجازات'!$G$5:$G$104="معتمد")*ROW('حجز الإجازات'!$B$5:$B$104))=0,IF(GB$3&lt;'الموظفون'!$D$5,"",IF(ISNUMBER(MATCH(GB$3,Holidays,0)),"عطلة",IF(MOD(GB$3-'الموظفون'!$D$5,CycleWork+CycleRest)&lt;CycleWork,INDEX('الإعدادات والقوائم'!$H$2:$H$4,MOD(INT(MOD(GB$3-'الموظفون'!$D$5,CycleWork+CycleRest)*3/CycleWork)+MATCH(StartShift,'الإعدادات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الإجازات'!$D$5:$D$104&lt;=GB$3)*(('حجز الإجازات'!$E$5:$E$104)&gt;=GB$3)*('حجز الإجازات'!$G$5:$G$104="معتمد")*ROW('حجز الإجازات'!$B$5:$B$104)))-5+1))</f>
        <v/>
      </c>
      <c r="GC7" s="62">
        <f>IF(SUMPRODUCT(('حجز الإجازات'!$B$5:$B$104='الموظفون'!$B$5)*('حجز الإجازات'!$D$5:$D$104&lt;=GC$3)*(('حجز الإجازات'!$E$5:$E$104)&gt;=GC$3)*('حجز الإجازات'!$G$5:$G$104="معتمد")*ROW('حجز الإجازات'!$B$5:$B$104))=0,IF(GC$3&lt;'الموظفون'!$D$5,"",IF(ISNUMBER(MATCH(GC$3,Holidays,0)),"عطلة",IF(MOD(GC$3-'الموظفون'!$D$5,CycleWork+CycleRest)&lt;CycleWork,INDEX('الإعدادات والقوائم'!$H$2:$H$4,MOD(INT(MOD(GC$3-'الموظفون'!$D$5,CycleWork+CycleRest)*3/CycleWork)+MATCH(StartShift,'الإعدادات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الإجازات'!$D$5:$D$104&lt;=GC$3)*(('حجز الإجازات'!$E$5:$E$104)&gt;=GC$3)*('حجز الإجازات'!$G$5:$G$104="معتمد")*ROW('حجز الإجازات'!$B$5:$B$104)))-5+1))</f>
        <v/>
      </c>
      <c r="GD7" s="62">
        <f>IF(SUMPRODUCT(('حجز الإجازات'!$B$5:$B$104='الموظفون'!$B$5)*('حجز الإجازات'!$D$5:$D$104&lt;=GD$3)*(('حجز الإجازات'!$E$5:$E$104)&gt;=GD$3)*('حجز الإجازات'!$G$5:$G$104="معتمد")*ROW('حجز الإجازات'!$B$5:$B$104))=0,IF(GD$3&lt;'الموظفون'!$D$5,"",IF(ISNUMBER(MATCH(GD$3,Holidays,0)),"عطلة",IF(MOD(GD$3-'الموظفون'!$D$5,CycleWork+CycleRest)&lt;CycleWork,INDEX('الإعدادات والقوائم'!$H$2:$H$4,MOD(INT(MOD(GD$3-'الموظفون'!$D$5,CycleWork+CycleRest)*3/CycleWork)+MATCH(StartShift,'الإعدادات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الإجازات'!$D$5:$D$104&lt;=GD$3)*(('حجز الإجازات'!$E$5:$E$104)&gt;=GD$3)*('حجز الإجازات'!$G$5:$G$104="معتمد")*ROW('حجز الإجازات'!$B$5:$B$104)))-5+1))</f>
        <v/>
      </c>
      <c r="GE7" s="62">
        <f>IF(SUMPRODUCT(('حجز الإجازات'!$B$5:$B$104='الموظفون'!$B$5)*('حجز الإجازات'!$D$5:$D$104&lt;=GE$3)*(('حجز الإجازات'!$E$5:$E$104)&gt;=GE$3)*('حجز الإجازات'!$G$5:$G$104="معتمد")*ROW('حجز الإجازات'!$B$5:$B$104))=0,IF(GE$3&lt;'الموظفون'!$D$5,"",IF(ISNUMBER(MATCH(GE$3,Holidays,0)),"عطلة",IF(MOD(GE$3-'الموظفون'!$D$5,CycleWork+CycleRest)&lt;CycleWork,INDEX('الإعدادات والقوائم'!$H$2:$H$4,MOD(INT(MOD(GE$3-'الموظفون'!$D$5,CycleWork+CycleRest)*3/CycleWork)+MATCH(StartShift,'الإعدادات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الإجازات'!$D$5:$D$104&lt;=GE$3)*(('حجز الإجازات'!$E$5:$E$104)&gt;=GE$3)*('حجز الإجازات'!$G$5:$G$104="معتمد")*ROW('حجز الإجازات'!$B$5:$B$104)))-5+1))</f>
        <v/>
      </c>
      <c r="GF7" s="62">
        <f>IF(SUMPRODUCT(('حجز الإجازات'!$B$5:$B$104='الموظفون'!$B$5)*('حجز الإجازات'!$D$5:$D$104&lt;=GF$3)*(('حجز الإجازات'!$E$5:$E$104)&gt;=GF$3)*('حجز الإجازات'!$G$5:$G$104="معتمد")*ROW('حجز الإجازات'!$B$5:$B$104))=0,IF(GF$3&lt;'الموظفون'!$D$5,"",IF(ISNUMBER(MATCH(GF$3,Holidays,0)),"عطلة",IF(MOD(GF$3-'الموظفون'!$D$5,CycleWork+CycleRest)&lt;CycleWork,INDEX('الإعدادات والقوائم'!$H$2:$H$4,MOD(INT(MOD(GF$3-'الموظفون'!$D$5,CycleWork+CycleRest)*3/CycleWork)+MATCH(StartShift,'الإعدادات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الإجازات'!$D$5:$D$104&lt;=GF$3)*(('حجز الإجازات'!$E$5:$E$104)&gt;=GF$3)*('حجز الإجازات'!$G$5:$G$104="معتمد")*ROW('حجز الإجازات'!$B$5:$B$104)))-5+1))</f>
        <v/>
      </c>
      <c r="GG7" s="62">
        <f>IF(SUMPRODUCT(('حجز الإجازات'!$B$5:$B$104='الموظفون'!$B$5)*('حجز الإجازات'!$D$5:$D$104&lt;=GG$3)*(('حجز الإجازات'!$E$5:$E$104)&gt;=GG$3)*('حجز الإجازات'!$G$5:$G$104="معتمد")*ROW('حجز الإجازات'!$B$5:$B$104))=0,IF(GG$3&lt;'الموظفون'!$D$5,"",IF(ISNUMBER(MATCH(GG$3,Holidays,0)),"عطلة",IF(MOD(GG$3-'الموظفون'!$D$5,CycleWork+CycleRest)&lt;CycleWork,INDEX('الإعدادات والقوائم'!$H$2:$H$4,MOD(INT(MOD(GG$3-'الموظفون'!$D$5,CycleWork+CycleRest)*3/CycleWork)+MATCH(StartShift,'الإعدادات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الإجازات'!$D$5:$D$104&lt;=GG$3)*(('حجز الإجازات'!$E$5:$E$104)&gt;=GG$3)*('حجز الإجازات'!$G$5:$G$104="معتمد")*ROW('حجز الإجازات'!$B$5:$B$104)))-5+1))</f>
        <v/>
      </c>
      <c r="GH7" s="62">
        <f>IF(SUMPRODUCT(('حجز الإجازات'!$B$5:$B$104='الموظفون'!$B$5)*('حجز الإجازات'!$D$5:$D$104&lt;=GH$3)*(('حجز الإجازات'!$E$5:$E$104)&gt;=GH$3)*('حجز الإجازات'!$G$5:$G$104="معتمد")*ROW('حجز الإجازات'!$B$5:$B$104))=0,IF(GH$3&lt;'الموظفون'!$D$5,"",IF(ISNUMBER(MATCH(GH$3,Holidays,0)),"عطلة",IF(MOD(GH$3-'الموظفون'!$D$5,CycleWork+CycleRest)&lt;CycleWork,INDEX('الإعدادات والقوائم'!$H$2:$H$4,MOD(INT(MOD(GH$3-'الموظفون'!$D$5,CycleWork+CycleRest)*3/CycleWork)+MATCH(StartShift,'الإعدادات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الإجازات'!$D$5:$D$104&lt;=GH$3)*(('حجز الإجازات'!$E$5:$E$104)&gt;=GH$3)*('حجز الإجازات'!$G$5:$G$104="معتمد")*ROW('حجز الإجازات'!$B$5:$B$104)))-5+1))</f>
        <v/>
      </c>
      <c r="GI7" s="62">
        <f>IF(SUMPRODUCT(('حجز الإجازات'!$B$5:$B$104='الموظفون'!$B$5)*('حجز الإجازات'!$D$5:$D$104&lt;=GI$3)*(('حجز الإجازات'!$E$5:$E$104)&gt;=GI$3)*('حجز الإجازات'!$G$5:$G$104="معتمد")*ROW('حجز الإجازات'!$B$5:$B$104))=0,IF(GI$3&lt;'الموظفون'!$D$5,"",IF(ISNUMBER(MATCH(GI$3,Holidays,0)),"عطلة",IF(MOD(GI$3-'الموظفون'!$D$5,CycleWork+CycleRest)&lt;CycleWork,INDEX('الإعدادات والقوائم'!$H$2:$H$4,MOD(INT(MOD(GI$3-'الموظفون'!$D$5,CycleWork+CycleRest)*3/CycleWork)+MATCH(StartShift,'الإعدادات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الإجازات'!$D$5:$D$104&lt;=GI$3)*(('حجز الإجازات'!$E$5:$E$104)&gt;=GI$3)*('حجز الإجازات'!$G$5:$G$104="معتمد")*ROW('حجز الإجازات'!$B$5:$B$104)))-5+1))</f>
        <v/>
      </c>
      <c r="GJ7" s="62">
        <f>IF(SUMPRODUCT(('حجز الإجازات'!$B$5:$B$104='الموظفون'!$B$5)*('حجز الإجازات'!$D$5:$D$104&lt;=GJ$3)*(('حجز الإجازات'!$E$5:$E$104)&gt;=GJ$3)*('حجز الإجازات'!$G$5:$G$104="معتمد")*ROW('حجز الإجازات'!$B$5:$B$104))=0,IF(GJ$3&lt;'الموظفون'!$D$5,"",IF(ISNUMBER(MATCH(GJ$3,Holidays,0)),"عطلة",IF(MOD(GJ$3-'الموظفون'!$D$5,CycleWork+CycleRest)&lt;CycleWork,INDEX('الإعدادات والقوائم'!$H$2:$H$4,MOD(INT(MOD(GJ$3-'الموظفون'!$D$5,CycleWork+CycleRest)*3/CycleWork)+MATCH(StartShift,'الإعدادات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الإجازات'!$D$5:$D$104&lt;=GJ$3)*(('حجز الإجازات'!$E$5:$E$104)&gt;=GJ$3)*('حجز الإجازات'!$G$5:$G$104="معتمد")*ROW('حجز الإجازات'!$B$5:$B$104)))-5+1))</f>
        <v/>
      </c>
      <c r="GK7" s="62">
        <f>IF(SUMPRODUCT(('حجز الإجازات'!$B$5:$B$104='الموظفون'!$B$5)*('حجز الإجازات'!$D$5:$D$104&lt;=GK$3)*(('حجز الإجازات'!$E$5:$E$104)&gt;=GK$3)*('حجز الإجازات'!$G$5:$G$104="معتمد")*ROW('حجز الإجازات'!$B$5:$B$104))=0,IF(GK$3&lt;'الموظفون'!$D$5,"",IF(ISNUMBER(MATCH(GK$3,Holidays,0)),"عطلة",IF(MOD(GK$3-'الموظفون'!$D$5,CycleWork+CycleRest)&lt;CycleWork,INDEX('الإعدادات والقوائم'!$H$2:$H$4,MOD(INT(MOD(GK$3-'الموظفون'!$D$5,CycleWork+CycleRest)*3/CycleWork)+MATCH(StartShift,'الإعدادات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الإجازات'!$D$5:$D$104&lt;=GK$3)*(('حجز الإجازات'!$E$5:$E$104)&gt;=GK$3)*('حجز الإجازات'!$G$5:$G$104="معتمد")*ROW('حجز الإجازات'!$B$5:$B$104)))-5+1))</f>
        <v/>
      </c>
      <c r="GL7" s="62">
        <f>IF(SUMPRODUCT(('حجز الإجازات'!$B$5:$B$104='الموظفون'!$B$5)*('حجز الإجازات'!$D$5:$D$104&lt;=GL$3)*(('حجز الإجازات'!$E$5:$E$104)&gt;=GL$3)*('حجز الإجازات'!$G$5:$G$104="معتمد")*ROW('حجز الإجازات'!$B$5:$B$104))=0,IF(GL$3&lt;'الموظفون'!$D$5,"",IF(ISNUMBER(MATCH(GL$3,Holidays,0)),"عطلة",IF(MOD(GL$3-'الموظفون'!$D$5,CycleWork+CycleRest)&lt;CycleWork,INDEX('الإعدادات والقوائم'!$H$2:$H$4,MOD(INT(MOD(GL$3-'الموظفون'!$D$5,CycleWork+CycleRest)*3/CycleWork)+MATCH(StartShift,'الإعدادات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الإجازات'!$D$5:$D$104&lt;=GL$3)*(('حجز الإجازات'!$E$5:$E$104)&gt;=GL$3)*('حجز الإجازات'!$G$5:$G$104="معتمد")*ROW('حجز الإجازات'!$B$5:$B$104)))-5+1))</f>
        <v/>
      </c>
      <c r="GM7" s="62">
        <f>IF(SUMPRODUCT(('حجز الإجازات'!$B$5:$B$104='الموظفون'!$B$5)*('حجز الإجازات'!$D$5:$D$104&lt;=GM$3)*(('حجز الإجازات'!$E$5:$E$104)&gt;=GM$3)*('حجز الإجازات'!$G$5:$G$104="معتمد")*ROW('حجز الإجازات'!$B$5:$B$104))=0,IF(GM$3&lt;'الموظفون'!$D$5,"",IF(ISNUMBER(MATCH(GM$3,Holidays,0)),"عطلة",IF(MOD(GM$3-'الموظفون'!$D$5,CycleWork+CycleRest)&lt;CycleWork,INDEX('الإعدادات والقوائم'!$H$2:$H$4,MOD(INT(MOD(GM$3-'الموظفون'!$D$5,CycleWork+CycleRest)*3/CycleWork)+MATCH(StartShift,'الإعدادات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الإجازات'!$D$5:$D$104&lt;=GM$3)*(('حجز الإجازات'!$E$5:$E$104)&gt;=GM$3)*('حجز الإجازات'!$G$5:$G$104="معتمد")*ROW('حجز الإجازات'!$B$5:$B$104)))-5+1))</f>
        <v/>
      </c>
      <c r="GN7" s="62">
        <f>IF(SUMPRODUCT(('حجز الإجازات'!$B$5:$B$104='الموظفون'!$B$5)*('حجز الإجازات'!$D$5:$D$104&lt;=GN$3)*(('حجز الإجازات'!$E$5:$E$104)&gt;=GN$3)*('حجز الإجازات'!$G$5:$G$104="معتمد")*ROW('حجز الإجازات'!$B$5:$B$104))=0,IF(GN$3&lt;'الموظفون'!$D$5,"",IF(ISNUMBER(MATCH(GN$3,Holidays,0)),"عطلة",IF(MOD(GN$3-'الموظفون'!$D$5,CycleWork+CycleRest)&lt;CycleWork,INDEX('الإعدادات والقوائم'!$H$2:$H$4,MOD(INT(MOD(GN$3-'الموظفون'!$D$5,CycleWork+CycleRest)*3/CycleWork)+MATCH(StartShift,'الإعدادات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الإجازات'!$D$5:$D$104&lt;=GN$3)*(('حجز الإجازات'!$E$5:$E$104)&gt;=GN$3)*('حجز الإجازات'!$G$5:$G$104="معتمد")*ROW('حجز الإجازات'!$B$5:$B$104)))-5+1))</f>
        <v/>
      </c>
      <c r="GO7" s="62">
        <f>IF(SUMPRODUCT(('حجز الإجازات'!$B$5:$B$104='الموظفون'!$B$5)*('حجز الإجازات'!$D$5:$D$104&lt;=GO$3)*(('حجز الإجازات'!$E$5:$E$104)&gt;=GO$3)*('حجز الإجازات'!$G$5:$G$104="معتمد")*ROW('حجز الإجازات'!$B$5:$B$104))=0,IF(GO$3&lt;'الموظفون'!$D$5,"",IF(ISNUMBER(MATCH(GO$3,Holidays,0)),"عطلة",IF(MOD(GO$3-'الموظفون'!$D$5,CycleWork+CycleRest)&lt;CycleWork,INDEX('الإعدادات والقوائم'!$H$2:$H$4,MOD(INT(MOD(GO$3-'الموظفون'!$D$5,CycleWork+CycleRest)*3/CycleWork)+MATCH(StartShift,'الإعدادات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الإجازات'!$D$5:$D$104&lt;=GO$3)*(('حجز الإجازات'!$E$5:$E$104)&gt;=GO$3)*('حجز الإجازات'!$G$5:$G$104="معتمد")*ROW('حجز الإجازات'!$B$5:$B$104)))-5+1))</f>
        <v/>
      </c>
      <c r="GP7" s="62">
        <f>IF(SUMPRODUCT(('حجز الإجازات'!$B$5:$B$104='الموظفون'!$B$5)*('حجز الإجازات'!$D$5:$D$104&lt;=GP$3)*(('حجز الإجازات'!$E$5:$E$104)&gt;=GP$3)*('حجز الإجازات'!$G$5:$G$104="معتمد")*ROW('حجز الإجازات'!$B$5:$B$104))=0,IF(GP$3&lt;'الموظفون'!$D$5,"",IF(ISNUMBER(MATCH(GP$3,Holidays,0)),"عطلة",IF(MOD(GP$3-'الموظفون'!$D$5,CycleWork+CycleRest)&lt;CycleWork,INDEX('الإعدادات والقوائم'!$H$2:$H$4,MOD(INT(MOD(GP$3-'الموظفون'!$D$5,CycleWork+CycleRest)*3/CycleWork)+MATCH(StartShift,'الإعدادات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الإجازات'!$D$5:$D$104&lt;=GP$3)*(('حجز الإجازات'!$E$5:$E$104)&gt;=GP$3)*('حجز الإجازات'!$G$5:$G$104="معتمد")*ROW('حجز الإجازات'!$B$5:$B$104)))-5+1))</f>
        <v/>
      </c>
      <c r="GQ7" s="62">
        <f>IF(SUMPRODUCT(('حجز الإجازات'!$B$5:$B$104='الموظفون'!$B$5)*('حجز الإجازات'!$D$5:$D$104&lt;=GQ$3)*(('حجز الإجازات'!$E$5:$E$104)&gt;=GQ$3)*('حجز الإجازات'!$G$5:$G$104="معتمد")*ROW('حجز الإجازات'!$B$5:$B$104))=0,IF(GQ$3&lt;'الموظفون'!$D$5,"",IF(ISNUMBER(MATCH(GQ$3,Holidays,0)),"عطلة",IF(MOD(GQ$3-'الموظفون'!$D$5,CycleWork+CycleRest)&lt;CycleWork,INDEX('الإعدادات والقوائم'!$H$2:$H$4,MOD(INT(MOD(GQ$3-'الموظفون'!$D$5,CycleWork+CycleRest)*3/CycleWork)+MATCH(StartShift,'الإعدادات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الإجازات'!$D$5:$D$104&lt;=GQ$3)*(('حجز الإجازات'!$E$5:$E$104)&gt;=GQ$3)*('حجز الإجازات'!$G$5:$G$104="معتمد")*ROW('حجز الإجازات'!$B$5:$B$104)))-5+1))</f>
        <v/>
      </c>
      <c r="GR7" s="62">
        <f>IF(SUMPRODUCT(('حجز الإجازات'!$B$5:$B$104='الموظفون'!$B$5)*('حجز الإجازات'!$D$5:$D$104&lt;=GR$3)*(('حجز الإجازات'!$E$5:$E$104)&gt;=GR$3)*('حجز الإجازات'!$G$5:$G$104="معتمد")*ROW('حجز الإجازات'!$B$5:$B$104))=0,IF(GR$3&lt;'الموظفون'!$D$5,"",IF(ISNUMBER(MATCH(GR$3,Holidays,0)),"عطلة",IF(MOD(GR$3-'الموظفون'!$D$5,CycleWork+CycleRest)&lt;CycleWork,INDEX('الإعدادات والقوائم'!$H$2:$H$4,MOD(INT(MOD(GR$3-'الموظفون'!$D$5,CycleWork+CycleRest)*3/CycleWork)+MATCH(StartShift,'الإعدادات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الإجازات'!$D$5:$D$104&lt;=GR$3)*(('حجز الإجازات'!$E$5:$E$104)&gt;=GR$3)*('حجز الإجازات'!$G$5:$G$104="معتمد")*ROW('حجز الإجازات'!$B$5:$B$104)))-5+1))</f>
        <v/>
      </c>
      <c r="GS7" s="62">
        <f>IF(SUMPRODUCT(('حجز الإجازات'!$B$5:$B$104='الموظفون'!$B$5)*('حجز الإجازات'!$D$5:$D$104&lt;=GS$3)*(('حجز الإجازات'!$E$5:$E$104)&gt;=GS$3)*('حجز الإجازات'!$G$5:$G$104="معتمد")*ROW('حجز الإجازات'!$B$5:$B$104))=0,IF(GS$3&lt;'الموظفون'!$D$5,"",IF(ISNUMBER(MATCH(GS$3,Holidays,0)),"عطلة",IF(MOD(GS$3-'الموظفون'!$D$5,CycleWork+CycleRest)&lt;CycleWork,INDEX('الإعدادات والقوائم'!$H$2:$H$4,MOD(INT(MOD(GS$3-'الموظفون'!$D$5,CycleWork+CycleRest)*3/CycleWork)+MATCH(StartShift,'الإعدادات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الإجازات'!$D$5:$D$104&lt;=GS$3)*(('حجز الإجازات'!$E$5:$E$104)&gt;=GS$3)*('حجز الإجازات'!$G$5:$G$104="معتمد")*ROW('حجز الإجازات'!$B$5:$B$104)))-5+1))</f>
        <v/>
      </c>
      <c r="GT7" s="62">
        <f>IF(SUMPRODUCT(('حجز الإجازات'!$B$5:$B$104='الموظفون'!$B$5)*('حجز الإجازات'!$D$5:$D$104&lt;=GT$3)*(('حجز الإجازات'!$E$5:$E$104)&gt;=GT$3)*('حجز الإجازات'!$G$5:$G$104="معتمد")*ROW('حجز الإجازات'!$B$5:$B$104))=0,IF(GT$3&lt;'الموظفون'!$D$5,"",IF(ISNUMBER(MATCH(GT$3,Holidays,0)),"عطلة",IF(MOD(GT$3-'الموظفون'!$D$5,CycleWork+CycleRest)&lt;CycleWork,INDEX('الإعدادات والقوائم'!$H$2:$H$4,MOD(INT(MOD(GT$3-'الموظفون'!$D$5,CycleWork+CycleRest)*3/CycleWork)+MATCH(StartShift,'الإعدادات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الإجازات'!$D$5:$D$104&lt;=GT$3)*(('حجز الإجازات'!$E$5:$E$104)&gt;=GT$3)*('حجز الإجازات'!$G$5:$G$104="معتمد")*ROW('حجز الإجازات'!$B$5:$B$104)))-5+1))</f>
        <v/>
      </c>
      <c r="GU7" s="62">
        <f>IF(SUMPRODUCT(('حجز الإجازات'!$B$5:$B$104='الموظفون'!$B$5)*('حجز الإجازات'!$D$5:$D$104&lt;=GU$3)*(('حجز الإجازات'!$E$5:$E$104)&gt;=GU$3)*('حجز الإجازات'!$G$5:$G$104="معتمد")*ROW('حجز الإجازات'!$B$5:$B$104))=0,IF(GU$3&lt;'الموظفون'!$D$5,"",IF(ISNUMBER(MATCH(GU$3,Holidays,0)),"عطلة",IF(MOD(GU$3-'الموظفون'!$D$5,CycleWork+CycleRest)&lt;CycleWork,INDEX('الإعدادات والقوائم'!$H$2:$H$4,MOD(INT(MOD(GU$3-'الموظفون'!$D$5,CycleWork+CycleRest)*3/CycleWork)+MATCH(StartShift,'الإعدادات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الإجازات'!$D$5:$D$104&lt;=GU$3)*(('حجز الإجازات'!$E$5:$E$104)&gt;=GU$3)*('حجز الإجازات'!$G$5:$G$104="معتمد")*ROW('حجز الإجازات'!$B$5:$B$104)))-5+1))</f>
        <v/>
      </c>
      <c r="GV7" s="62">
        <f>IF(SUMPRODUCT(('حجز الإجازات'!$B$5:$B$104='الموظفون'!$B$5)*('حجز الإجازات'!$D$5:$D$104&lt;=GV$3)*(('حجز الإجازات'!$E$5:$E$104)&gt;=GV$3)*('حجز الإجازات'!$G$5:$G$104="معتمد")*ROW('حجز الإجازات'!$B$5:$B$104))=0,IF(GV$3&lt;'الموظفون'!$D$5,"",IF(ISNUMBER(MATCH(GV$3,Holidays,0)),"عطلة",IF(MOD(GV$3-'الموظفون'!$D$5,CycleWork+CycleRest)&lt;CycleWork,INDEX('الإعدادات والقوائم'!$H$2:$H$4,MOD(INT(MOD(GV$3-'الموظفون'!$D$5,CycleWork+CycleRest)*3/CycleWork)+MATCH(StartShift,'الإعدادات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الإجازات'!$D$5:$D$104&lt;=GV$3)*(('حجز الإجازات'!$E$5:$E$104)&gt;=GV$3)*('حجز الإجازات'!$G$5:$G$104="معتمد")*ROW('حجز الإجازات'!$B$5:$B$104)))-5+1))</f>
        <v/>
      </c>
      <c r="GW7" s="62">
        <f>IF(SUMPRODUCT(('حجز الإجازات'!$B$5:$B$104='الموظفون'!$B$5)*('حجز الإجازات'!$D$5:$D$104&lt;=GW$3)*(('حجز الإجازات'!$E$5:$E$104)&gt;=GW$3)*('حجز الإجازات'!$G$5:$G$104="معتمد")*ROW('حجز الإجازات'!$B$5:$B$104))=0,IF(GW$3&lt;'الموظفون'!$D$5,"",IF(ISNUMBER(MATCH(GW$3,Holidays,0)),"عطلة",IF(MOD(GW$3-'الموظفون'!$D$5,CycleWork+CycleRest)&lt;CycleWork,INDEX('الإعدادات والقوائم'!$H$2:$H$4,MOD(INT(MOD(GW$3-'الموظفون'!$D$5,CycleWork+CycleRest)*3/CycleWork)+MATCH(StartShift,'الإعدادات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الإجازات'!$D$5:$D$104&lt;=GW$3)*(('حجز الإجازات'!$E$5:$E$104)&gt;=GW$3)*('حجز الإجازات'!$G$5:$G$104="معتمد")*ROW('حجز الإجازات'!$B$5:$B$104)))-5+1))</f>
        <v/>
      </c>
      <c r="GX7" s="62">
        <f>IF(SUMPRODUCT(('حجز الإجازات'!$B$5:$B$104='الموظفون'!$B$5)*('حجز الإجازات'!$D$5:$D$104&lt;=GX$3)*(('حجز الإجازات'!$E$5:$E$104)&gt;=GX$3)*('حجز الإجازات'!$G$5:$G$104="معتمد")*ROW('حجز الإجازات'!$B$5:$B$104))=0,IF(GX$3&lt;'الموظفون'!$D$5,"",IF(ISNUMBER(MATCH(GX$3,Holidays,0)),"عطلة",IF(MOD(GX$3-'الموظفون'!$D$5,CycleWork+CycleRest)&lt;CycleWork,INDEX('الإعدادات والقوائم'!$H$2:$H$4,MOD(INT(MOD(GX$3-'الموظفون'!$D$5,CycleWork+CycleRest)*3/CycleWork)+MATCH(StartShift,'الإعدادات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الإجازات'!$D$5:$D$104&lt;=GX$3)*(('حجز الإجازات'!$E$5:$E$104)&gt;=GX$3)*('حجز الإجازات'!$G$5:$G$104="معتمد")*ROW('حجز الإجازات'!$B$5:$B$104)))-5+1))</f>
        <v/>
      </c>
      <c r="GY7" s="62">
        <f>IF(SUMPRODUCT(('حجز الإجازات'!$B$5:$B$104='الموظفون'!$B$5)*('حجز الإجازات'!$D$5:$D$104&lt;=GY$3)*(('حجز الإجازات'!$E$5:$E$104)&gt;=GY$3)*('حجز الإجازات'!$G$5:$G$104="معتمد")*ROW('حجز الإجازات'!$B$5:$B$104))=0,IF(GY$3&lt;'الموظفون'!$D$5,"",IF(ISNUMBER(MATCH(GY$3,Holidays,0)),"عطلة",IF(MOD(GY$3-'الموظفون'!$D$5,CycleWork+CycleRest)&lt;CycleWork,INDEX('الإعدادات والقوائم'!$H$2:$H$4,MOD(INT(MOD(GY$3-'الموظفون'!$D$5,CycleWork+CycleRest)*3/CycleWork)+MATCH(StartShift,'الإعدادات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الإجازات'!$D$5:$D$104&lt;=GY$3)*(('حجز الإجازات'!$E$5:$E$104)&gt;=GY$3)*('حجز الإجازات'!$G$5:$G$104="معتمد")*ROW('حجز الإجازات'!$B$5:$B$104)))-5+1))</f>
        <v/>
      </c>
      <c r="GZ7" s="62">
        <f>IF(SUMPRODUCT(('حجز الإجازات'!$B$5:$B$104='الموظفون'!$B$5)*('حجز الإجازات'!$D$5:$D$104&lt;=GZ$3)*(('حجز الإجازات'!$E$5:$E$104)&gt;=GZ$3)*('حجز الإجازات'!$G$5:$G$104="معتمد")*ROW('حجز الإجازات'!$B$5:$B$104))=0,IF(GZ$3&lt;'الموظفون'!$D$5,"",IF(ISNUMBER(MATCH(GZ$3,Holidays,0)),"عطلة",IF(MOD(GZ$3-'الموظفون'!$D$5,CycleWork+CycleRest)&lt;CycleWork,INDEX('الإعدادات والقوائم'!$H$2:$H$4,MOD(INT(MOD(GZ$3-'الموظفون'!$D$5,CycleWork+CycleRest)*3/CycleWork)+MATCH(StartShift,'الإعدادات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الإجازات'!$D$5:$D$104&lt;=GZ$3)*(('حجز الإجازات'!$E$5:$E$104)&gt;=GZ$3)*('حجز الإجازات'!$G$5:$G$104="معتمد")*ROW('حجز الإجازات'!$B$5:$B$104)))-5+1))</f>
        <v/>
      </c>
      <c r="HA7" s="62">
        <f>IF(SUMPRODUCT(('حجز الإجازات'!$B$5:$B$104='الموظفون'!$B$5)*('حجز الإجازات'!$D$5:$D$104&lt;=HA$3)*(('حجز الإجازات'!$E$5:$E$104)&gt;=HA$3)*('حجز الإجازات'!$G$5:$G$104="معتمد")*ROW('حجز الإجازات'!$B$5:$B$104))=0,IF(HA$3&lt;'الموظفون'!$D$5,"",IF(ISNUMBER(MATCH(HA$3,Holidays,0)),"عطلة",IF(MOD(HA$3-'الموظفون'!$D$5,CycleWork+CycleRest)&lt;CycleWork,INDEX('الإعدادات والقوائم'!$H$2:$H$4,MOD(INT(MOD(HA$3-'الموظفون'!$D$5,CycleWork+CycleRest)*3/CycleWork)+MATCH(StartShift,'الإعدادات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الإجازات'!$D$5:$D$104&lt;=HA$3)*(('حجز الإجازات'!$E$5:$E$104)&gt;=HA$3)*('حجز الإجازات'!$G$5:$G$104="معتمد")*ROW('حجز الإجازات'!$B$5:$B$104)))-5+1))</f>
        <v/>
      </c>
      <c r="HB7" s="62">
        <f>IF(SUMPRODUCT(('حجز الإجازات'!$B$5:$B$104='الموظفون'!$B$5)*('حجز الإجازات'!$D$5:$D$104&lt;=HB$3)*(('حجز الإجازات'!$E$5:$E$104)&gt;=HB$3)*('حجز الإجازات'!$G$5:$G$104="معتمد")*ROW('حجز الإجازات'!$B$5:$B$104))=0,IF(HB$3&lt;'الموظفون'!$D$5,"",IF(ISNUMBER(MATCH(HB$3,Holidays,0)),"عطلة",IF(MOD(HB$3-'الموظفون'!$D$5,CycleWork+CycleRest)&lt;CycleWork,INDEX('الإعدادات والقوائم'!$H$2:$H$4,MOD(INT(MOD(HB$3-'الموظفون'!$D$5,CycleWork+CycleRest)*3/CycleWork)+MATCH(StartShift,'الإعدادات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الإجازات'!$D$5:$D$104&lt;=HB$3)*(('حجز الإجازات'!$E$5:$E$104)&gt;=HB$3)*('حجز الإجازات'!$G$5:$G$104="معتمد")*ROW('حجز الإجازات'!$B$5:$B$104)))-5+1))</f>
        <v/>
      </c>
      <c r="HC7" s="62">
        <f>IF(SUMPRODUCT(('حجز الإجازات'!$B$5:$B$104='الموظفون'!$B$5)*('حجز الإجازات'!$D$5:$D$104&lt;=HC$3)*(('حجز الإجازات'!$E$5:$E$104)&gt;=HC$3)*('حجز الإجازات'!$G$5:$G$104="معتمد")*ROW('حجز الإجازات'!$B$5:$B$104))=0,IF(HC$3&lt;'الموظفون'!$D$5,"",IF(ISNUMBER(MATCH(HC$3,Holidays,0)),"عطلة",IF(MOD(HC$3-'الموظفون'!$D$5,CycleWork+CycleRest)&lt;CycleWork,INDEX('الإعدادات والقوائم'!$H$2:$H$4,MOD(INT(MOD(HC$3-'الموظفون'!$D$5,CycleWork+CycleRest)*3/CycleWork)+MATCH(StartShift,'الإعدادات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الإجازات'!$D$5:$D$104&lt;=HC$3)*(('حجز الإجازات'!$E$5:$E$104)&gt;=HC$3)*('حجز الإجازات'!$G$5:$G$104="معتمد")*ROW('حجز الإجازات'!$B$5:$B$104)))-5+1))</f>
        <v/>
      </c>
      <c r="HD7" s="62">
        <f>IF(SUMPRODUCT(('حجز الإجازات'!$B$5:$B$104='الموظفون'!$B$5)*('حجز الإجازات'!$D$5:$D$104&lt;=HD$3)*(('حجز الإجازات'!$E$5:$E$104)&gt;=HD$3)*('حجز الإجازات'!$G$5:$G$104="معتمد")*ROW('حجز الإجازات'!$B$5:$B$104))=0,IF(HD$3&lt;'الموظفون'!$D$5,"",IF(ISNUMBER(MATCH(HD$3,Holidays,0)),"عطلة",IF(MOD(HD$3-'الموظفون'!$D$5,CycleWork+CycleRest)&lt;CycleWork,INDEX('الإعدادات والقوائم'!$H$2:$H$4,MOD(INT(MOD(HD$3-'الموظفون'!$D$5,CycleWork+CycleRest)*3/CycleWork)+MATCH(StartShift,'الإعدادات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الإجازات'!$D$5:$D$104&lt;=HD$3)*(('حجز الإجازات'!$E$5:$E$104)&gt;=HD$3)*('حجز الإجازات'!$G$5:$G$104="معتمد")*ROW('حجز الإجازات'!$B$5:$B$104)))-5+1))</f>
        <v/>
      </c>
      <c r="HE7" s="62">
        <f>IF(SUMPRODUCT(('حجز الإجازات'!$B$5:$B$104='الموظفون'!$B$5)*('حجز الإجازات'!$D$5:$D$104&lt;=HE$3)*(('حجز الإجازات'!$E$5:$E$104)&gt;=HE$3)*('حجز الإجازات'!$G$5:$G$104="معتمد")*ROW('حجز الإجازات'!$B$5:$B$104))=0,IF(HE$3&lt;'الموظفون'!$D$5,"",IF(ISNUMBER(MATCH(HE$3,Holidays,0)),"عطلة",IF(MOD(HE$3-'الموظفون'!$D$5,CycleWork+CycleRest)&lt;CycleWork,INDEX('الإعدادات والقوائم'!$H$2:$H$4,MOD(INT(MOD(HE$3-'الموظفون'!$D$5,CycleWork+CycleRest)*3/CycleWork)+MATCH(StartShift,'الإعدادات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الإجازات'!$D$5:$D$104&lt;=HE$3)*(('حجز الإجازات'!$E$5:$E$104)&gt;=HE$3)*('حجز الإجازات'!$G$5:$G$104="معتمد")*ROW('حجز الإجازات'!$B$5:$B$104)))-5+1))</f>
        <v/>
      </c>
      <c r="HF7" s="62">
        <f>IF(SUMPRODUCT(('حجز الإجازات'!$B$5:$B$104='الموظفون'!$B$5)*('حجز الإجازات'!$D$5:$D$104&lt;=HF$3)*(('حجز الإجازات'!$E$5:$E$104)&gt;=HF$3)*('حجز الإجازات'!$G$5:$G$104="معتمد")*ROW('حجز الإجازات'!$B$5:$B$104))=0,IF(HF$3&lt;'الموظفون'!$D$5,"",IF(ISNUMBER(MATCH(HF$3,Holidays,0)),"عطلة",IF(MOD(HF$3-'الموظفون'!$D$5,CycleWork+CycleRest)&lt;CycleWork,INDEX('الإعدادات والقوائم'!$H$2:$H$4,MOD(INT(MOD(HF$3-'الموظفون'!$D$5,CycleWork+CycleRest)*3/CycleWork)+MATCH(StartShift,'الإعدادات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الإجازات'!$D$5:$D$104&lt;=HF$3)*(('حجز الإجازات'!$E$5:$E$104)&gt;=HF$3)*('حجز الإجازات'!$G$5:$G$104="معتمد")*ROW('حجز الإجازات'!$B$5:$B$104)))-5+1))</f>
        <v/>
      </c>
      <c r="HG7" s="62">
        <f>IF(SUMPRODUCT(('حجز الإجازات'!$B$5:$B$104='الموظفون'!$B$5)*('حجز الإجازات'!$D$5:$D$104&lt;=HG$3)*(('حجز الإجازات'!$E$5:$E$104)&gt;=HG$3)*('حجز الإجازات'!$G$5:$G$104="معتمد")*ROW('حجز الإجازات'!$B$5:$B$104))=0,IF(HG$3&lt;'الموظفون'!$D$5,"",IF(ISNUMBER(MATCH(HG$3,Holidays,0)),"عطلة",IF(MOD(HG$3-'الموظفون'!$D$5,CycleWork+CycleRest)&lt;CycleWork,INDEX('الإعدادات والقوائم'!$H$2:$H$4,MOD(INT(MOD(HG$3-'الموظفون'!$D$5,CycleWork+CycleRest)*3/CycleWork)+MATCH(StartShift,'الإعدادات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الإجازات'!$D$5:$D$104&lt;=HG$3)*(('حجز الإجازات'!$E$5:$E$104)&gt;=HG$3)*('حجز الإجازات'!$G$5:$G$104="معتمد")*ROW('حجز الإجازات'!$B$5:$B$104)))-5+1))</f>
        <v/>
      </c>
      <c r="HH7" s="62">
        <f>IF(SUMPRODUCT(('حجز الإجازات'!$B$5:$B$104='الموظفون'!$B$5)*('حجز الإجازات'!$D$5:$D$104&lt;=HH$3)*(('حجز الإجازات'!$E$5:$E$104)&gt;=HH$3)*('حجز الإجازات'!$G$5:$G$104="معتمد")*ROW('حجز الإجازات'!$B$5:$B$104))=0,IF(HH$3&lt;'الموظفون'!$D$5,"",IF(ISNUMBER(MATCH(HH$3,Holidays,0)),"عطلة",IF(MOD(HH$3-'الموظفون'!$D$5,CycleWork+CycleRest)&lt;CycleWork,INDEX('الإعدادات والقوائم'!$H$2:$H$4,MOD(INT(MOD(HH$3-'الموظفون'!$D$5,CycleWork+CycleRest)*3/CycleWork)+MATCH(StartShift,'الإعدادات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الإجازات'!$D$5:$D$104&lt;=HH$3)*(('حجز الإجازات'!$E$5:$E$104)&gt;=HH$3)*('حجز الإجازات'!$G$5:$G$104="معتمد")*ROW('حجز الإجازات'!$B$5:$B$104)))-5+1))</f>
        <v/>
      </c>
      <c r="HI7" s="62">
        <f>IF(SUMPRODUCT(('حجز الإجازات'!$B$5:$B$104='الموظفون'!$B$5)*('حجز الإجازات'!$D$5:$D$104&lt;=HI$3)*(('حجز الإجازات'!$E$5:$E$104)&gt;=HI$3)*('حجز الإجازات'!$G$5:$G$104="معتمد")*ROW('حجز الإجازات'!$B$5:$B$104))=0,IF(HI$3&lt;'الموظفون'!$D$5,"",IF(ISNUMBER(MATCH(HI$3,Holidays,0)),"عطلة",IF(MOD(HI$3-'الموظفون'!$D$5,CycleWork+CycleRest)&lt;CycleWork,INDEX('الإعدادات والقوائم'!$H$2:$H$4,MOD(INT(MOD(HI$3-'الموظفون'!$D$5,CycleWork+CycleRest)*3/CycleWork)+MATCH(StartShift,'الإعدادات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الإجازات'!$D$5:$D$104&lt;=HI$3)*(('حجز الإجازات'!$E$5:$E$104)&gt;=HI$3)*('حجز الإجازات'!$G$5:$G$104="معتمد")*ROW('حجز الإجازات'!$B$5:$B$104)))-5+1))</f>
        <v/>
      </c>
      <c r="HJ7" s="62">
        <f>IF(SUMPRODUCT(('حجز الإجازات'!$B$5:$B$104='الموظفون'!$B$5)*('حجز الإجازات'!$D$5:$D$104&lt;=HJ$3)*(('حجز الإجازات'!$E$5:$E$104)&gt;=HJ$3)*('حجز الإجازات'!$G$5:$G$104="معتمد")*ROW('حجز الإجازات'!$B$5:$B$104))=0,IF(HJ$3&lt;'الموظفون'!$D$5,"",IF(ISNUMBER(MATCH(HJ$3,Holidays,0)),"عطلة",IF(MOD(HJ$3-'الموظفون'!$D$5,CycleWork+CycleRest)&lt;CycleWork,INDEX('الإعدادات والقوائم'!$H$2:$H$4,MOD(INT(MOD(HJ$3-'الموظفون'!$D$5,CycleWork+CycleRest)*3/CycleWork)+MATCH(StartShift,'الإعدادات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الإجازات'!$D$5:$D$104&lt;=HJ$3)*(('حجز الإجازات'!$E$5:$E$104)&gt;=HJ$3)*('حجز الإجازات'!$G$5:$G$104="معتمد")*ROW('حجز الإجازات'!$B$5:$B$104)))-5+1))</f>
        <v/>
      </c>
      <c r="HK7" s="62">
        <f>IF(SUMPRODUCT(('حجز الإجازات'!$B$5:$B$104='الموظفون'!$B$5)*('حجز الإجازات'!$D$5:$D$104&lt;=HK$3)*(('حجز الإجازات'!$E$5:$E$104)&gt;=HK$3)*('حجز الإجازات'!$G$5:$G$104="معتمد")*ROW('حجز الإجازات'!$B$5:$B$104))=0,IF(HK$3&lt;'الموظفون'!$D$5,"",IF(ISNUMBER(MATCH(HK$3,Holidays,0)),"عطلة",IF(MOD(HK$3-'الموظفون'!$D$5,CycleWork+CycleRest)&lt;CycleWork,INDEX('الإعدادات والقوائم'!$H$2:$H$4,MOD(INT(MOD(HK$3-'الموظفون'!$D$5,CycleWork+CycleRest)*3/CycleWork)+MATCH(StartShift,'الإعدادات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الإجازات'!$D$5:$D$104&lt;=HK$3)*(('حجز الإجازات'!$E$5:$E$104)&gt;=HK$3)*('حجز الإجازات'!$G$5:$G$104="معتمد")*ROW('حجز الإجازات'!$B$5:$B$104)))-5+1))</f>
        <v/>
      </c>
      <c r="HL7" s="62">
        <f>IF(SUMPRODUCT(('حجز الإجازات'!$B$5:$B$104='الموظفون'!$B$5)*('حجز الإجازات'!$D$5:$D$104&lt;=HL$3)*(('حجز الإجازات'!$E$5:$E$104)&gt;=HL$3)*('حجز الإجازات'!$G$5:$G$104="معتمد")*ROW('حجز الإجازات'!$B$5:$B$104))=0,IF(HL$3&lt;'الموظفون'!$D$5,"",IF(ISNUMBER(MATCH(HL$3,Holidays,0)),"عطلة",IF(MOD(HL$3-'الموظفون'!$D$5,CycleWork+CycleRest)&lt;CycleWork,INDEX('الإعدادات والقوائم'!$H$2:$H$4,MOD(INT(MOD(HL$3-'الموظفون'!$D$5,CycleWork+CycleRest)*3/CycleWork)+MATCH(StartShift,'الإعدادات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الإجازات'!$D$5:$D$104&lt;=HL$3)*(('حجز الإجازات'!$E$5:$E$104)&gt;=HL$3)*('حجز الإجازات'!$G$5:$G$104="معتمد")*ROW('حجز الإجازات'!$B$5:$B$104)))-5+1))</f>
        <v/>
      </c>
      <c r="HM7" s="62">
        <f>IF(SUMPRODUCT(('حجز الإجازات'!$B$5:$B$104='الموظفون'!$B$5)*('حجز الإجازات'!$D$5:$D$104&lt;=HM$3)*(('حجز الإجازات'!$E$5:$E$104)&gt;=HM$3)*('حجز الإجازات'!$G$5:$G$104="معتمد")*ROW('حجز الإجازات'!$B$5:$B$104))=0,IF(HM$3&lt;'الموظفون'!$D$5,"",IF(ISNUMBER(MATCH(HM$3,Holidays,0)),"عطلة",IF(MOD(HM$3-'الموظفون'!$D$5,CycleWork+CycleRest)&lt;CycleWork,INDEX('الإعدادات والقوائم'!$H$2:$H$4,MOD(INT(MOD(HM$3-'الموظفون'!$D$5,CycleWork+CycleRest)*3/CycleWork)+MATCH(StartShift,'الإعدادات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الإجازات'!$D$5:$D$104&lt;=HM$3)*(('حجز الإجازات'!$E$5:$E$104)&gt;=HM$3)*('حجز الإجازات'!$G$5:$G$104="معتمد")*ROW('حجز الإجازات'!$B$5:$B$104)))-5+1))</f>
        <v/>
      </c>
      <c r="HN7" s="62">
        <f>IF(SUMPRODUCT(('حجز الإجازات'!$B$5:$B$104='الموظفون'!$B$5)*('حجز الإجازات'!$D$5:$D$104&lt;=HN$3)*(('حجز الإجازات'!$E$5:$E$104)&gt;=HN$3)*('حجز الإجازات'!$G$5:$G$104="معتمد")*ROW('حجز الإجازات'!$B$5:$B$104))=0,IF(HN$3&lt;'الموظفون'!$D$5,"",IF(ISNUMBER(MATCH(HN$3,Holidays,0)),"عطلة",IF(MOD(HN$3-'الموظفون'!$D$5,CycleWork+CycleRest)&lt;CycleWork,INDEX('الإعدادات والقوائم'!$H$2:$H$4,MOD(INT(MOD(HN$3-'الموظفون'!$D$5,CycleWork+CycleRest)*3/CycleWork)+MATCH(StartShift,'الإعدادات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الإجازات'!$D$5:$D$104&lt;=HN$3)*(('حجز الإجازات'!$E$5:$E$104)&gt;=HN$3)*('حجز الإجازات'!$G$5:$G$104="معتمد")*ROW('حجز الإجازات'!$B$5:$B$104)))-5+1))</f>
        <v/>
      </c>
      <c r="HO7" s="62">
        <f>IF(SUMPRODUCT(('حجز الإجازات'!$B$5:$B$104='الموظفون'!$B$5)*('حجز الإجازات'!$D$5:$D$104&lt;=HO$3)*(('حجز الإجازات'!$E$5:$E$104)&gt;=HO$3)*('حجز الإجازات'!$G$5:$G$104="معتمد")*ROW('حجز الإجازات'!$B$5:$B$104))=0,IF(HO$3&lt;'الموظفون'!$D$5,"",IF(ISNUMBER(MATCH(HO$3,Holidays,0)),"عطلة",IF(MOD(HO$3-'الموظفون'!$D$5,CycleWork+CycleRest)&lt;CycleWork,INDEX('الإعدادات والقوائم'!$H$2:$H$4,MOD(INT(MOD(HO$3-'الموظفون'!$D$5,CycleWork+CycleRest)*3/CycleWork)+MATCH(StartShift,'الإعدادات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الإجازات'!$D$5:$D$104&lt;=HO$3)*(('حجز الإجازات'!$E$5:$E$104)&gt;=HO$3)*('حجز الإجازات'!$G$5:$G$104="معتمد")*ROW('حجز الإجازات'!$B$5:$B$104)))-5+1))</f>
        <v/>
      </c>
      <c r="HP7" s="62">
        <f>IF(SUMPRODUCT(('حجز الإجازات'!$B$5:$B$104='الموظفون'!$B$5)*('حجز الإجازات'!$D$5:$D$104&lt;=HP$3)*(('حجز الإجازات'!$E$5:$E$104)&gt;=HP$3)*('حجز الإجازات'!$G$5:$G$104="معتمد")*ROW('حجز الإجازات'!$B$5:$B$104))=0,IF(HP$3&lt;'الموظفون'!$D$5,"",IF(ISNUMBER(MATCH(HP$3,Holidays,0)),"عطلة",IF(MOD(HP$3-'الموظفون'!$D$5,CycleWork+CycleRest)&lt;CycleWork,INDEX('الإعدادات والقوائم'!$H$2:$H$4,MOD(INT(MOD(HP$3-'الموظفون'!$D$5,CycleWork+CycleRest)*3/CycleWork)+MATCH(StartShift,'الإعدادات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الإجازات'!$D$5:$D$104&lt;=HP$3)*(('حجز الإجازات'!$E$5:$E$104)&gt;=HP$3)*('حجز الإجازات'!$G$5:$G$104="معتمد")*ROW('حجز الإجازات'!$B$5:$B$104)))-5+1))</f>
        <v/>
      </c>
      <c r="HQ7" s="62">
        <f>IF(SUMPRODUCT(('حجز الإجازات'!$B$5:$B$104='الموظفون'!$B$5)*('حجز الإجازات'!$D$5:$D$104&lt;=HQ$3)*(('حجز الإجازات'!$E$5:$E$104)&gt;=HQ$3)*('حجز الإجازات'!$G$5:$G$104="معتمد")*ROW('حجز الإجازات'!$B$5:$B$104))=0,IF(HQ$3&lt;'الموظفون'!$D$5,"",IF(ISNUMBER(MATCH(HQ$3,Holidays,0)),"عطلة",IF(MOD(HQ$3-'الموظفون'!$D$5,CycleWork+CycleRest)&lt;CycleWork,INDEX('الإعدادات والقوائم'!$H$2:$H$4,MOD(INT(MOD(HQ$3-'الموظفون'!$D$5,CycleWork+CycleRest)*3/CycleWork)+MATCH(StartShift,'الإعدادات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الإجازات'!$D$5:$D$104&lt;=HQ$3)*(('حجز الإجازات'!$E$5:$E$104)&gt;=HQ$3)*('حجز الإجازات'!$G$5:$G$104="معتمد")*ROW('حجز الإجازات'!$B$5:$B$104)))-5+1))</f>
        <v/>
      </c>
      <c r="HR7" s="62">
        <f>IF(SUMPRODUCT(('حجز الإجازات'!$B$5:$B$104='الموظفون'!$B$5)*('حجز الإجازات'!$D$5:$D$104&lt;=HR$3)*(('حجز الإجازات'!$E$5:$E$104)&gt;=HR$3)*('حجز الإجازات'!$G$5:$G$104="معتمد")*ROW('حجز الإجازات'!$B$5:$B$104))=0,IF(HR$3&lt;'الموظفون'!$D$5,"",IF(ISNUMBER(MATCH(HR$3,Holidays,0)),"عطلة",IF(MOD(HR$3-'الموظفون'!$D$5,CycleWork+CycleRest)&lt;CycleWork,INDEX('الإعدادات والقوائم'!$H$2:$H$4,MOD(INT(MOD(HR$3-'الموظفون'!$D$5,CycleWork+CycleRest)*3/CycleWork)+MATCH(StartShift,'الإعدادات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الإجازات'!$D$5:$D$104&lt;=HR$3)*(('حجز الإجازات'!$E$5:$E$104)&gt;=HR$3)*('حجز الإجازات'!$G$5:$G$104="معتمد")*ROW('حجز الإجازات'!$B$5:$B$104)))-5+1))</f>
        <v/>
      </c>
      <c r="HS7" s="62">
        <f>IF(SUMPRODUCT(('حجز الإجازات'!$B$5:$B$104='الموظفون'!$B$5)*('حجز الإجازات'!$D$5:$D$104&lt;=HS$3)*(('حجز الإجازات'!$E$5:$E$104)&gt;=HS$3)*('حجز الإجازات'!$G$5:$G$104="معتمد")*ROW('حجز الإجازات'!$B$5:$B$104))=0,IF(HS$3&lt;'الموظفون'!$D$5,"",IF(ISNUMBER(MATCH(HS$3,Holidays,0)),"عطلة",IF(MOD(HS$3-'الموظفون'!$D$5,CycleWork+CycleRest)&lt;CycleWork,INDEX('الإعدادات والقوائم'!$H$2:$H$4,MOD(INT(MOD(HS$3-'الموظفون'!$D$5,CycleWork+CycleRest)*3/CycleWork)+MATCH(StartShift,'الإعدادات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الإجازات'!$D$5:$D$104&lt;=HS$3)*(('حجز الإجازات'!$E$5:$E$104)&gt;=HS$3)*('حجز الإجازات'!$G$5:$G$104="معتمد")*ROW('حجز الإجازات'!$B$5:$B$104)))-5+1))</f>
        <v/>
      </c>
      <c r="HT7" s="62">
        <f>IF(SUMPRODUCT(('حجز الإجازات'!$B$5:$B$104='الموظفون'!$B$5)*('حجز الإجازات'!$D$5:$D$104&lt;=HT$3)*(('حجز الإجازات'!$E$5:$E$104)&gt;=HT$3)*('حجز الإجازات'!$G$5:$G$104="معتمد")*ROW('حجز الإجازات'!$B$5:$B$104))=0,IF(HT$3&lt;'الموظفون'!$D$5,"",IF(ISNUMBER(MATCH(HT$3,Holidays,0)),"عطلة",IF(MOD(HT$3-'الموظفون'!$D$5,CycleWork+CycleRest)&lt;CycleWork,INDEX('الإعدادات والقوائم'!$H$2:$H$4,MOD(INT(MOD(HT$3-'الموظفون'!$D$5,CycleWork+CycleRest)*3/CycleWork)+MATCH(StartShift,'الإعدادات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الإجازات'!$D$5:$D$104&lt;=HT$3)*(('حجز الإجازات'!$E$5:$E$104)&gt;=HT$3)*('حجز الإجازات'!$G$5:$G$104="معتمد")*ROW('حجز الإجازات'!$B$5:$B$104)))-5+1))</f>
        <v/>
      </c>
      <c r="HU7" s="62">
        <f>IF(SUMPRODUCT(('حجز الإجازات'!$B$5:$B$104='الموظفون'!$B$5)*('حجز الإجازات'!$D$5:$D$104&lt;=HU$3)*(('حجز الإجازات'!$E$5:$E$104)&gt;=HU$3)*('حجز الإجازات'!$G$5:$G$104="معتمد")*ROW('حجز الإجازات'!$B$5:$B$104))=0,IF(HU$3&lt;'الموظفون'!$D$5,"",IF(ISNUMBER(MATCH(HU$3,Holidays,0)),"عطلة",IF(MOD(HU$3-'الموظفون'!$D$5,CycleWork+CycleRest)&lt;CycleWork,INDEX('الإعدادات والقوائم'!$H$2:$H$4,MOD(INT(MOD(HU$3-'الموظفون'!$D$5,CycleWork+CycleRest)*3/CycleWork)+MATCH(StartShift,'الإعدادات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الإجازات'!$D$5:$D$104&lt;=HU$3)*(('حجز الإجازات'!$E$5:$E$104)&gt;=HU$3)*('حجز الإجازات'!$G$5:$G$104="معتمد")*ROW('حجز الإجازات'!$B$5:$B$104)))-5+1))</f>
        <v/>
      </c>
      <c r="HV7" s="62">
        <f>IF(SUMPRODUCT(('حجز الإجازات'!$B$5:$B$104='الموظفون'!$B$5)*('حجز الإجازات'!$D$5:$D$104&lt;=HV$3)*(('حجز الإجازات'!$E$5:$E$104)&gt;=HV$3)*('حجز الإجازات'!$G$5:$G$104="معتمد")*ROW('حجز الإجازات'!$B$5:$B$104))=0,IF(HV$3&lt;'الموظفون'!$D$5,"",IF(ISNUMBER(MATCH(HV$3,Holidays,0)),"عطلة",IF(MOD(HV$3-'الموظفون'!$D$5,CycleWork+CycleRest)&lt;CycleWork,INDEX('الإعدادات والقوائم'!$H$2:$H$4,MOD(INT(MOD(HV$3-'الموظفون'!$D$5,CycleWork+CycleRest)*3/CycleWork)+MATCH(StartShift,'الإعدادات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الإجازات'!$D$5:$D$104&lt;=HV$3)*(('حجز الإجازات'!$E$5:$E$104)&gt;=HV$3)*('حجز الإجازات'!$G$5:$G$104="معتمد")*ROW('حجز الإجازات'!$B$5:$B$104)))-5+1))</f>
        <v/>
      </c>
      <c r="HW7" s="62">
        <f>IF(SUMPRODUCT(('حجز الإجازات'!$B$5:$B$104='الموظفون'!$B$5)*('حجز الإجازات'!$D$5:$D$104&lt;=HW$3)*(('حجز الإجازات'!$E$5:$E$104)&gt;=HW$3)*('حجز الإجازات'!$G$5:$G$104="معتمد")*ROW('حجز الإجازات'!$B$5:$B$104))=0,IF(HW$3&lt;'الموظفون'!$D$5,"",IF(ISNUMBER(MATCH(HW$3,Holidays,0)),"عطلة",IF(MOD(HW$3-'الموظفون'!$D$5,CycleWork+CycleRest)&lt;CycleWork,INDEX('الإعدادات والقوائم'!$H$2:$H$4,MOD(INT(MOD(HW$3-'الموظفون'!$D$5,CycleWork+CycleRest)*3/CycleWork)+MATCH(StartShift,'الإعدادات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الإجازات'!$D$5:$D$104&lt;=HW$3)*(('حجز الإجازات'!$E$5:$E$104)&gt;=HW$3)*('حجز الإجازات'!$G$5:$G$104="معتمد")*ROW('حجز الإجازات'!$B$5:$B$104)))-5+1))</f>
        <v/>
      </c>
      <c r="HX7" s="62">
        <f>IF(SUMPRODUCT(('حجز الإجازات'!$B$5:$B$104='الموظفون'!$B$5)*('حجز الإجازات'!$D$5:$D$104&lt;=HX$3)*(('حجز الإجازات'!$E$5:$E$104)&gt;=HX$3)*('حجز الإجازات'!$G$5:$G$104="معتمد")*ROW('حجز الإجازات'!$B$5:$B$104))=0,IF(HX$3&lt;'الموظفون'!$D$5,"",IF(ISNUMBER(MATCH(HX$3,Holidays,0)),"عطلة",IF(MOD(HX$3-'الموظفون'!$D$5,CycleWork+CycleRest)&lt;CycleWork,INDEX('الإعدادات والقوائم'!$H$2:$H$4,MOD(INT(MOD(HX$3-'الموظفون'!$D$5,CycleWork+CycleRest)*3/CycleWork)+MATCH(StartShift,'الإعدادات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الإجازات'!$D$5:$D$104&lt;=HX$3)*(('حجز الإجازات'!$E$5:$E$104)&gt;=HX$3)*('حجز الإجازات'!$G$5:$G$104="معتمد")*ROW('حجز الإجازات'!$B$5:$B$104)))-5+1))</f>
        <v/>
      </c>
      <c r="HY7" s="62">
        <f>IF(SUMPRODUCT(('حجز الإجازات'!$B$5:$B$104='الموظفون'!$B$5)*('حجز الإجازات'!$D$5:$D$104&lt;=HY$3)*(('حجز الإجازات'!$E$5:$E$104)&gt;=HY$3)*('حجز الإجازات'!$G$5:$G$104="معتمد")*ROW('حجز الإجازات'!$B$5:$B$104))=0,IF(HY$3&lt;'الموظفون'!$D$5,"",IF(ISNUMBER(MATCH(HY$3,Holidays,0)),"عطلة",IF(MOD(HY$3-'الموظفون'!$D$5,CycleWork+CycleRest)&lt;CycleWork,INDEX('الإعدادات والقوائم'!$H$2:$H$4,MOD(INT(MOD(HY$3-'الموظفون'!$D$5,CycleWork+CycleRest)*3/CycleWork)+MATCH(StartShift,'الإعدادات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الإجازات'!$D$5:$D$104&lt;=HY$3)*(('حجز الإجازات'!$E$5:$E$104)&gt;=HY$3)*('حجز الإجازات'!$G$5:$G$104="معتمد")*ROW('حجز الإجازات'!$B$5:$B$104)))-5+1))</f>
        <v/>
      </c>
      <c r="HZ7" s="62">
        <f>IF(SUMPRODUCT(('حجز الإجازات'!$B$5:$B$104='الموظفون'!$B$5)*('حجز الإجازات'!$D$5:$D$104&lt;=HZ$3)*(('حجز الإجازات'!$E$5:$E$104)&gt;=HZ$3)*('حجز الإجازات'!$G$5:$G$104="معتمد")*ROW('حجز الإجازات'!$B$5:$B$104))=0,IF(HZ$3&lt;'الموظفون'!$D$5,"",IF(ISNUMBER(MATCH(HZ$3,Holidays,0)),"عطلة",IF(MOD(HZ$3-'الموظفون'!$D$5,CycleWork+CycleRest)&lt;CycleWork,INDEX('الإعدادات والقوائم'!$H$2:$H$4,MOD(INT(MOD(HZ$3-'الموظفون'!$D$5,CycleWork+CycleRest)*3/CycleWork)+MATCH(StartShift,'الإعدادات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الإجازات'!$D$5:$D$104&lt;=HZ$3)*(('حجز الإجازات'!$E$5:$E$104)&gt;=HZ$3)*('حجز الإجازات'!$G$5:$G$104="معتمد")*ROW('حجز الإجازات'!$B$5:$B$104)))-5+1))</f>
        <v/>
      </c>
      <c r="IA7" s="62">
        <f>IF(SUMPRODUCT(('حجز الإجازات'!$B$5:$B$104='الموظفون'!$B$5)*('حجز الإجازات'!$D$5:$D$104&lt;=IA$3)*(('حجز الإجازات'!$E$5:$E$104)&gt;=IA$3)*('حجز الإجازات'!$G$5:$G$104="معتمد")*ROW('حجز الإجازات'!$B$5:$B$104))=0,IF(IA$3&lt;'الموظفون'!$D$5,"",IF(ISNUMBER(MATCH(IA$3,Holidays,0)),"عطلة",IF(MOD(IA$3-'الموظفون'!$D$5,CycleWork+CycleRest)&lt;CycleWork,INDEX('الإعدادات والقوائم'!$H$2:$H$4,MOD(INT(MOD(IA$3-'الموظفون'!$D$5,CycleWork+CycleRest)*3/CycleWork)+MATCH(StartShift,'الإعدادات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الإجازات'!$D$5:$D$104&lt;=IA$3)*(('حجز الإجازات'!$E$5:$E$104)&gt;=IA$3)*('حجز الإجازات'!$G$5:$G$104="معتمد")*ROW('حجز الإجازات'!$B$5:$B$104)))-5+1))</f>
        <v/>
      </c>
      <c r="IB7" s="62">
        <f>IF(SUMPRODUCT(('حجز الإجازات'!$B$5:$B$104='الموظفون'!$B$5)*('حجز الإجازات'!$D$5:$D$104&lt;=IB$3)*(('حجز الإجازات'!$E$5:$E$104)&gt;=IB$3)*('حجز الإجازات'!$G$5:$G$104="معتمد")*ROW('حجز الإجازات'!$B$5:$B$104))=0,IF(IB$3&lt;'الموظفون'!$D$5,"",IF(ISNUMBER(MATCH(IB$3,Holidays,0)),"عطلة",IF(MOD(IB$3-'الموظفون'!$D$5,CycleWork+CycleRest)&lt;CycleWork,INDEX('الإعدادات والقوائم'!$H$2:$H$4,MOD(INT(MOD(IB$3-'الموظفون'!$D$5,CycleWork+CycleRest)*3/CycleWork)+MATCH(StartShift,'الإعدادات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الإجازات'!$D$5:$D$104&lt;=IB$3)*(('حجز الإجازات'!$E$5:$E$104)&gt;=IB$3)*('حجز الإجازات'!$G$5:$G$104="معتمد")*ROW('حجز الإجازات'!$B$5:$B$104)))-5+1))</f>
        <v/>
      </c>
      <c r="IC7" s="62">
        <f>IF(SUMPRODUCT(('حجز الإجازات'!$B$5:$B$104='الموظفون'!$B$5)*('حجز الإجازات'!$D$5:$D$104&lt;=IC$3)*(('حجز الإجازات'!$E$5:$E$104)&gt;=IC$3)*('حجز الإجازات'!$G$5:$G$104="معتمد")*ROW('حجز الإجازات'!$B$5:$B$104))=0,IF(IC$3&lt;'الموظفون'!$D$5,"",IF(ISNUMBER(MATCH(IC$3,Holidays,0)),"عطلة",IF(MOD(IC$3-'الموظفون'!$D$5,CycleWork+CycleRest)&lt;CycleWork,INDEX('الإعدادات والقوائم'!$H$2:$H$4,MOD(INT(MOD(IC$3-'الموظفون'!$D$5,CycleWork+CycleRest)*3/CycleWork)+MATCH(StartShift,'الإعدادات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الإجازات'!$D$5:$D$104&lt;=IC$3)*(('حجز الإجازات'!$E$5:$E$104)&gt;=IC$3)*('حجز الإجازات'!$G$5:$G$104="معتمد")*ROW('حجز الإجازات'!$B$5:$B$104)))-5+1))</f>
        <v/>
      </c>
      <c r="ID7" s="62">
        <f>IF(SUMPRODUCT(('حجز الإجازات'!$B$5:$B$104='الموظفون'!$B$5)*('حجز الإجازات'!$D$5:$D$104&lt;=ID$3)*(('حجز الإجازات'!$E$5:$E$104)&gt;=ID$3)*('حجز الإجازات'!$G$5:$G$104="معتمد")*ROW('حجز الإجازات'!$B$5:$B$104))=0,IF(ID$3&lt;'الموظفون'!$D$5,"",IF(ISNUMBER(MATCH(ID$3,Holidays,0)),"عطلة",IF(MOD(ID$3-'الموظفون'!$D$5,CycleWork+CycleRest)&lt;CycleWork,INDEX('الإعدادات والقوائم'!$H$2:$H$4,MOD(INT(MOD(ID$3-'الموظفون'!$D$5,CycleWork+CycleRest)*3/CycleWork)+MATCH(StartShift,'الإعدادات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الإجازات'!$D$5:$D$104&lt;=ID$3)*(('حجز الإجازات'!$E$5:$E$104)&gt;=ID$3)*('حجز الإجازات'!$G$5:$G$104="معتمد")*ROW('حجز الإجازات'!$B$5:$B$104)))-5+1))</f>
        <v/>
      </c>
      <c r="IE7" s="62">
        <f>IF(SUMPRODUCT(('حجز الإجازات'!$B$5:$B$104='الموظفون'!$B$5)*('حجز الإجازات'!$D$5:$D$104&lt;=IE$3)*(('حجز الإجازات'!$E$5:$E$104)&gt;=IE$3)*('حجز الإجازات'!$G$5:$G$104="معتمد")*ROW('حجز الإجازات'!$B$5:$B$104))=0,IF(IE$3&lt;'الموظفون'!$D$5,"",IF(ISNUMBER(MATCH(IE$3,Holidays,0)),"عطلة",IF(MOD(IE$3-'الموظفون'!$D$5,CycleWork+CycleRest)&lt;CycleWork,INDEX('الإعدادات والقوائم'!$H$2:$H$4,MOD(INT(MOD(IE$3-'الموظفون'!$D$5,CycleWork+CycleRest)*3/CycleWork)+MATCH(StartShift,'الإعدادات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الإجازات'!$D$5:$D$104&lt;=IE$3)*(('حجز الإجازات'!$E$5:$E$104)&gt;=IE$3)*('حجز الإجازات'!$G$5:$G$104="معتمد")*ROW('حجز الإجازات'!$B$5:$B$104)))-5+1))</f>
        <v/>
      </c>
      <c r="IF7" s="62">
        <f>IF(SUMPRODUCT(('حجز الإجازات'!$B$5:$B$104='الموظفون'!$B$5)*('حجز الإجازات'!$D$5:$D$104&lt;=IF$3)*(('حجز الإجازات'!$E$5:$E$104)&gt;=IF$3)*('حجز الإجازات'!$G$5:$G$104="معتمد")*ROW('حجز الإجازات'!$B$5:$B$104))=0,IF(IF$3&lt;'الموظفون'!$D$5,"",IF(ISNUMBER(MATCH(IF$3,Holidays,0)),"عطلة",IF(MOD(IF$3-'الموظفون'!$D$5,CycleWork+CycleRest)&lt;CycleWork,INDEX('الإعدادات والقوائم'!$H$2:$H$4,MOD(INT(MOD(IF$3-'الموظفون'!$D$5,CycleWork+CycleRest)*3/CycleWork)+MATCH(StartShift,'الإعدادات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الإجازات'!$D$5:$D$104&lt;=IF$3)*(('حجز الإجازات'!$E$5:$E$104)&gt;=IF$3)*('حجز الإجازات'!$G$5:$G$104="معتمد")*ROW('حجز الإجازات'!$B$5:$B$104)))-5+1))</f>
        <v/>
      </c>
      <c r="IG7" s="62">
        <f>IF(SUMPRODUCT(('حجز الإجازات'!$B$5:$B$104='الموظفون'!$B$5)*('حجز الإجازات'!$D$5:$D$104&lt;=IG$3)*(('حجز الإجازات'!$E$5:$E$104)&gt;=IG$3)*('حجز الإجازات'!$G$5:$G$104="معتمد")*ROW('حجز الإجازات'!$B$5:$B$104))=0,IF(IG$3&lt;'الموظفون'!$D$5,"",IF(ISNUMBER(MATCH(IG$3,Holidays,0)),"عطلة",IF(MOD(IG$3-'الموظفون'!$D$5,CycleWork+CycleRest)&lt;CycleWork,INDEX('الإعدادات والقوائم'!$H$2:$H$4,MOD(INT(MOD(IG$3-'الموظفون'!$D$5,CycleWork+CycleRest)*3/CycleWork)+MATCH(StartShift,'الإعدادات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الإجازات'!$D$5:$D$104&lt;=IG$3)*(('حجز الإجازات'!$E$5:$E$104)&gt;=IG$3)*('حجز الإجازات'!$G$5:$G$104="معتمد")*ROW('حجز الإجازات'!$B$5:$B$104)))-5+1))</f>
        <v/>
      </c>
      <c r="IH7" s="62">
        <f>IF(SUMPRODUCT(('حجز الإجازات'!$B$5:$B$104='الموظفون'!$B$5)*('حجز الإجازات'!$D$5:$D$104&lt;=IH$3)*(('حجز الإجازات'!$E$5:$E$104)&gt;=IH$3)*('حجز الإجازات'!$G$5:$G$104="معتمد")*ROW('حجز الإجازات'!$B$5:$B$104))=0,IF(IH$3&lt;'الموظفون'!$D$5,"",IF(ISNUMBER(MATCH(IH$3,Holidays,0)),"عطلة",IF(MOD(IH$3-'الموظفون'!$D$5,CycleWork+CycleRest)&lt;CycleWork,INDEX('الإعدادات والقوائم'!$H$2:$H$4,MOD(INT(MOD(IH$3-'الموظفون'!$D$5,CycleWork+CycleRest)*3/CycleWork)+MATCH(StartShift,'الإعدادات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الإجازات'!$D$5:$D$104&lt;=IH$3)*(('حجز الإجازات'!$E$5:$E$104)&gt;=IH$3)*('حجز الإجازات'!$G$5:$G$104="معتمد")*ROW('حجز الإجازات'!$B$5:$B$104)))-5+1))</f>
        <v/>
      </c>
      <c r="II7" s="62">
        <f>IF(SUMPRODUCT(('حجز الإجازات'!$B$5:$B$104='الموظفون'!$B$5)*('حجز الإجازات'!$D$5:$D$104&lt;=II$3)*(('حجز الإجازات'!$E$5:$E$104)&gt;=II$3)*('حجز الإجازات'!$G$5:$G$104="معتمد")*ROW('حجز الإجازات'!$B$5:$B$104))=0,IF(II$3&lt;'الموظفون'!$D$5,"",IF(ISNUMBER(MATCH(II$3,Holidays,0)),"عطلة",IF(MOD(II$3-'الموظفون'!$D$5,CycleWork+CycleRest)&lt;CycleWork,INDEX('الإعدادات والقوائم'!$H$2:$H$4,MOD(INT(MOD(II$3-'الموظفون'!$D$5,CycleWork+CycleRest)*3/CycleWork)+MATCH(StartShift,'الإعدادات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الإجازات'!$D$5:$D$104&lt;=II$3)*(('حجز الإجازات'!$E$5:$E$104)&gt;=II$3)*('حجز الإجازات'!$G$5:$G$104="معتمد")*ROW('حجز الإجازات'!$B$5:$B$104)))-5+1))</f>
        <v/>
      </c>
      <c r="IJ7" s="62">
        <f>IF(SUMPRODUCT(('حجز الإجازات'!$B$5:$B$104='الموظفون'!$B$5)*('حجز الإجازات'!$D$5:$D$104&lt;=IJ$3)*(('حجز الإجازات'!$E$5:$E$104)&gt;=IJ$3)*('حجز الإجازات'!$G$5:$G$104="معتمد")*ROW('حجز الإجازات'!$B$5:$B$104))=0,IF(IJ$3&lt;'الموظفون'!$D$5,"",IF(ISNUMBER(MATCH(IJ$3,Holidays,0)),"عطلة",IF(MOD(IJ$3-'الموظفون'!$D$5,CycleWork+CycleRest)&lt;CycleWork,INDEX('الإعدادات والقوائم'!$H$2:$H$4,MOD(INT(MOD(IJ$3-'الموظفون'!$D$5,CycleWork+CycleRest)*3/CycleWork)+MATCH(StartShift,'الإعدادات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الإجازات'!$D$5:$D$104&lt;=IJ$3)*(('حجز الإجازات'!$E$5:$E$104)&gt;=IJ$3)*('حجز الإجازات'!$G$5:$G$104="معتمد")*ROW('حجز الإجازات'!$B$5:$B$104)))-5+1))</f>
        <v/>
      </c>
      <c r="IK7" s="62">
        <f>IF(SUMPRODUCT(('حجز الإجازات'!$B$5:$B$104='الموظفون'!$B$5)*('حجز الإجازات'!$D$5:$D$104&lt;=IK$3)*(('حجز الإجازات'!$E$5:$E$104)&gt;=IK$3)*('حجز الإجازات'!$G$5:$G$104="معتمد")*ROW('حجز الإجازات'!$B$5:$B$104))=0,IF(IK$3&lt;'الموظفون'!$D$5,"",IF(ISNUMBER(MATCH(IK$3,Holidays,0)),"عطلة",IF(MOD(IK$3-'الموظفون'!$D$5,CycleWork+CycleRest)&lt;CycleWork,INDEX('الإعدادات والقوائم'!$H$2:$H$4,MOD(INT(MOD(IK$3-'الموظفون'!$D$5,CycleWork+CycleRest)*3/CycleWork)+MATCH(StartShift,'الإعدادات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الإجازات'!$D$5:$D$104&lt;=IK$3)*(('حجز الإجازات'!$E$5:$E$104)&gt;=IK$3)*('حجز الإجازات'!$G$5:$G$104="معتمد")*ROW('حجز الإجازات'!$B$5:$B$104)))-5+1))</f>
        <v/>
      </c>
      <c r="IL7" s="62">
        <f>IF(SUMPRODUCT(('حجز الإجازات'!$B$5:$B$104='الموظفون'!$B$5)*('حجز الإجازات'!$D$5:$D$104&lt;=IL$3)*(('حجز الإجازات'!$E$5:$E$104)&gt;=IL$3)*('حجز الإجازات'!$G$5:$G$104="معتمد")*ROW('حجز الإجازات'!$B$5:$B$104))=0,IF(IL$3&lt;'الموظفون'!$D$5,"",IF(ISNUMBER(MATCH(IL$3,Holidays,0)),"عطلة",IF(MOD(IL$3-'الموظفون'!$D$5,CycleWork+CycleRest)&lt;CycleWork,INDEX('الإعدادات والقوائم'!$H$2:$H$4,MOD(INT(MOD(IL$3-'الموظفون'!$D$5,CycleWork+CycleRest)*3/CycleWork)+MATCH(StartShift,'الإعدادات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الإجازات'!$D$5:$D$104&lt;=IL$3)*(('حجز الإجازات'!$E$5:$E$104)&gt;=IL$3)*('حجز الإجازات'!$G$5:$G$104="معتمد")*ROW('حجز الإجازات'!$B$5:$B$104)))-5+1))</f>
        <v/>
      </c>
      <c r="IM7" s="62">
        <f>IF(SUMPRODUCT(('حجز الإجازات'!$B$5:$B$104='الموظفون'!$B$5)*('حجز الإجازات'!$D$5:$D$104&lt;=IM$3)*(('حجز الإجازات'!$E$5:$E$104)&gt;=IM$3)*('حجز الإجازات'!$G$5:$G$104="معتمد")*ROW('حجز الإجازات'!$B$5:$B$104))=0,IF(IM$3&lt;'الموظفون'!$D$5,"",IF(ISNUMBER(MATCH(IM$3,Holidays,0)),"عطلة",IF(MOD(IM$3-'الموظفون'!$D$5,CycleWork+CycleRest)&lt;CycleWork,INDEX('الإعدادات والقوائم'!$H$2:$H$4,MOD(INT(MOD(IM$3-'الموظفون'!$D$5,CycleWork+CycleRest)*3/CycleWork)+MATCH(StartShift,'الإعدادات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الإجازات'!$D$5:$D$104&lt;=IM$3)*(('حجز الإجازات'!$E$5:$E$104)&gt;=IM$3)*('حجز الإجازات'!$G$5:$G$104="معتمد")*ROW('حجز الإجازات'!$B$5:$B$104)))-5+1))</f>
        <v/>
      </c>
      <c r="IN7" s="62">
        <f>IF(SUMPRODUCT(('حجز الإجازات'!$B$5:$B$104='الموظفون'!$B$5)*('حجز الإجازات'!$D$5:$D$104&lt;=IN$3)*(('حجز الإجازات'!$E$5:$E$104)&gt;=IN$3)*('حجز الإجازات'!$G$5:$G$104="معتمد")*ROW('حجز الإجازات'!$B$5:$B$104))=0,IF(IN$3&lt;'الموظفون'!$D$5,"",IF(ISNUMBER(MATCH(IN$3,Holidays,0)),"عطلة",IF(MOD(IN$3-'الموظفون'!$D$5,CycleWork+CycleRest)&lt;CycleWork,INDEX('الإعدادات والقوائم'!$H$2:$H$4,MOD(INT(MOD(IN$3-'الموظفون'!$D$5,CycleWork+CycleRest)*3/CycleWork)+MATCH(StartShift,'الإعدادات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الإجازات'!$D$5:$D$104&lt;=IN$3)*(('حجز الإجازات'!$E$5:$E$104)&gt;=IN$3)*('حجز الإجازات'!$G$5:$G$104="معتمد")*ROW('حجز الإجازات'!$B$5:$B$104)))-5+1))</f>
        <v/>
      </c>
      <c r="IO7" s="62">
        <f>IF(SUMPRODUCT(('حجز الإجازات'!$B$5:$B$104='الموظفون'!$B$5)*('حجز الإجازات'!$D$5:$D$104&lt;=IO$3)*(('حجز الإجازات'!$E$5:$E$104)&gt;=IO$3)*('حجز الإجازات'!$G$5:$G$104="معتمد")*ROW('حجز الإجازات'!$B$5:$B$104))=0,IF(IO$3&lt;'الموظفون'!$D$5,"",IF(ISNUMBER(MATCH(IO$3,Holidays,0)),"عطلة",IF(MOD(IO$3-'الموظفون'!$D$5,CycleWork+CycleRest)&lt;CycleWork,INDEX('الإعدادات والقوائم'!$H$2:$H$4,MOD(INT(MOD(IO$3-'الموظفون'!$D$5,CycleWork+CycleRest)*3/CycleWork)+MATCH(StartShift,'الإعدادات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الإجازات'!$D$5:$D$104&lt;=IO$3)*(('حجز الإجازات'!$E$5:$E$104)&gt;=IO$3)*('حجز الإجازات'!$G$5:$G$104="معتمد")*ROW('حجز الإجازات'!$B$5:$B$104)))-5+1))</f>
        <v/>
      </c>
      <c r="IP7" s="62">
        <f>IF(SUMPRODUCT(('حجز الإجازات'!$B$5:$B$104='الموظفون'!$B$5)*('حجز الإجازات'!$D$5:$D$104&lt;=IP$3)*(('حجز الإجازات'!$E$5:$E$104)&gt;=IP$3)*('حجز الإجازات'!$G$5:$G$104="معتمد")*ROW('حجز الإجازات'!$B$5:$B$104))=0,IF(IP$3&lt;'الموظفون'!$D$5,"",IF(ISNUMBER(MATCH(IP$3,Holidays,0)),"عطلة",IF(MOD(IP$3-'الموظفون'!$D$5,CycleWork+CycleRest)&lt;CycleWork,INDEX('الإعدادات والقوائم'!$H$2:$H$4,MOD(INT(MOD(IP$3-'الموظفون'!$D$5,CycleWork+CycleRest)*3/CycleWork)+MATCH(StartShift,'الإعدادات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الإجازات'!$D$5:$D$104&lt;=IP$3)*(('حجز الإجازات'!$E$5:$E$104)&gt;=IP$3)*('حجز الإجازات'!$G$5:$G$104="معتمد")*ROW('حجز الإجازات'!$B$5:$B$104)))-5+1))</f>
        <v/>
      </c>
      <c r="IQ7" s="62">
        <f>IF(SUMPRODUCT(('حجز الإجازات'!$B$5:$B$104='الموظفون'!$B$5)*('حجز الإجازات'!$D$5:$D$104&lt;=IQ$3)*(('حجز الإجازات'!$E$5:$E$104)&gt;=IQ$3)*('حجز الإجازات'!$G$5:$G$104="معتمد")*ROW('حجز الإجازات'!$B$5:$B$104))=0,IF(IQ$3&lt;'الموظفون'!$D$5,"",IF(ISNUMBER(MATCH(IQ$3,Holidays,0)),"عطلة",IF(MOD(IQ$3-'الموظفون'!$D$5,CycleWork+CycleRest)&lt;CycleWork,INDEX('الإعدادات والقوائم'!$H$2:$H$4,MOD(INT(MOD(IQ$3-'الموظفون'!$D$5,CycleWork+CycleRest)*3/CycleWork)+MATCH(StartShift,'الإعدادات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الإجازات'!$D$5:$D$104&lt;=IQ$3)*(('حجز الإجازات'!$E$5:$E$104)&gt;=IQ$3)*('حجز الإجازات'!$G$5:$G$104="معتمد")*ROW('حجز الإجازات'!$B$5:$B$104)))-5+1))</f>
        <v/>
      </c>
      <c r="IR7" s="62">
        <f>IF(SUMPRODUCT(('حجز الإجازات'!$B$5:$B$104='الموظفون'!$B$5)*('حجز الإجازات'!$D$5:$D$104&lt;=IR$3)*(('حجز الإجازات'!$E$5:$E$104)&gt;=IR$3)*('حجز الإجازات'!$G$5:$G$104="معتمد")*ROW('حجز الإجازات'!$B$5:$B$104))=0,IF(IR$3&lt;'الموظفون'!$D$5,"",IF(ISNUMBER(MATCH(IR$3,Holidays,0)),"عطلة",IF(MOD(IR$3-'الموظفون'!$D$5,CycleWork+CycleRest)&lt;CycleWork,INDEX('الإعدادات والقوائم'!$H$2:$H$4,MOD(INT(MOD(IR$3-'الموظفون'!$D$5,CycleWork+CycleRest)*3/CycleWork)+MATCH(StartShift,'الإعدادات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الإجازات'!$D$5:$D$104&lt;=IR$3)*(('حجز الإجازات'!$E$5:$E$104)&gt;=IR$3)*('حجز الإجازات'!$G$5:$G$104="معتمد")*ROW('حجز الإجازات'!$B$5:$B$104)))-5+1))</f>
        <v/>
      </c>
      <c r="IS7" s="62">
        <f>IF(SUMPRODUCT(('حجز الإجازات'!$B$5:$B$104='الموظفون'!$B$5)*('حجز الإجازات'!$D$5:$D$104&lt;=IS$3)*(('حجز الإجازات'!$E$5:$E$104)&gt;=IS$3)*('حجز الإجازات'!$G$5:$G$104="معتمد")*ROW('حجز الإجازات'!$B$5:$B$104))=0,IF(IS$3&lt;'الموظفون'!$D$5,"",IF(ISNUMBER(MATCH(IS$3,Holidays,0)),"عطلة",IF(MOD(IS$3-'الموظفون'!$D$5,CycleWork+CycleRest)&lt;CycleWork,INDEX('الإعدادات والقوائم'!$H$2:$H$4,MOD(INT(MOD(IS$3-'الموظفون'!$D$5,CycleWork+CycleRest)*3/CycleWork)+MATCH(StartShift,'الإعدادات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الإجازات'!$D$5:$D$104&lt;=IS$3)*(('حجز الإجازات'!$E$5:$E$104)&gt;=IS$3)*('حجز الإجازات'!$G$5:$G$104="معتمد")*ROW('حجز الإجازات'!$B$5:$B$104)))-5+1))</f>
        <v/>
      </c>
      <c r="IT7" s="62">
        <f>IF(SUMPRODUCT(('حجز الإجازات'!$B$5:$B$104='الموظفون'!$B$5)*('حجز الإجازات'!$D$5:$D$104&lt;=IT$3)*(('حجز الإجازات'!$E$5:$E$104)&gt;=IT$3)*('حجز الإجازات'!$G$5:$G$104="معتمد")*ROW('حجز الإجازات'!$B$5:$B$104))=0,IF(IT$3&lt;'الموظفون'!$D$5,"",IF(ISNUMBER(MATCH(IT$3,Holidays,0)),"عطلة",IF(MOD(IT$3-'الموظفون'!$D$5,CycleWork+CycleRest)&lt;CycleWork,INDEX('الإعدادات والقوائم'!$H$2:$H$4,MOD(INT(MOD(IT$3-'الموظفون'!$D$5,CycleWork+CycleRest)*3/CycleWork)+MATCH(StartShift,'الإعدادات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الإجازات'!$D$5:$D$104&lt;=IT$3)*(('حجز الإجازات'!$E$5:$E$104)&gt;=IT$3)*('حجز الإجازات'!$G$5:$G$104="معتمد")*ROW('حجز الإجازات'!$B$5:$B$104)))-5+1))</f>
        <v/>
      </c>
      <c r="IU7" s="62">
        <f>IF(SUMPRODUCT(('حجز الإجازات'!$B$5:$B$104='الموظفون'!$B$5)*('حجز الإجازات'!$D$5:$D$104&lt;=IU$3)*(('حجز الإجازات'!$E$5:$E$104)&gt;=IU$3)*('حجز الإجازات'!$G$5:$G$104="معتمد")*ROW('حجز الإجازات'!$B$5:$B$104))=0,IF(IU$3&lt;'الموظفون'!$D$5,"",IF(ISNUMBER(MATCH(IU$3,Holidays,0)),"عطلة",IF(MOD(IU$3-'الموظفون'!$D$5,CycleWork+CycleRest)&lt;CycleWork,INDEX('الإعدادات والقوائم'!$H$2:$H$4,MOD(INT(MOD(IU$3-'الموظفون'!$D$5,CycleWork+CycleRest)*3/CycleWork)+MATCH(StartShift,'الإعدادات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الإجازات'!$D$5:$D$104&lt;=IU$3)*(('حجز الإجازات'!$E$5:$E$104)&gt;=IU$3)*('حجز الإجازات'!$G$5:$G$104="معتمد")*ROW('حجز الإجازات'!$B$5:$B$104)))-5+1))</f>
        <v/>
      </c>
      <c r="IV7" s="62">
        <f>IF(SUMPRODUCT(('حجز الإجازات'!$B$5:$B$104='الموظفون'!$B$5)*('حجز الإجازات'!$D$5:$D$104&lt;=IV$3)*(('حجز الإجازات'!$E$5:$E$104)&gt;=IV$3)*('حجز الإجازات'!$G$5:$G$104="معتمد")*ROW('حجز الإجازات'!$B$5:$B$104))=0,IF(IV$3&lt;'الموظفون'!$D$5,"",IF(ISNUMBER(MATCH(IV$3,Holidays,0)),"عطلة",IF(MOD(IV$3-'الموظفون'!$D$5,CycleWork+CycleRest)&lt;CycleWork,INDEX('الإعدادات والقوائم'!$H$2:$H$4,MOD(INT(MOD(IV$3-'الموظفون'!$D$5,CycleWork+CycleRest)*3/CycleWork)+MATCH(StartShift,'الإعدادات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الإجازات'!$D$5:$D$104&lt;=IV$3)*(('حجز الإجازات'!$E$5:$E$104)&gt;=IV$3)*('حجز الإجازات'!$G$5:$G$104="معتمد")*ROW('حجز الإجازات'!$B$5:$B$104)))-5+1))</f>
        <v/>
      </c>
      <c r="IW7" s="62">
        <f>IF(SUMPRODUCT(('حجز الإجازات'!$B$5:$B$104='الموظفون'!$B$5)*('حجز الإجازات'!$D$5:$D$104&lt;=IW$3)*(('حجز الإجازات'!$E$5:$E$104)&gt;=IW$3)*('حجز الإجازات'!$G$5:$G$104="معتمد")*ROW('حجز الإجازات'!$B$5:$B$104))=0,IF(IW$3&lt;'الموظفون'!$D$5,"",IF(ISNUMBER(MATCH(IW$3,Holidays,0)),"عطلة",IF(MOD(IW$3-'الموظفون'!$D$5,CycleWork+CycleRest)&lt;CycleWork,INDEX('الإعدادات والقوائم'!$H$2:$H$4,MOD(INT(MOD(IW$3-'الموظفون'!$D$5,CycleWork+CycleRest)*3/CycleWork)+MATCH(StartShift,'الإعدادات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الإجازات'!$D$5:$D$104&lt;=IW$3)*(('حجز الإجازات'!$E$5:$E$104)&gt;=IW$3)*('حجز الإجازات'!$G$5:$G$104="معتمد")*ROW('حجز الإجازات'!$B$5:$B$104)))-5+1))</f>
        <v/>
      </c>
      <c r="IX7" s="62">
        <f>IF(SUMPRODUCT(('حجز الإجازات'!$B$5:$B$104='الموظفون'!$B$5)*('حجز الإجازات'!$D$5:$D$104&lt;=IX$3)*(('حجز الإجازات'!$E$5:$E$104)&gt;=IX$3)*('حجز الإجازات'!$G$5:$G$104="معتمد")*ROW('حجز الإجازات'!$B$5:$B$104))=0,IF(IX$3&lt;'الموظفون'!$D$5,"",IF(ISNUMBER(MATCH(IX$3,Holidays,0)),"عطلة",IF(MOD(IX$3-'الموظفون'!$D$5,CycleWork+CycleRest)&lt;CycleWork,INDEX('الإعدادات والقوائم'!$H$2:$H$4,MOD(INT(MOD(IX$3-'الموظفون'!$D$5,CycleWork+CycleRest)*3/CycleWork)+MATCH(StartShift,'الإعدادات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الإجازات'!$D$5:$D$104&lt;=IX$3)*(('حجز الإجازات'!$E$5:$E$104)&gt;=IX$3)*('حجز الإجازات'!$G$5:$G$104="معتمد")*ROW('حجز الإجازات'!$B$5:$B$104)))-5+1))</f>
        <v/>
      </c>
      <c r="IY7" s="62">
        <f>IF(SUMPRODUCT(('حجز الإجازات'!$B$5:$B$104='الموظفون'!$B$5)*('حجز الإجازات'!$D$5:$D$104&lt;=IY$3)*(('حجز الإجازات'!$E$5:$E$104)&gt;=IY$3)*('حجز الإجازات'!$G$5:$G$104="معتمد")*ROW('حجز الإجازات'!$B$5:$B$104))=0,IF(IY$3&lt;'الموظفون'!$D$5,"",IF(ISNUMBER(MATCH(IY$3,Holidays,0)),"عطلة",IF(MOD(IY$3-'الموظفون'!$D$5,CycleWork+CycleRest)&lt;CycleWork,INDEX('الإعدادات والقوائم'!$H$2:$H$4,MOD(INT(MOD(IY$3-'الموظفون'!$D$5,CycleWork+CycleRest)*3/CycleWork)+MATCH(StartShift,'الإعدادات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الإجازات'!$D$5:$D$104&lt;=IY$3)*(('حجز الإجازات'!$E$5:$E$104)&gt;=IY$3)*('حجز الإجازات'!$G$5:$G$104="معتمد")*ROW('حجز الإجازات'!$B$5:$B$104)))-5+1))</f>
        <v/>
      </c>
      <c r="IZ7" s="62">
        <f>IF(SUMPRODUCT(('حجز الإجازات'!$B$5:$B$104='الموظفون'!$B$5)*('حجز الإجازات'!$D$5:$D$104&lt;=IZ$3)*(('حجز الإجازات'!$E$5:$E$104)&gt;=IZ$3)*('حجز الإجازات'!$G$5:$G$104="معتمد")*ROW('حجز الإجازات'!$B$5:$B$104))=0,IF(IZ$3&lt;'الموظفون'!$D$5,"",IF(ISNUMBER(MATCH(IZ$3,Holidays,0)),"عطلة",IF(MOD(IZ$3-'الموظفون'!$D$5,CycleWork+CycleRest)&lt;CycleWork,INDEX('الإعدادات والقوائم'!$H$2:$H$4,MOD(INT(MOD(IZ$3-'الموظفون'!$D$5,CycleWork+CycleRest)*3/CycleWork)+MATCH(StartShift,'الإعدادات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الإجازات'!$D$5:$D$104&lt;=IZ$3)*(('حجز الإجازات'!$E$5:$E$104)&gt;=IZ$3)*('حجز الإجازات'!$G$5:$G$104="معتمد")*ROW('حجز الإجازات'!$B$5:$B$104)))-5+1))</f>
        <v/>
      </c>
      <c r="JA7" s="62">
        <f>IF(SUMPRODUCT(('حجز الإجازات'!$B$5:$B$104='الموظفون'!$B$5)*('حجز الإجازات'!$D$5:$D$104&lt;=JA$3)*(('حجز الإجازات'!$E$5:$E$104)&gt;=JA$3)*('حجز الإجازات'!$G$5:$G$104="معتمد")*ROW('حجز الإجازات'!$B$5:$B$104))=0,IF(JA$3&lt;'الموظفون'!$D$5,"",IF(ISNUMBER(MATCH(JA$3,Holidays,0)),"عطلة",IF(MOD(JA$3-'الموظفون'!$D$5,CycleWork+CycleRest)&lt;CycleWork,INDEX('الإعدادات والقوائم'!$H$2:$H$4,MOD(INT(MOD(JA$3-'الموظفون'!$D$5,CycleWork+CycleRest)*3/CycleWork)+MATCH(StartShift,'الإعدادات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الإجازات'!$D$5:$D$104&lt;=JA$3)*(('حجز الإجازات'!$E$5:$E$104)&gt;=JA$3)*('حجز الإجازات'!$G$5:$G$104="معتمد")*ROW('حجز الإجازات'!$B$5:$B$104)))-5+1))</f>
        <v/>
      </c>
      <c r="JB7" s="62">
        <f>IF(SUMPRODUCT(('حجز الإجازات'!$B$5:$B$104='الموظفون'!$B$5)*('حجز الإجازات'!$D$5:$D$104&lt;=JB$3)*(('حجز الإجازات'!$E$5:$E$104)&gt;=JB$3)*('حجز الإجازات'!$G$5:$G$104="معتمد")*ROW('حجز الإجازات'!$B$5:$B$104))=0,IF(JB$3&lt;'الموظفون'!$D$5,"",IF(ISNUMBER(MATCH(JB$3,Holidays,0)),"عطلة",IF(MOD(JB$3-'الموظفون'!$D$5,CycleWork+CycleRest)&lt;CycleWork,INDEX('الإعدادات والقوائم'!$H$2:$H$4,MOD(INT(MOD(JB$3-'الموظفون'!$D$5,CycleWork+CycleRest)*3/CycleWork)+MATCH(StartShift,'الإعدادات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الإجازات'!$D$5:$D$104&lt;=JB$3)*(('حجز الإجازات'!$E$5:$E$104)&gt;=JB$3)*('حجز الإجازات'!$G$5:$G$104="معتمد")*ROW('حجز الإجازات'!$B$5:$B$104)))-5+1))</f>
        <v/>
      </c>
      <c r="JC7" s="62">
        <f>IF(SUMPRODUCT(('حجز الإجازات'!$B$5:$B$104='الموظفون'!$B$5)*('حجز الإجازات'!$D$5:$D$104&lt;=JC$3)*(('حجز الإجازات'!$E$5:$E$104)&gt;=JC$3)*('حجز الإجازات'!$G$5:$G$104="معتمد")*ROW('حجز الإجازات'!$B$5:$B$104))=0,IF(JC$3&lt;'الموظفون'!$D$5,"",IF(ISNUMBER(MATCH(JC$3,Holidays,0)),"عطلة",IF(MOD(JC$3-'الموظفون'!$D$5,CycleWork+CycleRest)&lt;CycleWork,INDEX('الإعدادات والقوائم'!$H$2:$H$4,MOD(INT(MOD(JC$3-'الموظفون'!$D$5,CycleWork+CycleRest)*3/CycleWork)+MATCH(StartShift,'الإعدادات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الإجازات'!$D$5:$D$104&lt;=JC$3)*(('حجز الإجازات'!$E$5:$E$104)&gt;=JC$3)*('حجز الإجازات'!$G$5:$G$104="معتمد")*ROW('حجز الإجازات'!$B$5:$B$104)))-5+1))</f>
        <v/>
      </c>
      <c r="JD7" s="62">
        <f>IF(SUMPRODUCT(('حجز الإجازات'!$B$5:$B$104='الموظفون'!$B$5)*('حجز الإجازات'!$D$5:$D$104&lt;=JD$3)*(('حجز الإجازات'!$E$5:$E$104)&gt;=JD$3)*('حجز الإجازات'!$G$5:$G$104="معتمد")*ROW('حجز الإجازات'!$B$5:$B$104))=0,IF(JD$3&lt;'الموظفون'!$D$5,"",IF(ISNUMBER(MATCH(JD$3,Holidays,0)),"عطلة",IF(MOD(JD$3-'الموظفون'!$D$5,CycleWork+CycleRest)&lt;CycleWork,INDEX('الإعدادات والقوائم'!$H$2:$H$4,MOD(INT(MOD(JD$3-'الموظفون'!$D$5,CycleWork+CycleRest)*3/CycleWork)+MATCH(StartShift,'الإعدادات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الإجازات'!$D$5:$D$104&lt;=JD$3)*(('حجز الإجازات'!$E$5:$E$104)&gt;=JD$3)*('حجز الإجازات'!$G$5:$G$104="معتمد")*ROW('حجز الإجازات'!$B$5:$B$104)))-5+1))</f>
        <v/>
      </c>
      <c r="JE7" s="62">
        <f>IF(SUMPRODUCT(('حجز الإجازات'!$B$5:$B$104='الموظفون'!$B$5)*('حجز الإجازات'!$D$5:$D$104&lt;=JE$3)*(('حجز الإجازات'!$E$5:$E$104)&gt;=JE$3)*('حجز الإجازات'!$G$5:$G$104="معتمد")*ROW('حجز الإجازات'!$B$5:$B$104))=0,IF(JE$3&lt;'الموظفون'!$D$5,"",IF(ISNUMBER(MATCH(JE$3,Holidays,0)),"عطلة",IF(MOD(JE$3-'الموظفون'!$D$5,CycleWork+CycleRest)&lt;CycleWork,INDEX('الإعدادات والقوائم'!$H$2:$H$4,MOD(INT(MOD(JE$3-'الموظفون'!$D$5,CycleWork+CycleRest)*3/CycleWork)+MATCH(StartShift,'الإعدادات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الإجازات'!$D$5:$D$104&lt;=JE$3)*(('حجز الإجازات'!$E$5:$E$104)&gt;=JE$3)*('حجز الإجازات'!$G$5:$G$104="معتمد")*ROW('حجز الإجازات'!$B$5:$B$104)))-5+1))</f>
        <v/>
      </c>
      <c r="JF7" s="62">
        <f>IF(SUMPRODUCT(('حجز الإجازات'!$B$5:$B$104='الموظفون'!$B$5)*('حجز الإجازات'!$D$5:$D$104&lt;=JF$3)*(('حجز الإجازات'!$E$5:$E$104)&gt;=JF$3)*('حجز الإجازات'!$G$5:$G$104="معتمد")*ROW('حجز الإجازات'!$B$5:$B$104))=0,IF(JF$3&lt;'الموظفون'!$D$5,"",IF(ISNUMBER(MATCH(JF$3,Holidays,0)),"عطلة",IF(MOD(JF$3-'الموظفون'!$D$5,CycleWork+CycleRest)&lt;CycleWork,INDEX('الإعدادات والقوائم'!$H$2:$H$4,MOD(INT(MOD(JF$3-'الموظفون'!$D$5,CycleWork+CycleRest)*3/CycleWork)+MATCH(StartShift,'الإعدادات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الإجازات'!$D$5:$D$104&lt;=JF$3)*(('حجز الإجازات'!$E$5:$E$104)&gt;=JF$3)*('حجز الإجازات'!$G$5:$G$104="معتمد")*ROW('حجز الإجازات'!$B$5:$B$104)))-5+1))</f>
        <v/>
      </c>
      <c r="JG7" s="62">
        <f>IF(SUMPRODUCT(('حجز الإجازات'!$B$5:$B$104='الموظفون'!$B$5)*('حجز الإجازات'!$D$5:$D$104&lt;=JG$3)*(('حجز الإجازات'!$E$5:$E$104)&gt;=JG$3)*('حجز الإجازات'!$G$5:$G$104="معتمد")*ROW('حجز الإجازات'!$B$5:$B$104))=0,IF(JG$3&lt;'الموظفون'!$D$5,"",IF(ISNUMBER(MATCH(JG$3,Holidays,0)),"عطلة",IF(MOD(JG$3-'الموظفون'!$D$5,CycleWork+CycleRest)&lt;CycleWork,INDEX('الإعدادات والقوائم'!$H$2:$H$4,MOD(INT(MOD(JG$3-'الموظفون'!$D$5,CycleWork+CycleRest)*3/CycleWork)+MATCH(StartShift,'الإعدادات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الإجازات'!$D$5:$D$104&lt;=JG$3)*(('حجز الإجازات'!$E$5:$E$104)&gt;=JG$3)*('حجز الإجازات'!$G$5:$G$104="معتمد")*ROW('حجز الإجازات'!$B$5:$B$104)))-5+1))</f>
        <v/>
      </c>
      <c r="JH7" s="62">
        <f>IF(SUMPRODUCT(('حجز الإجازات'!$B$5:$B$104='الموظفون'!$B$5)*('حجز الإجازات'!$D$5:$D$104&lt;=JH$3)*(('حجز الإجازات'!$E$5:$E$104)&gt;=JH$3)*('حجز الإجازات'!$G$5:$G$104="معتمد")*ROW('حجز الإجازات'!$B$5:$B$104))=0,IF(JH$3&lt;'الموظفون'!$D$5,"",IF(ISNUMBER(MATCH(JH$3,Holidays,0)),"عطلة",IF(MOD(JH$3-'الموظفون'!$D$5,CycleWork+CycleRest)&lt;CycleWork,INDEX('الإعدادات والقوائم'!$H$2:$H$4,MOD(INT(MOD(JH$3-'الموظفون'!$D$5,CycleWork+CycleRest)*3/CycleWork)+MATCH(StartShift,'الإعدادات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الإجازات'!$D$5:$D$104&lt;=JH$3)*(('حجز الإجازات'!$E$5:$E$104)&gt;=JH$3)*('حجز الإجازات'!$G$5:$G$104="معتمد")*ROW('حجز الإجازات'!$B$5:$B$104)))-5+1))</f>
        <v/>
      </c>
      <c r="JI7" s="62">
        <f>IF(SUMPRODUCT(('حجز الإجازات'!$B$5:$B$104='الموظفون'!$B$5)*('حجز الإجازات'!$D$5:$D$104&lt;=JI$3)*(('حجز الإجازات'!$E$5:$E$104)&gt;=JI$3)*('حجز الإجازات'!$G$5:$G$104="معتمد")*ROW('حجز الإجازات'!$B$5:$B$104))=0,IF(JI$3&lt;'الموظفون'!$D$5,"",IF(ISNUMBER(MATCH(JI$3,Holidays,0)),"عطلة",IF(MOD(JI$3-'الموظفون'!$D$5,CycleWork+CycleRest)&lt;CycleWork,INDEX('الإعدادات والقوائم'!$H$2:$H$4,MOD(INT(MOD(JI$3-'الموظفون'!$D$5,CycleWork+CycleRest)*3/CycleWork)+MATCH(StartShift,'الإعدادات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الإجازات'!$D$5:$D$104&lt;=JI$3)*(('حجز الإجازات'!$E$5:$E$104)&gt;=JI$3)*('حجز الإجازات'!$G$5:$G$104="معتمد")*ROW('حجز الإجازات'!$B$5:$B$104)))-5+1))</f>
        <v/>
      </c>
      <c r="JJ7" s="62">
        <f>IF(SUMPRODUCT(('حجز الإجازات'!$B$5:$B$104='الموظفون'!$B$5)*('حجز الإجازات'!$D$5:$D$104&lt;=JJ$3)*(('حجز الإجازات'!$E$5:$E$104)&gt;=JJ$3)*('حجز الإجازات'!$G$5:$G$104="معتمد")*ROW('حجز الإجازات'!$B$5:$B$104))=0,IF(JJ$3&lt;'الموظفون'!$D$5,"",IF(ISNUMBER(MATCH(JJ$3,Holidays,0)),"عطلة",IF(MOD(JJ$3-'الموظفون'!$D$5,CycleWork+CycleRest)&lt;CycleWork,INDEX('الإعدادات والقوائم'!$H$2:$H$4,MOD(INT(MOD(JJ$3-'الموظفون'!$D$5,CycleWork+CycleRest)*3/CycleWork)+MATCH(StartShift,'الإعدادات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الإجازات'!$D$5:$D$104&lt;=JJ$3)*(('حجز الإجازات'!$E$5:$E$104)&gt;=JJ$3)*('حجز الإجازات'!$G$5:$G$104="معتمد")*ROW('حجز الإجازات'!$B$5:$B$104)))-5+1))</f>
        <v/>
      </c>
      <c r="JK7" s="62">
        <f>IF(SUMPRODUCT(('حجز الإجازات'!$B$5:$B$104='الموظفون'!$B$5)*('حجز الإجازات'!$D$5:$D$104&lt;=JK$3)*(('حجز الإجازات'!$E$5:$E$104)&gt;=JK$3)*('حجز الإجازات'!$G$5:$G$104="معتمد")*ROW('حجز الإجازات'!$B$5:$B$104))=0,IF(JK$3&lt;'الموظفون'!$D$5,"",IF(ISNUMBER(MATCH(JK$3,Holidays,0)),"عطلة",IF(MOD(JK$3-'الموظفون'!$D$5,CycleWork+CycleRest)&lt;CycleWork,INDEX('الإعدادات والقوائم'!$H$2:$H$4,MOD(INT(MOD(JK$3-'الموظفون'!$D$5,CycleWork+CycleRest)*3/CycleWork)+MATCH(StartShift,'الإعدادات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الإجازات'!$D$5:$D$104&lt;=JK$3)*(('حجز الإجازات'!$E$5:$E$104)&gt;=JK$3)*('حجز الإجازات'!$G$5:$G$104="معتمد")*ROW('حجز الإجازات'!$B$5:$B$104)))-5+1))</f>
        <v/>
      </c>
      <c r="JL7" s="62">
        <f>IF(SUMPRODUCT(('حجز الإجازات'!$B$5:$B$104='الموظفون'!$B$5)*('حجز الإجازات'!$D$5:$D$104&lt;=JL$3)*(('حجز الإجازات'!$E$5:$E$104)&gt;=JL$3)*('حجز الإجازات'!$G$5:$G$104="معتمد")*ROW('حجز الإجازات'!$B$5:$B$104))=0,IF(JL$3&lt;'الموظفون'!$D$5,"",IF(ISNUMBER(MATCH(JL$3,Holidays,0)),"عطلة",IF(MOD(JL$3-'الموظفون'!$D$5,CycleWork+CycleRest)&lt;CycleWork,INDEX('الإعدادات والقوائم'!$H$2:$H$4,MOD(INT(MOD(JL$3-'الموظفون'!$D$5,CycleWork+CycleRest)*3/CycleWork)+MATCH(StartShift,'الإعدادات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الإجازات'!$D$5:$D$104&lt;=JL$3)*(('حجز الإجازات'!$E$5:$E$104)&gt;=JL$3)*('حجز الإجازات'!$G$5:$G$104="معتمد")*ROW('حجز الإجازات'!$B$5:$B$104)))-5+1))</f>
        <v/>
      </c>
      <c r="JM7" s="62">
        <f>IF(SUMPRODUCT(('حجز الإجازات'!$B$5:$B$104='الموظفون'!$B$5)*('حجز الإجازات'!$D$5:$D$104&lt;=JM$3)*(('حجز الإجازات'!$E$5:$E$104)&gt;=JM$3)*('حجز الإجازات'!$G$5:$G$104="معتمد")*ROW('حجز الإجازات'!$B$5:$B$104))=0,IF(JM$3&lt;'الموظفون'!$D$5,"",IF(ISNUMBER(MATCH(JM$3,Holidays,0)),"عطلة",IF(MOD(JM$3-'الموظفون'!$D$5,CycleWork+CycleRest)&lt;CycleWork,INDEX('الإعدادات والقوائم'!$H$2:$H$4,MOD(INT(MOD(JM$3-'الموظفون'!$D$5,CycleWork+CycleRest)*3/CycleWork)+MATCH(StartShift,'الإعدادات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الإجازات'!$D$5:$D$104&lt;=JM$3)*(('حجز الإجازات'!$E$5:$E$104)&gt;=JM$3)*('حجز الإجازات'!$G$5:$G$104="معتمد")*ROW('حجز الإجازات'!$B$5:$B$104)))-5+1))</f>
        <v/>
      </c>
      <c r="JN7" s="62">
        <f>IF(SUMPRODUCT(('حجز الإجازات'!$B$5:$B$104='الموظفون'!$B$5)*('حجز الإجازات'!$D$5:$D$104&lt;=JN$3)*(('حجز الإجازات'!$E$5:$E$104)&gt;=JN$3)*('حجز الإجازات'!$G$5:$G$104="معتمد")*ROW('حجز الإجازات'!$B$5:$B$104))=0,IF(JN$3&lt;'الموظفون'!$D$5,"",IF(ISNUMBER(MATCH(JN$3,Holidays,0)),"عطلة",IF(MOD(JN$3-'الموظفون'!$D$5,CycleWork+CycleRest)&lt;CycleWork,INDEX('الإعدادات والقوائم'!$H$2:$H$4,MOD(INT(MOD(JN$3-'الموظفون'!$D$5,CycleWork+CycleRest)*3/CycleWork)+MATCH(StartShift,'الإعدادات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الإجازات'!$D$5:$D$104&lt;=JN$3)*(('حجز الإجازات'!$E$5:$E$104)&gt;=JN$3)*('حجز الإجازات'!$G$5:$G$104="معتمد")*ROW('حجز الإجازات'!$B$5:$B$104)))-5+1))</f>
        <v/>
      </c>
      <c r="JO7" s="62">
        <f>IF(SUMPRODUCT(('حجز الإجازات'!$B$5:$B$104='الموظفون'!$B$5)*('حجز الإجازات'!$D$5:$D$104&lt;=JO$3)*(('حجز الإجازات'!$E$5:$E$104)&gt;=JO$3)*('حجز الإجازات'!$G$5:$G$104="معتمد")*ROW('حجز الإجازات'!$B$5:$B$104))=0,IF(JO$3&lt;'الموظفون'!$D$5,"",IF(ISNUMBER(MATCH(JO$3,Holidays,0)),"عطلة",IF(MOD(JO$3-'الموظفون'!$D$5,CycleWork+CycleRest)&lt;CycleWork,INDEX('الإعدادات والقوائم'!$H$2:$H$4,MOD(INT(MOD(JO$3-'الموظفون'!$D$5,CycleWork+CycleRest)*3/CycleWork)+MATCH(StartShift,'الإعدادات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الإجازات'!$D$5:$D$104&lt;=JO$3)*(('حجز الإجازات'!$E$5:$E$104)&gt;=JO$3)*('حجز الإجازات'!$G$5:$G$104="معتمد")*ROW('حجز الإجازات'!$B$5:$B$104)))-5+1))</f>
        <v/>
      </c>
      <c r="JP7" s="62">
        <f>IF(SUMPRODUCT(('حجز الإجازات'!$B$5:$B$104='الموظفون'!$B$5)*('حجز الإجازات'!$D$5:$D$104&lt;=JP$3)*(('حجز الإجازات'!$E$5:$E$104)&gt;=JP$3)*('حجز الإجازات'!$G$5:$G$104="معتمد")*ROW('حجز الإجازات'!$B$5:$B$104))=0,IF(JP$3&lt;'الموظفون'!$D$5,"",IF(ISNUMBER(MATCH(JP$3,Holidays,0)),"عطلة",IF(MOD(JP$3-'الموظفون'!$D$5,CycleWork+CycleRest)&lt;CycleWork,INDEX('الإعدادات والقوائم'!$H$2:$H$4,MOD(INT(MOD(JP$3-'الموظفون'!$D$5,CycleWork+CycleRest)*3/CycleWork)+MATCH(StartShift,'الإعدادات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الإجازات'!$D$5:$D$104&lt;=JP$3)*(('حجز الإجازات'!$E$5:$E$104)&gt;=JP$3)*('حجز الإجازات'!$G$5:$G$104="معتمد")*ROW('حجز الإجازات'!$B$5:$B$104)))-5+1))</f>
        <v/>
      </c>
      <c r="JQ7" s="62">
        <f>IF(SUMPRODUCT(('حجز الإجازات'!$B$5:$B$104='الموظفون'!$B$5)*('حجز الإجازات'!$D$5:$D$104&lt;=JQ$3)*(('حجز الإجازات'!$E$5:$E$104)&gt;=JQ$3)*('حجز الإجازات'!$G$5:$G$104="معتمد")*ROW('حجز الإجازات'!$B$5:$B$104))=0,IF(JQ$3&lt;'الموظفون'!$D$5,"",IF(ISNUMBER(MATCH(JQ$3,Holidays,0)),"عطلة",IF(MOD(JQ$3-'الموظفون'!$D$5,CycleWork+CycleRest)&lt;CycleWork,INDEX('الإعدادات والقوائم'!$H$2:$H$4,MOD(INT(MOD(JQ$3-'الموظفون'!$D$5,CycleWork+CycleRest)*3/CycleWork)+MATCH(StartShift,'الإعدادات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الإجازات'!$D$5:$D$104&lt;=JQ$3)*(('حجز الإجازات'!$E$5:$E$104)&gt;=JQ$3)*('حجز الإجازات'!$G$5:$G$104="معتمد")*ROW('حجز الإجازات'!$B$5:$B$104)))-5+1))</f>
        <v/>
      </c>
      <c r="JR7" s="62">
        <f>IF(SUMPRODUCT(('حجز الإجازات'!$B$5:$B$104='الموظفون'!$B$5)*('حجز الإجازات'!$D$5:$D$104&lt;=JR$3)*(('حجز الإجازات'!$E$5:$E$104)&gt;=JR$3)*('حجز الإجازات'!$G$5:$G$104="معتمد")*ROW('حجز الإجازات'!$B$5:$B$104))=0,IF(JR$3&lt;'الموظفون'!$D$5,"",IF(ISNUMBER(MATCH(JR$3,Holidays,0)),"عطلة",IF(MOD(JR$3-'الموظفون'!$D$5,CycleWork+CycleRest)&lt;CycleWork,INDEX('الإعدادات والقوائم'!$H$2:$H$4,MOD(INT(MOD(JR$3-'الموظفون'!$D$5,CycleWork+CycleRest)*3/CycleWork)+MATCH(StartShift,'الإعدادات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الإجازات'!$D$5:$D$104&lt;=JR$3)*(('حجز الإجازات'!$E$5:$E$104)&gt;=JR$3)*('حجز الإجازات'!$G$5:$G$104="معتمد")*ROW('حجز الإجازات'!$B$5:$B$104)))-5+1))</f>
        <v/>
      </c>
      <c r="JS7" s="62">
        <f>IF(SUMPRODUCT(('حجز الإجازات'!$B$5:$B$104='الموظفون'!$B$5)*('حجز الإجازات'!$D$5:$D$104&lt;=JS$3)*(('حجز الإجازات'!$E$5:$E$104)&gt;=JS$3)*('حجز الإجازات'!$G$5:$G$104="معتمد")*ROW('حجز الإجازات'!$B$5:$B$104))=0,IF(JS$3&lt;'الموظفون'!$D$5,"",IF(ISNUMBER(MATCH(JS$3,Holidays,0)),"عطلة",IF(MOD(JS$3-'الموظفون'!$D$5,CycleWork+CycleRest)&lt;CycleWork,INDEX('الإعدادات والقوائم'!$H$2:$H$4,MOD(INT(MOD(JS$3-'الموظفون'!$D$5,CycleWork+CycleRest)*3/CycleWork)+MATCH(StartShift,'الإعدادات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الإجازات'!$D$5:$D$104&lt;=JS$3)*(('حجز الإجازات'!$E$5:$E$104)&gt;=JS$3)*('حجز الإجازات'!$G$5:$G$104="معتمد")*ROW('حجز الإجازات'!$B$5:$B$104)))-5+1))</f>
        <v/>
      </c>
      <c r="JT7" s="62">
        <f>IF(SUMPRODUCT(('حجز الإجازات'!$B$5:$B$104='الموظفون'!$B$5)*('حجز الإجازات'!$D$5:$D$104&lt;=JT$3)*(('حجز الإجازات'!$E$5:$E$104)&gt;=JT$3)*('حجز الإجازات'!$G$5:$G$104="معتمد")*ROW('حجز الإجازات'!$B$5:$B$104))=0,IF(JT$3&lt;'الموظفون'!$D$5,"",IF(ISNUMBER(MATCH(JT$3,Holidays,0)),"عطلة",IF(MOD(JT$3-'الموظفون'!$D$5,CycleWork+CycleRest)&lt;CycleWork,INDEX('الإعدادات والقوائم'!$H$2:$H$4,MOD(INT(MOD(JT$3-'الموظفون'!$D$5,CycleWork+CycleRest)*3/CycleWork)+MATCH(StartShift,'الإعدادات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الإجازات'!$D$5:$D$104&lt;=JT$3)*(('حجز الإجازات'!$E$5:$E$104)&gt;=JT$3)*('حجز الإجازات'!$G$5:$G$104="معتمد")*ROW('حجز الإجازات'!$B$5:$B$104)))-5+1))</f>
        <v/>
      </c>
      <c r="JU7" s="62">
        <f>IF(SUMPRODUCT(('حجز الإجازات'!$B$5:$B$104='الموظفون'!$B$5)*('حجز الإجازات'!$D$5:$D$104&lt;=JU$3)*(('حجز الإجازات'!$E$5:$E$104)&gt;=JU$3)*('حجز الإجازات'!$G$5:$G$104="معتمد")*ROW('حجز الإجازات'!$B$5:$B$104))=0,IF(JU$3&lt;'الموظفون'!$D$5,"",IF(ISNUMBER(MATCH(JU$3,Holidays,0)),"عطلة",IF(MOD(JU$3-'الموظفون'!$D$5,CycleWork+CycleRest)&lt;CycleWork,INDEX('الإعدادات والقوائم'!$H$2:$H$4,MOD(INT(MOD(JU$3-'الموظفون'!$D$5,CycleWork+CycleRest)*3/CycleWork)+MATCH(StartShift,'الإعدادات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الإجازات'!$D$5:$D$104&lt;=JU$3)*(('حجز الإجازات'!$E$5:$E$104)&gt;=JU$3)*('حجز الإجازات'!$G$5:$G$104="معتمد")*ROW('حجز الإجازات'!$B$5:$B$104)))-5+1))</f>
        <v/>
      </c>
      <c r="JV7" s="62">
        <f>IF(SUMPRODUCT(('حجز الإجازات'!$B$5:$B$104='الموظفون'!$B$5)*('حجز الإجازات'!$D$5:$D$104&lt;=JV$3)*(('حجز الإجازات'!$E$5:$E$104)&gt;=JV$3)*('حجز الإجازات'!$G$5:$G$104="معتمد")*ROW('حجز الإجازات'!$B$5:$B$104))=0,IF(JV$3&lt;'الموظفون'!$D$5,"",IF(ISNUMBER(MATCH(JV$3,Holidays,0)),"عطلة",IF(MOD(JV$3-'الموظفون'!$D$5,CycleWork+CycleRest)&lt;CycleWork,INDEX('الإعدادات والقوائم'!$H$2:$H$4,MOD(INT(MOD(JV$3-'الموظفون'!$D$5,CycleWork+CycleRest)*3/CycleWork)+MATCH(StartShift,'الإعدادات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الإجازات'!$D$5:$D$104&lt;=JV$3)*(('حجز الإجازات'!$E$5:$E$104)&gt;=JV$3)*('حجز الإجازات'!$G$5:$G$104="معتمد")*ROW('حجز الإجازات'!$B$5:$B$104)))-5+1))</f>
        <v/>
      </c>
      <c r="JW7" s="62">
        <f>IF(SUMPRODUCT(('حجز الإجازات'!$B$5:$B$104='الموظفون'!$B$5)*('حجز الإجازات'!$D$5:$D$104&lt;=JW$3)*(('حجز الإجازات'!$E$5:$E$104)&gt;=JW$3)*('حجز الإجازات'!$G$5:$G$104="معتمد")*ROW('حجز الإجازات'!$B$5:$B$104))=0,IF(JW$3&lt;'الموظفون'!$D$5,"",IF(ISNUMBER(MATCH(JW$3,Holidays,0)),"عطلة",IF(MOD(JW$3-'الموظفون'!$D$5,CycleWork+CycleRest)&lt;CycleWork,INDEX('الإعدادات والقوائم'!$H$2:$H$4,MOD(INT(MOD(JW$3-'الموظفون'!$D$5,CycleWork+CycleRest)*3/CycleWork)+MATCH(StartShift,'الإعدادات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الإجازات'!$D$5:$D$104&lt;=JW$3)*(('حجز الإجازات'!$E$5:$E$104)&gt;=JW$3)*('حجز الإجازات'!$G$5:$G$104="معتمد")*ROW('حجز الإجازات'!$B$5:$B$104)))-5+1))</f>
        <v/>
      </c>
      <c r="JX7" s="62">
        <f>IF(SUMPRODUCT(('حجز الإجازات'!$B$5:$B$104='الموظفون'!$B$5)*('حجز الإجازات'!$D$5:$D$104&lt;=JX$3)*(('حجز الإجازات'!$E$5:$E$104)&gt;=JX$3)*('حجز الإجازات'!$G$5:$G$104="معتمد")*ROW('حجز الإجازات'!$B$5:$B$104))=0,IF(JX$3&lt;'الموظفون'!$D$5,"",IF(ISNUMBER(MATCH(JX$3,Holidays,0)),"عطلة",IF(MOD(JX$3-'الموظفون'!$D$5,CycleWork+CycleRest)&lt;CycleWork,INDEX('الإعدادات والقوائم'!$H$2:$H$4,MOD(INT(MOD(JX$3-'الموظفون'!$D$5,CycleWork+CycleRest)*3/CycleWork)+MATCH(StartShift,'الإعدادات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الإجازات'!$D$5:$D$104&lt;=JX$3)*(('حجز الإجازات'!$E$5:$E$104)&gt;=JX$3)*('حجز الإجازات'!$G$5:$G$104="معتمد")*ROW('حجز الإجازات'!$B$5:$B$104)))-5+1))</f>
        <v/>
      </c>
      <c r="JY7" s="62">
        <f>IF(SUMPRODUCT(('حجز الإجازات'!$B$5:$B$104='الموظفون'!$B$5)*('حجز الإجازات'!$D$5:$D$104&lt;=JY$3)*(('حجز الإجازات'!$E$5:$E$104)&gt;=JY$3)*('حجز الإجازات'!$G$5:$G$104="معتمد")*ROW('حجز الإجازات'!$B$5:$B$104))=0,IF(JY$3&lt;'الموظفون'!$D$5,"",IF(ISNUMBER(MATCH(JY$3,Holidays,0)),"عطلة",IF(MOD(JY$3-'الموظفون'!$D$5,CycleWork+CycleRest)&lt;CycleWork,INDEX('الإعدادات والقوائم'!$H$2:$H$4,MOD(INT(MOD(JY$3-'الموظفون'!$D$5,CycleWork+CycleRest)*3/CycleWork)+MATCH(StartShift,'الإعدادات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الإجازات'!$D$5:$D$104&lt;=JY$3)*(('حجز الإجازات'!$E$5:$E$104)&gt;=JY$3)*('حجز الإجازات'!$G$5:$G$104="معتمد")*ROW('حجز الإجازات'!$B$5:$B$104)))-5+1))</f>
        <v/>
      </c>
      <c r="JZ7" s="62">
        <f>IF(SUMPRODUCT(('حجز الإجازات'!$B$5:$B$104='الموظفون'!$B$5)*('حجز الإجازات'!$D$5:$D$104&lt;=JZ$3)*(('حجز الإجازات'!$E$5:$E$104)&gt;=JZ$3)*('حجز الإجازات'!$G$5:$G$104="معتمد")*ROW('حجز الإجازات'!$B$5:$B$104))=0,IF(JZ$3&lt;'الموظفون'!$D$5,"",IF(ISNUMBER(MATCH(JZ$3,Holidays,0)),"عطلة",IF(MOD(JZ$3-'الموظفون'!$D$5,CycleWork+CycleRest)&lt;CycleWork,INDEX('الإعدادات والقوائم'!$H$2:$H$4,MOD(INT(MOD(JZ$3-'الموظفون'!$D$5,CycleWork+CycleRest)*3/CycleWork)+MATCH(StartShift,'الإعدادات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الإجازات'!$D$5:$D$104&lt;=JZ$3)*(('حجز الإجازات'!$E$5:$E$104)&gt;=JZ$3)*('حجز الإجازات'!$G$5:$G$104="معتمد")*ROW('حجز الإجازات'!$B$5:$B$104)))-5+1))</f>
        <v/>
      </c>
      <c r="KA7" s="62">
        <f>IF(SUMPRODUCT(('حجز الإجازات'!$B$5:$B$104='الموظفون'!$B$5)*('حجز الإجازات'!$D$5:$D$104&lt;=KA$3)*(('حجز الإجازات'!$E$5:$E$104)&gt;=KA$3)*('حجز الإجازات'!$G$5:$G$104="معتمد")*ROW('حجز الإجازات'!$B$5:$B$104))=0,IF(KA$3&lt;'الموظفون'!$D$5,"",IF(ISNUMBER(MATCH(KA$3,Holidays,0)),"عطلة",IF(MOD(KA$3-'الموظفون'!$D$5,CycleWork+CycleRest)&lt;CycleWork,INDEX('الإعدادات والقوائم'!$H$2:$H$4,MOD(INT(MOD(KA$3-'الموظفون'!$D$5,CycleWork+CycleRest)*3/CycleWork)+MATCH(StartShift,'الإعدادات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الإجازات'!$D$5:$D$104&lt;=KA$3)*(('حجز الإجازات'!$E$5:$E$104)&gt;=KA$3)*('حجز الإجازات'!$G$5:$G$104="معتمد")*ROW('حجز الإجازات'!$B$5:$B$104)))-5+1))</f>
        <v/>
      </c>
      <c r="KB7" s="62">
        <f>IF(SUMPRODUCT(('حجز الإجازات'!$B$5:$B$104='الموظفون'!$B$5)*('حجز الإجازات'!$D$5:$D$104&lt;=KB$3)*(('حجز الإجازات'!$E$5:$E$104)&gt;=KB$3)*('حجز الإجازات'!$G$5:$G$104="معتمد")*ROW('حجز الإجازات'!$B$5:$B$104))=0,IF(KB$3&lt;'الموظفون'!$D$5,"",IF(ISNUMBER(MATCH(KB$3,Holidays,0)),"عطلة",IF(MOD(KB$3-'الموظفون'!$D$5,CycleWork+CycleRest)&lt;CycleWork,INDEX('الإعدادات والقوائم'!$H$2:$H$4,MOD(INT(MOD(KB$3-'الموظفون'!$D$5,CycleWork+CycleRest)*3/CycleWork)+MATCH(StartShift,'الإعدادات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الإجازات'!$D$5:$D$104&lt;=KB$3)*(('حجز الإجازات'!$E$5:$E$104)&gt;=KB$3)*('حجز الإجازات'!$G$5:$G$104="معتمد")*ROW('حجز الإجازات'!$B$5:$B$104)))-5+1))</f>
        <v/>
      </c>
      <c r="KC7" s="62">
        <f>IF(SUMPRODUCT(('حجز الإجازات'!$B$5:$B$104='الموظفون'!$B$5)*('حجز الإجازات'!$D$5:$D$104&lt;=KC$3)*(('حجز الإجازات'!$E$5:$E$104)&gt;=KC$3)*('حجز الإجازات'!$G$5:$G$104="معتمد")*ROW('حجز الإجازات'!$B$5:$B$104))=0,IF(KC$3&lt;'الموظفون'!$D$5,"",IF(ISNUMBER(MATCH(KC$3,Holidays,0)),"عطلة",IF(MOD(KC$3-'الموظفون'!$D$5,CycleWork+CycleRest)&lt;CycleWork,INDEX('الإعدادات والقوائم'!$H$2:$H$4,MOD(INT(MOD(KC$3-'الموظفون'!$D$5,CycleWork+CycleRest)*3/CycleWork)+MATCH(StartShift,'الإعدادات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الإجازات'!$D$5:$D$104&lt;=KC$3)*(('حجز الإجازات'!$E$5:$E$104)&gt;=KC$3)*('حجز الإجازات'!$G$5:$G$104="معتمد")*ROW('حجز الإجازات'!$B$5:$B$104)))-5+1))</f>
        <v/>
      </c>
      <c r="KD7" s="62">
        <f>IF(SUMPRODUCT(('حجز الإجازات'!$B$5:$B$104='الموظفون'!$B$5)*('حجز الإجازات'!$D$5:$D$104&lt;=KD$3)*(('حجز الإجازات'!$E$5:$E$104)&gt;=KD$3)*('حجز الإجازات'!$G$5:$G$104="معتمد")*ROW('حجز الإجازات'!$B$5:$B$104))=0,IF(KD$3&lt;'الموظفون'!$D$5,"",IF(ISNUMBER(MATCH(KD$3,Holidays,0)),"عطلة",IF(MOD(KD$3-'الموظفون'!$D$5,CycleWork+CycleRest)&lt;CycleWork,INDEX('الإعدادات والقوائم'!$H$2:$H$4,MOD(INT(MOD(KD$3-'الموظفون'!$D$5,CycleWork+CycleRest)*3/CycleWork)+MATCH(StartShift,'الإعدادات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الإجازات'!$D$5:$D$104&lt;=KD$3)*(('حجز الإجازات'!$E$5:$E$104)&gt;=KD$3)*('حجز الإجازات'!$G$5:$G$104="معتمد")*ROW('حجز الإجازات'!$B$5:$B$104)))-5+1))</f>
        <v/>
      </c>
      <c r="KE7" s="62">
        <f>IF(SUMPRODUCT(('حجز الإجازات'!$B$5:$B$104='الموظفون'!$B$5)*('حجز الإجازات'!$D$5:$D$104&lt;=KE$3)*(('حجز الإجازات'!$E$5:$E$104)&gt;=KE$3)*('حجز الإجازات'!$G$5:$G$104="معتمد")*ROW('حجز الإجازات'!$B$5:$B$104))=0,IF(KE$3&lt;'الموظفون'!$D$5,"",IF(ISNUMBER(MATCH(KE$3,Holidays,0)),"عطلة",IF(MOD(KE$3-'الموظفون'!$D$5,CycleWork+CycleRest)&lt;CycleWork,INDEX('الإعدادات والقوائم'!$H$2:$H$4,MOD(INT(MOD(KE$3-'الموظفون'!$D$5,CycleWork+CycleRest)*3/CycleWork)+MATCH(StartShift,'الإعدادات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الإجازات'!$D$5:$D$104&lt;=KE$3)*(('حجز الإجازات'!$E$5:$E$104)&gt;=KE$3)*('حجز الإجازات'!$G$5:$G$104="معتمد")*ROW('حجز الإجازات'!$B$5:$B$104)))-5+1))</f>
        <v/>
      </c>
      <c r="KF7" s="62">
        <f>IF(SUMPRODUCT(('حجز الإجازات'!$B$5:$B$104='الموظفون'!$B$5)*('حجز الإجازات'!$D$5:$D$104&lt;=KF$3)*(('حجز الإجازات'!$E$5:$E$104)&gt;=KF$3)*('حجز الإجازات'!$G$5:$G$104="معتمد")*ROW('حجز الإجازات'!$B$5:$B$104))=0,IF(KF$3&lt;'الموظفون'!$D$5,"",IF(ISNUMBER(MATCH(KF$3,Holidays,0)),"عطلة",IF(MOD(KF$3-'الموظفون'!$D$5,CycleWork+CycleRest)&lt;CycleWork,INDEX('الإعدادات والقوائم'!$H$2:$H$4,MOD(INT(MOD(KF$3-'الموظفون'!$D$5,CycleWork+CycleRest)*3/CycleWork)+MATCH(StartShift,'الإعدادات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الإجازات'!$D$5:$D$104&lt;=KF$3)*(('حجز الإجازات'!$E$5:$E$104)&gt;=KF$3)*('حجز الإجازات'!$G$5:$G$104="معتمد")*ROW('حجز الإجازات'!$B$5:$B$104)))-5+1))</f>
        <v/>
      </c>
      <c r="KG7" s="62">
        <f>IF(SUMPRODUCT(('حجز الإجازات'!$B$5:$B$104='الموظفون'!$B$5)*('حجز الإجازات'!$D$5:$D$104&lt;=KG$3)*(('حجز الإجازات'!$E$5:$E$104)&gt;=KG$3)*('حجز الإجازات'!$G$5:$G$104="معتمد")*ROW('حجز الإجازات'!$B$5:$B$104))=0,IF(KG$3&lt;'الموظفون'!$D$5,"",IF(ISNUMBER(MATCH(KG$3,Holidays,0)),"عطلة",IF(MOD(KG$3-'الموظفون'!$D$5,CycleWork+CycleRest)&lt;CycleWork,INDEX('الإعدادات والقوائم'!$H$2:$H$4,MOD(INT(MOD(KG$3-'الموظفون'!$D$5,CycleWork+CycleRest)*3/CycleWork)+MATCH(StartShift,'الإعدادات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الإجازات'!$D$5:$D$104&lt;=KG$3)*(('حجز الإجازات'!$E$5:$E$104)&gt;=KG$3)*('حجز الإجازات'!$G$5:$G$104="معتمد")*ROW('حجز الإجازات'!$B$5:$B$104)))-5+1))</f>
        <v/>
      </c>
      <c r="KH7" s="62">
        <f>IF(SUMPRODUCT(('حجز الإجازات'!$B$5:$B$104='الموظفون'!$B$5)*('حجز الإجازات'!$D$5:$D$104&lt;=KH$3)*(('حجز الإجازات'!$E$5:$E$104)&gt;=KH$3)*('حجز الإجازات'!$G$5:$G$104="معتمد")*ROW('حجز الإجازات'!$B$5:$B$104))=0,IF(KH$3&lt;'الموظفون'!$D$5,"",IF(ISNUMBER(MATCH(KH$3,Holidays,0)),"عطلة",IF(MOD(KH$3-'الموظفون'!$D$5,CycleWork+CycleRest)&lt;CycleWork,INDEX('الإعدادات والقوائم'!$H$2:$H$4,MOD(INT(MOD(KH$3-'الموظفون'!$D$5,CycleWork+CycleRest)*3/CycleWork)+MATCH(StartShift,'الإعدادات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الإجازات'!$D$5:$D$104&lt;=KH$3)*(('حجز الإجازات'!$E$5:$E$104)&gt;=KH$3)*('حجز الإجازات'!$G$5:$G$104="معتمد")*ROW('حجز الإجازات'!$B$5:$B$104)))-5+1))</f>
        <v/>
      </c>
      <c r="KI7" s="62">
        <f>IF(SUMPRODUCT(('حجز الإجازات'!$B$5:$B$104='الموظفون'!$B$5)*('حجز الإجازات'!$D$5:$D$104&lt;=KI$3)*(('حجز الإجازات'!$E$5:$E$104)&gt;=KI$3)*('حجز الإجازات'!$G$5:$G$104="معتمد")*ROW('حجز الإجازات'!$B$5:$B$104))=0,IF(KI$3&lt;'الموظفون'!$D$5,"",IF(ISNUMBER(MATCH(KI$3,Holidays,0)),"عطلة",IF(MOD(KI$3-'الموظفون'!$D$5,CycleWork+CycleRest)&lt;CycleWork,INDEX('الإعدادات والقوائم'!$H$2:$H$4,MOD(INT(MOD(KI$3-'الموظفون'!$D$5,CycleWork+CycleRest)*3/CycleWork)+MATCH(StartShift,'الإعدادات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الإجازات'!$D$5:$D$104&lt;=KI$3)*(('حجز الإجازات'!$E$5:$E$104)&gt;=KI$3)*('حجز الإجازات'!$G$5:$G$104="معتمد")*ROW('حجز الإجازات'!$B$5:$B$104)))-5+1))</f>
        <v/>
      </c>
      <c r="KJ7" s="62">
        <f>IF(SUMPRODUCT(('حجز الإجازات'!$B$5:$B$104='الموظفون'!$B$5)*('حجز الإجازات'!$D$5:$D$104&lt;=KJ$3)*(('حجز الإجازات'!$E$5:$E$104)&gt;=KJ$3)*('حجز الإجازات'!$G$5:$G$104="معتمد")*ROW('حجز الإجازات'!$B$5:$B$104))=0,IF(KJ$3&lt;'الموظفون'!$D$5,"",IF(ISNUMBER(MATCH(KJ$3,Holidays,0)),"عطلة",IF(MOD(KJ$3-'الموظفون'!$D$5,CycleWork+CycleRest)&lt;CycleWork,INDEX('الإعدادات والقوائم'!$H$2:$H$4,MOD(INT(MOD(KJ$3-'الموظفون'!$D$5,CycleWork+CycleRest)*3/CycleWork)+MATCH(StartShift,'الإعدادات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الإجازات'!$D$5:$D$104&lt;=KJ$3)*(('حجز الإجازات'!$E$5:$E$104)&gt;=KJ$3)*('حجز الإجازات'!$G$5:$G$104="معتمد")*ROW('حجز الإجازات'!$B$5:$B$104)))-5+1))</f>
        <v/>
      </c>
      <c r="KK7" s="62">
        <f>IF(SUMPRODUCT(('حجز الإجازات'!$B$5:$B$104='الموظفون'!$B$5)*('حجز الإجازات'!$D$5:$D$104&lt;=KK$3)*(('حجز الإجازات'!$E$5:$E$104)&gt;=KK$3)*('حجز الإجازات'!$G$5:$G$104="معتمد")*ROW('حجز الإجازات'!$B$5:$B$104))=0,IF(KK$3&lt;'الموظفون'!$D$5,"",IF(ISNUMBER(MATCH(KK$3,Holidays,0)),"عطلة",IF(MOD(KK$3-'الموظفون'!$D$5,CycleWork+CycleRest)&lt;CycleWork,INDEX('الإعدادات والقوائم'!$H$2:$H$4,MOD(INT(MOD(KK$3-'الموظفون'!$D$5,CycleWork+CycleRest)*3/CycleWork)+MATCH(StartShift,'الإعدادات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الإجازات'!$D$5:$D$104&lt;=KK$3)*(('حجز الإجازات'!$E$5:$E$104)&gt;=KK$3)*('حجز الإجازات'!$G$5:$G$104="معتمد")*ROW('حجز الإجازات'!$B$5:$B$104)))-5+1))</f>
        <v/>
      </c>
      <c r="KL7" s="62">
        <f>IF(SUMPRODUCT(('حجز الإجازات'!$B$5:$B$104='الموظفون'!$B$5)*('حجز الإجازات'!$D$5:$D$104&lt;=KL$3)*(('حجز الإجازات'!$E$5:$E$104)&gt;=KL$3)*('حجز الإجازات'!$G$5:$G$104="معتمد")*ROW('حجز الإجازات'!$B$5:$B$104))=0,IF(KL$3&lt;'الموظفون'!$D$5,"",IF(ISNUMBER(MATCH(KL$3,Holidays,0)),"عطلة",IF(MOD(KL$3-'الموظفون'!$D$5,CycleWork+CycleRest)&lt;CycleWork,INDEX('الإعدادات والقوائم'!$H$2:$H$4,MOD(INT(MOD(KL$3-'الموظفون'!$D$5,CycleWork+CycleRest)*3/CycleWork)+MATCH(StartShift,'الإعدادات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الإجازات'!$D$5:$D$104&lt;=KL$3)*(('حجز الإجازات'!$E$5:$E$104)&gt;=KL$3)*('حجز الإجازات'!$G$5:$G$104="معتمد")*ROW('حجز الإجازات'!$B$5:$B$104)))-5+1))</f>
        <v/>
      </c>
      <c r="KM7" s="62">
        <f>IF(SUMPRODUCT(('حجز الإجازات'!$B$5:$B$104='الموظفون'!$B$5)*('حجز الإجازات'!$D$5:$D$104&lt;=KM$3)*(('حجز الإجازات'!$E$5:$E$104)&gt;=KM$3)*('حجز الإجازات'!$G$5:$G$104="معتمد")*ROW('حجز الإجازات'!$B$5:$B$104))=0,IF(KM$3&lt;'الموظفون'!$D$5,"",IF(ISNUMBER(MATCH(KM$3,Holidays,0)),"عطلة",IF(MOD(KM$3-'الموظفون'!$D$5,CycleWork+CycleRest)&lt;CycleWork,INDEX('الإعدادات والقوائم'!$H$2:$H$4,MOD(INT(MOD(KM$3-'الموظفون'!$D$5,CycleWork+CycleRest)*3/CycleWork)+MATCH(StartShift,'الإعدادات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الإجازات'!$D$5:$D$104&lt;=KM$3)*(('حجز الإجازات'!$E$5:$E$104)&gt;=KM$3)*('حجز الإجازات'!$G$5:$G$104="معتمد")*ROW('حجز الإجازات'!$B$5:$B$104)))-5+1))</f>
        <v/>
      </c>
      <c r="KN7" s="62">
        <f>IF(SUMPRODUCT(('حجز الإجازات'!$B$5:$B$104='الموظفون'!$B$5)*('حجز الإجازات'!$D$5:$D$104&lt;=KN$3)*(('حجز الإجازات'!$E$5:$E$104)&gt;=KN$3)*('حجز الإجازات'!$G$5:$G$104="معتمد")*ROW('حجز الإجازات'!$B$5:$B$104))=0,IF(KN$3&lt;'الموظفون'!$D$5,"",IF(ISNUMBER(MATCH(KN$3,Holidays,0)),"عطلة",IF(MOD(KN$3-'الموظفون'!$D$5,CycleWork+CycleRest)&lt;CycleWork,INDEX('الإعدادات والقوائم'!$H$2:$H$4,MOD(INT(MOD(KN$3-'الموظفون'!$D$5,CycleWork+CycleRest)*3/CycleWork)+MATCH(StartShift,'الإعدادات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الإجازات'!$D$5:$D$104&lt;=KN$3)*(('حجز الإجازات'!$E$5:$E$104)&gt;=KN$3)*('حجز الإجازات'!$G$5:$G$104="معتمد")*ROW('حجز الإجازات'!$B$5:$B$104)))-5+1))</f>
        <v/>
      </c>
      <c r="KO7" s="62">
        <f>IF(SUMPRODUCT(('حجز الإجازات'!$B$5:$B$104='الموظفون'!$B$5)*('حجز الإجازات'!$D$5:$D$104&lt;=KO$3)*(('حجز الإجازات'!$E$5:$E$104)&gt;=KO$3)*('حجز الإجازات'!$G$5:$G$104="معتمد")*ROW('حجز الإجازات'!$B$5:$B$104))=0,IF(KO$3&lt;'الموظفون'!$D$5,"",IF(ISNUMBER(MATCH(KO$3,Holidays,0)),"عطلة",IF(MOD(KO$3-'الموظفون'!$D$5,CycleWork+CycleRest)&lt;CycleWork,INDEX('الإعدادات والقوائم'!$H$2:$H$4,MOD(INT(MOD(KO$3-'الموظفون'!$D$5,CycleWork+CycleRest)*3/CycleWork)+MATCH(StartShift,'الإعدادات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الإجازات'!$D$5:$D$104&lt;=KO$3)*(('حجز الإجازات'!$E$5:$E$104)&gt;=KO$3)*('حجز الإجازات'!$G$5:$G$104="معتمد")*ROW('حجز الإجازات'!$B$5:$B$104)))-5+1))</f>
        <v/>
      </c>
      <c r="KP7" s="62">
        <f>IF(SUMPRODUCT(('حجز الإجازات'!$B$5:$B$104='الموظفون'!$B$5)*('حجز الإجازات'!$D$5:$D$104&lt;=KP$3)*(('حجز الإجازات'!$E$5:$E$104)&gt;=KP$3)*('حجز الإجازات'!$G$5:$G$104="معتمد")*ROW('حجز الإجازات'!$B$5:$B$104))=0,IF(KP$3&lt;'الموظفون'!$D$5,"",IF(ISNUMBER(MATCH(KP$3,Holidays,0)),"عطلة",IF(MOD(KP$3-'الموظفون'!$D$5,CycleWork+CycleRest)&lt;CycleWork,INDEX('الإعدادات والقوائم'!$H$2:$H$4,MOD(INT(MOD(KP$3-'الموظفون'!$D$5,CycleWork+CycleRest)*3/CycleWork)+MATCH(StartShift,'الإعدادات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الإجازات'!$D$5:$D$104&lt;=KP$3)*(('حجز الإجازات'!$E$5:$E$104)&gt;=KP$3)*('حجز الإجازات'!$G$5:$G$104="معتمد")*ROW('حجز الإجازات'!$B$5:$B$104)))-5+1))</f>
        <v/>
      </c>
      <c r="KQ7" s="62">
        <f>IF(SUMPRODUCT(('حجز الإجازات'!$B$5:$B$104='الموظفون'!$B$5)*('حجز الإجازات'!$D$5:$D$104&lt;=KQ$3)*(('حجز الإجازات'!$E$5:$E$104)&gt;=KQ$3)*('حجز الإجازات'!$G$5:$G$104="معتمد")*ROW('حجز الإجازات'!$B$5:$B$104))=0,IF(KQ$3&lt;'الموظفون'!$D$5,"",IF(ISNUMBER(MATCH(KQ$3,Holidays,0)),"عطلة",IF(MOD(KQ$3-'الموظفون'!$D$5,CycleWork+CycleRest)&lt;CycleWork,INDEX('الإعدادات والقوائم'!$H$2:$H$4,MOD(INT(MOD(KQ$3-'الموظفون'!$D$5,CycleWork+CycleRest)*3/CycleWork)+MATCH(StartShift,'الإعدادات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الإجازات'!$D$5:$D$104&lt;=KQ$3)*(('حجز الإجازات'!$E$5:$E$104)&gt;=KQ$3)*('حجز الإجازات'!$G$5:$G$104="معتمد")*ROW('حجز الإجازات'!$B$5:$B$104)))-5+1))</f>
        <v/>
      </c>
      <c r="KR7" s="62">
        <f>IF(SUMPRODUCT(('حجز الإجازات'!$B$5:$B$104='الموظفون'!$B$5)*('حجز الإجازات'!$D$5:$D$104&lt;=KR$3)*(('حجز الإجازات'!$E$5:$E$104)&gt;=KR$3)*('حجز الإجازات'!$G$5:$G$104="معتمد")*ROW('حجز الإجازات'!$B$5:$B$104))=0,IF(KR$3&lt;'الموظفون'!$D$5,"",IF(ISNUMBER(MATCH(KR$3,Holidays,0)),"عطلة",IF(MOD(KR$3-'الموظفون'!$D$5,CycleWork+CycleRest)&lt;CycleWork,INDEX('الإعدادات والقوائم'!$H$2:$H$4,MOD(INT(MOD(KR$3-'الموظفون'!$D$5,CycleWork+CycleRest)*3/CycleWork)+MATCH(StartShift,'الإعدادات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الإجازات'!$D$5:$D$104&lt;=KR$3)*(('حجز الإجازات'!$E$5:$E$104)&gt;=KR$3)*('حجز الإجازات'!$G$5:$G$104="معتمد")*ROW('حجز الإجازات'!$B$5:$B$104)))-5+1))</f>
        <v/>
      </c>
      <c r="KS7" s="62">
        <f>IF(SUMPRODUCT(('حجز الإجازات'!$B$5:$B$104='الموظفون'!$B$5)*('حجز الإجازات'!$D$5:$D$104&lt;=KS$3)*(('حجز الإجازات'!$E$5:$E$104)&gt;=KS$3)*('حجز الإجازات'!$G$5:$G$104="معتمد")*ROW('حجز الإجازات'!$B$5:$B$104))=0,IF(KS$3&lt;'الموظفون'!$D$5,"",IF(ISNUMBER(MATCH(KS$3,Holidays,0)),"عطلة",IF(MOD(KS$3-'الموظفون'!$D$5,CycleWork+CycleRest)&lt;CycleWork,INDEX('الإعدادات والقوائم'!$H$2:$H$4,MOD(INT(MOD(KS$3-'الموظفون'!$D$5,CycleWork+CycleRest)*3/CycleWork)+MATCH(StartShift,'الإعدادات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الإجازات'!$D$5:$D$104&lt;=KS$3)*(('حجز الإجازات'!$E$5:$E$104)&gt;=KS$3)*('حجز الإجازات'!$G$5:$G$104="معتمد")*ROW('حجز الإجازات'!$B$5:$B$104)))-5+1))</f>
        <v/>
      </c>
      <c r="KT7" s="62">
        <f>IF(SUMPRODUCT(('حجز الإجازات'!$B$5:$B$104='الموظفون'!$B$5)*('حجز الإجازات'!$D$5:$D$104&lt;=KT$3)*(('حجز الإجازات'!$E$5:$E$104)&gt;=KT$3)*('حجز الإجازات'!$G$5:$G$104="معتمد")*ROW('حجز الإجازات'!$B$5:$B$104))=0,IF(KT$3&lt;'الموظفون'!$D$5,"",IF(ISNUMBER(MATCH(KT$3,Holidays,0)),"عطلة",IF(MOD(KT$3-'الموظفون'!$D$5,CycleWork+CycleRest)&lt;CycleWork,INDEX('الإعدادات والقوائم'!$H$2:$H$4,MOD(INT(MOD(KT$3-'الموظفون'!$D$5,CycleWork+CycleRest)*3/CycleWork)+MATCH(StartShift,'الإعدادات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الإجازات'!$D$5:$D$104&lt;=KT$3)*(('حجز الإجازات'!$E$5:$E$104)&gt;=KT$3)*('حجز الإجازات'!$G$5:$G$104="معتمد")*ROW('حجز الإجازات'!$B$5:$B$104)))-5+1))</f>
        <v/>
      </c>
      <c r="KU7" s="62">
        <f>IF(SUMPRODUCT(('حجز الإجازات'!$B$5:$B$104='الموظفون'!$B$5)*('حجز الإجازات'!$D$5:$D$104&lt;=KU$3)*(('حجز الإجازات'!$E$5:$E$104)&gt;=KU$3)*('حجز الإجازات'!$G$5:$G$104="معتمد")*ROW('حجز الإجازات'!$B$5:$B$104))=0,IF(KU$3&lt;'الموظفون'!$D$5,"",IF(ISNUMBER(MATCH(KU$3,Holidays,0)),"عطلة",IF(MOD(KU$3-'الموظفون'!$D$5,CycleWork+CycleRest)&lt;CycleWork,INDEX('الإعدادات والقوائم'!$H$2:$H$4,MOD(INT(MOD(KU$3-'الموظفون'!$D$5,CycleWork+CycleRest)*3/CycleWork)+MATCH(StartShift,'الإعدادات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الإجازات'!$D$5:$D$104&lt;=KU$3)*(('حجز الإجازات'!$E$5:$E$104)&gt;=KU$3)*('حجز الإجازات'!$G$5:$G$104="معتمد")*ROW('حجز الإجازات'!$B$5:$B$104)))-5+1))</f>
        <v/>
      </c>
      <c r="KV7" s="62">
        <f>IF(SUMPRODUCT(('حجز الإجازات'!$B$5:$B$104='الموظفون'!$B$5)*('حجز الإجازات'!$D$5:$D$104&lt;=KV$3)*(('حجز الإجازات'!$E$5:$E$104)&gt;=KV$3)*('حجز الإجازات'!$G$5:$G$104="معتمد")*ROW('حجز الإجازات'!$B$5:$B$104))=0,IF(KV$3&lt;'الموظفون'!$D$5,"",IF(ISNUMBER(MATCH(KV$3,Holidays,0)),"عطلة",IF(MOD(KV$3-'الموظفون'!$D$5,CycleWork+CycleRest)&lt;CycleWork,INDEX('الإعدادات والقوائم'!$H$2:$H$4,MOD(INT(MOD(KV$3-'الموظفون'!$D$5,CycleWork+CycleRest)*3/CycleWork)+MATCH(StartShift,'الإعدادات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الإجازات'!$D$5:$D$104&lt;=KV$3)*(('حجز الإجازات'!$E$5:$E$104)&gt;=KV$3)*('حجز الإجازات'!$G$5:$G$104="معتمد")*ROW('حجز الإجازات'!$B$5:$B$104)))-5+1))</f>
        <v/>
      </c>
      <c r="KW7" s="62">
        <f>IF(SUMPRODUCT(('حجز الإجازات'!$B$5:$B$104='الموظفون'!$B$5)*('حجز الإجازات'!$D$5:$D$104&lt;=KW$3)*(('حجز الإجازات'!$E$5:$E$104)&gt;=KW$3)*('حجز الإجازات'!$G$5:$G$104="معتمد")*ROW('حجز الإجازات'!$B$5:$B$104))=0,IF(KW$3&lt;'الموظفون'!$D$5,"",IF(ISNUMBER(MATCH(KW$3,Holidays,0)),"عطلة",IF(MOD(KW$3-'الموظفون'!$D$5,CycleWork+CycleRest)&lt;CycleWork,INDEX('الإعدادات والقوائم'!$H$2:$H$4,MOD(INT(MOD(KW$3-'الموظفون'!$D$5,CycleWork+CycleRest)*3/CycleWork)+MATCH(StartShift,'الإعدادات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الإجازات'!$D$5:$D$104&lt;=KW$3)*(('حجز الإجازات'!$E$5:$E$104)&gt;=KW$3)*('حجز الإجازات'!$G$5:$G$104="معتمد")*ROW('حجز الإجازات'!$B$5:$B$104)))-5+1))</f>
        <v/>
      </c>
      <c r="KX7" s="62">
        <f>IF(SUMPRODUCT(('حجز الإجازات'!$B$5:$B$104='الموظفون'!$B$5)*('حجز الإجازات'!$D$5:$D$104&lt;=KX$3)*(('حجز الإجازات'!$E$5:$E$104)&gt;=KX$3)*('حجز الإجازات'!$G$5:$G$104="معتمد")*ROW('حجز الإجازات'!$B$5:$B$104))=0,IF(KX$3&lt;'الموظفون'!$D$5,"",IF(ISNUMBER(MATCH(KX$3,Holidays,0)),"عطلة",IF(MOD(KX$3-'الموظفون'!$D$5,CycleWork+CycleRest)&lt;CycleWork,INDEX('الإعدادات والقوائم'!$H$2:$H$4,MOD(INT(MOD(KX$3-'الموظفون'!$D$5,CycleWork+CycleRest)*3/CycleWork)+MATCH(StartShift,'الإعدادات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الإجازات'!$D$5:$D$104&lt;=KX$3)*(('حجز الإجازات'!$E$5:$E$104)&gt;=KX$3)*('حجز الإجازات'!$G$5:$G$104="معتمد")*ROW('حجز الإجازات'!$B$5:$B$104)))-5+1))</f>
        <v/>
      </c>
      <c r="KY7" s="62">
        <f>IF(SUMPRODUCT(('حجز الإجازات'!$B$5:$B$104='الموظفون'!$B$5)*('حجز الإجازات'!$D$5:$D$104&lt;=KY$3)*(('حجز الإجازات'!$E$5:$E$104)&gt;=KY$3)*('حجز الإجازات'!$G$5:$G$104="معتمد")*ROW('حجز الإجازات'!$B$5:$B$104))=0,IF(KY$3&lt;'الموظفون'!$D$5,"",IF(ISNUMBER(MATCH(KY$3,Holidays,0)),"عطلة",IF(MOD(KY$3-'الموظفون'!$D$5,CycleWork+CycleRest)&lt;CycleWork,INDEX('الإعدادات والقوائم'!$H$2:$H$4,MOD(INT(MOD(KY$3-'الموظفون'!$D$5,CycleWork+CycleRest)*3/CycleWork)+MATCH(StartShift,'الإعدادات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الإجازات'!$D$5:$D$104&lt;=KY$3)*(('حجز الإجازات'!$E$5:$E$104)&gt;=KY$3)*('حجز الإجازات'!$G$5:$G$104="معتمد")*ROW('حجز الإجازات'!$B$5:$B$104)))-5+1))</f>
        <v/>
      </c>
      <c r="KZ7" s="62">
        <f>IF(SUMPRODUCT(('حجز الإجازات'!$B$5:$B$104='الموظفون'!$B$5)*('حجز الإجازات'!$D$5:$D$104&lt;=KZ$3)*(('حجز الإجازات'!$E$5:$E$104)&gt;=KZ$3)*('حجز الإجازات'!$G$5:$G$104="معتمد")*ROW('حجز الإجازات'!$B$5:$B$104))=0,IF(KZ$3&lt;'الموظفون'!$D$5,"",IF(ISNUMBER(MATCH(KZ$3,Holidays,0)),"عطلة",IF(MOD(KZ$3-'الموظفون'!$D$5,CycleWork+CycleRest)&lt;CycleWork,INDEX('الإعدادات والقوائم'!$H$2:$H$4,MOD(INT(MOD(KZ$3-'الموظفون'!$D$5,CycleWork+CycleRest)*3/CycleWork)+MATCH(StartShift,'الإعدادات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الإجازات'!$D$5:$D$104&lt;=KZ$3)*(('حجز الإجازات'!$E$5:$E$104)&gt;=KZ$3)*('حجز الإجازات'!$G$5:$G$104="معتمد")*ROW('حجز الإجازات'!$B$5:$B$104)))-5+1))</f>
        <v/>
      </c>
      <c r="LA7" s="62">
        <f>IF(SUMPRODUCT(('حجز الإجازات'!$B$5:$B$104='الموظفون'!$B$5)*('حجز الإجازات'!$D$5:$D$104&lt;=LA$3)*(('حجز الإجازات'!$E$5:$E$104)&gt;=LA$3)*('حجز الإجازات'!$G$5:$G$104="معتمد")*ROW('حجز الإجازات'!$B$5:$B$104))=0,IF(LA$3&lt;'الموظفون'!$D$5,"",IF(ISNUMBER(MATCH(LA$3,Holidays,0)),"عطلة",IF(MOD(LA$3-'الموظفون'!$D$5,CycleWork+CycleRest)&lt;CycleWork,INDEX('الإعدادات والقوائم'!$H$2:$H$4,MOD(INT(MOD(LA$3-'الموظفون'!$D$5,CycleWork+CycleRest)*3/CycleWork)+MATCH(StartShift,'الإعدادات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الإجازات'!$D$5:$D$104&lt;=LA$3)*(('حجز الإجازات'!$E$5:$E$104)&gt;=LA$3)*('حجز الإجازات'!$G$5:$G$104="معتمد")*ROW('حجز الإجازات'!$B$5:$B$104)))-5+1))</f>
        <v/>
      </c>
      <c r="LB7" s="62">
        <f>IF(SUMPRODUCT(('حجز الإجازات'!$B$5:$B$104='الموظفون'!$B$5)*('حجز الإجازات'!$D$5:$D$104&lt;=LB$3)*(('حجز الإجازات'!$E$5:$E$104)&gt;=LB$3)*('حجز الإجازات'!$G$5:$G$104="معتمد")*ROW('حجز الإجازات'!$B$5:$B$104))=0,IF(LB$3&lt;'الموظفون'!$D$5,"",IF(ISNUMBER(MATCH(LB$3,Holidays,0)),"عطلة",IF(MOD(LB$3-'الموظفون'!$D$5,CycleWork+CycleRest)&lt;CycleWork,INDEX('الإعدادات والقوائم'!$H$2:$H$4,MOD(INT(MOD(LB$3-'الموظفون'!$D$5,CycleWork+CycleRest)*3/CycleWork)+MATCH(StartShift,'الإعدادات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الإجازات'!$D$5:$D$104&lt;=LB$3)*(('حجز الإجازات'!$E$5:$E$104)&gt;=LB$3)*('حجز الإجازات'!$G$5:$G$104="معتمد")*ROW('حجز الإجازات'!$B$5:$B$104)))-5+1))</f>
        <v/>
      </c>
      <c r="LC7" s="62">
        <f>IF(SUMPRODUCT(('حجز الإجازات'!$B$5:$B$104='الموظفون'!$B$5)*('حجز الإجازات'!$D$5:$D$104&lt;=LC$3)*(('حجز الإجازات'!$E$5:$E$104)&gt;=LC$3)*('حجز الإجازات'!$G$5:$G$104="معتمد")*ROW('حجز الإجازات'!$B$5:$B$104))=0,IF(LC$3&lt;'الموظفون'!$D$5,"",IF(ISNUMBER(MATCH(LC$3,Holidays,0)),"عطلة",IF(MOD(LC$3-'الموظفون'!$D$5,CycleWork+CycleRest)&lt;CycleWork,INDEX('الإعدادات والقوائم'!$H$2:$H$4,MOD(INT(MOD(LC$3-'الموظفون'!$D$5,CycleWork+CycleRest)*3/CycleWork)+MATCH(StartShift,'الإعدادات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الإجازات'!$D$5:$D$104&lt;=LC$3)*(('حجز الإجازات'!$E$5:$E$104)&gt;=LC$3)*('حجز الإجازات'!$G$5:$G$104="معتمد")*ROW('حجز الإجازات'!$B$5:$B$104)))-5+1))</f>
        <v/>
      </c>
      <c r="LD7" s="62">
        <f>IF(SUMPRODUCT(('حجز الإجازات'!$B$5:$B$104='الموظفون'!$B$5)*('حجز الإجازات'!$D$5:$D$104&lt;=LD$3)*(('حجز الإجازات'!$E$5:$E$104)&gt;=LD$3)*('حجز الإجازات'!$G$5:$G$104="معتمد")*ROW('حجز الإجازات'!$B$5:$B$104))=0,IF(LD$3&lt;'الموظفون'!$D$5,"",IF(ISNUMBER(MATCH(LD$3,Holidays,0)),"عطلة",IF(MOD(LD$3-'الموظفون'!$D$5,CycleWork+CycleRest)&lt;CycleWork,INDEX('الإعدادات والقوائم'!$H$2:$H$4,MOD(INT(MOD(LD$3-'الموظفون'!$D$5,CycleWork+CycleRest)*3/CycleWork)+MATCH(StartShift,'الإعدادات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الإجازات'!$D$5:$D$104&lt;=LD$3)*(('حجز الإجازات'!$E$5:$E$104)&gt;=LD$3)*('حجز الإجازات'!$G$5:$G$104="معتمد")*ROW('حجز الإجازات'!$B$5:$B$104)))-5+1))</f>
        <v/>
      </c>
      <c r="LE7" s="62">
        <f>IF(SUMPRODUCT(('حجز الإجازات'!$B$5:$B$104='الموظفون'!$B$5)*('حجز الإجازات'!$D$5:$D$104&lt;=LE$3)*(('حجز الإجازات'!$E$5:$E$104)&gt;=LE$3)*('حجز الإجازات'!$G$5:$G$104="معتمد")*ROW('حجز الإجازات'!$B$5:$B$104))=0,IF(LE$3&lt;'الموظفون'!$D$5,"",IF(ISNUMBER(MATCH(LE$3,Holidays,0)),"عطلة",IF(MOD(LE$3-'الموظفون'!$D$5,CycleWork+CycleRest)&lt;CycleWork,INDEX('الإعدادات والقوائم'!$H$2:$H$4,MOD(INT(MOD(LE$3-'الموظفون'!$D$5,CycleWork+CycleRest)*3/CycleWork)+MATCH(StartShift,'الإعدادات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الإجازات'!$D$5:$D$104&lt;=LE$3)*(('حجز الإجازات'!$E$5:$E$104)&gt;=LE$3)*('حجز الإجازات'!$G$5:$G$104="معتمد")*ROW('حجز الإجازات'!$B$5:$B$104)))-5+1))</f>
        <v/>
      </c>
      <c r="LF7" s="62">
        <f>IF(SUMPRODUCT(('حجز الإجازات'!$B$5:$B$104='الموظفون'!$B$5)*('حجز الإجازات'!$D$5:$D$104&lt;=LF$3)*(('حجز الإجازات'!$E$5:$E$104)&gt;=LF$3)*('حجز الإجازات'!$G$5:$G$104="معتمد")*ROW('حجز الإجازات'!$B$5:$B$104))=0,IF(LF$3&lt;'الموظفون'!$D$5,"",IF(ISNUMBER(MATCH(LF$3,Holidays,0)),"عطلة",IF(MOD(LF$3-'الموظفون'!$D$5,CycleWork+CycleRest)&lt;CycleWork,INDEX('الإعدادات والقوائم'!$H$2:$H$4,MOD(INT(MOD(LF$3-'الموظفون'!$D$5,CycleWork+CycleRest)*3/CycleWork)+MATCH(StartShift,'الإعدادات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الإجازات'!$D$5:$D$104&lt;=LF$3)*(('حجز الإجازات'!$E$5:$E$104)&gt;=LF$3)*('حجز الإجازات'!$G$5:$G$104="معتمد")*ROW('حجز الإجازات'!$B$5:$B$104)))-5+1))</f>
        <v/>
      </c>
      <c r="LG7" s="62">
        <f>IF(SUMPRODUCT(('حجز الإجازات'!$B$5:$B$104='الموظفون'!$B$5)*('حجز الإجازات'!$D$5:$D$104&lt;=LG$3)*(('حجز الإجازات'!$E$5:$E$104)&gt;=LG$3)*('حجز الإجازات'!$G$5:$G$104="معتمد")*ROW('حجز الإجازات'!$B$5:$B$104))=0,IF(LG$3&lt;'الموظفون'!$D$5,"",IF(ISNUMBER(MATCH(LG$3,Holidays,0)),"عطلة",IF(MOD(LG$3-'الموظفون'!$D$5,CycleWork+CycleRest)&lt;CycleWork,INDEX('الإعدادات والقوائم'!$H$2:$H$4,MOD(INT(MOD(LG$3-'الموظفون'!$D$5,CycleWork+CycleRest)*3/CycleWork)+MATCH(StartShift,'الإعدادات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الإجازات'!$D$5:$D$104&lt;=LG$3)*(('حجز الإجازات'!$E$5:$E$104)&gt;=LG$3)*('حجز الإجازات'!$G$5:$G$104="معتمد")*ROW('حجز الإجازات'!$B$5:$B$104)))-5+1))</f>
        <v/>
      </c>
      <c r="LH7" s="62">
        <f>IF(SUMPRODUCT(('حجز الإجازات'!$B$5:$B$104='الموظفون'!$B$5)*('حجز الإجازات'!$D$5:$D$104&lt;=LH$3)*(('حجز الإجازات'!$E$5:$E$104)&gt;=LH$3)*('حجز الإجازات'!$G$5:$G$104="معتمد")*ROW('حجز الإجازات'!$B$5:$B$104))=0,IF(LH$3&lt;'الموظفون'!$D$5,"",IF(ISNUMBER(MATCH(LH$3,Holidays,0)),"عطلة",IF(MOD(LH$3-'الموظفون'!$D$5,CycleWork+CycleRest)&lt;CycleWork,INDEX('الإعدادات والقوائم'!$H$2:$H$4,MOD(INT(MOD(LH$3-'الموظفون'!$D$5,CycleWork+CycleRest)*3/CycleWork)+MATCH(StartShift,'الإعدادات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الإجازات'!$D$5:$D$104&lt;=LH$3)*(('حجز الإجازات'!$E$5:$E$104)&gt;=LH$3)*('حجز الإجازات'!$G$5:$G$104="معتمد")*ROW('حجز الإجازات'!$B$5:$B$104)))-5+1))</f>
        <v/>
      </c>
      <c r="LI7" s="62">
        <f>IF(SUMPRODUCT(('حجز الإجازات'!$B$5:$B$104='الموظفون'!$B$5)*('حجز الإجازات'!$D$5:$D$104&lt;=LI$3)*(('حجز الإجازات'!$E$5:$E$104)&gt;=LI$3)*('حجز الإجازات'!$G$5:$G$104="معتمد")*ROW('حجز الإجازات'!$B$5:$B$104))=0,IF(LI$3&lt;'الموظفون'!$D$5,"",IF(ISNUMBER(MATCH(LI$3,Holidays,0)),"عطلة",IF(MOD(LI$3-'الموظفون'!$D$5,CycleWork+CycleRest)&lt;CycleWork,INDEX('الإعدادات والقوائم'!$H$2:$H$4,MOD(INT(MOD(LI$3-'الموظفون'!$D$5,CycleWork+CycleRest)*3/CycleWork)+MATCH(StartShift,'الإعدادات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الإجازات'!$D$5:$D$104&lt;=LI$3)*(('حجز الإجازات'!$E$5:$E$104)&gt;=LI$3)*('حجز الإجازات'!$G$5:$G$104="معتمد")*ROW('حجز الإجازات'!$B$5:$B$104)))-5+1))</f>
        <v/>
      </c>
      <c r="LJ7" s="62">
        <f>IF(SUMPRODUCT(('حجز الإجازات'!$B$5:$B$104='الموظفون'!$B$5)*('حجز الإجازات'!$D$5:$D$104&lt;=LJ$3)*(('حجز الإجازات'!$E$5:$E$104)&gt;=LJ$3)*('حجز الإجازات'!$G$5:$G$104="معتمد")*ROW('حجز الإجازات'!$B$5:$B$104))=0,IF(LJ$3&lt;'الموظفون'!$D$5,"",IF(ISNUMBER(MATCH(LJ$3,Holidays,0)),"عطلة",IF(MOD(LJ$3-'الموظفون'!$D$5,CycleWork+CycleRest)&lt;CycleWork,INDEX('الإعدادات والقوائم'!$H$2:$H$4,MOD(INT(MOD(LJ$3-'الموظفون'!$D$5,CycleWork+CycleRest)*3/CycleWork)+MATCH(StartShift,'الإعدادات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الإجازات'!$D$5:$D$104&lt;=LJ$3)*(('حجز الإجازات'!$E$5:$E$104)&gt;=LJ$3)*('حجز الإجازات'!$G$5:$G$104="معتمد")*ROW('حجز الإجازات'!$B$5:$B$104)))-5+1))</f>
        <v/>
      </c>
      <c r="LK7" s="62">
        <f>IF(SUMPRODUCT(('حجز الإجازات'!$B$5:$B$104='الموظفون'!$B$5)*('حجز الإجازات'!$D$5:$D$104&lt;=LK$3)*(('حجز الإجازات'!$E$5:$E$104)&gt;=LK$3)*('حجز الإجازات'!$G$5:$G$104="معتمد")*ROW('حجز الإجازات'!$B$5:$B$104))=0,IF(LK$3&lt;'الموظفون'!$D$5,"",IF(ISNUMBER(MATCH(LK$3,Holidays,0)),"عطلة",IF(MOD(LK$3-'الموظفون'!$D$5,CycleWork+CycleRest)&lt;CycleWork,INDEX('الإعدادات والقوائم'!$H$2:$H$4,MOD(INT(MOD(LK$3-'الموظفون'!$D$5,CycleWork+CycleRest)*3/CycleWork)+MATCH(StartShift,'الإعدادات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الإجازات'!$D$5:$D$104&lt;=LK$3)*(('حجز الإجازات'!$E$5:$E$104)&gt;=LK$3)*('حجز الإجازات'!$G$5:$G$104="معتمد")*ROW('حجز الإجازات'!$B$5:$B$104)))-5+1))</f>
        <v/>
      </c>
      <c r="LL7" s="62">
        <f>IF(SUMPRODUCT(('حجز الإجازات'!$B$5:$B$104='الموظفون'!$B$5)*('حجز الإجازات'!$D$5:$D$104&lt;=LL$3)*(('حجز الإجازات'!$E$5:$E$104)&gt;=LL$3)*('حجز الإجازات'!$G$5:$G$104="معتمد")*ROW('حجز الإجازات'!$B$5:$B$104))=0,IF(LL$3&lt;'الموظفون'!$D$5,"",IF(ISNUMBER(MATCH(LL$3,Holidays,0)),"عطلة",IF(MOD(LL$3-'الموظفون'!$D$5,CycleWork+CycleRest)&lt;CycleWork,INDEX('الإعدادات والقوائم'!$H$2:$H$4,MOD(INT(MOD(LL$3-'الموظفون'!$D$5,CycleWork+CycleRest)*3/CycleWork)+MATCH(StartShift,'الإعدادات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الإجازات'!$D$5:$D$104&lt;=LL$3)*(('حجز الإجازات'!$E$5:$E$104)&gt;=LL$3)*('حجز الإجازات'!$G$5:$G$104="معتمد")*ROW('حجز الإجازات'!$B$5:$B$104)))-5+1))</f>
        <v/>
      </c>
      <c r="LM7" s="62">
        <f>IF(SUMPRODUCT(('حجز الإجازات'!$B$5:$B$104='الموظفون'!$B$5)*('حجز الإجازات'!$D$5:$D$104&lt;=LM$3)*(('حجز الإجازات'!$E$5:$E$104)&gt;=LM$3)*('حجز الإجازات'!$G$5:$G$104="معتمد")*ROW('حجز الإجازات'!$B$5:$B$104))=0,IF(LM$3&lt;'الموظفون'!$D$5,"",IF(ISNUMBER(MATCH(LM$3,Holidays,0)),"عطلة",IF(MOD(LM$3-'الموظفون'!$D$5,CycleWork+CycleRest)&lt;CycleWork,INDEX('الإعدادات والقوائم'!$H$2:$H$4,MOD(INT(MOD(LM$3-'الموظفون'!$D$5,CycleWork+CycleRest)*3/CycleWork)+MATCH(StartShift,'الإعدادات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الإجازات'!$D$5:$D$104&lt;=LM$3)*(('حجز الإجازات'!$E$5:$E$104)&gt;=LM$3)*('حجز الإجازات'!$G$5:$G$104="معتمد")*ROW('حجز الإجازات'!$B$5:$B$104)))-5+1))</f>
        <v/>
      </c>
      <c r="LN7" s="62">
        <f>IF(SUMPRODUCT(('حجز الإجازات'!$B$5:$B$104='الموظفون'!$B$5)*('حجز الإجازات'!$D$5:$D$104&lt;=LN$3)*(('حجز الإجازات'!$E$5:$E$104)&gt;=LN$3)*('حجز الإجازات'!$G$5:$G$104="معتمد")*ROW('حجز الإجازات'!$B$5:$B$104))=0,IF(LN$3&lt;'الموظفون'!$D$5,"",IF(ISNUMBER(MATCH(LN$3,Holidays,0)),"عطلة",IF(MOD(LN$3-'الموظفون'!$D$5,CycleWork+CycleRest)&lt;CycleWork,INDEX('الإعدادات والقوائم'!$H$2:$H$4,MOD(INT(MOD(LN$3-'الموظفون'!$D$5,CycleWork+CycleRest)*3/CycleWork)+MATCH(StartShift,'الإعدادات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الإجازات'!$D$5:$D$104&lt;=LN$3)*(('حجز الإجازات'!$E$5:$E$104)&gt;=LN$3)*('حجز الإجازات'!$G$5:$G$104="معتمد")*ROW('حجز الإجازات'!$B$5:$B$104)))-5+1))</f>
        <v/>
      </c>
      <c r="LO7" s="62">
        <f>IF(SUMPRODUCT(('حجز الإجازات'!$B$5:$B$104='الموظفون'!$B$5)*('حجز الإجازات'!$D$5:$D$104&lt;=LO$3)*(('حجز الإجازات'!$E$5:$E$104)&gt;=LO$3)*('حجز الإجازات'!$G$5:$G$104="معتمد")*ROW('حجز الإجازات'!$B$5:$B$104))=0,IF(LO$3&lt;'الموظفون'!$D$5,"",IF(ISNUMBER(MATCH(LO$3,Holidays,0)),"عطلة",IF(MOD(LO$3-'الموظفون'!$D$5,CycleWork+CycleRest)&lt;CycleWork,INDEX('الإعدادات والقوائم'!$H$2:$H$4,MOD(INT(MOD(LO$3-'الموظفون'!$D$5,CycleWork+CycleRest)*3/CycleWork)+MATCH(StartShift,'الإعدادات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الإجازات'!$D$5:$D$104&lt;=LO$3)*(('حجز الإجازات'!$E$5:$E$104)&gt;=LO$3)*('حجز الإجازات'!$G$5:$G$104="معتمد")*ROW('حجز الإجازات'!$B$5:$B$104)))-5+1))</f>
        <v/>
      </c>
      <c r="LP7" s="62">
        <f>IF(SUMPRODUCT(('حجز الإجازات'!$B$5:$B$104='الموظفون'!$B$5)*('حجز الإجازات'!$D$5:$D$104&lt;=LP$3)*(('حجز الإجازات'!$E$5:$E$104)&gt;=LP$3)*('حجز الإجازات'!$G$5:$G$104="معتمد")*ROW('حجز الإجازات'!$B$5:$B$104))=0,IF(LP$3&lt;'الموظفون'!$D$5,"",IF(ISNUMBER(MATCH(LP$3,Holidays,0)),"عطلة",IF(MOD(LP$3-'الموظفون'!$D$5,CycleWork+CycleRest)&lt;CycleWork,INDEX('الإعدادات والقوائم'!$H$2:$H$4,MOD(INT(MOD(LP$3-'الموظفون'!$D$5,CycleWork+CycleRest)*3/CycleWork)+MATCH(StartShift,'الإعدادات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الإجازات'!$D$5:$D$104&lt;=LP$3)*(('حجز الإجازات'!$E$5:$E$104)&gt;=LP$3)*('حجز الإجازات'!$G$5:$G$104="معتمد")*ROW('حجز الإجازات'!$B$5:$B$104)))-5+1))</f>
        <v/>
      </c>
      <c r="LQ7" s="62">
        <f>IF(SUMPRODUCT(('حجز الإجازات'!$B$5:$B$104='الموظفون'!$B$5)*('حجز الإجازات'!$D$5:$D$104&lt;=LQ$3)*(('حجز الإجازات'!$E$5:$E$104)&gt;=LQ$3)*('حجز الإجازات'!$G$5:$G$104="معتمد")*ROW('حجز الإجازات'!$B$5:$B$104))=0,IF(LQ$3&lt;'الموظفون'!$D$5,"",IF(ISNUMBER(MATCH(LQ$3,Holidays,0)),"عطلة",IF(MOD(LQ$3-'الموظفون'!$D$5,CycleWork+CycleRest)&lt;CycleWork,INDEX('الإعدادات والقوائم'!$H$2:$H$4,MOD(INT(MOD(LQ$3-'الموظفون'!$D$5,CycleWork+CycleRest)*3/CycleWork)+MATCH(StartShift,'الإعدادات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الإجازات'!$D$5:$D$104&lt;=LQ$3)*(('حجز الإجازات'!$E$5:$E$104)&gt;=LQ$3)*('حجز الإجازات'!$G$5:$G$104="معتمد")*ROW('حجز الإجازات'!$B$5:$B$104)))-5+1))</f>
        <v/>
      </c>
      <c r="LR7" s="62">
        <f>IF(SUMPRODUCT(('حجز الإجازات'!$B$5:$B$104='الموظفون'!$B$5)*('حجز الإجازات'!$D$5:$D$104&lt;=LR$3)*(('حجز الإجازات'!$E$5:$E$104)&gt;=LR$3)*('حجز الإجازات'!$G$5:$G$104="معتمد")*ROW('حجز الإجازات'!$B$5:$B$104))=0,IF(LR$3&lt;'الموظفون'!$D$5,"",IF(ISNUMBER(MATCH(LR$3,Holidays,0)),"عطلة",IF(MOD(LR$3-'الموظفون'!$D$5,CycleWork+CycleRest)&lt;CycleWork,INDEX('الإعدادات والقوائم'!$H$2:$H$4,MOD(INT(MOD(LR$3-'الموظفون'!$D$5,CycleWork+CycleRest)*3/CycleWork)+MATCH(StartShift,'الإعدادات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الإجازات'!$D$5:$D$104&lt;=LR$3)*(('حجز الإجازات'!$E$5:$E$104)&gt;=LR$3)*('حجز الإجازات'!$G$5:$G$104="معتمد")*ROW('حجز الإجازات'!$B$5:$B$104)))-5+1))</f>
        <v/>
      </c>
      <c r="LS7" s="62">
        <f>IF(SUMPRODUCT(('حجز الإجازات'!$B$5:$B$104='الموظفون'!$B$5)*('حجز الإجازات'!$D$5:$D$104&lt;=LS$3)*(('حجز الإجازات'!$E$5:$E$104)&gt;=LS$3)*('حجز الإجازات'!$G$5:$G$104="معتمد")*ROW('حجز الإجازات'!$B$5:$B$104))=0,IF(LS$3&lt;'الموظفون'!$D$5,"",IF(ISNUMBER(MATCH(LS$3,Holidays,0)),"عطلة",IF(MOD(LS$3-'الموظفون'!$D$5,CycleWork+CycleRest)&lt;CycleWork,INDEX('الإعدادات والقوائم'!$H$2:$H$4,MOD(INT(MOD(LS$3-'الموظفون'!$D$5,CycleWork+CycleRest)*3/CycleWork)+MATCH(StartShift,'الإعدادات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الإجازات'!$D$5:$D$104&lt;=LS$3)*(('حجز الإجازات'!$E$5:$E$104)&gt;=LS$3)*('حجز الإجازات'!$G$5:$G$104="معتمد")*ROW('حجز الإجازات'!$B$5:$B$104)))-5+1))</f>
        <v/>
      </c>
      <c r="LT7" s="62">
        <f>IF(SUMPRODUCT(('حجز الإجازات'!$B$5:$B$104='الموظفون'!$B$5)*('حجز الإجازات'!$D$5:$D$104&lt;=LT$3)*(('حجز الإجازات'!$E$5:$E$104)&gt;=LT$3)*('حجز الإجازات'!$G$5:$G$104="معتمد")*ROW('حجز الإجازات'!$B$5:$B$104))=0,IF(LT$3&lt;'الموظفون'!$D$5,"",IF(ISNUMBER(MATCH(LT$3,Holidays,0)),"عطلة",IF(MOD(LT$3-'الموظفون'!$D$5,CycleWork+CycleRest)&lt;CycleWork,INDEX('الإعدادات والقوائم'!$H$2:$H$4,MOD(INT(MOD(LT$3-'الموظفون'!$D$5,CycleWork+CycleRest)*3/CycleWork)+MATCH(StartShift,'الإعدادات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الإجازات'!$D$5:$D$104&lt;=LT$3)*(('حجز الإجازات'!$E$5:$E$104)&gt;=LT$3)*('حجز الإجازات'!$G$5:$G$104="معتمد")*ROW('حجز الإجازات'!$B$5:$B$104)))-5+1))</f>
        <v/>
      </c>
      <c r="LU7" s="62">
        <f>IF(SUMPRODUCT(('حجز الإجازات'!$B$5:$B$104='الموظفون'!$B$5)*('حجز الإجازات'!$D$5:$D$104&lt;=LU$3)*(('حجز الإجازات'!$E$5:$E$104)&gt;=LU$3)*('حجز الإجازات'!$G$5:$G$104="معتمد")*ROW('حجز الإجازات'!$B$5:$B$104))=0,IF(LU$3&lt;'الموظفون'!$D$5,"",IF(ISNUMBER(MATCH(LU$3,Holidays,0)),"عطلة",IF(MOD(LU$3-'الموظفون'!$D$5,CycleWork+CycleRest)&lt;CycleWork,INDEX('الإعدادات والقوائم'!$H$2:$H$4,MOD(INT(MOD(LU$3-'الموظفون'!$D$5,CycleWork+CycleRest)*3/CycleWork)+MATCH(StartShift,'الإعدادات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الإجازات'!$D$5:$D$104&lt;=LU$3)*(('حجز الإجازات'!$E$5:$E$104)&gt;=LU$3)*('حجز الإجازات'!$G$5:$G$104="معتمد")*ROW('حجز الإجازات'!$B$5:$B$104)))-5+1))</f>
        <v/>
      </c>
      <c r="LV7" s="62">
        <f>IF(SUMPRODUCT(('حجز الإجازات'!$B$5:$B$104='الموظفون'!$B$5)*('حجز الإجازات'!$D$5:$D$104&lt;=LV$3)*(('حجز الإجازات'!$E$5:$E$104)&gt;=LV$3)*('حجز الإجازات'!$G$5:$G$104="معتمد")*ROW('حجز الإجازات'!$B$5:$B$104))=0,IF(LV$3&lt;'الموظفون'!$D$5,"",IF(ISNUMBER(MATCH(LV$3,Holidays,0)),"عطلة",IF(MOD(LV$3-'الموظفون'!$D$5,CycleWork+CycleRest)&lt;CycleWork,INDEX('الإعدادات والقوائم'!$H$2:$H$4,MOD(INT(MOD(LV$3-'الموظفون'!$D$5,CycleWork+CycleRest)*3/CycleWork)+MATCH(StartShift,'الإعدادات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الإجازات'!$D$5:$D$104&lt;=LV$3)*(('حجز الإجازات'!$E$5:$E$104)&gt;=LV$3)*('حجز الإجازات'!$G$5:$G$104="معتمد")*ROW('حجز الإجازات'!$B$5:$B$104)))-5+1))</f>
        <v/>
      </c>
      <c r="LW7" s="62">
        <f>IF(SUMPRODUCT(('حجز الإجازات'!$B$5:$B$104='الموظفون'!$B$5)*('حجز الإجازات'!$D$5:$D$104&lt;=LW$3)*(('حجز الإجازات'!$E$5:$E$104)&gt;=LW$3)*('حجز الإجازات'!$G$5:$G$104="معتمد")*ROW('حجز الإجازات'!$B$5:$B$104))=0,IF(LW$3&lt;'الموظفون'!$D$5,"",IF(ISNUMBER(MATCH(LW$3,Holidays,0)),"عطلة",IF(MOD(LW$3-'الموظفون'!$D$5,CycleWork+CycleRest)&lt;CycleWork,INDEX('الإعدادات والقوائم'!$H$2:$H$4,MOD(INT(MOD(LW$3-'الموظفون'!$D$5,CycleWork+CycleRest)*3/CycleWork)+MATCH(StartShift,'الإعدادات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الإجازات'!$D$5:$D$104&lt;=LW$3)*(('حجز الإجازات'!$E$5:$E$104)&gt;=LW$3)*('حجز الإجازات'!$G$5:$G$104="معتمد")*ROW('حجز الإجازات'!$B$5:$B$104)))-5+1))</f>
        <v/>
      </c>
      <c r="LX7" s="62">
        <f>IF(SUMPRODUCT(('حجز الإجازات'!$B$5:$B$104='الموظفون'!$B$5)*('حجز الإجازات'!$D$5:$D$104&lt;=LX$3)*(('حجز الإجازات'!$E$5:$E$104)&gt;=LX$3)*('حجز الإجازات'!$G$5:$G$104="معتمد")*ROW('حجز الإجازات'!$B$5:$B$104))=0,IF(LX$3&lt;'الموظفون'!$D$5,"",IF(ISNUMBER(MATCH(LX$3,Holidays,0)),"عطلة",IF(MOD(LX$3-'الموظفون'!$D$5,CycleWork+CycleRest)&lt;CycleWork,INDEX('الإعدادات والقوائم'!$H$2:$H$4,MOD(INT(MOD(LX$3-'الموظفون'!$D$5,CycleWork+CycleRest)*3/CycleWork)+MATCH(StartShift,'الإعدادات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الإجازات'!$D$5:$D$104&lt;=LX$3)*(('حجز الإجازات'!$E$5:$E$104)&gt;=LX$3)*('حجز الإجازات'!$G$5:$G$104="معتمد")*ROW('حجز الإجازات'!$B$5:$B$104)))-5+1))</f>
        <v/>
      </c>
      <c r="LY7" s="62">
        <f>IF(SUMPRODUCT(('حجز الإجازات'!$B$5:$B$104='الموظفون'!$B$5)*('حجز الإجازات'!$D$5:$D$104&lt;=LY$3)*(('حجز الإجازات'!$E$5:$E$104)&gt;=LY$3)*('حجز الإجازات'!$G$5:$G$104="معتمد")*ROW('حجز الإجازات'!$B$5:$B$104))=0,IF(LY$3&lt;'الموظفون'!$D$5,"",IF(ISNUMBER(MATCH(LY$3,Holidays,0)),"عطلة",IF(MOD(LY$3-'الموظفون'!$D$5,CycleWork+CycleRest)&lt;CycleWork,INDEX('الإعدادات والقوائم'!$H$2:$H$4,MOD(INT(MOD(LY$3-'الموظفون'!$D$5,CycleWork+CycleRest)*3/CycleWork)+MATCH(StartShift,'الإعدادات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الإجازات'!$D$5:$D$104&lt;=LY$3)*(('حجز الإجازات'!$E$5:$E$104)&gt;=LY$3)*('حجز الإجازات'!$G$5:$G$104="معتمد")*ROW('حجز الإجازات'!$B$5:$B$104)))-5+1))</f>
        <v/>
      </c>
      <c r="LZ7" s="62">
        <f>IF(SUMPRODUCT(('حجز الإجازات'!$B$5:$B$104='الموظفون'!$B$5)*('حجز الإجازات'!$D$5:$D$104&lt;=LZ$3)*(('حجز الإجازات'!$E$5:$E$104)&gt;=LZ$3)*('حجز الإجازات'!$G$5:$G$104="معتمد")*ROW('حجز الإجازات'!$B$5:$B$104))=0,IF(LZ$3&lt;'الموظفون'!$D$5,"",IF(ISNUMBER(MATCH(LZ$3,Holidays,0)),"عطلة",IF(MOD(LZ$3-'الموظفون'!$D$5,CycleWork+CycleRest)&lt;CycleWork,INDEX('الإعدادات والقوائم'!$H$2:$H$4,MOD(INT(MOD(LZ$3-'الموظفون'!$D$5,CycleWork+CycleRest)*3/CycleWork)+MATCH(StartShift,'الإعدادات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الإجازات'!$D$5:$D$104&lt;=LZ$3)*(('حجز الإجازات'!$E$5:$E$104)&gt;=LZ$3)*('حجز الإجازات'!$G$5:$G$104="معتمد")*ROW('حجز الإجازات'!$B$5:$B$104)))-5+1))</f>
        <v/>
      </c>
      <c r="MA7" s="62">
        <f>IF(SUMPRODUCT(('حجز الإجازات'!$B$5:$B$104='الموظفون'!$B$5)*('حجز الإجازات'!$D$5:$D$104&lt;=MA$3)*(('حجز الإجازات'!$E$5:$E$104)&gt;=MA$3)*('حجز الإجازات'!$G$5:$G$104="معتمد")*ROW('حجز الإجازات'!$B$5:$B$104))=0,IF(MA$3&lt;'الموظفون'!$D$5,"",IF(ISNUMBER(MATCH(MA$3,Holidays,0)),"عطلة",IF(MOD(MA$3-'الموظفون'!$D$5,CycleWork+CycleRest)&lt;CycleWork,INDEX('الإعدادات والقوائم'!$H$2:$H$4,MOD(INT(MOD(MA$3-'الموظفون'!$D$5,CycleWork+CycleRest)*3/CycleWork)+MATCH(StartShift,'الإعدادات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الإجازات'!$D$5:$D$104&lt;=MA$3)*(('حجز الإجازات'!$E$5:$E$104)&gt;=MA$3)*('حجز الإجازات'!$G$5:$G$104="معتمد")*ROW('حجز الإجازات'!$B$5:$B$104)))-5+1))</f>
        <v/>
      </c>
      <c r="MB7" s="62">
        <f>IF(SUMPRODUCT(('حجز الإجازات'!$B$5:$B$104='الموظفون'!$B$5)*('حجز الإجازات'!$D$5:$D$104&lt;=MB$3)*(('حجز الإجازات'!$E$5:$E$104)&gt;=MB$3)*('حجز الإجازات'!$G$5:$G$104="معتمد")*ROW('حجز الإجازات'!$B$5:$B$104))=0,IF(MB$3&lt;'الموظفون'!$D$5,"",IF(ISNUMBER(MATCH(MB$3,Holidays,0)),"عطلة",IF(MOD(MB$3-'الموظفون'!$D$5,CycleWork+CycleRest)&lt;CycleWork,INDEX('الإعدادات والقوائم'!$H$2:$H$4,MOD(INT(MOD(MB$3-'الموظفون'!$D$5,CycleWork+CycleRest)*3/CycleWork)+MATCH(StartShift,'الإعدادات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الإجازات'!$D$5:$D$104&lt;=MB$3)*(('حجز الإجازات'!$E$5:$E$104)&gt;=MB$3)*('حجز الإجازات'!$G$5:$G$104="معتمد")*ROW('حجز الإجازات'!$B$5:$B$104)))-5+1))</f>
        <v/>
      </c>
      <c r="MC7" s="62">
        <f>IF(SUMPRODUCT(('حجز الإجازات'!$B$5:$B$104='الموظفون'!$B$5)*('حجز الإجازات'!$D$5:$D$104&lt;=MC$3)*(('حجز الإجازات'!$E$5:$E$104)&gt;=MC$3)*('حجز الإجازات'!$G$5:$G$104="معتمد")*ROW('حجز الإجازات'!$B$5:$B$104))=0,IF(MC$3&lt;'الموظفون'!$D$5,"",IF(ISNUMBER(MATCH(MC$3,Holidays,0)),"عطلة",IF(MOD(MC$3-'الموظفون'!$D$5,CycleWork+CycleRest)&lt;CycleWork,INDEX('الإعدادات والقوائم'!$H$2:$H$4,MOD(INT(MOD(MC$3-'الموظفون'!$D$5,CycleWork+CycleRest)*3/CycleWork)+MATCH(StartShift,'الإعدادات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الإجازات'!$D$5:$D$104&lt;=MC$3)*(('حجز الإجازات'!$E$5:$E$104)&gt;=MC$3)*('حجز الإجازات'!$G$5:$G$104="معتمد")*ROW('حجز الإجازات'!$B$5:$B$104)))-5+1))</f>
        <v/>
      </c>
      <c r="MD7" s="62">
        <f>IF(SUMPRODUCT(('حجز الإجازات'!$B$5:$B$104='الموظفون'!$B$5)*('حجز الإجازات'!$D$5:$D$104&lt;=MD$3)*(('حجز الإجازات'!$E$5:$E$104)&gt;=MD$3)*('حجز الإجازات'!$G$5:$G$104="معتمد")*ROW('حجز الإجازات'!$B$5:$B$104))=0,IF(MD$3&lt;'الموظفون'!$D$5,"",IF(ISNUMBER(MATCH(MD$3,Holidays,0)),"عطلة",IF(MOD(MD$3-'الموظفون'!$D$5,CycleWork+CycleRest)&lt;CycleWork,INDEX('الإعدادات والقوائم'!$H$2:$H$4,MOD(INT(MOD(MD$3-'الموظفون'!$D$5,CycleWork+CycleRest)*3/CycleWork)+MATCH(StartShift,'الإعدادات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الإجازات'!$D$5:$D$104&lt;=MD$3)*(('حجز الإجازات'!$E$5:$E$104)&gt;=MD$3)*('حجز الإجازات'!$G$5:$G$104="معتمد")*ROW('حجز الإجازات'!$B$5:$B$104)))-5+1))</f>
        <v/>
      </c>
      <c r="ME7" s="62">
        <f>IF(SUMPRODUCT(('حجز الإجازات'!$B$5:$B$104='الموظفون'!$B$5)*('حجز الإجازات'!$D$5:$D$104&lt;=ME$3)*(('حجز الإجازات'!$E$5:$E$104)&gt;=ME$3)*('حجز الإجازات'!$G$5:$G$104="معتمد")*ROW('حجز الإجازات'!$B$5:$B$104))=0,IF(ME$3&lt;'الموظفون'!$D$5,"",IF(ISNUMBER(MATCH(ME$3,Holidays,0)),"عطلة",IF(MOD(ME$3-'الموظفون'!$D$5,CycleWork+CycleRest)&lt;CycleWork,INDEX('الإعدادات والقوائم'!$H$2:$H$4,MOD(INT(MOD(ME$3-'الموظفون'!$D$5,CycleWork+CycleRest)*3/CycleWork)+MATCH(StartShift,'الإعدادات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الإجازات'!$D$5:$D$104&lt;=ME$3)*(('حجز الإجازات'!$E$5:$E$104)&gt;=ME$3)*('حجز الإجازات'!$G$5:$G$104="معتمد")*ROW('حجز الإجازات'!$B$5:$B$104)))-5+1))</f>
        <v/>
      </c>
      <c r="MF7" s="62">
        <f>IF(SUMPRODUCT(('حجز الإجازات'!$B$5:$B$104='الموظفون'!$B$5)*('حجز الإجازات'!$D$5:$D$104&lt;=MF$3)*(('حجز الإجازات'!$E$5:$E$104)&gt;=MF$3)*('حجز الإجازات'!$G$5:$G$104="معتمد")*ROW('حجز الإجازات'!$B$5:$B$104))=0,IF(MF$3&lt;'الموظفون'!$D$5,"",IF(ISNUMBER(MATCH(MF$3,Holidays,0)),"عطلة",IF(MOD(MF$3-'الموظفون'!$D$5,CycleWork+CycleRest)&lt;CycleWork,INDEX('الإعدادات والقوائم'!$H$2:$H$4,MOD(INT(MOD(MF$3-'الموظفون'!$D$5,CycleWork+CycleRest)*3/CycleWork)+MATCH(StartShift,'الإعدادات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الإجازات'!$D$5:$D$104&lt;=MF$3)*(('حجز الإجازات'!$E$5:$E$104)&gt;=MF$3)*('حجز الإجازات'!$G$5:$G$104="معتمد")*ROW('حجز الإجازات'!$B$5:$B$104)))-5+1))</f>
        <v/>
      </c>
      <c r="MG7" s="62">
        <f>IF(SUMPRODUCT(('حجز الإجازات'!$B$5:$B$104='الموظفون'!$B$5)*('حجز الإجازات'!$D$5:$D$104&lt;=MG$3)*(('حجز الإجازات'!$E$5:$E$104)&gt;=MG$3)*('حجز الإجازات'!$G$5:$G$104="معتمد")*ROW('حجز الإجازات'!$B$5:$B$104))=0,IF(MG$3&lt;'الموظفون'!$D$5,"",IF(ISNUMBER(MATCH(MG$3,Holidays,0)),"عطلة",IF(MOD(MG$3-'الموظفون'!$D$5,CycleWork+CycleRest)&lt;CycleWork,INDEX('الإعدادات والقوائم'!$H$2:$H$4,MOD(INT(MOD(MG$3-'الموظفون'!$D$5,CycleWork+CycleRest)*3/CycleWork)+MATCH(StartShift,'الإعدادات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الإجازات'!$D$5:$D$104&lt;=MG$3)*(('حجز الإجازات'!$E$5:$E$104)&gt;=MG$3)*('حجز الإجازات'!$G$5:$G$104="معتمد")*ROW('حجز الإجازات'!$B$5:$B$104)))-5+1))</f>
        <v/>
      </c>
      <c r="MH7" s="62">
        <f>IF(SUMPRODUCT(('حجز الإجازات'!$B$5:$B$104='الموظفون'!$B$5)*('حجز الإجازات'!$D$5:$D$104&lt;=MH$3)*(('حجز الإجازات'!$E$5:$E$104)&gt;=MH$3)*('حجز الإجازات'!$G$5:$G$104="معتمد")*ROW('حجز الإجازات'!$B$5:$B$104))=0,IF(MH$3&lt;'الموظفون'!$D$5,"",IF(ISNUMBER(MATCH(MH$3,Holidays,0)),"عطلة",IF(MOD(MH$3-'الموظفون'!$D$5,CycleWork+CycleRest)&lt;CycleWork,INDEX('الإعدادات والقوائم'!$H$2:$H$4,MOD(INT(MOD(MH$3-'الموظفون'!$D$5,CycleWork+CycleRest)*3/CycleWork)+MATCH(StartShift,'الإعدادات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الإجازات'!$D$5:$D$104&lt;=MH$3)*(('حجز الإجازات'!$E$5:$E$104)&gt;=MH$3)*('حجز الإجازات'!$G$5:$G$104="معتمد")*ROW('حجز الإجازات'!$B$5:$B$104)))-5+1))</f>
        <v/>
      </c>
      <c r="MI7" s="62">
        <f>IF(SUMPRODUCT(('حجز الإجازات'!$B$5:$B$104='الموظفون'!$B$5)*('حجز الإجازات'!$D$5:$D$104&lt;=MI$3)*(('حجز الإجازات'!$E$5:$E$104)&gt;=MI$3)*('حجز الإجازات'!$G$5:$G$104="معتمد")*ROW('حجز الإجازات'!$B$5:$B$104))=0,IF(MI$3&lt;'الموظفون'!$D$5,"",IF(ISNUMBER(MATCH(MI$3,Holidays,0)),"عطلة",IF(MOD(MI$3-'الموظفون'!$D$5,CycleWork+CycleRest)&lt;CycleWork,INDEX('الإعدادات والقوائم'!$H$2:$H$4,MOD(INT(MOD(MI$3-'الموظفون'!$D$5,CycleWork+CycleRest)*3/CycleWork)+MATCH(StartShift,'الإعدادات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الإجازات'!$D$5:$D$104&lt;=MI$3)*(('حجز الإجازات'!$E$5:$E$104)&gt;=MI$3)*('حجز الإجازات'!$G$5:$G$104="معتمد")*ROW('حجز الإجازات'!$B$5:$B$104)))-5+1))</f>
        <v/>
      </c>
      <c r="MJ7" s="62">
        <f>IF(SUMPRODUCT(('حجز الإجازات'!$B$5:$B$104='الموظفون'!$B$5)*('حجز الإجازات'!$D$5:$D$104&lt;=MJ$3)*(('حجز الإجازات'!$E$5:$E$104)&gt;=MJ$3)*('حجز الإجازات'!$G$5:$G$104="معتمد")*ROW('حجز الإجازات'!$B$5:$B$104))=0,IF(MJ$3&lt;'الموظفون'!$D$5,"",IF(ISNUMBER(MATCH(MJ$3,Holidays,0)),"عطلة",IF(MOD(MJ$3-'الموظفون'!$D$5,CycleWork+CycleRest)&lt;CycleWork,INDEX('الإعدادات والقوائم'!$H$2:$H$4,MOD(INT(MOD(MJ$3-'الموظفون'!$D$5,CycleWork+CycleRest)*3/CycleWork)+MATCH(StartShift,'الإعدادات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الإجازات'!$D$5:$D$104&lt;=MJ$3)*(('حجز الإجازات'!$E$5:$E$104)&gt;=MJ$3)*('حجز الإجازات'!$G$5:$G$104="معتمد")*ROW('حجز الإجازات'!$B$5:$B$104)))-5+1))</f>
        <v/>
      </c>
      <c r="MK7" s="62">
        <f>IF(SUMPRODUCT(('حجز الإجازات'!$B$5:$B$104='الموظفون'!$B$5)*('حجز الإجازات'!$D$5:$D$104&lt;=MK$3)*(('حجز الإجازات'!$E$5:$E$104)&gt;=MK$3)*('حجز الإجازات'!$G$5:$G$104="معتمد")*ROW('حجز الإجازات'!$B$5:$B$104))=0,IF(MK$3&lt;'الموظفون'!$D$5,"",IF(ISNUMBER(MATCH(MK$3,Holidays,0)),"عطلة",IF(MOD(MK$3-'الموظفون'!$D$5,CycleWork+CycleRest)&lt;CycleWork,INDEX('الإعدادات والقوائم'!$H$2:$H$4,MOD(INT(MOD(MK$3-'الموظفون'!$D$5,CycleWork+CycleRest)*3/CycleWork)+MATCH(StartShift,'الإعدادات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الإجازات'!$D$5:$D$104&lt;=MK$3)*(('حجز الإجازات'!$E$5:$E$104)&gt;=MK$3)*('حجز الإجازات'!$G$5:$G$104="معتمد")*ROW('حجز الإجازات'!$B$5:$B$104)))-5+1))</f>
        <v/>
      </c>
      <c r="ML7" s="62">
        <f>IF(SUMPRODUCT(('حجز الإجازات'!$B$5:$B$104='الموظفون'!$B$5)*('حجز الإجازات'!$D$5:$D$104&lt;=ML$3)*(('حجز الإجازات'!$E$5:$E$104)&gt;=ML$3)*('حجز الإجازات'!$G$5:$G$104="معتمد")*ROW('حجز الإجازات'!$B$5:$B$104))=0,IF(ML$3&lt;'الموظفون'!$D$5,"",IF(ISNUMBER(MATCH(ML$3,Holidays,0)),"عطلة",IF(MOD(ML$3-'الموظفون'!$D$5,CycleWork+CycleRest)&lt;CycleWork,INDEX('الإعدادات والقوائم'!$H$2:$H$4,MOD(INT(MOD(ML$3-'الموظفون'!$D$5,CycleWork+CycleRest)*3/CycleWork)+MATCH(StartShift,'الإعدادات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الإجازات'!$D$5:$D$104&lt;=ML$3)*(('حجز الإجازات'!$E$5:$E$104)&gt;=ML$3)*('حجز الإجازات'!$G$5:$G$104="معتمد")*ROW('حجز الإجازات'!$B$5:$B$104)))-5+1))</f>
        <v/>
      </c>
      <c r="MM7" s="62">
        <f>IF(SUMPRODUCT(('حجز الإجازات'!$B$5:$B$104='الموظفون'!$B$5)*('حجز الإجازات'!$D$5:$D$104&lt;=MM$3)*(('حجز الإجازات'!$E$5:$E$104)&gt;=MM$3)*('حجز الإجازات'!$G$5:$G$104="معتمد")*ROW('حجز الإجازات'!$B$5:$B$104))=0,IF(MM$3&lt;'الموظفون'!$D$5,"",IF(ISNUMBER(MATCH(MM$3,Holidays,0)),"عطلة",IF(MOD(MM$3-'الموظفون'!$D$5,CycleWork+CycleRest)&lt;CycleWork,INDEX('الإعدادات والقوائم'!$H$2:$H$4,MOD(INT(MOD(MM$3-'الموظفون'!$D$5,CycleWork+CycleRest)*3/CycleWork)+MATCH(StartShift,'الإعدادات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الإجازات'!$D$5:$D$104&lt;=MM$3)*(('حجز الإجازات'!$E$5:$E$104)&gt;=MM$3)*('حجز الإجازات'!$G$5:$G$104="معتمد")*ROW('حجز الإجازات'!$B$5:$B$104)))-5+1))</f>
        <v/>
      </c>
      <c r="MN7" s="62">
        <f>IF(SUMPRODUCT(('حجز الإجازات'!$B$5:$B$104='الموظفون'!$B$5)*('حجز الإجازات'!$D$5:$D$104&lt;=MN$3)*(('حجز الإجازات'!$E$5:$E$104)&gt;=MN$3)*('حجز الإجازات'!$G$5:$G$104="معتمد")*ROW('حجز الإجازات'!$B$5:$B$104))=0,IF(MN$3&lt;'الموظفون'!$D$5,"",IF(ISNUMBER(MATCH(MN$3,Holidays,0)),"عطلة",IF(MOD(MN$3-'الموظفون'!$D$5,CycleWork+CycleRest)&lt;CycleWork,INDEX('الإعدادات والقوائم'!$H$2:$H$4,MOD(INT(MOD(MN$3-'الموظفون'!$D$5,CycleWork+CycleRest)*3/CycleWork)+MATCH(StartShift,'الإعدادات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الإجازات'!$D$5:$D$104&lt;=MN$3)*(('حجز الإجازات'!$E$5:$E$104)&gt;=MN$3)*('حجز الإجازات'!$G$5:$G$104="معتمد")*ROW('حجز الإجازات'!$B$5:$B$104)))-5+1))</f>
        <v/>
      </c>
      <c r="MO7" s="62">
        <f>IF(SUMPRODUCT(('حجز الإجازات'!$B$5:$B$104='الموظفون'!$B$5)*('حجز الإجازات'!$D$5:$D$104&lt;=MO$3)*(('حجز الإجازات'!$E$5:$E$104)&gt;=MO$3)*('حجز الإجازات'!$G$5:$G$104="معتمد")*ROW('حجز الإجازات'!$B$5:$B$104))=0,IF(MO$3&lt;'الموظفون'!$D$5,"",IF(ISNUMBER(MATCH(MO$3,Holidays,0)),"عطلة",IF(MOD(MO$3-'الموظفون'!$D$5,CycleWork+CycleRest)&lt;CycleWork,INDEX('الإعدادات والقوائم'!$H$2:$H$4,MOD(INT(MOD(MO$3-'الموظفون'!$D$5,CycleWork+CycleRest)*3/CycleWork)+MATCH(StartShift,'الإعدادات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الإجازات'!$D$5:$D$104&lt;=MO$3)*(('حجز الإجازات'!$E$5:$E$104)&gt;=MO$3)*('حجز الإجازات'!$G$5:$G$104="معتمد")*ROW('حجز الإجازات'!$B$5:$B$104)))-5+1))</f>
        <v/>
      </c>
      <c r="MP7" s="62">
        <f>IF(SUMPRODUCT(('حجز الإجازات'!$B$5:$B$104='الموظفون'!$B$5)*('حجز الإجازات'!$D$5:$D$104&lt;=MP$3)*(('حجز الإجازات'!$E$5:$E$104)&gt;=MP$3)*('حجز الإجازات'!$G$5:$G$104="معتمد")*ROW('حجز الإجازات'!$B$5:$B$104))=0,IF(MP$3&lt;'الموظفون'!$D$5,"",IF(ISNUMBER(MATCH(MP$3,Holidays,0)),"عطلة",IF(MOD(MP$3-'الموظفون'!$D$5,CycleWork+CycleRest)&lt;CycleWork,INDEX('الإعدادات والقوائم'!$H$2:$H$4,MOD(INT(MOD(MP$3-'الموظفون'!$D$5,CycleWork+CycleRest)*3/CycleWork)+MATCH(StartShift,'الإعدادات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الإجازات'!$D$5:$D$104&lt;=MP$3)*(('حجز الإجازات'!$E$5:$E$104)&gt;=MP$3)*('حجز الإجازات'!$G$5:$G$104="معتمد")*ROW('حجز الإجازات'!$B$5:$B$104)))-5+1))</f>
        <v/>
      </c>
      <c r="MQ7" s="62">
        <f>IF(SUMPRODUCT(('حجز الإجازات'!$B$5:$B$104='الموظفون'!$B$5)*('حجز الإجازات'!$D$5:$D$104&lt;=MQ$3)*(('حجز الإجازات'!$E$5:$E$104)&gt;=MQ$3)*('حجز الإجازات'!$G$5:$G$104="معتمد")*ROW('حجز الإجازات'!$B$5:$B$104))=0,IF(MQ$3&lt;'الموظفون'!$D$5,"",IF(ISNUMBER(MATCH(MQ$3,Holidays,0)),"عطلة",IF(MOD(MQ$3-'الموظفون'!$D$5,CycleWork+CycleRest)&lt;CycleWork,INDEX('الإعدادات والقوائم'!$H$2:$H$4,MOD(INT(MOD(MQ$3-'الموظفون'!$D$5,CycleWork+CycleRest)*3/CycleWork)+MATCH(StartShift,'الإعدادات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الإجازات'!$D$5:$D$104&lt;=MQ$3)*(('حجز الإجازات'!$E$5:$E$104)&gt;=MQ$3)*('حجز الإجازات'!$G$5:$G$104="معتمد")*ROW('حجز الإجازات'!$B$5:$B$104)))-5+1))</f>
        <v/>
      </c>
      <c r="MR7" s="62">
        <f>IF(SUMPRODUCT(('حجز الإجازات'!$B$5:$B$104='الموظفون'!$B$5)*('حجز الإجازات'!$D$5:$D$104&lt;=MR$3)*(('حجز الإجازات'!$E$5:$E$104)&gt;=MR$3)*('حجز الإجازات'!$G$5:$G$104="معتمد")*ROW('حجز الإجازات'!$B$5:$B$104))=0,IF(MR$3&lt;'الموظفون'!$D$5,"",IF(ISNUMBER(MATCH(MR$3,Holidays,0)),"عطلة",IF(MOD(MR$3-'الموظفون'!$D$5,CycleWork+CycleRest)&lt;CycleWork,INDEX('الإعدادات والقوائم'!$H$2:$H$4,MOD(INT(MOD(MR$3-'الموظفون'!$D$5,CycleWork+CycleRest)*3/CycleWork)+MATCH(StartShift,'الإعدادات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الإجازات'!$D$5:$D$104&lt;=MR$3)*(('حجز الإجازات'!$E$5:$E$104)&gt;=MR$3)*('حجز الإجازات'!$G$5:$G$104="معتمد")*ROW('حجز الإجازات'!$B$5:$B$104)))-5+1))</f>
        <v/>
      </c>
      <c r="MS7" s="62">
        <f>IF(SUMPRODUCT(('حجز الإجازات'!$B$5:$B$104='الموظفون'!$B$5)*('حجز الإجازات'!$D$5:$D$104&lt;=MS$3)*(('حجز الإجازات'!$E$5:$E$104)&gt;=MS$3)*('حجز الإجازات'!$G$5:$G$104="معتمد")*ROW('حجز الإجازات'!$B$5:$B$104))=0,IF(MS$3&lt;'الموظفون'!$D$5,"",IF(ISNUMBER(MATCH(MS$3,Holidays,0)),"عطلة",IF(MOD(MS$3-'الموظفون'!$D$5,CycleWork+CycleRest)&lt;CycleWork,INDEX('الإعدادات والقوائم'!$H$2:$H$4,MOD(INT(MOD(MS$3-'الموظفون'!$D$5,CycleWork+CycleRest)*3/CycleWork)+MATCH(StartShift,'الإعدادات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الإجازات'!$D$5:$D$104&lt;=MS$3)*(('حجز الإجازات'!$E$5:$E$104)&gt;=MS$3)*('حجز الإجازات'!$G$5:$G$104="معتمد")*ROW('حجز الإجازات'!$B$5:$B$104)))-5+1))</f>
        <v/>
      </c>
      <c r="MT7" s="62">
        <f>IF(SUMPRODUCT(('حجز الإجازات'!$B$5:$B$104='الموظفون'!$B$5)*('حجز الإجازات'!$D$5:$D$104&lt;=MT$3)*(('حجز الإجازات'!$E$5:$E$104)&gt;=MT$3)*('حجز الإجازات'!$G$5:$G$104="معتمد")*ROW('حجز الإجازات'!$B$5:$B$104))=0,IF(MT$3&lt;'الموظفون'!$D$5,"",IF(ISNUMBER(MATCH(MT$3,Holidays,0)),"عطلة",IF(MOD(MT$3-'الموظفون'!$D$5,CycleWork+CycleRest)&lt;CycleWork,INDEX('الإعدادات والقوائم'!$H$2:$H$4,MOD(INT(MOD(MT$3-'الموظفون'!$D$5,CycleWork+CycleRest)*3/CycleWork)+MATCH(StartShift,'الإعدادات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الإجازات'!$D$5:$D$104&lt;=MT$3)*(('حجز الإجازات'!$E$5:$E$104)&gt;=MT$3)*('حجز الإجازات'!$G$5:$G$104="معتمد")*ROW('حجز الإجازات'!$B$5:$B$104)))-5+1))</f>
        <v/>
      </c>
      <c r="MU7" s="62">
        <f>IF(SUMPRODUCT(('حجز الإجازات'!$B$5:$B$104='الموظفون'!$B$5)*('حجز الإجازات'!$D$5:$D$104&lt;=MU$3)*(('حجز الإجازات'!$E$5:$E$104)&gt;=MU$3)*('حجز الإجازات'!$G$5:$G$104="معتمد")*ROW('حجز الإجازات'!$B$5:$B$104))=0,IF(MU$3&lt;'الموظفون'!$D$5,"",IF(ISNUMBER(MATCH(MU$3,Holidays,0)),"عطلة",IF(MOD(MU$3-'الموظفون'!$D$5,CycleWork+CycleRest)&lt;CycleWork,INDEX('الإعدادات والقوائم'!$H$2:$H$4,MOD(INT(MOD(MU$3-'الموظفون'!$D$5,CycleWork+CycleRest)*3/CycleWork)+MATCH(StartShift,'الإعدادات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الإجازات'!$D$5:$D$104&lt;=MU$3)*(('حجز الإجازات'!$E$5:$E$104)&gt;=MU$3)*('حجز الإجازات'!$G$5:$G$104="معتمد")*ROW('حجز الإجازات'!$B$5:$B$104)))-5+1))</f>
        <v/>
      </c>
      <c r="MV7" s="62">
        <f>IF(SUMPRODUCT(('حجز الإجازات'!$B$5:$B$104='الموظفون'!$B$5)*('حجز الإجازات'!$D$5:$D$104&lt;=MV$3)*(('حجز الإجازات'!$E$5:$E$104)&gt;=MV$3)*('حجز الإجازات'!$G$5:$G$104="معتمد")*ROW('حجز الإجازات'!$B$5:$B$104))=0,IF(MV$3&lt;'الموظفون'!$D$5,"",IF(ISNUMBER(MATCH(MV$3,Holidays,0)),"عطلة",IF(MOD(MV$3-'الموظفون'!$D$5,CycleWork+CycleRest)&lt;CycleWork,INDEX('الإعدادات والقوائم'!$H$2:$H$4,MOD(INT(MOD(MV$3-'الموظفون'!$D$5,CycleWork+CycleRest)*3/CycleWork)+MATCH(StartShift,'الإعدادات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الإجازات'!$D$5:$D$104&lt;=MV$3)*(('حجز الإجازات'!$E$5:$E$104)&gt;=MV$3)*('حجز الإجازات'!$G$5:$G$104="معتمد")*ROW('حجز الإجازات'!$B$5:$B$104)))-5+1))</f>
        <v/>
      </c>
      <c r="MW7" s="62">
        <f>IF(SUMPRODUCT(('حجز الإجازات'!$B$5:$B$104='الموظفون'!$B$5)*('حجز الإجازات'!$D$5:$D$104&lt;=MW$3)*(('حجز الإجازات'!$E$5:$E$104)&gt;=MW$3)*('حجز الإجازات'!$G$5:$G$104="معتمد")*ROW('حجز الإجازات'!$B$5:$B$104))=0,IF(MW$3&lt;'الموظفون'!$D$5,"",IF(ISNUMBER(MATCH(MW$3,Holidays,0)),"عطلة",IF(MOD(MW$3-'الموظفون'!$D$5,CycleWork+CycleRest)&lt;CycleWork,INDEX('الإعدادات والقوائم'!$H$2:$H$4,MOD(INT(MOD(MW$3-'الموظفون'!$D$5,CycleWork+CycleRest)*3/CycleWork)+MATCH(StartShift,'الإعدادات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الإجازات'!$D$5:$D$104&lt;=MW$3)*(('حجز الإجازات'!$E$5:$E$104)&gt;=MW$3)*('حجز الإجازات'!$G$5:$G$104="معتمد")*ROW('حجز الإجازات'!$B$5:$B$104)))-5+1))</f>
        <v/>
      </c>
      <c r="MX7" s="62">
        <f>IF(SUMPRODUCT(('حجز الإجازات'!$B$5:$B$104='الموظفون'!$B$5)*('حجز الإجازات'!$D$5:$D$104&lt;=MX$3)*(('حجز الإجازات'!$E$5:$E$104)&gt;=MX$3)*('حجز الإجازات'!$G$5:$G$104="معتمد")*ROW('حجز الإجازات'!$B$5:$B$104))=0,IF(MX$3&lt;'الموظفون'!$D$5,"",IF(ISNUMBER(MATCH(MX$3,Holidays,0)),"عطلة",IF(MOD(MX$3-'الموظفون'!$D$5,CycleWork+CycleRest)&lt;CycleWork,INDEX('الإعدادات والقوائم'!$H$2:$H$4,MOD(INT(MOD(MX$3-'الموظفون'!$D$5,CycleWork+CycleRest)*3/CycleWork)+MATCH(StartShift,'الإعدادات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الإجازات'!$D$5:$D$104&lt;=MX$3)*(('حجز الإجازات'!$E$5:$E$104)&gt;=MX$3)*('حجز الإجازات'!$G$5:$G$104="معتمد")*ROW('حجز الإجازات'!$B$5:$B$104)))-5+1))</f>
        <v/>
      </c>
      <c r="MY7" s="62">
        <f>IF(SUMPRODUCT(('حجز الإجازات'!$B$5:$B$104='الموظفون'!$B$5)*('حجز الإجازات'!$D$5:$D$104&lt;=MY$3)*(('حجز الإجازات'!$E$5:$E$104)&gt;=MY$3)*('حجز الإجازات'!$G$5:$G$104="معتمد")*ROW('حجز الإجازات'!$B$5:$B$104))=0,IF(MY$3&lt;'الموظفون'!$D$5,"",IF(ISNUMBER(MATCH(MY$3,Holidays,0)),"عطلة",IF(MOD(MY$3-'الموظفون'!$D$5,CycleWork+CycleRest)&lt;CycleWork,INDEX('الإعدادات والقوائم'!$H$2:$H$4,MOD(INT(MOD(MY$3-'الموظفون'!$D$5,CycleWork+CycleRest)*3/CycleWork)+MATCH(StartShift,'الإعدادات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الإجازات'!$D$5:$D$104&lt;=MY$3)*(('حجز الإجازات'!$E$5:$E$104)&gt;=MY$3)*('حجز الإجازات'!$G$5:$G$104="معتمد")*ROW('حجز الإجازات'!$B$5:$B$104)))-5+1))</f>
        <v/>
      </c>
      <c r="MZ7" s="62">
        <f>IF(SUMPRODUCT(('حجز الإجازات'!$B$5:$B$104='الموظفون'!$B$5)*('حجز الإجازات'!$D$5:$D$104&lt;=MZ$3)*(('حجز الإجازات'!$E$5:$E$104)&gt;=MZ$3)*('حجز الإجازات'!$G$5:$G$104="معتمد")*ROW('حجز الإجازات'!$B$5:$B$104))=0,IF(MZ$3&lt;'الموظفون'!$D$5,"",IF(ISNUMBER(MATCH(MZ$3,Holidays,0)),"عطلة",IF(MOD(MZ$3-'الموظفون'!$D$5,CycleWork+CycleRest)&lt;CycleWork,INDEX('الإعدادات والقوائم'!$H$2:$H$4,MOD(INT(MOD(MZ$3-'الموظفون'!$D$5,CycleWork+CycleRest)*3/CycleWork)+MATCH(StartShift,'الإعدادات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الإجازات'!$D$5:$D$104&lt;=MZ$3)*(('حجز الإجازات'!$E$5:$E$104)&gt;=MZ$3)*('حجز الإجازات'!$G$5:$G$104="معتمد")*ROW('حجز الإجازات'!$B$5:$B$104)))-5+1))</f>
        <v/>
      </c>
      <c r="NA7" s="62">
        <f>IF(SUMPRODUCT(('حجز الإجازات'!$B$5:$B$104='الموظفون'!$B$5)*('حجز الإجازات'!$D$5:$D$104&lt;=NA$3)*(('حجز الإجازات'!$E$5:$E$104)&gt;=NA$3)*('حجز الإجازات'!$G$5:$G$104="معتمد")*ROW('حجز الإجازات'!$B$5:$B$104))=0,IF(NA$3&lt;'الموظفون'!$D$5,"",IF(ISNUMBER(MATCH(NA$3,Holidays,0)),"عطلة",IF(MOD(NA$3-'الموظفون'!$D$5,CycleWork+CycleRest)&lt;CycleWork,INDEX('الإعدادات والقوائم'!$H$2:$H$4,MOD(INT(MOD(NA$3-'الموظفون'!$D$5,CycleWork+CycleRest)*3/CycleWork)+MATCH(StartShift,'الإعدادات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الإجازات'!$D$5:$D$104&lt;=NA$3)*(('حجز الإجازات'!$E$5:$E$104)&gt;=NA$3)*('حجز الإجازات'!$G$5:$G$104="معتمد")*ROW('حجز الإجازات'!$B$5:$B$104)))-5+1))</f>
        <v/>
      </c>
      <c r="NB7" s="62">
        <f>IF(SUMPRODUCT(('حجز الإجازات'!$B$5:$B$104='الموظفون'!$B$5)*('حجز الإجازات'!$D$5:$D$104&lt;=NB$3)*(('حجز الإجازات'!$E$5:$E$104)&gt;=NB$3)*('حجز الإجازات'!$G$5:$G$104="معتمد")*ROW('حجز الإجازات'!$B$5:$B$104))=0,IF(NB$3&lt;'الموظفون'!$D$5,"",IF(ISNUMBER(MATCH(NB$3,Holidays,0)),"عطلة",IF(MOD(NB$3-'الموظفون'!$D$5,CycleWork+CycleRest)&lt;CycleWork,INDEX('الإعدادات والقوائم'!$H$2:$H$4,MOD(INT(MOD(NB$3-'الموظفون'!$D$5,CycleWork+CycleRest)*3/CycleWork)+MATCH(StartShift,'الإعدادات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الإجازات'!$D$5:$D$104&lt;=NB$3)*(('حجز الإجازات'!$E$5:$E$104)&gt;=NB$3)*('حجز الإجازات'!$G$5:$G$104="معتمد")*ROW('حجز الإجازات'!$B$5:$B$104)))-5+1))</f>
        <v/>
      </c>
      <c r="NC7" s="62">
        <f>IF(SUMPRODUCT(('حجز الإجازات'!$B$5:$B$104='الموظفون'!$B$5)*('حجز الإجازات'!$D$5:$D$104&lt;=NC$3)*(('حجز الإجازات'!$E$5:$E$104)&gt;=NC$3)*('حجز الإجازات'!$G$5:$G$104="معتمد")*ROW('حجز الإجازات'!$B$5:$B$104))=0,IF(NC$3&lt;'الموظفون'!$D$5,"",IF(ISNUMBER(MATCH(NC$3,Holidays,0)),"عطلة",IF(MOD(NC$3-'الموظفون'!$D$5,CycleWork+CycleRest)&lt;CycleWork,INDEX('الإعدادات والقوائم'!$H$2:$H$4,MOD(INT(MOD(NC$3-'الموظفون'!$D$5,CycleWork+CycleRest)*3/CycleWork)+MATCH(StartShift,'الإعدادات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الإجازات'!$D$5:$D$104&lt;=NC$3)*(('حجز الإجازات'!$E$5:$E$104)&gt;=NC$3)*('حجز الإجازات'!$G$5:$G$104="معتمد")*ROW('حجز الإجازات'!$B$5:$B$104)))-5+1))</f>
        <v/>
      </c>
      <c r="ND7" s="62">
        <f>IF(SUMPRODUCT(('حجز الإجازات'!$B$5:$B$104='الموظفون'!$B$5)*('حجز الإجازات'!$D$5:$D$104&lt;=ND$3)*(('حجز الإجازات'!$E$5:$E$104)&gt;=ND$3)*('حجز الإجازات'!$G$5:$G$104="معتمد")*ROW('حجز الإجازات'!$B$5:$B$104))=0,IF(ND$3&lt;'الموظفون'!$D$5,"",IF(ISNUMBER(MATCH(ND$3,Holidays,0)),"عطلة",IF(MOD(ND$3-'الموظفون'!$D$5,CycleWork+CycleRest)&lt;CycleWork,INDEX('الإعدادات والقوائم'!$H$2:$H$4,MOD(INT(MOD(ND$3-'الموظفون'!$D$5,CycleWork+CycleRest)*3/CycleWork)+MATCH(StartShift,'الإعدادات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الإجازات'!$D$5:$D$104&lt;=ND$3)*(('حجز الإجازات'!$E$5:$E$104)&gt;=ND$3)*('حجز الإجازات'!$G$5:$G$104="معتمد")*ROW('حجز الإجازات'!$B$5:$B$104)))-5+1))</f>
        <v/>
      </c>
    </row>
    <row r="8">
      <c r="A8" s="16" t="n">
        <v>5</v>
      </c>
      <c r="B8" s="22">
        <f>'الموظفون'!B6</f>
        <v/>
      </c>
      <c r="C8" s="16">
        <f>'الموظفون'!C6</f>
        <v/>
      </c>
      <c r="D8" s="62">
        <f>IF(SUMPRODUCT(('حجز الإجازات'!$B$5:$B$104='الموظفون'!$B$6)*('حجز الإجازات'!$D$5:$D$104&lt;=D$3)*(('حجز الإجازات'!$E$5:$E$104)&gt;=D$3)*('حجز الإجازات'!$G$5:$G$104="معتمد")*ROW('حجز الإجازات'!$B$5:$B$104))=0,IF(D$3&lt;'الموظفون'!$D$6,"",IF(ISNUMBER(MATCH(D$3,Holidays,0)),"عطلة",IF(MOD(D$3-'الموظفون'!$D$6,CycleWork+CycleRest)&lt;CycleWork,INDEX('الإعدادات والقوائم'!$H$2:$H$4,MOD(INT(MOD(D$3-'الموظفون'!$D$6,CycleWork+CycleRest)*3/CycleWork)+MATCH(StartShift,'الإعدادات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الإجازات'!$D$5:$D$104&lt;=D$3)*(('حجز الإجازات'!$E$5:$E$104)&gt;=D$3)*('حجز الإجازات'!$G$5:$G$104="معتمد")*ROW('حجز الإجازات'!$B$5:$B$104)))-5+1))</f>
        <v/>
      </c>
      <c r="E8" s="62">
        <f>IF(SUMPRODUCT(('حجز الإجازات'!$B$5:$B$104='الموظفون'!$B$6)*('حجز الإجازات'!$D$5:$D$104&lt;=E$3)*(('حجز الإجازات'!$E$5:$E$104)&gt;=E$3)*('حجز الإجازات'!$G$5:$G$104="معتمد")*ROW('حجز الإجازات'!$B$5:$B$104))=0,IF(E$3&lt;'الموظفون'!$D$6,"",IF(ISNUMBER(MATCH(E$3,Holidays,0)),"عطلة",IF(MOD(E$3-'الموظفون'!$D$6,CycleWork+CycleRest)&lt;CycleWork,INDEX('الإعدادات والقوائم'!$H$2:$H$4,MOD(INT(MOD(E$3-'الموظفون'!$D$6,CycleWork+CycleRest)*3/CycleWork)+MATCH(StartShift,'الإعدادات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الإجازات'!$D$5:$D$104&lt;=E$3)*(('حجز الإجازات'!$E$5:$E$104)&gt;=E$3)*('حجز الإجازات'!$G$5:$G$104="معتمد")*ROW('حجز الإجازات'!$B$5:$B$104)))-5+1))</f>
        <v/>
      </c>
      <c r="F8" s="62">
        <f>IF(SUMPRODUCT(('حجز الإجازات'!$B$5:$B$104='الموظفون'!$B$6)*('حجز الإجازات'!$D$5:$D$104&lt;=F$3)*(('حجز الإجازات'!$E$5:$E$104)&gt;=F$3)*('حجز الإجازات'!$G$5:$G$104="معتمد")*ROW('حجز الإجازات'!$B$5:$B$104))=0,IF(F$3&lt;'الموظفون'!$D$6,"",IF(ISNUMBER(MATCH(F$3,Holidays,0)),"عطلة",IF(MOD(F$3-'الموظفون'!$D$6,CycleWork+CycleRest)&lt;CycleWork,INDEX('الإعدادات والقوائم'!$H$2:$H$4,MOD(INT(MOD(F$3-'الموظفون'!$D$6,CycleWork+CycleRest)*3/CycleWork)+MATCH(StartShift,'الإعدادات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الإجازات'!$D$5:$D$104&lt;=F$3)*(('حجز الإجازات'!$E$5:$E$104)&gt;=F$3)*('حجز الإجازات'!$G$5:$G$104="معتمد")*ROW('حجز الإجازات'!$B$5:$B$104)))-5+1))</f>
        <v/>
      </c>
      <c r="G8" s="62">
        <f>IF(SUMPRODUCT(('حجز الإجازات'!$B$5:$B$104='الموظفون'!$B$6)*('حجز الإجازات'!$D$5:$D$104&lt;=G$3)*(('حجز الإجازات'!$E$5:$E$104)&gt;=G$3)*('حجز الإجازات'!$G$5:$G$104="معتمد")*ROW('حجز الإجازات'!$B$5:$B$104))=0,IF(G$3&lt;'الموظفون'!$D$6,"",IF(ISNUMBER(MATCH(G$3,Holidays,0)),"عطلة",IF(MOD(G$3-'الموظفون'!$D$6,CycleWork+CycleRest)&lt;CycleWork,INDEX('الإعدادات والقوائم'!$H$2:$H$4,MOD(INT(MOD(G$3-'الموظفون'!$D$6,CycleWork+CycleRest)*3/CycleWork)+MATCH(StartShift,'الإعدادات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الإجازات'!$D$5:$D$104&lt;=G$3)*(('حجز الإجازات'!$E$5:$E$104)&gt;=G$3)*('حجز الإجازات'!$G$5:$G$104="معتمد")*ROW('حجز الإجازات'!$B$5:$B$104)))-5+1))</f>
        <v/>
      </c>
      <c r="H8" s="62">
        <f>IF(SUMPRODUCT(('حجز الإجازات'!$B$5:$B$104='الموظفون'!$B$6)*('حجز الإجازات'!$D$5:$D$104&lt;=H$3)*(('حجز الإجازات'!$E$5:$E$104)&gt;=H$3)*('حجز الإجازات'!$G$5:$G$104="معتمد")*ROW('حجز الإجازات'!$B$5:$B$104))=0,IF(H$3&lt;'الموظفون'!$D$6,"",IF(ISNUMBER(MATCH(H$3,Holidays,0)),"عطلة",IF(MOD(H$3-'الموظفون'!$D$6,CycleWork+CycleRest)&lt;CycleWork,INDEX('الإعدادات والقوائم'!$H$2:$H$4,MOD(INT(MOD(H$3-'الموظفون'!$D$6,CycleWork+CycleRest)*3/CycleWork)+MATCH(StartShift,'الإعدادات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الإجازات'!$D$5:$D$104&lt;=H$3)*(('حجز الإجازات'!$E$5:$E$104)&gt;=H$3)*('حجز الإجازات'!$G$5:$G$104="معتمد")*ROW('حجز الإجازات'!$B$5:$B$104)))-5+1))</f>
        <v/>
      </c>
      <c r="I8" s="62">
        <f>IF(SUMPRODUCT(('حجز الإجازات'!$B$5:$B$104='الموظفون'!$B$6)*('حجز الإجازات'!$D$5:$D$104&lt;=I$3)*(('حجز الإجازات'!$E$5:$E$104)&gt;=I$3)*('حجز الإجازات'!$G$5:$G$104="معتمد")*ROW('حجز الإجازات'!$B$5:$B$104))=0,IF(I$3&lt;'الموظفون'!$D$6,"",IF(ISNUMBER(MATCH(I$3,Holidays,0)),"عطلة",IF(MOD(I$3-'الموظفون'!$D$6,CycleWork+CycleRest)&lt;CycleWork,INDEX('الإعدادات والقوائم'!$H$2:$H$4,MOD(INT(MOD(I$3-'الموظفون'!$D$6,CycleWork+CycleRest)*3/CycleWork)+MATCH(StartShift,'الإعدادات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الإجازات'!$D$5:$D$104&lt;=I$3)*(('حجز الإجازات'!$E$5:$E$104)&gt;=I$3)*('حجز الإجازات'!$G$5:$G$104="معتمد")*ROW('حجز الإجازات'!$B$5:$B$104)))-5+1))</f>
        <v/>
      </c>
      <c r="J8" s="62">
        <f>IF(SUMPRODUCT(('حجز الإجازات'!$B$5:$B$104='الموظفون'!$B$6)*('حجز الإجازات'!$D$5:$D$104&lt;=J$3)*(('حجز الإجازات'!$E$5:$E$104)&gt;=J$3)*('حجز الإجازات'!$G$5:$G$104="معتمد")*ROW('حجز الإجازات'!$B$5:$B$104))=0,IF(J$3&lt;'الموظفون'!$D$6,"",IF(ISNUMBER(MATCH(J$3,Holidays,0)),"عطلة",IF(MOD(J$3-'الموظفون'!$D$6,CycleWork+CycleRest)&lt;CycleWork,INDEX('الإعدادات والقوائم'!$H$2:$H$4,MOD(INT(MOD(J$3-'الموظفون'!$D$6,CycleWork+CycleRest)*3/CycleWork)+MATCH(StartShift,'الإعدادات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الإجازات'!$D$5:$D$104&lt;=J$3)*(('حجز الإجازات'!$E$5:$E$104)&gt;=J$3)*('حجز الإجازات'!$G$5:$G$104="معتمد")*ROW('حجز الإجازات'!$B$5:$B$104)))-5+1))</f>
        <v/>
      </c>
      <c r="K8" s="62">
        <f>IF(SUMPRODUCT(('حجز الإجازات'!$B$5:$B$104='الموظفون'!$B$6)*('حجز الإجازات'!$D$5:$D$104&lt;=K$3)*(('حجز الإجازات'!$E$5:$E$104)&gt;=K$3)*('حجز الإجازات'!$G$5:$G$104="معتمد")*ROW('حجز الإجازات'!$B$5:$B$104))=0,IF(K$3&lt;'الموظفون'!$D$6,"",IF(ISNUMBER(MATCH(K$3,Holidays,0)),"عطلة",IF(MOD(K$3-'الموظفون'!$D$6,CycleWork+CycleRest)&lt;CycleWork,INDEX('الإعدادات والقوائم'!$H$2:$H$4,MOD(INT(MOD(K$3-'الموظفون'!$D$6,CycleWork+CycleRest)*3/CycleWork)+MATCH(StartShift,'الإعدادات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الإجازات'!$D$5:$D$104&lt;=K$3)*(('حجز الإجازات'!$E$5:$E$104)&gt;=K$3)*('حجز الإجازات'!$G$5:$G$104="معتمد")*ROW('حجز الإجازات'!$B$5:$B$104)))-5+1))</f>
        <v/>
      </c>
      <c r="L8" s="62">
        <f>IF(SUMPRODUCT(('حجز الإجازات'!$B$5:$B$104='الموظفون'!$B$6)*('حجز الإجازات'!$D$5:$D$104&lt;=L$3)*(('حجز الإجازات'!$E$5:$E$104)&gt;=L$3)*('حجز الإجازات'!$G$5:$G$104="معتمد")*ROW('حجز الإجازات'!$B$5:$B$104))=0,IF(L$3&lt;'الموظفون'!$D$6,"",IF(ISNUMBER(MATCH(L$3,Holidays,0)),"عطلة",IF(MOD(L$3-'الموظفون'!$D$6,CycleWork+CycleRest)&lt;CycleWork,INDEX('الإعدادات والقوائم'!$H$2:$H$4,MOD(INT(MOD(L$3-'الموظفون'!$D$6,CycleWork+CycleRest)*3/CycleWork)+MATCH(StartShift,'الإعدادات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الإجازات'!$D$5:$D$104&lt;=L$3)*(('حجز الإجازات'!$E$5:$E$104)&gt;=L$3)*('حجز الإجازات'!$G$5:$G$104="معتمد")*ROW('حجز الإجازات'!$B$5:$B$104)))-5+1))</f>
        <v/>
      </c>
      <c r="M8" s="62">
        <f>IF(SUMPRODUCT(('حجز الإجازات'!$B$5:$B$104='الموظفون'!$B$6)*('حجز الإجازات'!$D$5:$D$104&lt;=M$3)*(('حجز الإجازات'!$E$5:$E$104)&gt;=M$3)*('حجز الإجازات'!$G$5:$G$104="معتمد")*ROW('حجز الإجازات'!$B$5:$B$104))=0,IF(M$3&lt;'الموظفون'!$D$6,"",IF(ISNUMBER(MATCH(M$3,Holidays,0)),"عطلة",IF(MOD(M$3-'الموظفون'!$D$6,CycleWork+CycleRest)&lt;CycleWork,INDEX('الإعدادات والقوائم'!$H$2:$H$4,MOD(INT(MOD(M$3-'الموظفون'!$D$6,CycleWork+CycleRest)*3/CycleWork)+MATCH(StartShift,'الإعدادات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الإجازات'!$D$5:$D$104&lt;=M$3)*(('حجز الإجازات'!$E$5:$E$104)&gt;=M$3)*('حجز الإجازات'!$G$5:$G$104="معتمد")*ROW('حجز الإجازات'!$B$5:$B$104)))-5+1))</f>
        <v/>
      </c>
      <c r="N8" s="62">
        <f>IF(SUMPRODUCT(('حجز الإجازات'!$B$5:$B$104='الموظفون'!$B$6)*('حجز الإجازات'!$D$5:$D$104&lt;=N$3)*(('حجز الإجازات'!$E$5:$E$104)&gt;=N$3)*('حجز الإجازات'!$G$5:$G$104="معتمد")*ROW('حجز الإجازات'!$B$5:$B$104))=0,IF(N$3&lt;'الموظفون'!$D$6,"",IF(ISNUMBER(MATCH(N$3,Holidays,0)),"عطلة",IF(MOD(N$3-'الموظفون'!$D$6,CycleWork+CycleRest)&lt;CycleWork,INDEX('الإعدادات والقوائم'!$H$2:$H$4,MOD(INT(MOD(N$3-'الموظفون'!$D$6,CycleWork+CycleRest)*3/CycleWork)+MATCH(StartShift,'الإعدادات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الإجازات'!$D$5:$D$104&lt;=N$3)*(('حجز الإجازات'!$E$5:$E$104)&gt;=N$3)*('حجز الإجازات'!$G$5:$G$104="معتمد")*ROW('حجز الإجازات'!$B$5:$B$104)))-5+1))</f>
        <v/>
      </c>
      <c r="O8" s="62">
        <f>IF(SUMPRODUCT(('حجز الإجازات'!$B$5:$B$104='الموظفون'!$B$6)*('حجز الإجازات'!$D$5:$D$104&lt;=O$3)*(('حجز الإجازات'!$E$5:$E$104)&gt;=O$3)*('حجز الإجازات'!$G$5:$G$104="معتمد")*ROW('حجز الإجازات'!$B$5:$B$104))=0,IF(O$3&lt;'الموظفون'!$D$6,"",IF(ISNUMBER(MATCH(O$3,Holidays,0)),"عطلة",IF(MOD(O$3-'الموظفون'!$D$6,CycleWork+CycleRest)&lt;CycleWork,INDEX('الإعدادات والقوائم'!$H$2:$H$4,MOD(INT(MOD(O$3-'الموظفون'!$D$6,CycleWork+CycleRest)*3/CycleWork)+MATCH(StartShift,'الإعدادات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الإجازات'!$D$5:$D$104&lt;=O$3)*(('حجز الإجازات'!$E$5:$E$104)&gt;=O$3)*('حجز الإجازات'!$G$5:$G$104="معتمد")*ROW('حجز الإجازات'!$B$5:$B$104)))-5+1))</f>
        <v/>
      </c>
      <c r="P8" s="62">
        <f>IF(SUMPRODUCT(('حجز الإجازات'!$B$5:$B$104='الموظفون'!$B$6)*('حجز الإجازات'!$D$5:$D$104&lt;=P$3)*(('حجز الإجازات'!$E$5:$E$104)&gt;=P$3)*('حجز الإجازات'!$G$5:$G$104="معتمد")*ROW('حجز الإجازات'!$B$5:$B$104))=0,IF(P$3&lt;'الموظفون'!$D$6,"",IF(ISNUMBER(MATCH(P$3,Holidays,0)),"عطلة",IF(MOD(P$3-'الموظفون'!$D$6,CycleWork+CycleRest)&lt;CycleWork,INDEX('الإعدادات والقوائم'!$H$2:$H$4,MOD(INT(MOD(P$3-'الموظفون'!$D$6,CycleWork+CycleRest)*3/CycleWork)+MATCH(StartShift,'الإعدادات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الإجازات'!$D$5:$D$104&lt;=P$3)*(('حجز الإجازات'!$E$5:$E$104)&gt;=P$3)*('حجز الإجازات'!$G$5:$G$104="معتمد")*ROW('حجز الإجازات'!$B$5:$B$104)))-5+1))</f>
        <v/>
      </c>
      <c r="Q8" s="62">
        <f>IF(SUMPRODUCT(('حجز الإجازات'!$B$5:$B$104='الموظفون'!$B$6)*('حجز الإجازات'!$D$5:$D$104&lt;=Q$3)*(('حجز الإجازات'!$E$5:$E$104)&gt;=Q$3)*('حجز الإجازات'!$G$5:$G$104="معتمد")*ROW('حجز الإجازات'!$B$5:$B$104))=0,IF(Q$3&lt;'الموظفون'!$D$6,"",IF(ISNUMBER(MATCH(Q$3,Holidays,0)),"عطلة",IF(MOD(Q$3-'الموظفون'!$D$6,CycleWork+CycleRest)&lt;CycleWork,INDEX('الإعدادات والقوائم'!$H$2:$H$4,MOD(INT(MOD(Q$3-'الموظفون'!$D$6,CycleWork+CycleRest)*3/CycleWork)+MATCH(StartShift,'الإعدادات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الإجازات'!$D$5:$D$104&lt;=Q$3)*(('حجز الإجازات'!$E$5:$E$104)&gt;=Q$3)*('حجز الإجازات'!$G$5:$G$104="معتمد")*ROW('حجز الإجازات'!$B$5:$B$104)))-5+1))</f>
        <v/>
      </c>
      <c r="R8" s="62">
        <f>IF(SUMPRODUCT(('حجز الإجازات'!$B$5:$B$104='الموظفون'!$B$6)*('حجز الإجازات'!$D$5:$D$104&lt;=R$3)*(('حجز الإجازات'!$E$5:$E$104)&gt;=R$3)*('حجز الإجازات'!$G$5:$G$104="معتمد")*ROW('حجز الإجازات'!$B$5:$B$104))=0,IF(R$3&lt;'الموظفون'!$D$6,"",IF(ISNUMBER(MATCH(R$3,Holidays,0)),"عطلة",IF(MOD(R$3-'الموظفون'!$D$6,CycleWork+CycleRest)&lt;CycleWork,INDEX('الإعدادات والقوائم'!$H$2:$H$4,MOD(INT(MOD(R$3-'الموظفون'!$D$6,CycleWork+CycleRest)*3/CycleWork)+MATCH(StartShift,'الإعدادات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الإجازات'!$D$5:$D$104&lt;=R$3)*(('حجز الإجازات'!$E$5:$E$104)&gt;=R$3)*('حجز الإجازات'!$G$5:$G$104="معتمد")*ROW('حجز الإجازات'!$B$5:$B$104)))-5+1))</f>
        <v/>
      </c>
      <c r="S8" s="62">
        <f>IF(SUMPRODUCT(('حجز الإجازات'!$B$5:$B$104='الموظفون'!$B$6)*('حجز الإجازات'!$D$5:$D$104&lt;=S$3)*(('حجز الإجازات'!$E$5:$E$104)&gt;=S$3)*('حجز الإجازات'!$G$5:$G$104="معتمد")*ROW('حجز الإجازات'!$B$5:$B$104))=0,IF(S$3&lt;'الموظفون'!$D$6,"",IF(ISNUMBER(MATCH(S$3,Holidays,0)),"عطلة",IF(MOD(S$3-'الموظفون'!$D$6,CycleWork+CycleRest)&lt;CycleWork,INDEX('الإعدادات والقوائم'!$H$2:$H$4,MOD(INT(MOD(S$3-'الموظفون'!$D$6,CycleWork+CycleRest)*3/CycleWork)+MATCH(StartShift,'الإعدادات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الإجازات'!$D$5:$D$104&lt;=S$3)*(('حجز الإجازات'!$E$5:$E$104)&gt;=S$3)*('حجز الإجازات'!$G$5:$G$104="معتمد")*ROW('حجز الإجازات'!$B$5:$B$104)))-5+1))</f>
        <v/>
      </c>
      <c r="T8" s="62">
        <f>IF(SUMPRODUCT(('حجز الإجازات'!$B$5:$B$104='الموظفون'!$B$6)*('حجز الإجازات'!$D$5:$D$104&lt;=T$3)*(('حجز الإجازات'!$E$5:$E$104)&gt;=T$3)*('حجز الإجازات'!$G$5:$G$104="معتمد")*ROW('حجز الإجازات'!$B$5:$B$104))=0,IF(T$3&lt;'الموظفون'!$D$6,"",IF(ISNUMBER(MATCH(T$3,Holidays,0)),"عطلة",IF(MOD(T$3-'الموظفون'!$D$6,CycleWork+CycleRest)&lt;CycleWork,INDEX('الإعدادات والقوائم'!$H$2:$H$4,MOD(INT(MOD(T$3-'الموظفون'!$D$6,CycleWork+CycleRest)*3/CycleWork)+MATCH(StartShift,'الإعدادات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الإجازات'!$D$5:$D$104&lt;=T$3)*(('حجز الإجازات'!$E$5:$E$104)&gt;=T$3)*('حجز الإجازات'!$G$5:$G$104="معتمد")*ROW('حجز الإجازات'!$B$5:$B$104)))-5+1))</f>
        <v/>
      </c>
      <c r="U8" s="62">
        <f>IF(SUMPRODUCT(('حجز الإجازات'!$B$5:$B$104='الموظفون'!$B$6)*('حجز الإجازات'!$D$5:$D$104&lt;=U$3)*(('حجز الإجازات'!$E$5:$E$104)&gt;=U$3)*('حجز الإجازات'!$G$5:$G$104="معتمد")*ROW('حجز الإجازات'!$B$5:$B$104))=0,IF(U$3&lt;'الموظفون'!$D$6,"",IF(ISNUMBER(MATCH(U$3,Holidays,0)),"عطلة",IF(MOD(U$3-'الموظفون'!$D$6,CycleWork+CycleRest)&lt;CycleWork,INDEX('الإعدادات والقوائم'!$H$2:$H$4,MOD(INT(MOD(U$3-'الموظفون'!$D$6,CycleWork+CycleRest)*3/CycleWork)+MATCH(StartShift,'الإعدادات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الإجازات'!$D$5:$D$104&lt;=U$3)*(('حجز الإجازات'!$E$5:$E$104)&gt;=U$3)*('حجز الإجازات'!$G$5:$G$104="معتمد")*ROW('حجز الإجازات'!$B$5:$B$104)))-5+1))</f>
        <v/>
      </c>
      <c r="V8" s="62">
        <f>IF(SUMPRODUCT(('حجز الإجازات'!$B$5:$B$104='الموظفون'!$B$6)*('حجز الإجازات'!$D$5:$D$104&lt;=V$3)*(('حجز الإجازات'!$E$5:$E$104)&gt;=V$3)*('حجز الإجازات'!$G$5:$G$104="معتمد")*ROW('حجز الإجازات'!$B$5:$B$104))=0,IF(V$3&lt;'الموظفون'!$D$6,"",IF(ISNUMBER(MATCH(V$3,Holidays,0)),"عطلة",IF(MOD(V$3-'الموظفون'!$D$6,CycleWork+CycleRest)&lt;CycleWork,INDEX('الإعدادات والقوائم'!$H$2:$H$4,MOD(INT(MOD(V$3-'الموظفون'!$D$6,CycleWork+CycleRest)*3/CycleWork)+MATCH(StartShift,'الإعدادات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الإجازات'!$D$5:$D$104&lt;=V$3)*(('حجز الإجازات'!$E$5:$E$104)&gt;=V$3)*('حجز الإجازات'!$G$5:$G$104="معتمد")*ROW('حجز الإجازات'!$B$5:$B$104)))-5+1))</f>
        <v/>
      </c>
      <c r="W8" s="62">
        <f>IF(SUMPRODUCT(('حجز الإجازات'!$B$5:$B$104='الموظفون'!$B$6)*('حجز الإجازات'!$D$5:$D$104&lt;=W$3)*(('حجز الإجازات'!$E$5:$E$104)&gt;=W$3)*('حجز الإجازات'!$G$5:$G$104="معتمد")*ROW('حجز الإجازات'!$B$5:$B$104))=0,IF(W$3&lt;'الموظفون'!$D$6,"",IF(ISNUMBER(MATCH(W$3,Holidays,0)),"عطلة",IF(MOD(W$3-'الموظفون'!$D$6,CycleWork+CycleRest)&lt;CycleWork,INDEX('الإعدادات والقوائم'!$H$2:$H$4,MOD(INT(MOD(W$3-'الموظفون'!$D$6,CycleWork+CycleRest)*3/CycleWork)+MATCH(StartShift,'الإعدادات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الإجازات'!$D$5:$D$104&lt;=W$3)*(('حجز الإجازات'!$E$5:$E$104)&gt;=W$3)*('حجز الإجازات'!$G$5:$G$104="معتمد")*ROW('حجز الإجازات'!$B$5:$B$104)))-5+1))</f>
        <v/>
      </c>
      <c r="X8" s="62">
        <f>IF(SUMPRODUCT(('حجز الإجازات'!$B$5:$B$104='الموظفون'!$B$6)*('حجز الإجازات'!$D$5:$D$104&lt;=X$3)*(('حجز الإجازات'!$E$5:$E$104)&gt;=X$3)*('حجز الإجازات'!$G$5:$G$104="معتمد")*ROW('حجز الإجازات'!$B$5:$B$104))=0,IF(X$3&lt;'الموظفون'!$D$6,"",IF(ISNUMBER(MATCH(X$3,Holidays,0)),"عطلة",IF(MOD(X$3-'الموظفون'!$D$6,CycleWork+CycleRest)&lt;CycleWork,INDEX('الإعدادات والقوائم'!$H$2:$H$4,MOD(INT(MOD(X$3-'الموظفون'!$D$6,CycleWork+CycleRest)*3/CycleWork)+MATCH(StartShift,'الإعدادات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الإجازات'!$D$5:$D$104&lt;=X$3)*(('حجز الإجازات'!$E$5:$E$104)&gt;=X$3)*('حجز الإجازات'!$G$5:$G$104="معتمد")*ROW('حجز الإجازات'!$B$5:$B$104)))-5+1))</f>
        <v/>
      </c>
      <c r="Y8" s="62">
        <f>IF(SUMPRODUCT(('حجز الإجازات'!$B$5:$B$104='الموظفون'!$B$6)*('حجز الإجازات'!$D$5:$D$104&lt;=Y$3)*(('حجز الإجازات'!$E$5:$E$104)&gt;=Y$3)*('حجز الإجازات'!$G$5:$G$104="معتمد")*ROW('حجز الإجازات'!$B$5:$B$104))=0,IF(Y$3&lt;'الموظفون'!$D$6,"",IF(ISNUMBER(MATCH(Y$3,Holidays,0)),"عطلة",IF(MOD(Y$3-'الموظفون'!$D$6,CycleWork+CycleRest)&lt;CycleWork,INDEX('الإعدادات والقوائم'!$H$2:$H$4,MOD(INT(MOD(Y$3-'الموظفون'!$D$6,CycleWork+CycleRest)*3/CycleWork)+MATCH(StartShift,'الإعدادات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الإجازات'!$D$5:$D$104&lt;=Y$3)*(('حجز الإجازات'!$E$5:$E$104)&gt;=Y$3)*('حجز الإجازات'!$G$5:$G$104="معتمد")*ROW('حجز الإجازات'!$B$5:$B$104)))-5+1))</f>
        <v/>
      </c>
      <c r="Z8" s="62">
        <f>IF(SUMPRODUCT(('حجز الإجازات'!$B$5:$B$104='الموظفون'!$B$6)*('حجز الإجازات'!$D$5:$D$104&lt;=Z$3)*(('حجز الإجازات'!$E$5:$E$104)&gt;=Z$3)*('حجز الإجازات'!$G$5:$G$104="معتمد")*ROW('حجز الإجازات'!$B$5:$B$104))=0,IF(Z$3&lt;'الموظفون'!$D$6,"",IF(ISNUMBER(MATCH(Z$3,Holidays,0)),"عطلة",IF(MOD(Z$3-'الموظفون'!$D$6,CycleWork+CycleRest)&lt;CycleWork,INDEX('الإعدادات والقوائم'!$H$2:$H$4,MOD(INT(MOD(Z$3-'الموظفون'!$D$6,CycleWork+CycleRest)*3/CycleWork)+MATCH(StartShift,'الإعدادات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الإجازات'!$D$5:$D$104&lt;=Z$3)*(('حجز الإجازات'!$E$5:$E$104)&gt;=Z$3)*('حجز الإجازات'!$G$5:$G$104="معتمد")*ROW('حجز الإجازات'!$B$5:$B$104)))-5+1))</f>
        <v/>
      </c>
      <c r="AA8" s="62">
        <f>IF(SUMPRODUCT(('حجز الإجازات'!$B$5:$B$104='الموظفون'!$B$6)*('حجز الإجازات'!$D$5:$D$104&lt;=AA$3)*(('حجز الإجازات'!$E$5:$E$104)&gt;=AA$3)*('حجز الإجازات'!$G$5:$G$104="معتمد")*ROW('حجز الإجازات'!$B$5:$B$104))=0,IF(AA$3&lt;'الموظفون'!$D$6,"",IF(ISNUMBER(MATCH(AA$3,Holidays,0)),"عطلة",IF(MOD(AA$3-'الموظفون'!$D$6,CycleWork+CycleRest)&lt;CycleWork,INDEX('الإعدادات والقوائم'!$H$2:$H$4,MOD(INT(MOD(AA$3-'الموظفون'!$D$6,CycleWork+CycleRest)*3/CycleWork)+MATCH(StartShift,'الإعدادات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الإجازات'!$D$5:$D$104&lt;=AA$3)*(('حجز الإجازات'!$E$5:$E$104)&gt;=AA$3)*('حجز الإجازات'!$G$5:$G$104="معتمد")*ROW('حجز الإجازات'!$B$5:$B$104)))-5+1))</f>
        <v/>
      </c>
      <c r="AB8" s="62">
        <f>IF(SUMPRODUCT(('حجز الإجازات'!$B$5:$B$104='الموظفون'!$B$6)*('حجز الإجازات'!$D$5:$D$104&lt;=AB$3)*(('حجز الإجازات'!$E$5:$E$104)&gt;=AB$3)*('حجز الإجازات'!$G$5:$G$104="معتمد")*ROW('حجز الإجازات'!$B$5:$B$104))=0,IF(AB$3&lt;'الموظفون'!$D$6,"",IF(ISNUMBER(MATCH(AB$3,Holidays,0)),"عطلة",IF(MOD(AB$3-'الموظفون'!$D$6,CycleWork+CycleRest)&lt;CycleWork,INDEX('الإعدادات والقوائم'!$H$2:$H$4,MOD(INT(MOD(AB$3-'الموظفون'!$D$6,CycleWork+CycleRest)*3/CycleWork)+MATCH(StartShift,'الإعدادات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الإجازات'!$D$5:$D$104&lt;=AB$3)*(('حجز الإجازات'!$E$5:$E$104)&gt;=AB$3)*('حجز الإجازات'!$G$5:$G$104="معتمد")*ROW('حجز الإجازات'!$B$5:$B$104)))-5+1))</f>
        <v/>
      </c>
      <c r="AC8" s="62">
        <f>IF(SUMPRODUCT(('حجز الإجازات'!$B$5:$B$104='الموظفون'!$B$6)*('حجز الإجازات'!$D$5:$D$104&lt;=AC$3)*(('حجز الإجازات'!$E$5:$E$104)&gt;=AC$3)*('حجز الإجازات'!$G$5:$G$104="معتمد")*ROW('حجز الإجازات'!$B$5:$B$104))=0,IF(AC$3&lt;'الموظفون'!$D$6,"",IF(ISNUMBER(MATCH(AC$3,Holidays,0)),"عطلة",IF(MOD(AC$3-'الموظفون'!$D$6,CycleWork+CycleRest)&lt;CycleWork,INDEX('الإعدادات والقوائم'!$H$2:$H$4,MOD(INT(MOD(AC$3-'الموظفون'!$D$6,CycleWork+CycleRest)*3/CycleWork)+MATCH(StartShift,'الإعدادات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الإجازات'!$D$5:$D$104&lt;=AC$3)*(('حجز الإجازات'!$E$5:$E$104)&gt;=AC$3)*('حجز الإجازات'!$G$5:$G$104="معتمد")*ROW('حجز الإجازات'!$B$5:$B$104)))-5+1))</f>
        <v/>
      </c>
      <c r="AD8" s="62">
        <f>IF(SUMPRODUCT(('حجز الإجازات'!$B$5:$B$104='الموظفون'!$B$6)*('حجز الإجازات'!$D$5:$D$104&lt;=AD$3)*(('حجز الإجازات'!$E$5:$E$104)&gt;=AD$3)*('حجز الإجازات'!$G$5:$G$104="معتمد")*ROW('حجز الإجازات'!$B$5:$B$104))=0,IF(AD$3&lt;'الموظفون'!$D$6,"",IF(ISNUMBER(MATCH(AD$3,Holidays,0)),"عطلة",IF(MOD(AD$3-'الموظفون'!$D$6,CycleWork+CycleRest)&lt;CycleWork,INDEX('الإعدادات والقوائم'!$H$2:$H$4,MOD(INT(MOD(AD$3-'الموظفون'!$D$6,CycleWork+CycleRest)*3/CycleWork)+MATCH(StartShift,'الإعدادات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الإجازات'!$D$5:$D$104&lt;=AD$3)*(('حجز الإجازات'!$E$5:$E$104)&gt;=AD$3)*('حجز الإجازات'!$G$5:$G$104="معتمد")*ROW('حجز الإجازات'!$B$5:$B$104)))-5+1))</f>
        <v/>
      </c>
      <c r="AE8" s="62">
        <f>IF(SUMPRODUCT(('حجز الإجازات'!$B$5:$B$104='الموظفون'!$B$6)*('حجز الإجازات'!$D$5:$D$104&lt;=AE$3)*(('حجز الإجازات'!$E$5:$E$104)&gt;=AE$3)*('حجز الإجازات'!$G$5:$G$104="معتمد")*ROW('حجز الإجازات'!$B$5:$B$104))=0,IF(AE$3&lt;'الموظفون'!$D$6,"",IF(ISNUMBER(MATCH(AE$3,Holidays,0)),"عطلة",IF(MOD(AE$3-'الموظفون'!$D$6,CycleWork+CycleRest)&lt;CycleWork,INDEX('الإعدادات والقوائم'!$H$2:$H$4,MOD(INT(MOD(AE$3-'الموظفون'!$D$6,CycleWork+CycleRest)*3/CycleWork)+MATCH(StartShift,'الإعدادات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الإجازات'!$D$5:$D$104&lt;=AE$3)*(('حجز الإجازات'!$E$5:$E$104)&gt;=AE$3)*('حجز الإجازات'!$G$5:$G$104="معتمد")*ROW('حجز الإجازات'!$B$5:$B$104)))-5+1))</f>
        <v/>
      </c>
      <c r="AF8" s="62">
        <f>IF(SUMPRODUCT(('حجز الإجازات'!$B$5:$B$104='الموظفون'!$B$6)*('حجز الإجازات'!$D$5:$D$104&lt;=AF$3)*(('حجز الإجازات'!$E$5:$E$104)&gt;=AF$3)*('حجز الإجازات'!$G$5:$G$104="معتمد")*ROW('حجز الإجازات'!$B$5:$B$104))=0,IF(AF$3&lt;'الموظفون'!$D$6,"",IF(ISNUMBER(MATCH(AF$3,Holidays,0)),"عطلة",IF(MOD(AF$3-'الموظفون'!$D$6,CycleWork+CycleRest)&lt;CycleWork,INDEX('الإعدادات والقوائم'!$H$2:$H$4,MOD(INT(MOD(AF$3-'الموظفون'!$D$6,CycleWork+CycleRest)*3/CycleWork)+MATCH(StartShift,'الإعدادات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الإجازات'!$D$5:$D$104&lt;=AF$3)*(('حجز الإجازات'!$E$5:$E$104)&gt;=AF$3)*('حجز الإجازات'!$G$5:$G$104="معتمد")*ROW('حجز الإجازات'!$B$5:$B$104)))-5+1))</f>
        <v/>
      </c>
      <c r="AG8" s="62">
        <f>IF(SUMPRODUCT(('حجز الإجازات'!$B$5:$B$104='الموظفون'!$B$6)*('حجز الإجازات'!$D$5:$D$104&lt;=AG$3)*(('حجز الإجازات'!$E$5:$E$104)&gt;=AG$3)*('حجز الإجازات'!$G$5:$G$104="معتمد")*ROW('حجز الإجازات'!$B$5:$B$104))=0,IF(AG$3&lt;'الموظفون'!$D$6,"",IF(ISNUMBER(MATCH(AG$3,Holidays,0)),"عطلة",IF(MOD(AG$3-'الموظفون'!$D$6,CycleWork+CycleRest)&lt;CycleWork,INDEX('الإعدادات والقوائم'!$H$2:$H$4,MOD(INT(MOD(AG$3-'الموظفون'!$D$6,CycleWork+CycleRest)*3/CycleWork)+MATCH(StartShift,'الإعدادات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الإجازات'!$D$5:$D$104&lt;=AG$3)*(('حجز الإجازات'!$E$5:$E$104)&gt;=AG$3)*('حجز الإجازات'!$G$5:$G$104="معتمد")*ROW('حجز الإجازات'!$B$5:$B$104)))-5+1))</f>
        <v/>
      </c>
      <c r="AH8" s="62">
        <f>IF(SUMPRODUCT(('حجز الإجازات'!$B$5:$B$104='الموظفون'!$B$6)*('حجز الإجازات'!$D$5:$D$104&lt;=AH$3)*(('حجز الإجازات'!$E$5:$E$104)&gt;=AH$3)*('حجز الإجازات'!$G$5:$G$104="معتمد")*ROW('حجز الإجازات'!$B$5:$B$104))=0,IF(AH$3&lt;'الموظفون'!$D$6,"",IF(ISNUMBER(MATCH(AH$3,Holidays,0)),"عطلة",IF(MOD(AH$3-'الموظفون'!$D$6,CycleWork+CycleRest)&lt;CycleWork,INDEX('الإعدادات والقوائم'!$H$2:$H$4,MOD(INT(MOD(AH$3-'الموظفون'!$D$6,CycleWork+CycleRest)*3/CycleWork)+MATCH(StartShift,'الإعدادات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الإجازات'!$D$5:$D$104&lt;=AH$3)*(('حجز الإجازات'!$E$5:$E$104)&gt;=AH$3)*('حجز الإجازات'!$G$5:$G$104="معتمد")*ROW('حجز الإجازات'!$B$5:$B$104)))-5+1))</f>
        <v/>
      </c>
      <c r="AI8" s="62">
        <f>IF(SUMPRODUCT(('حجز الإجازات'!$B$5:$B$104='الموظفون'!$B$6)*('حجز الإجازات'!$D$5:$D$104&lt;=AI$3)*(('حجز الإجازات'!$E$5:$E$104)&gt;=AI$3)*('حجز الإجازات'!$G$5:$G$104="معتمد")*ROW('حجز الإجازات'!$B$5:$B$104))=0,IF(AI$3&lt;'الموظفون'!$D$6,"",IF(ISNUMBER(MATCH(AI$3,Holidays,0)),"عطلة",IF(MOD(AI$3-'الموظفون'!$D$6,CycleWork+CycleRest)&lt;CycleWork,INDEX('الإعدادات والقوائم'!$H$2:$H$4,MOD(INT(MOD(AI$3-'الموظفون'!$D$6,CycleWork+CycleRest)*3/CycleWork)+MATCH(StartShift,'الإعدادات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الإجازات'!$D$5:$D$104&lt;=AI$3)*(('حجز الإجازات'!$E$5:$E$104)&gt;=AI$3)*('حجز الإجازات'!$G$5:$G$104="معتمد")*ROW('حجز الإجازات'!$B$5:$B$104)))-5+1))</f>
        <v/>
      </c>
      <c r="AJ8" s="62">
        <f>IF(SUMPRODUCT(('حجز الإجازات'!$B$5:$B$104='الموظفون'!$B$6)*('حجز الإجازات'!$D$5:$D$104&lt;=AJ$3)*(('حجز الإجازات'!$E$5:$E$104)&gt;=AJ$3)*('حجز الإجازات'!$G$5:$G$104="معتمد")*ROW('حجز الإجازات'!$B$5:$B$104))=0,IF(AJ$3&lt;'الموظفون'!$D$6,"",IF(ISNUMBER(MATCH(AJ$3,Holidays,0)),"عطلة",IF(MOD(AJ$3-'الموظفون'!$D$6,CycleWork+CycleRest)&lt;CycleWork,INDEX('الإعدادات والقوائم'!$H$2:$H$4,MOD(INT(MOD(AJ$3-'الموظفون'!$D$6,CycleWork+CycleRest)*3/CycleWork)+MATCH(StartShift,'الإعدادات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الإجازات'!$D$5:$D$104&lt;=AJ$3)*(('حجز الإجازات'!$E$5:$E$104)&gt;=AJ$3)*('حجز الإجازات'!$G$5:$G$104="معتمد")*ROW('حجز الإجازات'!$B$5:$B$104)))-5+1))</f>
        <v/>
      </c>
      <c r="AK8" s="62">
        <f>IF(SUMPRODUCT(('حجز الإجازات'!$B$5:$B$104='الموظفون'!$B$6)*('حجز الإجازات'!$D$5:$D$104&lt;=AK$3)*(('حجز الإجازات'!$E$5:$E$104)&gt;=AK$3)*('حجز الإجازات'!$G$5:$G$104="معتمد")*ROW('حجز الإجازات'!$B$5:$B$104))=0,IF(AK$3&lt;'الموظفون'!$D$6,"",IF(ISNUMBER(MATCH(AK$3,Holidays,0)),"عطلة",IF(MOD(AK$3-'الموظفون'!$D$6,CycleWork+CycleRest)&lt;CycleWork,INDEX('الإعدادات والقوائم'!$H$2:$H$4,MOD(INT(MOD(AK$3-'الموظفون'!$D$6,CycleWork+CycleRest)*3/CycleWork)+MATCH(StartShift,'الإعدادات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الإجازات'!$D$5:$D$104&lt;=AK$3)*(('حجز الإجازات'!$E$5:$E$104)&gt;=AK$3)*('حجز الإجازات'!$G$5:$G$104="معتمد")*ROW('حجز الإجازات'!$B$5:$B$104)))-5+1))</f>
        <v/>
      </c>
      <c r="AL8" s="62">
        <f>IF(SUMPRODUCT(('حجز الإجازات'!$B$5:$B$104='الموظفون'!$B$6)*('حجز الإجازات'!$D$5:$D$104&lt;=AL$3)*(('حجز الإجازات'!$E$5:$E$104)&gt;=AL$3)*('حجز الإجازات'!$G$5:$G$104="معتمد")*ROW('حجز الإجازات'!$B$5:$B$104))=0,IF(AL$3&lt;'الموظفون'!$D$6,"",IF(ISNUMBER(MATCH(AL$3,Holidays,0)),"عطلة",IF(MOD(AL$3-'الموظفون'!$D$6,CycleWork+CycleRest)&lt;CycleWork,INDEX('الإعدادات والقوائم'!$H$2:$H$4,MOD(INT(MOD(AL$3-'الموظفون'!$D$6,CycleWork+CycleRest)*3/CycleWork)+MATCH(StartShift,'الإعدادات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الإجازات'!$D$5:$D$104&lt;=AL$3)*(('حجز الإجازات'!$E$5:$E$104)&gt;=AL$3)*('حجز الإجازات'!$G$5:$G$104="معتمد")*ROW('حجز الإجازات'!$B$5:$B$104)))-5+1))</f>
        <v/>
      </c>
      <c r="AM8" s="62">
        <f>IF(SUMPRODUCT(('حجز الإجازات'!$B$5:$B$104='الموظفون'!$B$6)*('حجز الإجازات'!$D$5:$D$104&lt;=AM$3)*(('حجز الإجازات'!$E$5:$E$104)&gt;=AM$3)*('حجز الإجازات'!$G$5:$G$104="معتمد")*ROW('حجز الإجازات'!$B$5:$B$104))=0,IF(AM$3&lt;'الموظفون'!$D$6,"",IF(ISNUMBER(MATCH(AM$3,Holidays,0)),"عطلة",IF(MOD(AM$3-'الموظفون'!$D$6,CycleWork+CycleRest)&lt;CycleWork,INDEX('الإعدادات والقوائم'!$H$2:$H$4,MOD(INT(MOD(AM$3-'الموظفون'!$D$6,CycleWork+CycleRest)*3/CycleWork)+MATCH(StartShift,'الإعدادات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الإجازات'!$D$5:$D$104&lt;=AM$3)*(('حجز الإجازات'!$E$5:$E$104)&gt;=AM$3)*('حجز الإجازات'!$G$5:$G$104="معتمد")*ROW('حجز الإجازات'!$B$5:$B$104)))-5+1))</f>
        <v/>
      </c>
      <c r="AN8" s="62">
        <f>IF(SUMPRODUCT(('حجز الإجازات'!$B$5:$B$104='الموظفون'!$B$6)*('حجز الإجازات'!$D$5:$D$104&lt;=AN$3)*(('حجز الإجازات'!$E$5:$E$104)&gt;=AN$3)*('حجز الإجازات'!$G$5:$G$104="معتمد")*ROW('حجز الإجازات'!$B$5:$B$104))=0,IF(AN$3&lt;'الموظفون'!$D$6,"",IF(ISNUMBER(MATCH(AN$3,Holidays,0)),"عطلة",IF(MOD(AN$3-'الموظفون'!$D$6,CycleWork+CycleRest)&lt;CycleWork,INDEX('الإعدادات والقوائم'!$H$2:$H$4,MOD(INT(MOD(AN$3-'الموظفون'!$D$6,CycleWork+CycleRest)*3/CycleWork)+MATCH(StartShift,'الإعدادات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الإجازات'!$D$5:$D$104&lt;=AN$3)*(('حجز الإجازات'!$E$5:$E$104)&gt;=AN$3)*('حجز الإجازات'!$G$5:$G$104="معتمد")*ROW('حجز الإجازات'!$B$5:$B$104)))-5+1))</f>
        <v/>
      </c>
      <c r="AO8" s="62">
        <f>IF(SUMPRODUCT(('حجز الإجازات'!$B$5:$B$104='الموظفون'!$B$6)*('حجز الإجازات'!$D$5:$D$104&lt;=AO$3)*(('حجز الإجازات'!$E$5:$E$104)&gt;=AO$3)*('حجز الإجازات'!$G$5:$G$104="معتمد")*ROW('حجز الإجازات'!$B$5:$B$104))=0,IF(AO$3&lt;'الموظفون'!$D$6,"",IF(ISNUMBER(MATCH(AO$3,Holidays,0)),"عطلة",IF(MOD(AO$3-'الموظفون'!$D$6,CycleWork+CycleRest)&lt;CycleWork,INDEX('الإعدادات والقوائم'!$H$2:$H$4,MOD(INT(MOD(AO$3-'الموظفون'!$D$6,CycleWork+CycleRest)*3/CycleWork)+MATCH(StartShift,'الإعدادات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الإجازات'!$D$5:$D$104&lt;=AO$3)*(('حجز الإجازات'!$E$5:$E$104)&gt;=AO$3)*('حجز الإجازات'!$G$5:$G$104="معتمد")*ROW('حجز الإجازات'!$B$5:$B$104)))-5+1))</f>
        <v/>
      </c>
      <c r="AP8" s="62">
        <f>IF(SUMPRODUCT(('حجز الإجازات'!$B$5:$B$104='الموظفون'!$B$6)*('حجز الإجازات'!$D$5:$D$104&lt;=AP$3)*(('حجز الإجازات'!$E$5:$E$104)&gt;=AP$3)*('حجز الإجازات'!$G$5:$G$104="معتمد")*ROW('حجز الإجازات'!$B$5:$B$104))=0,IF(AP$3&lt;'الموظفون'!$D$6,"",IF(ISNUMBER(MATCH(AP$3,Holidays,0)),"عطلة",IF(MOD(AP$3-'الموظفون'!$D$6,CycleWork+CycleRest)&lt;CycleWork,INDEX('الإعدادات والقوائم'!$H$2:$H$4,MOD(INT(MOD(AP$3-'الموظفون'!$D$6,CycleWork+CycleRest)*3/CycleWork)+MATCH(StartShift,'الإعدادات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الإجازات'!$D$5:$D$104&lt;=AP$3)*(('حجز الإجازات'!$E$5:$E$104)&gt;=AP$3)*('حجز الإجازات'!$G$5:$G$104="معتمد")*ROW('حجز الإجازات'!$B$5:$B$104)))-5+1))</f>
        <v/>
      </c>
      <c r="AQ8" s="62">
        <f>IF(SUMPRODUCT(('حجز الإجازات'!$B$5:$B$104='الموظفون'!$B$6)*('حجز الإجازات'!$D$5:$D$104&lt;=AQ$3)*(('حجز الإجازات'!$E$5:$E$104)&gt;=AQ$3)*('حجز الإجازات'!$G$5:$G$104="معتمد")*ROW('حجز الإجازات'!$B$5:$B$104))=0,IF(AQ$3&lt;'الموظفون'!$D$6,"",IF(ISNUMBER(MATCH(AQ$3,Holidays,0)),"عطلة",IF(MOD(AQ$3-'الموظفون'!$D$6,CycleWork+CycleRest)&lt;CycleWork,INDEX('الإعدادات والقوائم'!$H$2:$H$4,MOD(INT(MOD(AQ$3-'الموظفون'!$D$6,CycleWork+CycleRest)*3/CycleWork)+MATCH(StartShift,'الإعدادات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الإجازات'!$D$5:$D$104&lt;=AQ$3)*(('حجز الإجازات'!$E$5:$E$104)&gt;=AQ$3)*('حجز الإجازات'!$G$5:$G$104="معتمد")*ROW('حجز الإجازات'!$B$5:$B$104)))-5+1))</f>
        <v/>
      </c>
      <c r="AR8" s="62">
        <f>IF(SUMPRODUCT(('حجز الإجازات'!$B$5:$B$104='الموظفون'!$B$6)*('حجز الإجازات'!$D$5:$D$104&lt;=AR$3)*(('حجز الإجازات'!$E$5:$E$104)&gt;=AR$3)*('حجز الإجازات'!$G$5:$G$104="معتمد")*ROW('حجز الإجازات'!$B$5:$B$104))=0,IF(AR$3&lt;'الموظفون'!$D$6,"",IF(ISNUMBER(MATCH(AR$3,Holidays,0)),"عطلة",IF(MOD(AR$3-'الموظفون'!$D$6,CycleWork+CycleRest)&lt;CycleWork,INDEX('الإعدادات والقوائم'!$H$2:$H$4,MOD(INT(MOD(AR$3-'الموظفون'!$D$6,CycleWork+CycleRest)*3/CycleWork)+MATCH(StartShift,'الإعدادات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الإجازات'!$D$5:$D$104&lt;=AR$3)*(('حجز الإجازات'!$E$5:$E$104)&gt;=AR$3)*('حجز الإجازات'!$G$5:$G$104="معتمد")*ROW('حجز الإجازات'!$B$5:$B$104)))-5+1))</f>
        <v/>
      </c>
      <c r="AS8" s="62">
        <f>IF(SUMPRODUCT(('حجز الإجازات'!$B$5:$B$104='الموظفون'!$B$6)*('حجز الإجازات'!$D$5:$D$104&lt;=AS$3)*(('حجز الإجازات'!$E$5:$E$104)&gt;=AS$3)*('حجز الإجازات'!$G$5:$G$104="معتمد")*ROW('حجز الإجازات'!$B$5:$B$104))=0,IF(AS$3&lt;'الموظفون'!$D$6,"",IF(ISNUMBER(MATCH(AS$3,Holidays,0)),"عطلة",IF(MOD(AS$3-'الموظفون'!$D$6,CycleWork+CycleRest)&lt;CycleWork,INDEX('الإعدادات والقوائم'!$H$2:$H$4,MOD(INT(MOD(AS$3-'الموظفون'!$D$6,CycleWork+CycleRest)*3/CycleWork)+MATCH(StartShift,'الإعدادات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الإجازات'!$D$5:$D$104&lt;=AS$3)*(('حجز الإجازات'!$E$5:$E$104)&gt;=AS$3)*('حجز الإجازات'!$G$5:$G$104="معتمد")*ROW('حجز الإجازات'!$B$5:$B$104)))-5+1))</f>
        <v/>
      </c>
      <c r="AT8" s="62">
        <f>IF(SUMPRODUCT(('حجز الإجازات'!$B$5:$B$104='الموظفون'!$B$6)*('حجز الإجازات'!$D$5:$D$104&lt;=AT$3)*(('حجز الإجازات'!$E$5:$E$104)&gt;=AT$3)*('حجز الإجازات'!$G$5:$G$104="معتمد")*ROW('حجز الإجازات'!$B$5:$B$104))=0,IF(AT$3&lt;'الموظفون'!$D$6,"",IF(ISNUMBER(MATCH(AT$3,Holidays,0)),"عطلة",IF(MOD(AT$3-'الموظفون'!$D$6,CycleWork+CycleRest)&lt;CycleWork,INDEX('الإعدادات والقوائم'!$H$2:$H$4,MOD(INT(MOD(AT$3-'الموظفون'!$D$6,CycleWork+CycleRest)*3/CycleWork)+MATCH(StartShift,'الإعدادات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الإجازات'!$D$5:$D$104&lt;=AT$3)*(('حجز الإجازات'!$E$5:$E$104)&gt;=AT$3)*('حجز الإجازات'!$G$5:$G$104="معتمد")*ROW('حجز الإجازات'!$B$5:$B$104)))-5+1))</f>
        <v/>
      </c>
      <c r="AU8" s="62">
        <f>IF(SUMPRODUCT(('حجز الإجازات'!$B$5:$B$104='الموظفون'!$B$6)*('حجز الإجازات'!$D$5:$D$104&lt;=AU$3)*(('حجز الإجازات'!$E$5:$E$104)&gt;=AU$3)*('حجز الإجازات'!$G$5:$G$104="معتمد")*ROW('حجز الإجازات'!$B$5:$B$104))=0,IF(AU$3&lt;'الموظفون'!$D$6,"",IF(ISNUMBER(MATCH(AU$3,Holidays,0)),"عطلة",IF(MOD(AU$3-'الموظفون'!$D$6,CycleWork+CycleRest)&lt;CycleWork,INDEX('الإعدادات والقوائم'!$H$2:$H$4,MOD(INT(MOD(AU$3-'الموظفون'!$D$6,CycleWork+CycleRest)*3/CycleWork)+MATCH(StartShift,'الإعدادات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الإجازات'!$D$5:$D$104&lt;=AU$3)*(('حجز الإجازات'!$E$5:$E$104)&gt;=AU$3)*('حجز الإجازات'!$G$5:$G$104="معتمد")*ROW('حجز الإجازات'!$B$5:$B$104)))-5+1))</f>
        <v/>
      </c>
      <c r="AV8" s="62">
        <f>IF(SUMPRODUCT(('حجز الإجازات'!$B$5:$B$104='الموظفون'!$B$6)*('حجز الإجازات'!$D$5:$D$104&lt;=AV$3)*(('حجز الإجازات'!$E$5:$E$104)&gt;=AV$3)*('حجز الإجازات'!$G$5:$G$104="معتمد")*ROW('حجز الإجازات'!$B$5:$B$104))=0,IF(AV$3&lt;'الموظفون'!$D$6,"",IF(ISNUMBER(MATCH(AV$3,Holidays,0)),"عطلة",IF(MOD(AV$3-'الموظفون'!$D$6,CycleWork+CycleRest)&lt;CycleWork,INDEX('الإعدادات والقوائم'!$H$2:$H$4,MOD(INT(MOD(AV$3-'الموظفون'!$D$6,CycleWork+CycleRest)*3/CycleWork)+MATCH(StartShift,'الإعدادات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الإجازات'!$D$5:$D$104&lt;=AV$3)*(('حجز الإجازات'!$E$5:$E$104)&gt;=AV$3)*('حجز الإجازات'!$G$5:$G$104="معتمد")*ROW('حجز الإجازات'!$B$5:$B$104)))-5+1))</f>
        <v/>
      </c>
      <c r="AW8" s="62">
        <f>IF(SUMPRODUCT(('حجز الإجازات'!$B$5:$B$104='الموظفون'!$B$6)*('حجز الإجازات'!$D$5:$D$104&lt;=AW$3)*(('حجز الإجازات'!$E$5:$E$104)&gt;=AW$3)*('حجز الإجازات'!$G$5:$G$104="معتمد")*ROW('حجز الإجازات'!$B$5:$B$104))=0,IF(AW$3&lt;'الموظفون'!$D$6,"",IF(ISNUMBER(MATCH(AW$3,Holidays,0)),"عطلة",IF(MOD(AW$3-'الموظفون'!$D$6,CycleWork+CycleRest)&lt;CycleWork,INDEX('الإعدادات والقوائم'!$H$2:$H$4,MOD(INT(MOD(AW$3-'الموظفون'!$D$6,CycleWork+CycleRest)*3/CycleWork)+MATCH(StartShift,'الإعدادات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الإجازات'!$D$5:$D$104&lt;=AW$3)*(('حجز الإجازات'!$E$5:$E$104)&gt;=AW$3)*('حجز الإجازات'!$G$5:$G$104="معتمد")*ROW('حجز الإجازات'!$B$5:$B$104)))-5+1))</f>
        <v/>
      </c>
      <c r="AX8" s="62">
        <f>IF(SUMPRODUCT(('حجز الإجازات'!$B$5:$B$104='الموظفون'!$B$6)*('حجز الإجازات'!$D$5:$D$104&lt;=AX$3)*(('حجز الإجازات'!$E$5:$E$104)&gt;=AX$3)*('حجز الإجازات'!$G$5:$G$104="معتمد")*ROW('حجز الإجازات'!$B$5:$B$104))=0,IF(AX$3&lt;'الموظفون'!$D$6,"",IF(ISNUMBER(MATCH(AX$3,Holidays,0)),"عطلة",IF(MOD(AX$3-'الموظفون'!$D$6,CycleWork+CycleRest)&lt;CycleWork,INDEX('الإعدادات والقوائم'!$H$2:$H$4,MOD(INT(MOD(AX$3-'الموظفون'!$D$6,CycleWork+CycleRest)*3/CycleWork)+MATCH(StartShift,'الإعدادات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الإجازات'!$D$5:$D$104&lt;=AX$3)*(('حجز الإجازات'!$E$5:$E$104)&gt;=AX$3)*('حجز الإجازات'!$G$5:$G$104="معتمد")*ROW('حجز الإجازات'!$B$5:$B$104)))-5+1))</f>
        <v/>
      </c>
      <c r="AY8" s="62">
        <f>IF(SUMPRODUCT(('حجز الإجازات'!$B$5:$B$104='الموظفون'!$B$6)*('حجز الإجازات'!$D$5:$D$104&lt;=AY$3)*(('حجز الإجازات'!$E$5:$E$104)&gt;=AY$3)*('حجز الإجازات'!$G$5:$G$104="معتمد")*ROW('حجز الإجازات'!$B$5:$B$104))=0,IF(AY$3&lt;'الموظفون'!$D$6,"",IF(ISNUMBER(MATCH(AY$3,Holidays,0)),"عطلة",IF(MOD(AY$3-'الموظفون'!$D$6,CycleWork+CycleRest)&lt;CycleWork,INDEX('الإعدادات والقوائم'!$H$2:$H$4,MOD(INT(MOD(AY$3-'الموظفون'!$D$6,CycleWork+CycleRest)*3/CycleWork)+MATCH(StartShift,'الإعدادات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الإجازات'!$D$5:$D$104&lt;=AY$3)*(('حجز الإجازات'!$E$5:$E$104)&gt;=AY$3)*('حجز الإجازات'!$G$5:$G$104="معتمد")*ROW('حجز الإجازات'!$B$5:$B$104)))-5+1))</f>
        <v/>
      </c>
      <c r="AZ8" s="62">
        <f>IF(SUMPRODUCT(('حجز الإجازات'!$B$5:$B$104='الموظفون'!$B$6)*('حجز الإجازات'!$D$5:$D$104&lt;=AZ$3)*(('حجز الإجازات'!$E$5:$E$104)&gt;=AZ$3)*('حجز الإجازات'!$G$5:$G$104="معتمد")*ROW('حجز الإجازات'!$B$5:$B$104))=0,IF(AZ$3&lt;'الموظفون'!$D$6,"",IF(ISNUMBER(MATCH(AZ$3,Holidays,0)),"عطلة",IF(MOD(AZ$3-'الموظفون'!$D$6,CycleWork+CycleRest)&lt;CycleWork,INDEX('الإعدادات والقوائم'!$H$2:$H$4,MOD(INT(MOD(AZ$3-'الموظفون'!$D$6,CycleWork+CycleRest)*3/CycleWork)+MATCH(StartShift,'الإعدادات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الإجازات'!$D$5:$D$104&lt;=AZ$3)*(('حجز الإجازات'!$E$5:$E$104)&gt;=AZ$3)*('حجز الإجازات'!$G$5:$G$104="معتمد")*ROW('حجز الإجازات'!$B$5:$B$104)))-5+1))</f>
        <v/>
      </c>
      <c r="BA8" s="62">
        <f>IF(SUMPRODUCT(('حجز الإجازات'!$B$5:$B$104='الموظفون'!$B$6)*('حجز الإجازات'!$D$5:$D$104&lt;=BA$3)*(('حجز الإجازات'!$E$5:$E$104)&gt;=BA$3)*('حجز الإجازات'!$G$5:$G$104="معتمد")*ROW('حجز الإجازات'!$B$5:$B$104))=0,IF(BA$3&lt;'الموظفون'!$D$6,"",IF(ISNUMBER(MATCH(BA$3,Holidays,0)),"عطلة",IF(MOD(BA$3-'الموظفون'!$D$6,CycleWork+CycleRest)&lt;CycleWork,INDEX('الإعدادات والقوائم'!$H$2:$H$4,MOD(INT(MOD(BA$3-'الموظفون'!$D$6,CycleWork+CycleRest)*3/CycleWork)+MATCH(StartShift,'الإعدادات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الإجازات'!$D$5:$D$104&lt;=BA$3)*(('حجز الإجازات'!$E$5:$E$104)&gt;=BA$3)*('حجز الإجازات'!$G$5:$G$104="معتمد")*ROW('حجز الإجازات'!$B$5:$B$104)))-5+1))</f>
        <v/>
      </c>
      <c r="BB8" s="62">
        <f>IF(SUMPRODUCT(('حجز الإجازات'!$B$5:$B$104='الموظفون'!$B$6)*('حجز الإجازات'!$D$5:$D$104&lt;=BB$3)*(('حجز الإجازات'!$E$5:$E$104)&gt;=BB$3)*('حجز الإجازات'!$G$5:$G$104="معتمد")*ROW('حجز الإجازات'!$B$5:$B$104))=0,IF(BB$3&lt;'الموظفون'!$D$6,"",IF(ISNUMBER(MATCH(BB$3,Holidays,0)),"عطلة",IF(MOD(BB$3-'الموظفون'!$D$6,CycleWork+CycleRest)&lt;CycleWork,INDEX('الإعدادات والقوائم'!$H$2:$H$4,MOD(INT(MOD(BB$3-'الموظفون'!$D$6,CycleWork+CycleRest)*3/CycleWork)+MATCH(StartShift,'الإعدادات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الإجازات'!$D$5:$D$104&lt;=BB$3)*(('حجز الإجازات'!$E$5:$E$104)&gt;=BB$3)*('حجز الإجازات'!$G$5:$G$104="معتمد")*ROW('حجز الإجازات'!$B$5:$B$104)))-5+1))</f>
        <v/>
      </c>
      <c r="BC8" s="62">
        <f>IF(SUMPRODUCT(('حجز الإجازات'!$B$5:$B$104='الموظفون'!$B$6)*('حجز الإجازات'!$D$5:$D$104&lt;=BC$3)*(('حجز الإجازات'!$E$5:$E$104)&gt;=BC$3)*('حجز الإجازات'!$G$5:$G$104="معتمد")*ROW('حجز الإجازات'!$B$5:$B$104))=0,IF(BC$3&lt;'الموظفون'!$D$6,"",IF(ISNUMBER(MATCH(BC$3,Holidays,0)),"عطلة",IF(MOD(BC$3-'الموظفون'!$D$6,CycleWork+CycleRest)&lt;CycleWork,INDEX('الإعدادات والقوائم'!$H$2:$H$4,MOD(INT(MOD(BC$3-'الموظفون'!$D$6,CycleWork+CycleRest)*3/CycleWork)+MATCH(StartShift,'الإعدادات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الإجازات'!$D$5:$D$104&lt;=BC$3)*(('حجز الإجازات'!$E$5:$E$104)&gt;=BC$3)*('حجز الإجازات'!$G$5:$G$104="معتمد")*ROW('حجز الإجازات'!$B$5:$B$104)))-5+1))</f>
        <v/>
      </c>
      <c r="BD8" s="62">
        <f>IF(SUMPRODUCT(('حجز الإجازات'!$B$5:$B$104='الموظفون'!$B$6)*('حجز الإجازات'!$D$5:$D$104&lt;=BD$3)*(('حجز الإجازات'!$E$5:$E$104)&gt;=BD$3)*('حجز الإجازات'!$G$5:$G$104="معتمد")*ROW('حجز الإجازات'!$B$5:$B$104))=0,IF(BD$3&lt;'الموظفون'!$D$6,"",IF(ISNUMBER(MATCH(BD$3,Holidays,0)),"عطلة",IF(MOD(BD$3-'الموظفون'!$D$6,CycleWork+CycleRest)&lt;CycleWork,INDEX('الإعدادات والقوائم'!$H$2:$H$4,MOD(INT(MOD(BD$3-'الموظفون'!$D$6,CycleWork+CycleRest)*3/CycleWork)+MATCH(StartShift,'الإعدادات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الإجازات'!$D$5:$D$104&lt;=BD$3)*(('حجز الإجازات'!$E$5:$E$104)&gt;=BD$3)*('حجز الإجازات'!$G$5:$G$104="معتمد")*ROW('حجز الإجازات'!$B$5:$B$104)))-5+1))</f>
        <v/>
      </c>
      <c r="BE8" s="62">
        <f>IF(SUMPRODUCT(('حجز الإجازات'!$B$5:$B$104='الموظفون'!$B$6)*('حجز الإجازات'!$D$5:$D$104&lt;=BE$3)*(('حجز الإجازات'!$E$5:$E$104)&gt;=BE$3)*('حجز الإجازات'!$G$5:$G$104="معتمد")*ROW('حجز الإجازات'!$B$5:$B$104))=0,IF(BE$3&lt;'الموظفون'!$D$6,"",IF(ISNUMBER(MATCH(BE$3,Holidays,0)),"عطلة",IF(MOD(BE$3-'الموظفون'!$D$6,CycleWork+CycleRest)&lt;CycleWork,INDEX('الإعدادات والقوائم'!$H$2:$H$4,MOD(INT(MOD(BE$3-'الموظفون'!$D$6,CycleWork+CycleRest)*3/CycleWork)+MATCH(StartShift,'الإعدادات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الإجازات'!$D$5:$D$104&lt;=BE$3)*(('حجز الإجازات'!$E$5:$E$104)&gt;=BE$3)*('حجز الإجازات'!$G$5:$G$104="معتمد")*ROW('حجز الإجازات'!$B$5:$B$104)))-5+1))</f>
        <v/>
      </c>
      <c r="BF8" s="62">
        <f>IF(SUMPRODUCT(('حجز الإجازات'!$B$5:$B$104='الموظفون'!$B$6)*('حجز الإجازات'!$D$5:$D$104&lt;=BF$3)*(('حجز الإجازات'!$E$5:$E$104)&gt;=BF$3)*('حجز الإجازات'!$G$5:$G$104="معتمد")*ROW('حجز الإجازات'!$B$5:$B$104))=0,IF(BF$3&lt;'الموظفون'!$D$6,"",IF(ISNUMBER(MATCH(BF$3,Holidays,0)),"عطلة",IF(MOD(BF$3-'الموظفون'!$D$6,CycleWork+CycleRest)&lt;CycleWork,INDEX('الإعدادات والقوائم'!$H$2:$H$4,MOD(INT(MOD(BF$3-'الموظفون'!$D$6,CycleWork+CycleRest)*3/CycleWork)+MATCH(StartShift,'الإعدادات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الإجازات'!$D$5:$D$104&lt;=BF$3)*(('حجز الإجازات'!$E$5:$E$104)&gt;=BF$3)*('حجز الإجازات'!$G$5:$G$104="معتمد")*ROW('حجز الإجازات'!$B$5:$B$104)))-5+1))</f>
        <v/>
      </c>
      <c r="BG8" s="62">
        <f>IF(SUMPRODUCT(('حجز الإجازات'!$B$5:$B$104='الموظفون'!$B$6)*('حجز الإجازات'!$D$5:$D$104&lt;=BG$3)*(('حجز الإجازات'!$E$5:$E$104)&gt;=BG$3)*('حجز الإجازات'!$G$5:$G$104="معتمد")*ROW('حجز الإجازات'!$B$5:$B$104))=0,IF(BG$3&lt;'الموظفون'!$D$6,"",IF(ISNUMBER(MATCH(BG$3,Holidays,0)),"عطلة",IF(MOD(BG$3-'الموظفون'!$D$6,CycleWork+CycleRest)&lt;CycleWork,INDEX('الإعدادات والقوائم'!$H$2:$H$4,MOD(INT(MOD(BG$3-'الموظفون'!$D$6,CycleWork+CycleRest)*3/CycleWork)+MATCH(StartShift,'الإعدادات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الإجازات'!$D$5:$D$104&lt;=BG$3)*(('حجز الإجازات'!$E$5:$E$104)&gt;=BG$3)*('حجز الإجازات'!$G$5:$G$104="معتمد")*ROW('حجز الإجازات'!$B$5:$B$104)))-5+1))</f>
        <v/>
      </c>
      <c r="BH8" s="62">
        <f>IF(SUMPRODUCT(('حجز الإجازات'!$B$5:$B$104='الموظفون'!$B$6)*('حجز الإجازات'!$D$5:$D$104&lt;=BH$3)*(('حجز الإجازات'!$E$5:$E$104)&gt;=BH$3)*('حجز الإجازات'!$G$5:$G$104="معتمد")*ROW('حجز الإجازات'!$B$5:$B$104))=0,IF(BH$3&lt;'الموظفون'!$D$6,"",IF(ISNUMBER(MATCH(BH$3,Holidays,0)),"عطلة",IF(MOD(BH$3-'الموظفون'!$D$6,CycleWork+CycleRest)&lt;CycleWork,INDEX('الإعدادات والقوائم'!$H$2:$H$4,MOD(INT(MOD(BH$3-'الموظفون'!$D$6,CycleWork+CycleRest)*3/CycleWork)+MATCH(StartShift,'الإعدادات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الإجازات'!$D$5:$D$104&lt;=BH$3)*(('حجز الإجازات'!$E$5:$E$104)&gt;=BH$3)*('حجز الإجازات'!$G$5:$G$104="معتمد")*ROW('حجز الإجازات'!$B$5:$B$104)))-5+1))</f>
        <v/>
      </c>
      <c r="BI8" s="62">
        <f>IF(SUMPRODUCT(('حجز الإجازات'!$B$5:$B$104='الموظفون'!$B$6)*('حجز الإجازات'!$D$5:$D$104&lt;=BI$3)*(('حجز الإجازات'!$E$5:$E$104)&gt;=BI$3)*('حجز الإجازات'!$G$5:$G$104="معتمد")*ROW('حجز الإجازات'!$B$5:$B$104))=0,IF(BI$3&lt;'الموظفون'!$D$6,"",IF(ISNUMBER(MATCH(BI$3,Holidays,0)),"عطلة",IF(MOD(BI$3-'الموظفون'!$D$6,CycleWork+CycleRest)&lt;CycleWork,INDEX('الإعدادات والقوائم'!$H$2:$H$4,MOD(INT(MOD(BI$3-'الموظفون'!$D$6,CycleWork+CycleRest)*3/CycleWork)+MATCH(StartShift,'الإعدادات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الإجازات'!$D$5:$D$104&lt;=BI$3)*(('حجز الإجازات'!$E$5:$E$104)&gt;=BI$3)*('حجز الإجازات'!$G$5:$G$104="معتمد")*ROW('حجز الإجازات'!$B$5:$B$104)))-5+1))</f>
        <v/>
      </c>
      <c r="BJ8" s="62">
        <f>IF(SUMPRODUCT(('حجز الإجازات'!$B$5:$B$104='الموظفون'!$B$6)*('حجز الإجازات'!$D$5:$D$104&lt;=BJ$3)*(('حجز الإجازات'!$E$5:$E$104)&gt;=BJ$3)*('حجز الإجازات'!$G$5:$G$104="معتمد")*ROW('حجز الإجازات'!$B$5:$B$104))=0,IF(BJ$3&lt;'الموظفون'!$D$6,"",IF(ISNUMBER(MATCH(BJ$3,Holidays,0)),"عطلة",IF(MOD(BJ$3-'الموظفون'!$D$6,CycleWork+CycleRest)&lt;CycleWork,INDEX('الإعدادات والقوائم'!$H$2:$H$4,MOD(INT(MOD(BJ$3-'الموظفون'!$D$6,CycleWork+CycleRest)*3/CycleWork)+MATCH(StartShift,'الإعدادات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الإجازات'!$D$5:$D$104&lt;=BJ$3)*(('حجز الإجازات'!$E$5:$E$104)&gt;=BJ$3)*('حجز الإجازات'!$G$5:$G$104="معتمد")*ROW('حجز الإجازات'!$B$5:$B$104)))-5+1))</f>
        <v/>
      </c>
      <c r="BK8" s="62">
        <f>IF(SUMPRODUCT(('حجز الإجازات'!$B$5:$B$104='الموظفون'!$B$6)*('حجز الإجازات'!$D$5:$D$104&lt;=BK$3)*(('حجز الإجازات'!$E$5:$E$104)&gt;=BK$3)*('حجز الإجازات'!$G$5:$G$104="معتمد")*ROW('حجز الإجازات'!$B$5:$B$104))=0,IF(BK$3&lt;'الموظفون'!$D$6,"",IF(ISNUMBER(MATCH(BK$3,Holidays,0)),"عطلة",IF(MOD(BK$3-'الموظفون'!$D$6,CycleWork+CycleRest)&lt;CycleWork,INDEX('الإعدادات والقوائم'!$H$2:$H$4,MOD(INT(MOD(BK$3-'الموظفون'!$D$6,CycleWork+CycleRest)*3/CycleWork)+MATCH(StartShift,'الإعدادات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الإجازات'!$D$5:$D$104&lt;=BK$3)*(('حجز الإجازات'!$E$5:$E$104)&gt;=BK$3)*('حجز الإجازات'!$G$5:$G$104="معتمد")*ROW('حجز الإجازات'!$B$5:$B$104)))-5+1))</f>
        <v/>
      </c>
      <c r="BL8" s="62">
        <f>IF(SUMPRODUCT(('حجز الإجازات'!$B$5:$B$104='الموظفون'!$B$6)*('حجز الإجازات'!$D$5:$D$104&lt;=BL$3)*(('حجز الإجازات'!$E$5:$E$104)&gt;=BL$3)*('حجز الإجازات'!$G$5:$G$104="معتمد")*ROW('حجز الإجازات'!$B$5:$B$104))=0,IF(BL$3&lt;'الموظفون'!$D$6,"",IF(ISNUMBER(MATCH(BL$3,Holidays,0)),"عطلة",IF(MOD(BL$3-'الموظفون'!$D$6,CycleWork+CycleRest)&lt;CycleWork,INDEX('الإعدادات والقوائم'!$H$2:$H$4,MOD(INT(MOD(BL$3-'الموظفون'!$D$6,CycleWork+CycleRest)*3/CycleWork)+MATCH(StartShift,'الإعدادات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الإجازات'!$D$5:$D$104&lt;=BL$3)*(('حجز الإجازات'!$E$5:$E$104)&gt;=BL$3)*('حجز الإجازات'!$G$5:$G$104="معتمد")*ROW('حجز الإجازات'!$B$5:$B$104)))-5+1))</f>
        <v/>
      </c>
      <c r="BM8" s="62">
        <f>IF(SUMPRODUCT(('حجز الإجازات'!$B$5:$B$104='الموظفون'!$B$6)*('حجز الإجازات'!$D$5:$D$104&lt;=BM$3)*(('حجز الإجازات'!$E$5:$E$104)&gt;=BM$3)*('حجز الإجازات'!$G$5:$G$104="معتمد")*ROW('حجز الإجازات'!$B$5:$B$104))=0,IF(BM$3&lt;'الموظفون'!$D$6,"",IF(ISNUMBER(MATCH(BM$3,Holidays,0)),"عطلة",IF(MOD(BM$3-'الموظفون'!$D$6,CycleWork+CycleRest)&lt;CycleWork,INDEX('الإعدادات والقوائم'!$H$2:$H$4,MOD(INT(MOD(BM$3-'الموظفون'!$D$6,CycleWork+CycleRest)*3/CycleWork)+MATCH(StartShift,'الإعدادات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الإجازات'!$D$5:$D$104&lt;=BM$3)*(('حجز الإجازات'!$E$5:$E$104)&gt;=BM$3)*('حجز الإجازات'!$G$5:$G$104="معتمد")*ROW('حجز الإجازات'!$B$5:$B$104)))-5+1))</f>
        <v/>
      </c>
      <c r="BN8" s="62">
        <f>IF(SUMPRODUCT(('حجز الإجازات'!$B$5:$B$104='الموظفون'!$B$6)*('حجز الإجازات'!$D$5:$D$104&lt;=BN$3)*(('حجز الإجازات'!$E$5:$E$104)&gt;=BN$3)*('حجز الإجازات'!$G$5:$G$104="معتمد")*ROW('حجز الإجازات'!$B$5:$B$104))=0,IF(BN$3&lt;'الموظفون'!$D$6,"",IF(ISNUMBER(MATCH(BN$3,Holidays,0)),"عطلة",IF(MOD(BN$3-'الموظفون'!$D$6,CycleWork+CycleRest)&lt;CycleWork,INDEX('الإعدادات والقوائم'!$H$2:$H$4,MOD(INT(MOD(BN$3-'الموظفون'!$D$6,CycleWork+CycleRest)*3/CycleWork)+MATCH(StartShift,'الإعدادات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الإجازات'!$D$5:$D$104&lt;=BN$3)*(('حجز الإجازات'!$E$5:$E$104)&gt;=BN$3)*('حجز الإجازات'!$G$5:$G$104="معتمد")*ROW('حجز الإجازات'!$B$5:$B$104)))-5+1))</f>
        <v/>
      </c>
      <c r="BO8" s="62">
        <f>IF(SUMPRODUCT(('حجز الإجازات'!$B$5:$B$104='الموظفون'!$B$6)*('حجز الإجازات'!$D$5:$D$104&lt;=BO$3)*(('حجز الإجازات'!$E$5:$E$104)&gt;=BO$3)*('حجز الإجازات'!$G$5:$G$104="معتمد")*ROW('حجز الإجازات'!$B$5:$B$104))=0,IF(BO$3&lt;'الموظفون'!$D$6,"",IF(ISNUMBER(MATCH(BO$3,Holidays,0)),"عطلة",IF(MOD(BO$3-'الموظفون'!$D$6,CycleWork+CycleRest)&lt;CycleWork,INDEX('الإعدادات والقوائم'!$H$2:$H$4,MOD(INT(MOD(BO$3-'الموظفون'!$D$6,CycleWork+CycleRest)*3/CycleWork)+MATCH(StartShift,'الإعدادات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الإجازات'!$D$5:$D$104&lt;=BO$3)*(('حجز الإجازات'!$E$5:$E$104)&gt;=BO$3)*('حجز الإجازات'!$G$5:$G$104="معتمد")*ROW('حجز الإجازات'!$B$5:$B$104)))-5+1))</f>
        <v/>
      </c>
      <c r="BP8" s="62">
        <f>IF(SUMPRODUCT(('حجز الإجازات'!$B$5:$B$104='الموظفون'!$B$6)*('حجز الإجازات'!$D$5:$D$104&lt;=BP$3)*(('حجز الإجازات'!$E$5:$E$104)&gt;=BP$3)*('حجز الإجازات'!$G$5:$G$104="معتمد")*ROW('حجز الإجازات'!$B$5:$B$104))=0,IF(BP$3&lt;'الموظفون'!$D$6,"",IF(ISNUMBER(MATCH(BP$3,Holidays,0)),"عطلة",IF(MOD(BP$3-'الموظفون'!$D$6,CycleWork+CycleRest)&lt;CycleWork,INDEX('الإعدادات والقوائم'!$H$2:$H$4,MOD(INT(MOD(BP$3-'الموظفون'!$D$6,CycleWork+CycleRest)*3/CycleWork)+MATCH(StartShift,'الإعدادات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الإجازات'!$D$5:$D$104&lt;=BP$3)*(('حجز الإجازات'!$E$5:$E$104)&gt;=BP$3)*('حجز الإجازات'!$G$5:$G$104="معتمد")*ROW('حجز الإجازات'!$B$5:$B$104)))-5+1))</f>
        <v/>
      </c>
      <c r="BQ8" s="62">
        <f>IF(SUMPRODUCT(('حجز الإجازات'!$B$5:$B$104='الموظفون'!$B$6)*('حجز الإجازات'!$D$5:$D$104&lt;=BQ$3)*(('حجز الإجازات'!$E$5:$E$104)&gt;=BQ$3)*('حجز الإجازات'!$G$5:$G$104="معتمد")*ROW('حجز الإجازات'!$B$5:$B$104))=0,IF(BQ$3&lt;'الموظفون'!$D$6,"",IF(ISNUMBER(MATCH(BQ$3,Holidays,0)),"عطلة",IF(MOD(BQ$3-'الموظفون'!$D$6,CycleWork+CycleRest)&lt;CycleWork,INDEX('الإعدادات والقوائم'!$H$2:$H$4,MOD(INT(MOD(BQ$3-'الموظفون'!$D$6,CycleWork+CycleRest)*3/CycleWork)+MATCH(StartShift,'الإعدادات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الإجازات'!$D$5:$D$104&lt;=BQ$3)*(('حجز الإجازات'!$E$5:$E$104)&gt;=BQ$3)*('حجز الإجازات'!$G$5:$G$104="معتمد")*ROW('حجز الإجازات'!$B$5:$B$104)))-5+1))</f>
        <v/>
      </c>
      <c r="BR8" s="62">
        <f>IF(SUMPRODUCT(('حجز الإجازات'!$B$5:$B$104='الموظفون'!$B$6)*('حجز الإجازات'!$D$5:$D$104&lt;=BR$3)*(('حجز الإجازات'!$E$5:$E$104)&gt;=BR$3)*('حجز الإجازات'!$G$5:$G$104="معتمد")*ROW('حجز الإجازات'!$B$5:$B$104))=0,IF(BR$3&lt;'الموظفون'!$D$6,"",IF(ISNUMBER(MATCH(BR$3,Holidays,0)),"عطلة",IF(MOD(BR$3-'الموظفون'!$D$6,CycleWork+CycleRest)&lt;CycleWork,INDEX('الإعدادات والقوائم'!$H$2:$H$4,MOD(INT(MOD(BR$3-'الموظفون'!$D$6,CycleWork+CycleRest)*3/CycleWork)+MATCH(StartShift,'الإعدادات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الإجازات'!$D$5:$D$104&lt;=BR$3)*(('حجز الإجازات'!$E$5:$E$104)&gt;=BR$3)*('حجز الإجازات'!$G$5:$G$104="معتمد")*ROW('حجز الإجازات'!$B$5:$B$104)))-5+1))</f>
        <v/>
      </c>
      <c r="BS8" s="62">
        <f>IF(SUMPRODUCT(('حجز الإجازات'!$B$5:$B$104='الموظفون'!$B$6)*('حجز الإجازات'!$D$5:$D$104&lt;=BS$3)*(('حجز الإجازات'!$E$5:$E$104)&gt;=BS$3)*('حجز الإجازات'!$G$5:$G$104="معتمد")*ROW('حجز الإجازات'!$B$5:$B$104))=0,IF(BS$3&lt;'الموظفون'!$D$6,"",IF(ISNUMBER(MATCH(BS$3,Holidays,0)),"عطلة",IF(MOD(BS$3-'الموظفون'!$D$6,CycleWork+CycleRest)&lt;CycleWork,INDEX('الإعدادات والقوائم'!$H$2:$H$4,MOD(INT(MOD(BS$3-'الموظفون'!$D$6,CycleWork+CycleRest)*3/CycleWork)+MATCH(StartShift,'الإعدادات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الإجازات'!$D$5:$D$104&lt;=BS$3)*(('حجز الإجازات'!$E$5:$E$104)&gt;=BS$3)*('حجز الإجازات'!$G$5:$G$104="معتمد")*ROW('حجز الإجازات'!$B$5:$B$104)))-5+1))</f>
        <v/>
      </c>
      <c r="BT8" s="62">
        <f>IF(SUMPRODUCT(('حجز الإجازات'!$B$5:$B$104='الموظفون'!$B$6)*('حجز الإجازات'!$D$5:$D$104&lt;=BT$3)*(('حجز الإجازات'!$E$5:$E$104)&gt;=BT$3)*('حجز الإجازات'!$G$5:$G$104="معتمد")*ROW('حجز الإجازات'!$B$5:$B$104))=0,IF(BT$3&lt;'الموظفون'!$D$6,"",IF(ISNUMBER(MATCH(BT$3,Holidays,0)),"عطلة",IF(MOD(BT$3-'الموظفون'!$D$6,CycleWork+CycleRest)&lt;CycleWork,INDEX('الإعدادات والقوائم'!$H$2:$H$4,MOD(INT(MOD(BT$3-'الموظفون'!$D$6,CycleWork+CycleRest)*3/CycleWork)+MATCH(StartShift,'الإعدادات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الإجازات'!$D$5:$D$104&lt;=BT$3)*(('حجز الإجازات'!$E$5:$E$104)&gt;=BT$3)*('حجز الإجازات'!$G$5:$G$104="معتمد")*ROW('حجز الإجازات'!$B$5:$B$104)))-5+1))</f>
        <v/>
      </c>
      <c r="BU8" s="62">
        <f>IF(SUMPRODUCT(('حجز الإجازات'!$B$5:$B$104='الموظفون'!$B$6)*('حجز الإجازات'!$D$5:$D$104&lt;=BU$3)*(('حجز الإجازات'!$E$5:$E$104)&gt;=BU$3)*('حجز الإجازات'!$G$5:$G$104="معتمد")*ROW('حجز الإجازات'!$B$5:$B$104))=0,IF(BU$3&lt;'الموظفون'!$D$6,"",IF(ISNUMBER(MATCH(BU$3,Holidays,0)),"عطلة",IF(MOD(BU$3-'الموظفون'!$D$6,CycleWork+CycleRest)&lt;CycleWork,INDEX('الإعدادات والقوائم'!$H$2:$H$4,MOD(INT(MOD(BU$3-'الموظفون'!$D$6,CycleWork+CycleRest)*3/CycleWork)+MATCH(StartShift,'الإعدادات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الإجازات'!$D$5:$D$104&lt;=BU$3)*(('حجز الإجازات'!$E$5:$E$104)&gt;=BU$3)*('حجز الإجازات'!$G$5:$G$104="معتمد")*ROW('حجز الإجازات'!$B$5:$B$104)))-5+1))</f>
        <v/>
      </c>
      <c r="BV8" s="62">
        <f>IF(SUMPRODUCT(('حجز الإجازات'!$B$5:$B$104='الموظفون'!$B$6)*('حجز الإجازات'!$D$5:$D$104&lt;=BV$3)*(('حجز الإجازات'!$E$5:$E$104)&gt;=BV$3)*('حجز الإجازات'!$G$5:$G$104="معتمد")*ROW('حجز الإجازات'!$B$5:$B$104))=0,IF(BV$3&lt;'الموظفون'!$D$6,"",IF(ISNUMBER(MATCH(BV$3,Holidays,0)),"عطلة",IF(MOD(BV$3-'الموظفون'!$D$6,CycleWork+CycleRest)&lt;CycleWork,INDEX('الإعدادات والقوائم'!$H$2:$H$4,MOD(INT(MOD(BV$3-'الموظفون'!$D$6,CycleWork+CycleRest)*3/CycleWork)+MATCH(StartShift,'الإعدادات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الإجازات'!$D$5:$D$104&lt;=BV$3)*(('حجز الإجازات'!$E$5:$E$104)&gt;=BV$3)*('حجز الإجازات'!$G$5:$G$104="معتمد")*ROW('حجز الإجازات'!$B$5:$B$104)))-5+1))</f>
        <v/>
      </c>
      <c r="BW8" s="62">
        <f>IF(SUMPRODUCT(('حجز الإجازات'!$B$5:$B$104='الموظفون'!$B$6)*('حجز الإجازات'!$D$5:$D$104&lt;=BW$3)*(('حجز الإجازات'!$E$5:$E$104)&gt;=BW$3)*('حجز الإجازات'!$G$5:$G$104="معتمد")*ROW('حجز الإجازات'!$B$5:$B$104))=0,IF(BW$3&lt;'الموظفون'!$D$6,"",IF(ISNUMBER(MATCH(BW$3,Holidays,0)),"عطلة",IF(MOD(BW$3-'الموظفون'!$D$6,CycleWork+CycleRest)&lt;CycleWork,INDEX('الإعدادات والقوائم'!$H$2:$H$4,MOD(INT(MOD(BW$3-'الموظفون'!$D$6,CycleWork+CycleRest)*3/CycleWork)+MATCH(StartShift,'الإعدادات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الإجازات'!$D$5:$D$104&lt;=BW$3)*(('حجز الإجازات'!$E$5:$E$104)&gt;=BW$3)*('حجز الإجازات'!$G$5:$G$104="معتمد")*ROW('حجز الإجازات'!$B$5:$B$104)))-5+1))</f>
        <v/>
      </c>
      <c r="BX8" s="62">
        <f>IF(SUMPRODUCT(('حجز الإجازات'!$B$5:$B$104='الموظفون'!$B$6)*('حجز الإجازات'!$D$5:$D$104&lt;=BX$3)*(('حجز الإجازات'!$E$5:$E$104)&gt;=BX$3)*('حجز الإجازات'!$G$5:$G$104="معتمد")*ROW('حجز الإجازات'!$B$5:$B$104))=0,IF(BX$3&lt;'الموظفون'!$D$6,"",IF(ISNUMBER(MATCH(BX$3,Holidays,0)),"عطلة",IF(MOD(BX$3-'الموظفون'!$D$6,CycleWork+CycleRest)&lt;CycleWork,INDEX('الإعدادات والقوائم'!$H$2:$H$4,MOD(INT(MOD(BX$3-'الموظفون'!$D$6,CycleWork+CycleRest)*3/CycleWork)+MATCH(StartShift,'الإعدادات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الإجازات'!$D$5:$D$104&lt;=BX$3)*(('حجز الإجازات'!$E$5:$E$104)&gt;=BX$3)*('حجز الإجازات'!$G$5:$G$104="معتمد")*ROW('حجز الإجازات'!$B$5:$B$104)))-5+1))</f>
        <v/>
      </c>
      <c r="BY8" s="62">
        <f>IF(SUMPRODUCT(('حجز الإجازات'!$B$5:$B$104='الموظفون'!$B$6)*('حجز الإجازات'!$D$5:$D$104&lt;=BY$3)*(('حجز الإجازات'!$E$5:$E$104)&gt;=BY$3)*('حجز الإجازات'!$G$5:$G$104="معتمد")*ROW('حجز الإجازات'!$B$5:$B$104))=0,IF(BY$3&lt;'الموظفون'!$D$6,"",IF(ISNUMBER(MATCH(BY$3,Holidays,0)),"عطلة",IF(MOD(BY$3-'الموظفون'!$D$6,CycleWork+CycleRest)&lt;CycleWork,INDEX('الإعدادات والقوائم'!$H$2:$H$4,MOD(INT(MOD(BY$3-'الموظفون'!$D$6,CycleWork+CycleRest)*3/CycleWork)+MATCH(StartShift,'الإعدادات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الإجازات'!$D$5:$D$104&lt;=BY$3)*(('حجز الإجازات'!$E$5:$E$104)&gt;=BY$3)*('حجز الإجازات'!$G$5:$G$104="معتمد")*ROW('حجز الإجازات'!$B$5:$B$104)))-5+1))</f>
        <v/>
      </c>
      <c r="BZ8" s="62">
        <f>IF(SUMPRODUCT(('حجز الإجازات'!$B$5:$B$104='الموظفون'!$B$6)*('حجز الإجازات'!$D$5:$D$104&lt;=BZ$3)*(('حجز الإجازات'!$E$5:$E$104)&gt;=BZ$3)*('حجز الإجازات'!$G$5:$G$104="معتمد")*ROW('حجز الإجازات'!$B$5:$B$104))=0,IF(BZ$3&lt;'الموظفون'!$D$6,"",IF(ISNUMBER(MATCH(BZ$3,Holidays,0)),"عطلة",IF(MOD(BZ$3-'الموظفون'!$D$6,CycleWork+CycleRest)&lt;CycleWork,INDEX('الإعدادات والقوائم'!$H$2:$H$4,MOD(INT(MOD(BZ$3-'الموظفون'!$D$6,CycleWork+CycleRest)*3/CycleWork)+MATCH(StartShift,'الإعدادات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الإجازات'!$D$5:$D$104&lt;=BZ$3)*(('حجز الإجازات'!$E$5:$E$104)&gt;=BZ$3)*('حجز الإجازات'!$G$5:$G$104="معتمد")*ROW('حجز الإجازات'!$B$5:$B$104)))-5+1))</f>
        <v/>
      </c>
      <c r="CA8" s="62">
        <f>IF(SUMPRODUCT(('حجز الإجازات'!$B$5:$B$104='الموظفون'!$B$6)*('حجز الإجازات'!$D$5:$D$104&lt;=CA$3)*(('حجز الإجازات'!$E$5:$E$104)&gt;=CA$3)*('حجز الإجازات'!$G$5:$G$104="معتمد")*ROW('حجز الإجازات'!$B$5:$B$104))=0,IF(CA$3&lt;'الموظفون'!$D$6,"",IF(ISNUMBER(MATCH(CA$3,Holidays,0)),"عطلة",IF(MOD(CA$3-'الموظفون'!$D$6,CycleWork+CycleRest)&lt;CycleWork,INDEX('الإعدادات والقوائم'!$H$2:$H$4,MOD(INT(MOD(CA$3-'الموظفون'!$D$6,CycleWork+CycleRest)*3/CycleWork)+MATCH(StartShift,'الإعدادات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الإجازات'!$D$5:$D$104&lt;=CA$3)*(('حجز الإجازات'!$E$5:$E$104)&gt;=CA$3)*('حجز الإجازات'!$G$5:$G$104="معتمد")*ROW('حجز الإجازات'!$B$5:$B$104)))-5+1))</f>
        <v/>
      </c>
      <c r="CB8" s="62">
        <f>IF(SUMPRODUCT(('حجز الإجازات'!$B$5:$B$104='الموظفون'!$B$6)*('حجز الإجازات'!$D$5:$D$104&lt;=CB$3)*(('حجز الإجازات'!$E$5:$E$104)&gt;=CB$3)*('حجز الإجازات'!$G$5:$G$104="معتمد")*ROW('حجز الإجازات'!$B$5:$B$104))=0,IF(CB$3&lt;'الموظفون'!$D$6,"",IF(ISNUMBER(MATCH(CB$3,Holidays,0)),"عطلة",IF(MOD(CB$3-'الموظفون'!$D$6,CycleWork+CycleRest)&lt;CycleWork,INDEX('الإعدادات والقوائم'!$H$2:$H$4,MOD(INT(MOD(CB$3-'الموظفون'!$D$6,CycleWork+CycleRest)*3/CycleWork)+MATCH(StartShift,'الإعدادات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الإجازات'!$D$5:$D$104&lt;=CB$3)*(('حجز الإجازات'!$E$5:$E$104)&gt;=CB$3)*('حجز الإجازات'!$G$5:$G$104="معتمد")*ROW('حجز الإجازات'!$B$5:$B$104)))-5+1))</f>
        <v/>
      </c>
      <c r="CC8" s="62">
        <f>IF(SUMPRODUCT(('حجز الإجازات'!$B$5:$B$104='الموظفون'!$B$6)*('حجز الإجازات'!$D$5:$D$104&lt;=CC$3)*(('حجز الإجازات'!$E$5:$E$104)&gt;=CC$3)*('حجز الإجازات'!$G$5:$G$104="معتمد")*ROW('حجز الإجازات'!$B$5:$B$104))=0,IF(CC$3&lt;'الموظفون'!$D$6,"",IF(ISNUMBER(MATCH(CC$3,Holidays,0)),"عطلة",IF(MOD(CC$3-'الموظفون'!$D$6,CycleWork+CycleRest)&lt;CycleWork,INDEX('الإعدادات والقوائم'!$H$2:$H$4,MOD(INT(MOD(CC$3-'الموظفون'!$D$6,CycleWork+CycleRest)*3/CycleWork)+MATCH(StartShift,'الإعدادات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الإجازات'!$D$5:$D$104&lt;=CC$3)*(('حجز الإجازات'!$E$5:$E$104)&gt;=CC$3)*('حجز الإجازات'!$G$5:$G$104="معتمد")*ROW('حجز الإجازات'!$B$5:$B$104)))-5+1))</f>
        <v/>
      </c>
      <c r="CD8" s="62">
        <f>IF(SUMPRODUCT(('حجز الإجازات'!$B$5:$B$104='الموظفون'!$B$6)*('حجز الإجازات'!$D$5:$D$104&lt;=CD$3)*(('حجز الإجازات'!$E$5:$E$104)&gt;=CD$3)*('حجز الإجازات'!$G$5:$G$104="معتمد")*ROW('حجز الإجازات'!$B$5:$B$104))=0,IF(CD$3&lt;'الموظفون'!$D$6,"",IF(ISNUMBER(MATCH(CD$3,Holidays,0)),"عطلة",IF(MOD(CD$3-'الموظفون'!$D$6,CycleWork+CycleRest)&lt;CycleWork,INDEX('الإعدادات والقوائم'!$H$2:$H$4,MOD(INT(MOD(CD$3-'الموظفون'!$D$6,CycleWork+CycleRest)*3/CycleWork)+MATCH(StartShift,'الإعدادات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الإجازات'!$D$5:$D$104&lt;=CD$3)*(('حجز الإجازات'!$E$5:$E$104)&gt;=CD$3)*('حجز الإجازات'!$G$5:$G$104="معتمد")*ROW('حجز الإجازات'!$B$5:$B$104)))-5+1))</f>
        <v/>
      </c>
      <c r="CE8" s="62">
        <f>IF(SUMPRODUCT(('حجز الإجازات'!$B$5:$B$104='الموظفون'!$B$6)*('حجز الإجازات'!$D$5:$D$104&lt;=CE$3)*(('حجز الإجازات'!$E$5:$E$104)&gt;=CE$3)*('حجز الإجازات'!$G$5:$G$104="معتمد")*ROW('حجز الإجازات'!$B$5:$B$104))=0,IF(CE$3&lt;'الموظفون'!$D$6,"",IF(ISNUMBER(MATCH(CE$3,Holidays,0)),"عطلة",IF(MOD(CE$3-'الموظفون'!$D$6,CycleWork+CycleRest)&lt;CycleWork,INDEX('الإعدادات والقوائم'!$H$2:$H$4,MOD(INT(MOD(CE$3-'الموظفون'!$D$6,CycleWork+CycleRest)*3/CycleWork)+MATCH(StartShift,'الإعدادات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الإجازات'!$D$5:$D$104&lt;=CE$3)*(('حجز الإجازات'!$E$5:$E$104)&gt;=CE$3)*('حجز الإجازات'!$G$5:$G$104="معتمد")*ROW('حجز الإجازات'!$B$5:$B$104)))-5+1))</f>
        <v/>
      </c>
      <c r="CF8" s="62">
        <f>IF(SUMPRODUCT(('حجز الإجازات'!$B$5:$B$104='الموظفون'!$B$6)*('حجز الإجازات'!$D$5:$D$104&lt;=CF$3)*(('حجز الإجازات'!$E$5:$E$104)&gt;=CF$3)*('حجز الإجازات'!$G$5:$G$104="معتمد")*ROW('حجز الإجازات'!$B$5:$B$104))=0,IF(CF$3&lt;'الموظفون'!$D$6,"",IF(ISNUMBER(MATCH(CF$3,Holidays,0)),"عطلة",IF(MOD(CF$3-'الموظفون'!$D$6,CycleWork+CycleRest)&lt;CycleWork,INDEX('الإعدادات والقوائم'!$H$2:$H$4,MOD(INT(MOD(CF$3-'الموظفون'!$D$6,CycleWork+CycleRest)*3/CycleWork)+MATCH(StartShift,'الإعدادات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الإجازات'!$D$5:$D$104&lt;=CF$3)*(('حجز الإجازات'!$E$5:$E$104)&gt;=CF$3)*('حجز الإجازات'!$G$5:$G$104="معتمد")*ROW('حجز الإجازات'!$B$5:$B$104)))-5+1))</f>
        <v/>
      </c>
      <c r="CG8" s="62">
        <f>IF(SUMPRODUCT(('حجز الإجازات'!$B$5:$B$104='الموظفون'!$B$6)*('حجز الإجازات'!$D$5:$D$104&lt;=CG$3)*(('حجز الإجازات'!$E$5:$E$104)&gt;=CG$3)*('حجز الإجازات'!$G$5:$G$104="معتمد")*ROW('حجز الإجازات'!$B$5:$B$104))=0,IF(CG$3&lt;'الموظفون'!$D$6,"",IF(ISNUMBER(MATCH(CG$3,Holidays,0)),"عطلة",IF(MOD(CG$3-'الموظفون'!$D$6,CycleWork+CycleRest)&lt;CycleWork,INDEX('الإعدادات والقوائم'!$H$2:$H$4,MOD(INT(MOD(CG$3-'الموظفون'!$D$6,CycleWork+CycleRest)*3/CycleWork)+MATCH(StartShift,'الإعدادات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الإجازات'!$D$5:$D$104&lt;=CG$3)*(('حجز الإجازات'!$E$5:$E$104)&gt;=CG$3)*('حجز الإجازات'!$G$5:$G$104="معتمد")*ROW('حجز الإجازات'!$B$5:$B$104)))-5+1))</f>
        <v/>
      </c>
      <c r="CH8" s="62">
        <f>IF(SUMPRODUCT(('حجز الإجازات'!$B$5:$B$104='الموظفون'!$B$6)*('حجز الإجازات'!$D$5:$D$104&lt;=CH$3)*(('حجز الإجازات'!$E$5:$E$104)&gt;=CH$3)*('حجز الإجازات'!$G$5:$G$104="معتمد")*ROW('حجز الإجازات'!$B$5:$B$104))=0,IF(CH$3&lt;'الموظفون'!$D$6,"",IF(ISNUMBER(MATCH(CH$3,Holidays,0)),"عطلة",IF(MOD(CH$3-'الموظفون'!$D$6,CycleWork+CycleRest)&lt;CycleWork,INDEX('الإعدادات والقوائم'!$H$2:$H$4,MOD(INT(MOD(CH$3-'الموظفون'!$D$6,CycleWork+CycleRest)*3/CycleWork)+MATCH(StartShift,'الإعدادات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الإجازات'!$D$5:$D$104&lt;=CH$3)*(('حجز الإجازات'!$E$5:$E$104)&gt;=CH$3)*('حجز الإجازات'!$G$5:$G$104="معتمد")*ROW('حجز الإجازات'!$B$5:$B$104)))-5+1))</f>
        <v/>
      </c>
      <c r="CI8" s="62">
        <f>IF(SUMPRODUCT(('حجز الإجازات'!$B$5:$B$104='الموظفون'!$B$6)*('حجز الإجازات'!$D$5:$D$104&lt;=CI$3)*(('حجز الإجازات'!$E$5:$E$104)&gt;=CI$3)*('حجز الإجازات'!$G$5:$G$104="معتمد")*ROW('حجز الإجازات'!$B$5:$B$104))=0,IF(CI$3&lt;'الموظفون'!$D$6,"",IF(ISNUMBER(MATCH(CI$3,Holidays,0)),"عطلة",IF(MOD(CI$3-'الموظفون'!$D$6,CycleWork+CycleRest)&lt;CycleWork,INDEX('الإعدادات والقوائم'!$H$2:$H$4,MOD(INT(MOD(CI$3-'الموظفون'!$D$6,CycleWork+CycleRest)*3/CycleWork)+MATCH(StartShift,'الإعدادات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الإجازات'!$D$5:$D$104&lt;=CI$3)*(('حجز الإجازات'!$E$5:$E$104)&gt;=CI$3)*('حجز الإجازات'!$G$5:$G$104="معتمد")*ROW('حجز الإجازات'!$B$5:$B$104)))-5+1))</f>
        <v/>
      </c>
      <c r="CJ8" s="62">
        <f>IF(SUMPRODUCT(('حجز الإجازات'!$B$5:$B$104='الموظفون'!$B$6)*('حجز الإجازات'!$D$5:$D$104&lt;=CJ$3)*(('حجز الإجازات'!$E$5:$E$104)&gt;=CJ$3)*('حجز الإجازات'!$G$5:$G$104="معتمد")*ROW('حجز الإجازات'!$B$5:$B$104))=0,IF(CJ$3&lt;'الموظفون'!$D$6,"",IF(ISNUMBER(MATCH(CJ$3,Holidays,0)),"عطلة",IF(MOD(CJ$3-'الموظفون'!$D$6,CycleWork+CycleRest)&lt;CycleWork,INDEX('الإعدادات والقوائم'!$H$2:$H$4,MOD(INT(MOD(CJ$3-'الموظفون'!$D$6,CycleWork+CycleRest)*3/CycleWork)+MATCH(StartShift,'الإعدادات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الإجازات'!$D$5:$D$104&lt;=CJ$3)*(('حجز الإجازات'!$E$5:$E$104)&gt;=CJ$3)*('حجز الإجازات'!$G$5:$G$104="معتمد")*ROW('حجز الإجازات'!$B$5:$B$104)))-5+1))</f>
        <v/>
      </c>
      <c r="CK8" s="62">
        <f>IF(SUMPRODUCT(('حجز الإجازات'!$B$5:$B$104='الموظفون'!$B$6)*('حجز الإجازات'!$D$5:$D$104&lt;=CK$3)*(('حجز الإجازات'!$E$5:$E$104)&gt;=CK$3)*('حجز الإجازات'!$G$5:$G$104="معتمد")*ROW('حجز الإجازات'!$B$5:$B$104))=0,IF(CK$3&lt;'الموظفون'!$D$6,"",IF(ISNUMBER(MATCH(CK$3,Holidays,0)),"عطلة",IF(MOD(CK$3-'الموظفون'!$D$6,CycleWork+CycleRest)&lt;CycleWork,INDEX('الإعدادات والقوائم'!$H$2:$H$4,MOD(INT(MOD(CK$3-'الموظفون'!$D$6,CycleWork+CycleRest)*3/CycleWork)+MATCH(StartShift,'الإعدادات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الإجازات'!$D$5:$D$104&lt;=CK$3)*(('حجز الإجازات'!$E$5:$E$104)&gt;=CK$3)*('حجز الإجازات'!$G$5:$G$104="معتمد")*ROW('حجز الإجازات'!$B$5:$B$104)))-5+1))</f>
        <v/>
      </c>
      <c r="CL8" s="62">
        <f>IF(SUMPRODUCT(('حجز الإجازات'!$B$5:$B$104='الموظفون'!$B$6)*('حجز الإجازات'!$D$5:$D$104&lt;=CL$3)*(('حجز الإجازات'!$E$5:$E$104)&gt;=CL$3)*('حجز الإجازات'!$G$5:$G$104="معتمد")*ROW('حجز الإجازات'!$B$5:$B$104))=0,IF(CL$3&lt;'الموظفون'!$D$6,"",IF(ISNUMBER(MATCH(CL$3,Holidays,0)),"عطلة",IF(MOD(CL$3-'الموظفون'!$D$6,CycleWork+CycleRest)&lt;CycleWork,INDEX('الإعدادات والقوائم'!$H$2:$H$4,MOD(INT(MOD(CL$3-'الموظفون'!$D$6,CycleWork+CycleRest)*3/CycleWork)+MATCH(StartShift,'الإعدادات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الإجازات'!$D$5:$D$104&lt;=CL$3)*(('حجز الإجازات'!$E$5:$E$104)&gt;=CL$3)*('حجز الإجازات'!$G$5:$G$104="معتمد")*ROW('حجز الإجازات'!$B$5:$B$104)))-5+1))</f>
        <v/>
      </c>
      <c r="CM8" s="62">
        <f>IF(SUMPRODUCT(('حجز الإجازات'!$B$5:$B$104='الموظفون'!$B$6)*('حجز الإجازات'!$D$5:$D$104&lt;=CM$3)*(('حجز الإجازات'!$E$5:$E$104)&gt;=CM$3)*('حجز الإجازات'!$G$5:$G$104="معتمد")*ROW('حجز الإجازات'!$B$5:$B$104))=0,IF(CM$3&lt;'الموظفون'!$D$6,"",IF(ISNUMBER(MATCH(CM$3,Holidays,0)),"عطلة",IF(MOD(CM$3-'الموظفون'!$D$6,CycleWork+CycleRest)&lt;CycleWork,INDEX('الإعدادات والقوائم'!$H$2:$H$4,MOD(INT(MOD(CM$3-'الموظفون'!$D$6,CycleWork+CycleRest)*3/CycleWork)+MATCH(StartShift,'الإعدادات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الإجازات'!$D$5:$D$104&lt;=CM$3)*(('حجز الإجازات'!$E$5:$E$104)&gt;=CM$3)*('حجز الإجازات'!$G$5:$G$104="معتمد")*ROW('حجز الإجازات'!$B$5:$B$104)))-5+1))</f>
        <v/>
      </c>
      <c r="CN8" s="62">
        <f>IF(SUMPRODUCT(('حجز الإجازات'!$B$5:$B$104='الموظفون'!$B$6)*('حجز الإجازات'!$D$5:$D$104&lt;=CN$3)*(('حجز الإجازات'!$E$5:$E$104)&gt;=CN$3)*('حجز الإجازات'!$G$5:$G$104="معتمد")*ROW('حجز الإجازات'!$B$5:$B$104))=0,IF(CN$3&lt;'الموظفون'!$D$6,"",IF(ISNUMBER(MATCH(CN$3,Holidays,0)),"عطلة",IF(MOD(CN$3-'الموظفون'!$D$6,CycleWork+CycleRest)&lt;CycleWork,INDEX('الإعدادات والقوائم'!$H$2:$H$4,MOD(INT(MOD(CN$3-'الموظفون'!$D$6,CycleWork+CycleRest)*3/CycleWork)+MATCH(StartShift,'الإعدادات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الإجازات'!$D$5:$D$104&lt;=CN$3)*(('حجز الإجازات'!$E$5:$E$104)&gt;=CN$3)*('حجز الإجازات'!$G$5:$G$104="معتمد")*ROW('حجز الإجازات'!$B$5:$B$104)))-5+1))</f>
        <v/>
      </c>
      <c r="CO8" s="62">
        <f>IF(SUMPRODUCT(('حجز الإجازات'!$B$5:$B$104='الموظفون'!$B$6)*('حجز الإجازات'!$D$5:$D$104&lt;=CO$3)*(('حجز الإجازات'!$E$5:$E$104)&gt;=CO$3)*('حجز الإجازات'!$G$5:$G$104="معتمد")*ROW('حجز الإجازات'!$B$5:$B$104))=0,IF(CO$3&lt;'الموظفون'!$D$6,"",IF(ISNUMBER(MATCH(CO$3,Holidays,0)),"عطلة",IF(MOD(CO$3-'الموظفون'!$D$6,CycleWork+CycleRest)&lt;CycleWork,INDEX('الإعدادات والقوائم'!$H$2:$H$4,MOD(INT(MOD(CO$3-'الموظفون'!$D$6,CycleWork+CycleRest)*3/CycleWork)+MATCH(StartShift,'الإعدادات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الإجازات'!$D$5:$D$104&lt;=CO$3)*(('حجز الإجازات'!$E$5:$E$104)&gt;=CO$3)*('حجز الإجازات'!$G$5:$G$104="معتمد")*ROW('حجز الإجازات'!$B$5:$B$104)))-5+1))</f>
        <v/>
      </c>
      <c r="CP8" s="62">
        <f>IF(SUMPRODUCT(('حجز الإجازات'!$B$5:$B$104='الموظفون'!$B$6)*('حجز الإجازات'!$D$5:$D$104&lt;=CP$3)*(('حجز الإجازات'!$E$5:$E$104)&gt;=CP$3)*('حجز الإجازات'!$G$5:$G$104="معتمد")*ROW('حجز الإجازات'!$B$5:$B$104))=0,IF(CP$3&lt;'الموظفون'!$D$6,"",IF(ISNUMBER(MATCH(CP$3,Holidays,0)),"عطلة",IF(MOD(CP$3-'الموظفون'!$D$6,CycleWork+CycleRest)&lt;CycleWork,INDEX('الإعدادات والقوائم'!$H$2:$H$4,MOD(INT(MOD(CP$3-'الموظفون'!$D$6,CycleWork+CycleRest)*3/CycleWork)+MATCH(StartShift,'الإعدادات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الإجازات'!$D$5:$D$104&lt;=CP$3)*(('حجز الإجازات'!$E$5:$E$104)&gt;=CP$3)*('حجز الإجازات'!$G$5:$G$104="معتمد")*ROW('حجز الإجازات'!$B$5:$B$104)))-5+1))</f>
        <v/>
      </c>
      <c r="CQ8" s="62">
        <f>IF(SUMPRODUCT(('حجز الإجازات'!$B$5:$B$104='الموظفون'!$B$6)*('حجز الإجازات'!$D$5:$D$104&lt;=CQ$3)*(('حجز الإجازات'!$E$5:$E$104)&gt;=CQ$3)*('حجز الإجازات'!$G$5:$G$104="معتمد")*ROW('حجز الإجازات'!$B$5:$B$104))=0,IF(CQ$3&lt;'الموظفون'!$D$6,"",IF(ISNUMBER(MATCH(CQ$3,Holidays,0)),"عطلة",IF(MOD(CQ$3-'الموظفون'!$D$6,CycleWork+CycleRest)&lt;CycleWork,INDEX('الإعدادات والقوائم'!$H$2:$H$4,MOD(INT(MOD(CQ$3-'الموظفون'!$D$6,CycleWork+CycleRest)*3/CycleWork)+MATCH(StartShift,'الإعدادات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الإجازات'!$D$5:$D$104&lt;=CQ$3)*(('حجز الإجازات'!$E$5:$E$104)&gt;=CQ$3)*('حجز الإجازات'!$G$5:$G$104="معتمد")*ROW('حجز الإجازات'!$B$5:$B$104)))-5+1))</f>
        <v/>
      </c>
      <c r="CR8" s="62">
        <f>IF(SUMPRODUCT(('حجز الإجازات'!$B$5:$B$104='الموظفون'!$B$6)*('حجز الإجازات'!$D$5:$D$104&lt;=CR$3)*(('حجز الإجازات'!$E$5:$E$104)&gt;=CR$3)*('حجز الإجازات'!$G$5:$G$104="معتمد")*ROW('حجز الإجازات'!$B$5:$B$104))=0,IF(CR$3&lt;'الموظفون'!$D$6,"",IF(ISNUMBER(MATCH(CR$3,Holidays,0)),"عطلة",IF(MOD(CR$3-'الموظفون'!$D$6,CycleWork+CycleRest)&lt;CycleWork,INDEX('الإعدادات والقوائم'!$H$2:$H$4,MOD(INT(MOD(CR$3-'الموظفون'!$D$6,CycleWork+CycleRest)*3/CycleWork)+MATCH(StartShift,'الإعدادات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الإجازات'!$D$5:$D$104&lt;=CR$3)*(('حجز الإجازات'!$E$5:$E$104)&gt;=CR$3)*('حجز الإجازات'!$G$5:$G$104="معتمد")*ROW('حجز الإجازات'!$B$5:$B$104)))-5+1))</f>
        <v/>
      </c>
      <c r="CS8" s="62">
        <f>IF(SUMPRODUCT(('حجز الإجازات'!$B$5:$B$104='الموظفون'!$B$6)*('حجز الإجازات'!$D$5:$D$104&lt;=CS$3)*(('حجز الإجازات'!$E$5:$E$104)&gt;=CS$3)*('حجز الإجازات'!$G$5:$G$104="معتمد")*ROW('حجز الإجازات'!$B$5:$B$104))=0,IF(CS$3&lt;'الموظفون'!$D$6,"",IF(ISNUMBER(MATCH(CS$3,Holidays,0)),"عطلة",IF(MOD(CS$3-'الموظفون'!$D$6,CycleWork+CycleRest)&lt;CycleWork,INDEX('الإعدادات والقوائم'!$H$2:$H$4,MOD(INT(MOD(CS$3-'الموظفون'!$D$6,CycleWork+CycleRest)*3/CycleWork)+MATCH(StartShift,'الإعدادات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الإجازات'!$D$5:$D$104&lt;=CS$3)*(('حجز الإجازات'!$E$5:$E$104)&gt;=CS$3)*('حجز الإجازات'!$G$5:$G$104="معتمد")*ROW('حجز الإجازات'!$B$5:$B$104)))-5+1))</f>
        <v/>
      </c>
      <c r="CT8" s="62">
        <f>IF(SUMPRODUCT(('حجز الإجازات'!$B$5:$B$104='الموظفون'!$B$6)*('حجز الإجازات'!$D$5:$D$104&lt;=CT$3)*(('حجز الإجازات'!$E$5:$E$104)&gt;=CT$3)*('حجز الإجازات'!$G$5:$G$104="معتمد")*ROW('حجز الإجازات'!$B$5:$B$104))=0,IF(CT$3&lt;'الموظفون'!$D$6,"",IF(ISNUMBER(MATCH(CT$3,Holidays,0)),"عطلة",IF(MOD(CT$3-'الموظفون'!$D$6,CycleWork+CycleRest)&lt;CycleWork,INDEX('الإعدادات والقوائم'!$H$2:$H$4,MOD(INT(MOD(CT$3-'الموظفون'!$D$6,CycleWork+CycleRest)*3/CycleWork)+MATCH(StartShift,'الإعدادات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الإجازات'!$D$5:$D$104&lt;=CT$3)*(('حجز الإجازات'!$E$5:$E$104)&gt;=CT$3)*('حجز الإجازات'!$G$5:$G$104="معتمد")*ROW('حجز الإجازات'!$B$5:$B$104)))-5+1))</f>
        <v/>
      </c>
      <c r="CU8" s="62">
        <f>IF(SUMPRODUCT(('حجز الإجازات'!$B$5:$B$104='الموظفون'!$B$6)*('حجز الإجازات'!$D$5:$D$104&lt;=CU$3)*(('حجز الإجازات'!$E$5:$E$104)&gt;=CU$3)*('حجز الإجازات'!$G$5:$G$104="معتمد")*ROW('حجز الإجازات'!$B$5:$B$104))=0,IF(CU$3&lt;'الموظفون'!$D$6,"",IF(ISNUMBER(MATCH(CU$3,Holidays,0)),"عطلة",IF(MOD(CU$3-'الموظفون'!$D$6,CycleWork+CycleRest)&lt;CycleWork,INDEX('الإعدادات والقوائم'!$H$2:$H$4,MOD(INT(MOD(CU$3-'الموظفون'!$D$6,CycleWork+CycleRest)*3/CycleWork)+MATCH(StartShift,'الإعدادات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الإجازات'!$D$5:$D$104&lt;=CU$3)*(('حجز الإجازات'!$E$5:$E$104)&gt;=CU$3)*('حجز الإجازات'!$G$5:$G$104="معتمد")*ROW('حجز الإجازات'!$B$5:$B$104)))-5+1))</f>
        <v/>
      </c>
      <c r="CV8" s="62">
        <f>IF(SUMPRODUCT(('حجز الإجازات'!$B$5:$B$104='الموظفون'!$B$6)*('حجز الإجازات'!$D$5:$D$104&lt;=CV$3)*(('حجز الإجازات'!$E$5:$E$104)&gt;=CV$3)*('حجز الإجازات'!$G$5:$G$104="معتمد")*ROW('حجز الإجازات'!$B$5:$B$104))=0,IF(CV$3&lt;'الموظفون'!$D$6,"",IF(ISNUMBER(MATCH(CV$3,Holidays,0)),"عطلة",IF(MOD(CV$3-'الموظفون'!$D$6,CycleWork+CycleRest)&lt;CycleWork,INDEX('الإعدادات والقوائم'!$H$2:$H$4,MOD(INT(MOD(CV$3-'الموظفون'!$D$6,CycleWork+CycleRest)*3/CycleWork)+MATCH(StartShift,'الإعدادات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الإجازات'!$D$5:$D$104&lt;=CV$3)*(('حجز الإجازات'!$E$5:$E$104)&gt;=CV$3)*('حجز الإجازات'!$G$5:$G$104="معتمد")*ROW('حجز الإجازات'!$B$5:$B$104)))-5+1))</f>
        <v/>
      </c>
      <c r="CW8" s="62">
        <f>IF(SUMPRODUCT(('حجز الإجازات'!$B$5:$B$104='الموظفون'!$B$6)*('حجز الإجازات'!$D$5:$D$104&lt;=CW$3)*(('حجز الإجازات'!$E$5:$E$104)&gt;=CW$3)*('حجز الإجازات'!$G$5:$G$104="معتمد")*ROW('حجز الإجازات'!$B$5:$B$104))=0,IF(CW$3&lt;'الموظفون'!$D$6,"",IF(ISNUMBER(MATCH(CW$3,Holidays,0)),"عطلة",IF(MOD(CW$3-'الموظفون'!$D$6,CycleWork+CycleRest)&lt;CycleWork,INDEX('الإعدادات والقوائم'!$H$2:$H$4,MOD(INT(MOD(CW$3-'الموظفون'!$D$6,CycleWork+CycleRest)*3/CycleWork)+MATCH(StartShift,'الإعدادات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الإجازات'!$D$5:$D$104&lt;=CW$3)*(('حجز الإجازات'!$E$5:$E$104)&gt;=CW$3)*('حجز الإجازات'!$G$5:$G$104="معتمد")*ROW('حجز الإجازات'!$B$5:$B$104)))-5+1))</f>
        <v/>
      </c>
      <c r="CX8" s="62">
        <f>IF(SUMPRODUCT(('حجز الإجازات'!$B$5:$B$104='الموظفون'!$B$6)*('حجز الإجازات'!$D$5:$D$104&lt;=CX$3)*(('حجز الإجازات'!$E$5:$E$104)&gt;=CX$3)*('حجز الإجازات'!$G$5:$G$104="معتمد")*ROW('حجز الإجازات'!$B$5:$B$104))=0,IF(CX$3&lt;'الموظفون'!$D$6,"",IF(ISNUMBER(MATCH(CX$3,Holidays,0)),"عطلة",IF(MOD(CX$3-'الموظفون'!$D$6,CycleWork+CycleRest)&lt;CycleWork,INDEX('الإعدادات والقوائم'!$H$2:$H$4,MOD(INT(MOD(CX$3-'الموظفون'!$D$6,CycleWork+CycleRest)*3/CycleWork)+MATCH(StartShift,'الإعدادات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الإجازات'!$D$5:$D$104&lt;=CX$3)*(('حجز الإجازات'!$E$5:$E$104)&gt;=CX$3)*('حجز الإجازات'!$G$5:$G$104="معتمد")*ROW('حجز الإجازات'!$B$5:$B$104)))-5+1))</f>
        <v/>
      </c>
      <c r="CY8" s="62">
        <f>IF(SUMPRODUCT(('حجز الإجازات'!$B$5:$B$104='الموظفون'!$B$6)*('حجز الإجازات'!$D$5:$D$104&lt;=CY$3)*(('حجز الإجازات'!$E$5:$E$104)&gt;=CY$3)*('حجز الإجازات'!$G$5:$G$104="معتمد")*ROW('حجز الإجازات'!$B$5:$B$104))=0,IF(CY$3&lt;'الموظفون'!$D$6,"",IF(ISNUMBER(MATCH(CY$3,Holidays,0)),"عطلة",IF(MOD(CY$3-'الموظفون'!$D$6,CycleWork+CycleRest)&lt;CycleWork,INDEX('الإعدادات والقوائم'!$H$2:$H$4,MOD(INT(MOD(CY$3-'الموظفون'!$D$6,CycleWork+CycleRest)*3/CycleWork)+MATCH(StartShift,'الإعدادات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الإجازات'!$D$5:$D$104&lt;=CY$3)*(('حجز الإجازات'!$E$5:$E$104)&gt;=CY$3)*('حجز الإجازات'!$G$5:$G$104="معتمد")*ROW('حجز الإجازات'!$B$5:$B$104)))-5+1))</f>
        <v/>
      </c>
      <c r="CZ8" s="62">
        <f>IF(SUMPRODUCT(('حجز الإجازات'!$B$5:$B$104='الموظفون'!$B$6)*('حجز الإجازات'!$D$5:$D$104&lt;=CZ$3)*(('حجز الإجازات'!$E$5:$E$104)&gt;=CZ$3)*('حجز الإجازات'!$G$5:$G$104="معتمد")*ROW('حجز الإجازات'!$B$5:$B$104))=0,IF(CZ$3&lt;'الموظفون'!$D$6,"",IF(ISNUMBER(MATCH(CZ$3,Holidays,0)),"عطلة",IF(MOD(CZ$3-'الموظفون'!$D$6,CycleWork+CycleRest)&lt;CycleWork,INDEX('الإعدادات والقوائم'!$H$2:$H$4,MOD(INT(MOD(CZ$3-'الموظفون'!$D$6,CycleWork+CycleRest)*3/CycleWork)+MATCH(StartShift,'الإعدادات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الإجازات'!$D$5:$D$104&lt;=CZ$3)*(('حجز الإجازات'!$E$5:$E$104)&gt;=CZ$3)*('حجز الإجازات'!$G$5:$G$104="معتمد")*ROW('حجز الإجازات'!$B$5:$B$104)))-5+1))</f>
        <v/>
      </c>
      <c r="DA8" s="62">
        <f>IF(SUMPRODUCT(('حجز الإجازات'!$B$5:$B$104='الموظفون'!$B$6)*('حجز الإجازات'!$D$5:$D$104&lt;=DA$3)*(('حجز الإجازات'!$E$5:$E$104)&gt;=DA$3)*('حجز الإجازات'!$G$5:$G$104="معتمد")*ROW('حجز الإجازات'!$B$5:$B$104))=0,IF(DA$3&lt;'الموظفون'!$D$6,"",IF(ISNUMBER(MATCH(DA$3,Holidays,0)),"عطلة",IF(MOD(DA$3-'الموظفون'!$D$6,CycleWork+CycleRest)&lt;CycleWork,INDEX('الإعدادات والقوائم'!$H$2:$H$4,MOD(INT(MOD(DA$3-'الموظفون'!$D$6,CycleWork+CycleRest)*3/CycleWork)+MATCH(StartShift,'الإعدادات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الإجازات'!$D$5:$D$104&lt;=DA$3)*(('حجز الإجازات'!$E$5:$E$104)&gt;=DA$3)*('حجز الإجازات'!$G$5:$G$104="معتمد")*ROW('حجز الإجازات'!$B$5:$B$104)))-5+1))</f>
        <v/>
      </c>
      <c r="DB8" s="62">
        <f>IF(SUMPRODUCT(('حجز الإجازات'!$B$5:$B$104='الموظفون'!$B$6)*('حجز الإجازات'!$D$5:$D$104&lt;=DB$3)*(('حجز الإجازات'!$E$5:$E$104)&gt;=DB$3)*('حجز الإجازات'!$G$5:$G$104="معتمد")*ROW('حجز الإجازات'!$B$5:$B$104))=0,IF(DB$3&lt;'الموظفون'!$D$6,"",IF(ISNUMBER(MATCH(DB$3,Holidays,0)),"عطلة",IF(MOD(DB$3-'الموظفون'!$D$6,CycleWork+CycleRest)&lt;CycleWork,INDEX('الإعدادات والقوائم'!$H$2:$H$4,MOD(INT(MOD(DB$3-'الموظفون'!$D$6,CycleWork+CycleRest)*3/CycleWork)+MATCH(StartShift,'الإعدادات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الإجازات'!$D$5:$D$104&lt;=DB$3)*(('حجز الإجازات'!$E$5:$E$104)&gt;=DB$3)*('حجز الإجازات'!$G$5:$G$104="معتمد")*ROW('حجز الإجازات'!$B$5:$B$104)))-5+1))</f>
        <v/>
      </c>
      <c r="DC8" s="62">
        <f>IF(SUMPRODUCT(('حجز الإجازات'!$B$5:$B$104='الموظفون'!$B$6)*('حجز الإجازات'!$D$5:$D$104&lt;=DC$3)*(('حجز الإجازات'!$E$5:$E$104)&gt;=DC$3)*('حجز الإجازات'!$G$5:$G$104="معتمد")*ROW('حجز الإجازات'!$B$5:$B$104))=0,IF(DC$3&lt;'الموظفون'!$D$6,"",IF(ISNUMBER(MATCH(DC$3,Holidays,0)),"عطلة",IF(MOD(DC$3-'الموظفون'!$D$6,CycleWork+CycleRest)&lt;CycleWork,INDEX('الإعدادات والقوائم'!$H$2:$H$4,MOD(INT(MOD(DC$3-'الموظفون'!$D$6,CycleWork+CycleRest)*3/CycleWork)+MATCH(StartShift,'الإعدادات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الإجازات'!$D$5:$D$104&lt;=DC$3)*(('حجز الإجازات'!$E$5:$E$104)&gt;=DC$3)*('حجز الإجازات'!$G$5:$G$104="معتمد")*ROW('حجز الإجازات'!$B$5:$B$104)))-5+1))</f>
        <v/>
      </c>
      <c r="DD8" s="62">
        <f>IF(SUMPRODUCT(('حجز الإجازات'!$B$5:$B$104='الموظفون'!$B$6)*('حجز الإجازات'!$D$5:$D$104&lt;=DD$3)*(('حجز الإجازات'!$E$5:$E$104)&gt;=DD$3)*('حجز الإجازات'!$G$5:$G$104="معتمد")*ROW('حجز الإجازات'!$B$5:$B$104))=0,IF(DD$3&lt;'الموظفون'!$D$6,"",IF(ISNUMBER(MATCH(DD$3,Holidays,0)),"عطلة",IF(MOD(DD$3-'الموظفون'!$D$6,CycleWork+CycleRest)&lt;CycleWork,INDEX('الإعدادات والقوائم'!$H$2:$H$4,MOD(INT(MOD(DD$3-'الموظفون'!$D$6,CycleWork+CycleRest)*3/CycleWork)+MATCH(StartShift,'الإعدادات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الإجازات'!$D$5:$D$104&lt;=DD$3)*(('حجز الإجازات'!$E$5:$E$104)&gt;=DD$3)*('حجز الإجازات'!$G$5:$G$104="معتمد")*ROW('حجز الإجازات'!$B$5:$B$104)))-5+1))</f>
        <v/>
      </c>
      <c r="DE8" s="62">
        <f>IF(SUMPRODUCT(('حجز الإجازات'!$B$5:$B$104='الموظفون'!$B$6)*('حجز الإجازات'!$D$5:$D$104&lt;=DE$3)*(('حجز الإجازات'!$E$5:$E$104)&gt;=DE$3)*('حجز الإجازات'!$G$5:$G$104="معتمد")*ROW('حجز الإجازات'!$B$5:$B$104))=0,IF(DE$3&lt;'الموظفون'!$D$6,"",IF(ISNUMBER(MATCH(DE$3,Holidays,0)),"عطلة",IF(MOD(DE$3-'الموظفون'!$D$6,CycleWork+CycleRest)&lt;CycleWork,INDEX('الإعدادات والقوائم'!$H$2:$H$4,MOD(INT(MOD(DE$3-'الموظفون'!$D$6,CycleWork+CycleRest)*3/CycleWork)+MATCH(StartShift,'الإعدادات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الإجازات'!$D$5:$D$104&lt;=DE$3)*(('حجز الإجازات'!$E$5:$E$104)&gt;=DE$3)*('حجز الإجازات'!$G$5:$G$104="معتمد")*ROW('حجز الإجازات'!$B$5:$B$104)))-5+1))</f>
        <v/>
      </c>
      <c r="DF8" s="62">
        <f>IF(SUMPRODUCT(('حجز الإجازات'!$B$5:$B$104='الموظفون'!$B$6)*('حجز الإجازات'!$D$5:$D$104&lt;=DF$3)*(('حجز الإجازات'!$E$5:$E$104)&gt;=DF$3)*('حجز الإجازات'!$G$5:$G$104="معتمد")*ROW('حجز الإجازات'!$B$5:$B$104))=0,IF(DF$3&lt;'الموظفون'!$D$6,"",IF(ISNUMBER(MATCH(DF$3,Holidays,0)),"عطلة",IF(MOD(DF$3-'الموظفون'!$D$6,CycleWork+CycleRest)&lt;CycleWork,INDEX('الإعدادات والقوائم'!$H$2:$H$4,MOD(INT(MOD(DF$3-'الموظفون'!$D$6,CycleWork+CycleRest)*3/CycleWork)+MATCH(StartShift,'الإعدادات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الإجازات'!$D$5:$D$104&lt;=DF$3)*(('حجز الإجازات'!$E$5:$E$104)&gt;=DF$3)*('حجز الإجازات'!$G$5:$G$104="معتمد")*ROW('حجز الإجازات'!$B$5:$B$104)))-5+1))</f>
        <v/>
      </c>
      <c r="DG8" s="62">
        <f>IF(SUMPRODUCT(('حجز الإجازات'!$B$5:$B$104='الموظفون'!$B$6)*('حجز الإجازات'!$D$5:$D$104&lt;=DG$3)*(('حجز الإجازات'!$E$5:$E$104)&gt;=DG$3)*('حجز الإجازات'!$G$5:$G$104="معتمد")*ROW('حجز الإجازات'!$B$5:$B$104))=0,IF(DG$3&lt;'الموظفون'!$D$6,"",IF(ISNUMBER(MATCH(DG$3,Holidays,0)),"عطلة",IF(MOD(DG$3-'الموظفون'!$D$6,CycleWork+CycleRest)&lt;CycleWork,INDEX('الإعدادات والقوائم'!$H$2:$H$4,MOD(INT(MOD(DG$3-'الموظفون'!$D$6,CycleWork+CycleRest)*3/CycleWork)+MATCH(StartShift,'الإعدادات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الإجازات'!$D$5:$D$104&lt;=DG$3)*(('حجز الإجازات'!$E$5:$E$104)&gt;=DG$3)*('حجز الإجازات'!$G$5:$G$104="معتمد")*ROW('حجز الإجازات'!$B$5:$B$104)))-5+1))</f>
        <v/>
      </c>
      <c r="DH8" s="62">
        <f>IF(SUMPRODUCT(('حجز الإجازات'!$B$5:$B$104='الموظفون'!$B$6)*('حجز الإجازات'!$D$5:$D$104&lt;=DH$3)*(('حجز الإجازات'!$E$5:$E$104)&gt;=DH$3)*('حجز الإجازات'!$G$5:$G$104="معتمد")*ROW('حجز الإجازات'!$B$5:$B$104))=0,IF(DH$3&lt;'الموظفون'!$D$6,"",IF(ISNUMBER(MATCH(DH$3,Holidays,0)),"عطلة",IF(MOD(DH$3-'الموظفون'!$D$6,CycleWork+CycleRest)&lt;CycleWork,INDEX('الإعدادات والقوائم'!$H$2:$H$4,MOD(INT(MOD(DH$3-'الموظفون'!$D$6,CycleWork+CycleRest)*3/CycleWork)+MATCH(StartShift,'الإعدادات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الإجازات'!$D$5:$D$104&lt;=DH$3)*(('حجز الإجازات'!$E$5:$E$104)&gt;=DH$3)*('حجز الإجازات'!$G$5:$G$104="معتمد")*ROW('حجز الإجازات'!$B$5:$B$104)))-5+1))</f>
        <v/>
      </c>
      <c r="DI8" s="62">
        <f>IF(SUMPRODUCT(('حجز الإجازات'!$B$5:$B$104='الموظفون'!$B$6)*('حجز الإجازات'!$D$5:$D$104&lt;=DI$3)*(('حجز الإجازات'!$E$5:$E$104)&gt;=DI$3)*('حجز الإجازات'!$G$5:$G$104="معتمد")*ROW('حجز الإجازات'!$B$5:$B$104))=0,IF(DI$3&lt;'الموظفون'!$D$6,"",IF(ISNUMBER(MATCH(DI$3,Holidays,0)),"عطلة",IF(MOD(DI$3-'الموظفون'!$D$6,CycleWork+CycleRest)&lt;CycleWork,INDEX('الإعدادات والقوائم'!$H$2:$H$4,MOD(INT(MOD(DI$3-'الموظفون'!$D$6,CycleWork+CycleRest)*3/CycleWork)+MATCH(StartShift,'الإعدادات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الإجازات'!$D$5:$D$104&lt;=DI$3)*(('حجز الإجازات'!$E$5:$E$104)&gt;=DI$3)*('حجز الإجازات'!$G$5:$G$104="معتمد")*ROW('حجز الإجازات'!$B$5:$B$104)))-5+1))</f>
        <v/>
      </c>
      <c r="DJ8" s="62">
        <f>IF(SUMPRODUCT(('حجز الإجازات'!$B$5:$B$104='الموظفون'!$B$6)*('حجز الإجازات'!$D$5:$D$104&lt;=DJ$3)*(('حجز الإجازات'!$E$5:$E$104)&gt;=DJ$3)*('حجز الإجازات'!$G$5:$G$104="معتمد")*ROW('حجز الإجازات'!$B$5:$B$104))=0,IF(DJ$3&lt;'الموظفون'!$D$6,"",IF(ISNUMBER(MATCH(DJ$3,Holidays,0)),"عطلة",IF(MOD(DJ$3-'الموظفون'!$D$6,CycleWork+CycleRest)&lt;CycleWork,INDEX('الإعدادات والقوائم'!$H$2:$H$4,MOD(INT(MOD(DJ$3-'الموظفون'!$D$6,CycleWork+CycleRest)*3/CycleWork)+MATCH(StartShift,'الإعدادات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الإجازات'!$D$5:$D$104&lt;=DJ$3)*(('حجز الإجازات'!$E$5:$E$104)&gt;=DJ$3)*('حجز الإجازات'!$G$5:$G$104="معتمد")*ROW('حجز الإجازات'!$B$5:$B$104)))-5+1))</f>
        <v/>
      </c>
      <c r="DK8" s="62">
        <f>IF(SUMPRODUCT(('حجز الإجازات'!$B$5:$B$104='الموظفون'!$B$6)*('حجز الإجازات'!$D$5:$D$104&lt;=DK$3)*(('حجز الإجازات'!$E$5:$E$104)&gt;=DK$3)*('حجز الإجازات'!$G$5:$G$104="معتمد")*ROW('حجز الإجازات'!$B$5:$B$104))=0,IF(DK$3&lt;'الموظفون'!$D$6,"",IF(ISNUMBER(MATCH(DK$3,Holidays,0)),"عطلة",IF(MOD(DK$3-'الموظفون'!$D$6,CycleWork+CycleRest)&lt;CycleWork,INDEX('الإعدادات والقوائم'!$H$2:$H$4,MOD(INT(MOD(DK$3-'الموظفون'!$D$6,CycleWork+CycleRest)*3/CycleWork)+MATCH(StartShift,'الإعدادات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الإجازات'!$D$5:$D$104&lt;=DK$3)*(('حجز الإجازات'!$E$5:$E$104)&gt;=DK$3)*('حجز الإجازات'!$G$5:$G$104="معتمد")*ROW('حجز الإجازات'!$B$5:$B$104)))-5+1))</f>
        <v/>
      </c>
      <c r="DL8" s="62">
        <f>IF(SUMPRODUCT(('حجز الإجازات'!$B$5:$B$104='الموظفون'!$B$6)*('حجز الإجازات'!$D$5:$D$104&lt;=DL$3)*(('حجز الإجازات'!$E$5:$E$104)&gt;=DL$3)*('حجز الإجازات'!$G$5:$G$104="معتمد")*ROW('حجز الإجازات'!$B$5:$B$104))=0,IF(DL$3&lt;'الموظفون'!$D$6,"",IF(ISNUMBER(MATCH(DL$3,Holidays,0)),"عطلة",IF(MOD(DL$3-'الموظفون'!$D$6,CycleWork+CycleRest)&lt;CycleWork,INDEX('الإعدادات والقوائم'!$H$2:$H$4,MOD(INT(MOD(DL$3-'الموظفون'!$D$6,CycleWork+CycleRest)*3/CycleWork)+MATCH(StartShift,'الإعدادات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الإجازات'!$D$5:$D$104&lt;=DL$3)*(('حجز الإجازات'!$E$5:$E$104)&gt;=DL$3)*('حجز الإجازات'!$G$5:$G$104="معتمد")*ROW('حجز الإجازات'!$B$5:$B$104)))-5+1))</f>
        <v/>
      </c>
      <c r="DM8" s="62">
        <f>IF(SUMPRODUCT(('حجز الإجازات'!$B$5:$B$104='الموظفون'!$B$6)*('حجز الإجازات'!$D$5:$D$104&lt;=DM$3)*(('حجز الإجازات'!$E$5:$E$104)&gt;=DM$3)*('حجز الإجازات'!$G$5:$G$104="معتمد")*ROW('حجز الإجازات'!$B$5:$B$104))=0,IF(DM$3&lt;'الموظفون'!$D$6,"",IF(ISNUMBER(MATCH(DM$3,Holidays,0)),"عطلة",IF(MOD(DM$3-'الموظفون'!$D$6,CycleWork+CycleRest)&lt;CycleWork,INDEX('الإعدادات والقوائم'!$H$2:$H$4,MOD(INT(MOD(DM$3-'الموظفون'!$D$6,CycleWork+CycleRest)*3/CycleWork)+MATCH(StartShift,'الإعدادات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الإجازات'!$D$5:$D$104&lt;=DM$3)*(('حجز الإجازات'!$E$5:$E$104)&gt;=DM$3)*('حجز الإجازات'!$G$5:$G$104="معتمد")*ROW('حجز الإجازات'!$B$5:$B$104)))-5+1))</f>
        <v/>
      </c>
      <c r="DN8" s="62">
        <f>IF(SUMPRODUCT(('حجز الإجازات'!$B$5:$B$104='الموظفون'!$B$6)*('حجز الإجازات'!$D$5:$D$104&lt;=DN$3)*(('حجز الإجازات'!$E$5:$E$104)&gt;=DN$3)*('حجز الإجازات'!$G$5:$G$104="معتمد")*ROW('حجز الإجازات'!$B$5:$B$104))=0,IF(DN$3&lt;'الموظفون'!$D$6,"",IF(ISNUMBER(MATCH(DN$3,Holidays,0)),"عطلة",IF(MOD(DN$3-'الموظفون'!$D$6,CycleWork+CycleRest)&lt;CycleWork,INDEX('الإعدادات والقوائم'!$H$2:$H$4,MOD(INT(MOD(DN$3-'الموظفون'!$D$6,CycleWork+CycleRest)*3/CycleWork)+MATCH(StartShift,'الإعدادات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الإجازات'!$D$5:$D$104&lt;=DN$3)*(('حجز الإجازات'!$E$5:$E$104)&gt;=DN$3)*('حجز الإجازات'!$G$5:$G$104="معتمد")*ROW('حجز الإجازات'!$B$5:$B$104)))-5+1))</f>
        <v/>
      </c>
      <c r="DO8" s="62">
        <f>IF(SUMPRODUCT(('حجز الإجازات'!$B$5:$B$104='الموظفون'!$B$6)*('حجز الإجازات'!$D$5:$D$104&lt;=DO$3)*(('حجز الإجازات'!$E$5:$E$104)&gt;=DO$3)*('حجز الإجازات'!$G$5:$G$104="معتمد")*ROW('حجز الإجازات'!$B$5:$B$104))=0,IF(DO$3&lt;'الموظفون'!$D$6,"",IF(ISNUMBER(MATCH(DO$3,Holidays,0)),"عطلة",IF(MOD(DO$3-'الموظفون'!$D$6,CycleWork+CycleRest)&lt;CycleWork,INDEX('الإعدادات والقوائم'!$H$2:$H$4,MOD(INT(MOD(DO$3-'الموظفون'!$D$6,CycleWork+CycleRest)*3/CycleWork)+MATCH(StartShift,'الإعدادات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الإجازات'!$D$5:$D$104&lt;=DO$3)*(('حجز الإجازات'!$E$5:$E$104)&gt;=DO$3)*('حجز الإجازات'!$G$5:$G$104="معتمد")*ROW('حجز الإجازات'!$B$5:$B$104)))-5+1))</f>
        <v/>
      </c>
      <c r="DP8" s="62">
        <f>IF(SUMPRODUCT(('حجز الإجازات'!$B$5:$B$104='الموظفون'!$B$6)*('حجز الإجازات'!$D$5:$D$104&lt;=DP$3)*(('حجز الإجازات'!$E$5:$E$104)&gt;=DP$3)*('حجز الإجازات'!$G$5:$G$104="معتمد")*ROW('حجز الإجازات'!$B$5:$B$104))=0,IF(DP$3&lt;'الموظفون'!$D$6,"",IF(ISNUMBER(MATCH(DP$3,Holidays,0)),"عطلة",IF(MOD(DP$3-'الموظفون'!$D$6,CycleWork+CycleRest)&lt;CycleWork,INDEX('الإعدادات والقوائم'!$H$2:$H$4,MOD(INT(MOD(DP$3-'الموظفون'!$D$6,CycleWork+CycleRest)*3/CycleWork)+MATCH(StartShift,'الإعدادات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الإجازات'!$D$5:$D$104&lt;=DP$3)*(('حجز الإجازات'!$E$5:$E$104)&gt;=DP$3)*('حجز الإجازات'!$G$5:$G$104="معتمد")*ROW('حجز الإجازات'!$B$5:$B$104)))-5+1))</f>
        <v/>
      </c>
      <c r="DQ8" s="62">
        <f>IF(SUMPRODUCT(('حجز الإجازات'!$B$5:$B$104='الموظفون'!$B$6)*('حجز الإجازات'!$D$5:$D$104&lt;=DQ$3)*(('حجز الإجازات'!$E$5:$E$104)&gt;=DQ$3)*('حجز الإجازات'!$G$5:$G$104="معتمد")*ROW('حجز الإجازات'!$B$5:$B$104))=0,IF(DQ$3&lt;'الموظفون'!$D$6,"",IF(ISNUMBER(MATCH(DQ$3,Holidays,0)),"عطلة",IF(MOD(DQ$3-'الموظفون'!$D$6,CycleWork+CycleRest)&lt;CycleWork,INDEX('الإعدادات والقوائم'!$H$2:$H$4,MOD(INT(MOD(DQ$3-'الموظفون'!$D$6,CycleWork+CycleRest)*3/CycleWork)+MATCH(StartShift,'الإعدادات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الإجازات'!$D$5:$D$104&lt;=DQ$3)*(('حجز الإجازات'!$E$5:$E$104)&gt;=DQ$3)*('حجز الإجازات'!$G$5:$G$104="معتمد")*ROW('حجز الإجازات'!$B$5:$B$104)))-5+1))</f>
        <v/>
      </c>
      <c r="DR8" s="62">
        <f>IF(SUMPRODUCT(('حجز الإجازات'!$B$5:$B$104='الموظفون'!$B$6)*('حجز الإجازات'!$D$5:$D$104&lt;=DR$3)*(('حجز الإجازات'!$E$5:$E$104)&gt;=DR$3)*('حجز الإجازات'!$G$5:$G$104="معتمد")*ROW('حجز الإجازات'!$B$5:$B$104))=0,IF(DR$3&lt;'الموظفون'!$D$6,"",IF(ISNUMBER(MATCH(DR$3,Holidays,0)),"عطلة",IF(MOD(DR$3-'الموظفون'!$D$6,CycleWork+CycleRest)&lt;CycleWork,INDEX('الإعدادات والقوائم'!$H$2:$H$4,MOD(INT(MOD(DR$3-'الموظفون'!$D$6,CycleWork+CycleRest)*3/CycleWork)+MATCH(StartShift,'الإعدادات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الإجازات'!$D$5:$D$104&lt;=DR$3)*(('حجز الإجازات'!$E$5:$E$104)&gt;=DR$3)*('حجز الإجازات'!$G$5:$G$104="معتمد")*ROW('حجز الإجازات'!$B$5:$B$104)))-5+1))</f>
        <v/>
      </c>
      <c r="DS8" s="62">
        <f>IF(SUMPRODUCT(('حجز الإجازات'!$B$5:$B$104='الموظفون'!$B$6)*('حجز الإجازات'!$D$5:$D$104&lt;=DS$3)*(('حجز الإجازات'!$E$5:$E$104)&gt;=DS$3)*('حجز الإجازات'!$G$5:$G$104="معتمد")*ROW('حجز الإجازات'!$B$5:$B$104))=0,IF(DS$3&lt;'الموظفون'!$D$6,"",IF(ISNUMBER(MATCH(DS$3,Holidays,0)),"عطلة",IF(MOD(DS$3-'الموظفون'!$D$6,CycleWork+CycleRest)&lt;CycleWork,INDEX('الإعدادات والقوائم'!$H$2:$H$4,MOD(INT(MOD(DS$3-'الموظفون'!$D$6,CycleWork+CycleRest)*3/CycleWork)+MATCH(StartShift,'الإعدادات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الإجازات'!$D$5:$D$104&lt;=DS$3)*(('حجز الإجازات'!$E$5:$E$104)&gt;=DS$3)*('حجز الإجازات'!$G$5:$G$104="معتمد")*ROW('حجز الإجازات'!$B$5:$B$104)))-5+1))</f>
        <v/>
      </c>
      <c r="DT8" s="62">
        <f>IF(SUMPRODUCT(('حجز الإجازات'!$B$5:$B$104='الموظفون'!$B$6)*('حجز الإجازات'!$D$5:$D$104&lt;=DT$3)*(('حجز الإجازات'!$E$5:$E$104)&gt;=DT$3)*('حجز الإجازات'!$G$5:$G$104="معتمد")*ROW('حجز الإجازات'!$B$5:$B$104))=0,IF(DT$3&lt;'الموظفون'!$D$6,"",IF(ISNUMBER(MATCH(DT$3,Holidays,0)),"عطلة",IF(MOD(DT$3-'الموظفون'!$D$6,CycleWork+CycleRest)&lt;CycleWork,INDEX('الإعدادات والقوائم'!$H$2:$H$4,MOD(INT(MOD(DT$3-'الموظفون'!$D$6,CycleWork+CycleRest)*3/CycleWork)+MATCH(StartShift,'الإعدادات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الإجازات'!$D$5:$D$104&lt;=DT$3)*(('حجز الإجازات'!$E$5:$E$104)&gt;=DT$3)*('حجز الإجازات'!$G$5:$G$104="معتمد")*ROW('حجز الإجازات'!$B$5:$B$104)))-5+1))</f>
        <v/>
      </c>
      <c r="DU8" s="62">
        <f>IF(SUMPRODUCT(('حجز الإجازات'!$B$5:$B$104='الموظفون'!$B$6)*('حجز الإجازات'!$D$5:$D$104&lt;=DU$3)*(('حجز الإجازات'!$E$5:$E$104)&gt;=DU$3)*('حجز الإجازات'!$G$5:$G$104="معتمد")*ROW('حجز الإجازات'!$B$5:$B$104))=0,IF(DU$3&lt;'الموظفون'!$D$6,"",IF(ISNUMBER(MATCH(DU$3,Holidays,0)),"عطلة",IF(MOD(DU$3-'الموظفون'!$D$6,CycleWork+CycleRest)&lt;CycleWork,INDEX('الإعدادات والقوائم'!$H$2:$H$4,MOD(INT(MOD(DU$3-'الموظفون'!$D$6,CycleWork+CycleRest)*3/CycleWork)+MATCH(StartShift,'الإعدادات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الإجازات'!$D$5:$D$104&lt;=DU$3)*(('حجز الإجازات'!$E$5:$E$104)&gt;=DU$3)*('حجز الإجازات'!$G$5:$G$104="معتمد")*ROW('حجز الإجازات'!$B$5:$B$104)))-5+1))</f>
        <v/>
      </c>
      <c r="DV8" s="62">
        <f>IF(SUMPRODUCT(('حجز الإجازات'!$B$5:$B$104='الموظفون'!$B$6)*('حجز الإجازات'!$D$5:$D$104&lt;=DV$3)*(('حجز الإجازات'!$E$5:$E$104)&gt;=DV$3)*('حجز الإجازات'!$G$5:$G$104="معتمد")*ROW('حجز الإجازات'!$B$5:$B$104))=0,IF(DV$3&lt;'الموظفون'!$D$6,"",IF(ISNUMBER(MATCH(DV$3,Holidays,0)),"عطلة",IF(MOD(DV$3-'الموظفون'!$D$6,CycleWork+CycleRest)&lt;CycleWork,INDEX('الإعدادات والقوائم'!$H$2:$H$4,MOD(INT(MOD(DV$3-'الموظفون'!$D$6,CycleWork+CycleRest)*3/CycleWork)+MATCH(StartShift,'الإعدادات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الإجازات'!$D$5:$D$104&lt;=DV$3)*(('حجز الإجازات'!$E$5:$E$104)&gt;=DV$3)*('حجز الإجازات'!$G$5:$G$104="معتمد")*ROW('حجز الإجازات'!$B$5:$B$104)))-5+1))</f>
        <v/>
      </c>
      <c r="DW8" s="62">
        <f>IF(SUMPRODUCT(('حجز الإجازات'!$B$5:$B$104='الموظفون'!$B$6)*('حجز الإجازات'!$D$5:$D$104&lt;=DW$3)*(('حجز الإجازات'!$E$5:$E$104)&gt;=DW$3)*('حجز الإجازات'!$G$5:$G$104="معتمد")*ROW('حجز الإجازات'!$B$5:$B$104))=0,IF(DW$3&lt;'الموظفون'!$D$6,"",IF(ISNUMBER(MATCH(DW$3,Holidays,0)),"عطلة",IF(MOD(DW$3-'الموظفون'!$D$6,CycleWork+CycleRest)&lt;CycleWork,INDEX('الإعدادات والقوائم'!$H$2:$H$4,MOD(INT(MOD(DW$3-'الموظفون'!$D$6,CycleWork+CycleRest)*3/CycleWork)+MATCH(StartShift,'الإعدادات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الإجازات'!$D$5:$D$104&lt;=DW$3)*(('حجز الإجازات'!$E$5:$E$104)&gt;=DW$3)*('حجز الإجازات'!$G$5:$G$104="معتمد")*ROW('حجز الإجازات'!$B$5:$B$104)))-5+1))</f>
        <v/>
      </c>
      <c r="DX8" s="62">
        <f>IF(SUMPRODUCT(('حجز الإجازات'!$B$5:$B$104='الموظفون'!$B$6)*('حجز الإجازات'!$D$5:$D$104&lt;=DX$3)*(('حجز الإجازات'!$E$5:$E$104)&gt;=DX$3)*('حجز الإجازات'!$G$5:$G$104="معتمد")*ROW('حجز الإجازات'!$B$5:$B$104))=0,IF(DX$3&lt;'الموظفون'!$D$6,"",IF(ISNUMBER(MATCH(DX$3,Holidays,0)),"عطلة",IF(MOD(DX$3-'الموظفون'!$D$6,CycleWork+CycleRest)&lt;CycleWork,INDEX('الإعدادات والقوائم'!$H$2:$H$4,MOD(INT(MOD(DX$3-'الموظفون'!$D$6,CycleWork+CycleRest)*3/CycleWork)+MATCH(StartShift,'الإعدادات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الإجازات'!$D$5:$D$104&lt;=DX$3)*(('حجز الإجازات'!$E$5:$E$104)&gt;=DX$3)*('حجز الإجازات'!$G$5:$G$104="معتمد")*ROW('حجز الإجازات'!$B$5:$B$104)))-5+1))</f>
        <v/>
      </c>
      <c r="DY8" s="62">
        <f>IF(SUMPRODUCT(('حجز الإجازات'!$B$5:$B$104='الموظفون'!$B$6)*('حجز الإجازات'!$D$5:$D$104&lt;=DY$3)*(('حجز الإجازات'!$E$5:$E$104)&gt;=DY$3)*('حجز الإجازات'!$G$5:$G$104="معتمد")*ROW('حجز الإجازات'!$B$5:$B$104))=0,IF(DY$3&lt;'الموظفون'!$D$6,"",IF(ISNUMBER(MATCH(DY$3,Holidays,0)),"عطلة",IF(MOD(DY$3-'الموظفون'!$D$6,CycleWork+CycleRest)&lt;CycleWork,INDEX('الإعدادات والقوائم'!$H$2:$H$4,MOD(INT(MOD(DY$3-'الموظفون'!$D$6,CycleWork+CycleRest)*3/CycleWork)+MATCH(StartShift,'الإعدادات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الإجازات'!$D$5:$D$104&lt;=DY$3)*(('حجز الإجازات'!$E$5:$E$104)&gt;=DY$3)*('حجز الإجازات'!$G$5:$G$104="معتمد")*ROW('حجز الإجازات'!$B$5:$B$104)))-5+1))</f>
        <v/>
      </c>
      <c r="DZ8" s="62">
        <f>IF(SUMPRODUCT(('حجز الإجازات'!$B$5:$B$104='الموظفون'!$B$6)*('حجز الإجازات'!$D$5:$D$104&lt;=DZ$3)*(('حجز الإجازات'!$E$5:$E$104)&gt;=DZ$3)*('حجز الإجازات'!$G$5:$G$104="معتمد")*ROW('حجز الإجازات'!$B$5:$B$104))=0,IF(DZ$3&lt;'الموظفون'!$D$6,"",IF(ISNUMBER(MATCH(DZ$3,Holidays,0)),"عطلة",IF(MOD(DZ$3-'الموظفون'!$D$6,CycleWork+CycleRest)&lt;CycleWork,INDEX('الإعدادات والقوائم'!$H$2:$H$4,MOD(INT(MOD(DZ$3-'الموظفون'!$D$6,CycleWork+CycleRest)*3/CycleWork)+MATCH(StartShift,'الإعدادات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الإجازات'!$D$5:$D$104&lt;=DZ$3)*(('حجز الإجازات'!$E$5:$E$104)&gt;=DZ$3)*('حجز الإجازات'!$G$5:$G$104="معتمد")*ROW('حجز الإجازات'!$B$5:$B$104)))-5+1))</f>
        <v/>
      </c>
      <c r="EA8" s="62">
        <f>IF(SUMPRODUCT(('حجز الإجازات'!$B$5:$B$104='الموظفون'!$B$6)*('حجز الإجازات'!$D$5:$D$104&lt;=EA$3)*(('حجز الإجازات'!$E$5:$E$104)&gt;=EA$3)*('حجز الإجازات'!$G$5:$G$104="معتمد")*ROW('حجز الإجازات'!$B$5:$B$104))=0,IF(EA$3&lt;'الموظفون'!$D$6,"",IF(ISNUMBER(MATCH(EA$3,Holidays,0)),"عطلة",IF(MOD(EA$3-'الموظفون'!$D$6,CycleWork+CycleRest)&lt;CycleWork,INDEX('الإعدادات والقوائم'!$H$2:$H$4,MOD(INT(MOD(EA$3-'الموظفون'!$D$6,CycleWork+CycleRest)*3/CycleWork)+MATCH(StartShift,'الإعدادات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الإجازات'!$D$5:$D$104&lt;=EA$3)*(('حجز الإجازات'!$E$5:$E$104)&gt;=EA$3)*('حجز الإجازات'!$G$5:$G$104="معتمد")*ROW('حجز الإجازات'!$B$5:$B$104)))-5+1))</f>
        <v/>
      </c>
      <c r="EB8" s="62">
        <f>IF(SUMPRODUCT(('حجز الإجازات'!$B$5:$B$104='الموظفون'!$B$6)*('حجز الإجازات'!$D$5:$D$104&lt;=EB$3)*(('حجز الإجازات'!$E$5:$E$104)&gt;=EB$3)*('حجز الإجازات'!$G$5:$G$104="معتمد")*ROW('حجز الإجازات'!$B$5:$B$104))=0,IF(EB$3&lt;'الموظفون'!$D$6,"",IF(ISNUMBER(MATCH(EB$3,Holidays,0)),"عطلة",IF(MOD(EB$3-'الموظفون'!$D$6,CycleWork+CycleRest)&lt;CycleWork,INDEX('الإعدادات والقوائم'!$H$2:$H$4,MOD(INT(MOD(EB$3-'الموظفون'!$D$6,CycleWork+CycleRest)*3/CycleWork)+MATCH(StartShift,'الإعدادات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الإجازات'!$D$5:$D$104&lt;=EB$3)*(('حجز الإجازات'!$E$5:$E$104)&gt;=EB$3)*('حجز الإجازات'!$G$5:$G$104="معتمد")*ROW('حجز الإجازات'!$B$5:$B$104)))-5+1))</f>
        <v/>
      </c>
      <c r="EC8" s="62">
        <f>IF(SUMPRODUCT(('حجز الإجازات'!$B$5:$B$104='الموظفون'!$B$6)*('حجز الإجازات'!$D$5:$D$104&lt;=EC$3)*(('حجز الإجازات'!$E$5:$E$104)&gt;=EC$3)*('حجز الإجازات'!$G$5:$G$104="معتمد")*ROW('حجز الإجازات'!$B$5:$B$104))=0,IF(EC$3&lt;'الموظفون'!$D$6,"",IF(ISNUMBER(MATCH(EC$3,Holidays,0)),"عطلة",IF(MOD(EC$3-'الموظفون'!$D$6,CycleWork+CycleRest)&lt;CycleWork,INDEX('الإعدادات والقوائم'!$H$2:$H$4,MOD(INT(MOD(EC$3-'الموظفون'!$D$6,CycleWork+CycleRest)*3/CycleWork)+MATCH(StartShift,'الإعدادات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الإجازات'!$D$5:$D$104&lt;=EC$3)*(('حجز الإجازات'!$E$5:$E$104)&gt;=EC$3)*('حجز الإجازات'!$G$5:$G$104="معتمد")*ROW('حجز الإجازات'!$B$5:$B$104)))-5+1))</f>
        <v/>
      </c>
      <c r="ED8" s="62">
        <f>IF(SUMPRODUCT(('حجز الإجازات'!$B$5:$B$104='الموظفون'!$B$6)*('حجز الإجازات'!$D$5:$D$104&lt;=ED$3)*(('حجز الإجازات'!$E$5:$E$104)&gt;=ED$3)*('حجز الإجازات'!$G$5:$G$104="معتمد")*ROW('حجز الإجازات'!$B$5:$B$104))=0,IF(ED$3&lt;'الموظفون'!$D$6,"",IF(ISNUMBER(MATCH(ED$3,Holidays,0)),"عطلة",IF(MOD(ED$3-'الموظفون'!$D$6,CycleWork+CycleRest)&lt;CycleWork,INDEX('الإعدادات والقوائم'!$H$2:$H$4,MOD(INT(MOD(ED$3-'الموظفون'!$D$6,CycleWork+CycleRest)*3/CycleWork)+MATCH(StartShift,'الإعدادات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الإجازات'!$D$5:$D$104&lt;=ED$3)*(('حجز الإجازات'!$E$5:$E$104)&gt;=ED$3)*('حجز الإجازات'!$G$5:$G$104="معتمد")*ROW('حجز الإجازات'!$B$5:$B$104)))-5+1))</f>
        <v/>
      </c>
      <c r="EE8" s="62">
        <f>IF(SUMPRODUCT(('حجز الإجازات'!$B$5:$B$104='الموظفون'!$B$6)*('حجز الإجازات'!$D$5:$D$104&lt;=EE$3)*(('حجز الإجازات'!$E$5:$E$104)&gt;=EE$3)*('حجز الإجازات'!$G$5:$G$104="معتمد")*ROW('حجز الإجازات'!$B$5:$B$104))=0,IF(EE$3&lt;'الموظفون'!$D$6,"",IF(ISNUMBER(MATCH(EE$3,Holidays,0)),"عطلة",IF(MOD(EE$3-'الموظفون'!$D$6,CycleWork+CycleRest)&lt;CycleWork,INDEX('الإعدادات والقوائم'!$H$2:$H$4,MOD(INT(MOD(EE$3-'الموظفون'!$D$6,CycleWork+CycleRest)*3/CycleWork)+MATCH(StartShift,'الإعدادات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الإجازات'!$D$5:$D$104&lt;=EE$3)*(('حجز الإجازات'!$E$5:$E$104)&gt;=EE$3)*('حجز الإجازات'!$G$5:$G$104="معتمد")*ROW('حجز الإجازات'!$B$5:$B$104)))-5+1))</f>
        <v/>
      </c>
      <c r="EF8" s="62">
        <f>IF(SUMPRODUCT(('حجز الإجازات'!$B$5:$B$104='الموظفون'!$B$6)*('حجز الإجازات'!$D$5:$D$104&lt;=EF$3)*(('حجز الإجازات'!$E$5:$E$104)&gt;=EF$3)*('حجز الإجازات'!$G$5:$G$104="معتمد")*ROW('حجز الإجازات'!$B$5:$B$104))=0,IF(EF$3&lt;'الموظفون'!$D$6,"",IF(ISNUMBER(MATCH(EF$3,Holidays,0)),"عطلة",IF(MOD(EF$3-'الموظفون'!$D$6,CycleWork+CycleRest)&lt;CycleWork,INDEX('الإعدادات والقوائم'!$H$2:$H$4,MOD(INT(MOD(EF$3-'الموظفون'!$D$6,CycleWork+CycleRest)*3/CycleWork)+MATCH(StartShift,'الإعدادات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الإجازات'!$D$5:$D$104&lt;=EF$3)*(('حجز الإجازات'!$E$5:$E$104)&gt;=EF$3)*('حجز الإجازات'!$G$5:$G$104="معتمد")*ROW('حجز الإجازات'!$B$5:$B$104)))-5+1))</f>
        <v/>
      </c>
      <c r="EG8" s="62">
        <f>IF(SUMPRODUCT(('حجز الإجازات'!$B$5:$B$104='الموظفون'!$B$6)*('حجز الإجازات'!$D$5:$D$104&lt;=EG$3)*(('حجز الإجازات'!$E$5:$E$104)&gt;=EG$3)*('حجز الإجازات'!$G$5:$G$104="معتمد")*ROW('حجز الإجازات'!$B$5:$B$104))=0,IF(EG$3&lt;'الموظفون'!$D$6,"",IF(ISNUMBER(MATCH(EG$3,Holidays,0)),"عطلة",IF(MOD(EG$3-'الموظفون'!$D$6,CycleWork+CycleRest)&lt;CycleWork,INDEX('الإعدادات والقوائم'!$H$2:$H$4,MOD(INT(MOD(EG$3-'الموظفون'!$D$6,CycleWork+CycleRest)*3/CycleWork)+MATCH(StartShift,'الإعدادات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الإجازات'!$D$5:$D$104&lt;=EG$3)*(('حجز الإجازات'!$E$5:$E$104)&gt;=EG$3)*('حجز الإجازات'!$G$5:$G$104="معتمد")*ROW('حجز الإجازات'!$B$5:$B$104)))-5+1))</f>
        <v/>
      </c>
      <c r="EH8" s="62">
        <f>IF(SUMPRODUCT(('حجز الإجازات'!$B$5:$B$104='الموظفون'!$B$6)*('حجز الإجازات'!$D$5:$D$104&lt;=EH$3)*(('حجز الإجازات'!$E$5:$E$104)&gt;=EH$3)*('حجز الإجازات'!$G$5:$G$104="معتمد")*ROW('حجز الإجازات'!$B$5:$B$104))=0,IF(EH$3&lt;'الموظفون'!$D$6,"",IF(ISNUMBER(MATCH(EH$3,Holidays,0)),"عطلة",IF(MOD(EH$3-'الموظفون'!$D$6,CycleWork+CycleRest)&lt;CycleWork,INDEX('الإعدادات والقوائم'!$H$2:$H$4,MOD(INT(MOD(EH$3-'الموظفون'!$D$6,CycleWork+CycleRest)*3/CycleWork)+MATCH(StartShift,'الإعدادات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الإجازات'!$D$5:$D$104&lt;=EH$3)*(('حجز الإجازات'!$E$5:$E$104)&gt;=EH$3)*('حجز الإجازات'!$G$5:$G$104="معتمد")*ROW('حجز الإجازات'!$B$5:$B$104)))-5+1))</f>
        <v/>
      </c>
      <c r="EI8" s="62">
        <f>IF(SUMPRODUCT(('حجز الإجازات'!$B$5:$B$104='الموظفون'!$B$6)*('حجز الإجازات'!$D$5:$D$104&lt;=EI$3)*(('حجز الإجازات'!$E$5:$E$104)&gt;=EI$3)*('حجز الإجازات'!$G$5:$G$104="معتمد")*ROW('حجز الإجازات'!$B$5:$B$104))=0,IF(EI$3&lt;'الموظفون'!$D$6,"",IF(ISNUMBER(MATCH(EI$3,Holidays,0)),"عطلة",IF(MOD(EI$3-'الموظفون'!$D$6,CycleWork+CycleRest)&lt;CycleWork,INDEX('الإعدادات والقوائم'!$H$2:$H$4,MOD(INT(MOD(EI$3-'الموظفون'!$D$6,CycleWork+CycleRest)*3/CycleWork)+MATCH(StartShift,'الإعدادات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الإجازات'!$D$5:$D$104&lt;=EI$3)*(('حجز الإجازات'!$E$5:$E$104)&gt;=EI$3)*('حجز الإجازات'!$G$5:$G$104="معتمد")*ROW('حجز الإجازات'!$B$5:$B$104)))-5+1))</f>
        <v/>
      </c>
      <c r="EJ8" s="62">
        <f>IF(SUMPRODUCT(('حجز الإجازات'!$B$5:$B$104='الموظفون'!$B$6)*('حجز الإجازات'!$D$5:$D$104&lt;=EJ$3)*(('حجز الإجازات'!$E$5:$E$104)&gt;=EJ$3)*('حجز الإجازات'!$G$5:$G$104="معتمد")*ROW('حجز الإجازات'!$B$5:$B$104))=0,IF(EJ$3&lt;'الموظفون'!$D$6,"",IF(ISNUMBER(MATCH(EJ$3,Holidays,0)),"عطلة",IF(MOD(EJ$3-'الموظفون'!$D$6,CycleWork+CycleRest)&lt;CycleWork,INDEX('الإعدادات والقوائم'!$H$2:$H$4,MOD(INT(MOD(EJ$3-'الموظفون'!$D$6,CycleWork+CycleRest)*3/CycleWork)+MATCH(StartShift,'الإعدادات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الإجازات'!$D$5:$D$104&lt;=EJ$3)*(('حجز الإجازات'!$E$5:$E$104)&gt;=EJ$3)*('حجز الإجازات'!$G$5:$G$104="معتمد")*ROW('حجز الإجازات'!$B$5:$B$104)))-5+1))</f>
        <v/>
      </c>
      <c r="EK8" s="62">
        <f>IF(SUMPRODUCT(('حجز الإجازات'!$B$5:$B$104='الموظفون'!$B$6)*('حجز الإجازات'!$D$5:$D$104&lt;=EK$3)*(('حجز الإجازات'!$E$5:$E$104)&gt;=EK$3)*('حجز الإجازات'!$G$5:$G$104="معتمد")*ROW('حجز الإجازات'!$B$5:$B$104))=0,IF(EK$3&lt;'الموظفون'!$D$6,"",IF(ISNUMBER(MATCH(EK$3,Holidays,0)),"عطلة",IF(MOD(EK$3-'الموظفون'!$D$6,CycleWork+CycleRest)&lt;CycleWork,INDEX('الإعدادات والقوائم'!$H$2:$H$4,MOD(INT(MOD(EK$3-'الموظفون'!$D$6,CycleWork+CycleRest)*3/CycleWork)+MATCH(StartShift,'الإعدادات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الإجازات'!$D$5:$D$104&lt;=EK$3)*(('حجز الإجازات'!$E$5:$E$104)&gt;=EK$3)*('حجز الإجازات'!$G$5:$G$104="معتمد")*ROW('حجز الإجازات'!$B$5:$B$104)))-5+1))</f>
        <v/>
      </c>
      <c r="EL8" s="62">
        <f>IF(SUMPRODUCT(('حجز الإجازات'!$B$5:$B$104='الموظفون'!$B$6)*('حجز الإجازات'!$D$5:$D$104&lt;=EL$3)*(('حجز الإجازات'!$E$5:$E$104)&gt;=EL$3)*('حجز الإجازات'!$G$5:$G$104="معتمد")*ROW('حجز الإجازات'!$B$5:$B$104))=0,IF(EL$3&lt;'الموظفون'!$D$6,"",IF(ISNUMBER(MATCH(EL$3,Holidays,0)),"عطلة",IF(MOD(EL$3-'الموظفون'!$D$6,CycleWork+CycleRest)&lt;CycleWork,INDEX('الإعدادات والقوائم'!$H$2:$H$4,MOD(INT(MOD(EL$3-'الموظفون'!$D$6,CycleWork+CycleRest)*3/CycleWork)+MATCH(StartShift,'الإعدادات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الإجازات'!$D$5:$D$104&lt;=EL$3)*(('حجز الإجازات'!$E$5:$E$104)&gt;=EL$3)*('حجز الإجازات'!$G$5:$G$104="معتمد")*ROW('حجز الإجازات'!$B$5:$B$104)))-5+1))</f>
        <v/>
      </c>
      <c r="EM8" s="62">
        <f>IF(SUMPRODUCT(('حجز الإجازات'!$B$5:$B$104='الموظفون'!$B$6)*('حجز الإجازات'!$D$5:$D$104&lt;=EM$3)*(('حجز الإجازات'!$E$5:$E$104)&gt;=EM$3)*('حجز الإجازات'!$G$5:$G$104="معتمد")*ROW('حجز الإجازات'!$B$5:$B$104))=0,IF(EM$3&lt;'الموظفون'!$D$6,"",IF(ISNUMBER(MATCH(EM$3,Holidays,0)),"عطلة",IF(MOD(EM$3-'الموظفون'!$D$6,CycleWork+CycleRest)&lt;CycleWork,INDEX('الإعدادات والقوائم'!$H$2:$H$4,MOD(INT(MOD(EM$3-'الموظفون'!$D$6,CycleWork+CycleRest)*3/CycleWork)+MATCH(StartShift,'الإعدادات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الإجازات'!$D$5:$D$104&lt;=EM$3)*(('حجز الإجازات'!$E$5:$E$104)&gt;=EM$3)*('حجز الإجازات'!$G$5:$G$104="معتمد")*ROW('حجز الإجازات'!$B$5:$B$104)))-5+1))</f>
        <v/>
      </c>
      <c r="EN8" s="62">
        <f>IF(SUMPRODUCT(('حجز الإجازات'!$B$5:$B$104='الموظفون'!$B$6)*('حجز الإجازات'!$D$5:$D$104&lt;=EN$3)*(('حجز الإجازات'!$E$5:$E$104)&gt;=EN$3)*('حجز الإجازات'!$G$5:$G$104="معتمد")*ROW('حجز الإجازات'!$B$5:$B$104))=0,IF(EN$3&lt;'الموظفون'!$D$6,"",IF(ISNUMBER(MATCH(EN$3,Holidays,0)),"عطلة",IF(MOD(EN$3-'الموظفون'!$D$6,CycleWork+CycleRest)&lt;CycleWork,INDEX('الإعدادات والقوائم'!$H$2:$H$4,MOD(INT(MOD(EN$3-'الموظفون'!$D$6,CycleWork+CycleRest)*3/CycleWork)+MATCH(StartShift,'الإعدادات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الإجازات'!$D$5:$D$104&lt;=EN$3)*(('حجز الإجازات'!$E$5:$E$104)&gt;=EN$3)*('حجز الإجازات'!$G$5:$G$104="معتمد")*ROW('حجز الإجازات'!$B$5:$B$104)))-5+1))</f>
        <v/>
      </c>
      <c r="EO8" s="62">
        <f>IF(SUMPRODUCT(('حجز الإجازات'!$B$5:$B$104='الموظفون'!$B$6)*('حجز الإجازات'!$D$5:$D$104&lt;=EO$3)*(('حجز الإجازات'!$E$5:$E$104)&gt;=EO$3)*('حجز الإجازات'!$G$5:$G$104="معتمد")*ROW('حجز الإجازات'!$B$5:$B$104))=0,IF(EO$3&lt;'الموظفون'!$D$6,"",IF(ISNUMBER(MATCH(EO$3,Holidays,0)),"عطلة",IF(MOD(EO$3-'الموظفون'!$D$6,CycleWork+CycleRest)&lt;CycleWork,INDEX('الإعدادات والقوائم'!$H$2:$H$4,MOD(INT(MOD(EO$3-'الموظفون'!$D$6,CycleWork+CycleRest)*3/CycleWork)+MATCH(StartShift,'الإعدادات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الإجازات'!$D$5:$D$104&lt;=EO$3)*(('حجز الإجازات'!$E$5:$E$104)&gt;=EO$3)*('حجز الإجازات'!$G$5:$G$104="معتمد")*ROW('حجز الإجازات'!$B$5:$B$104)))-5+1))</f>
        <v/>
      </c>
      <c r="EP8" s="62">
        <f>IF(SUMPRODUCT(('حجز الإجازات'!$B$5:$B$104='الموظفون'!$B$6)*('حجز الإجازات'!$D$5:$D$104&lt;=EP$3)*(('حجز الإجازات'!$E$5:$E$104)&gt;=EP$3)*('حجز الإجازات'!$G$5:$G$104="معتمد")*ROW('حجز الإجازات'!$B$5:$B$104))=0,IF(EP$3&lt;'الموظفون'!$D$6,"",IF(ISNUMBER(MATCH(EP$3,Holidays,0)),"عطلة",IF(MOD(EP$3-'الموظفون'!$D$6,CycleWork+CycleRest)&lt;CycleWork,INDEX('الإعدادات والقوائم'!$H$2:$H$4,MOD(INT(MOD(EP$3-'الموظفون'!$D$6,CycleWork+CycleRest)*3/CycleWork)+MATCH(StartShift,'الإعدادات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الإجازات'!$D$5:$D$104&lt;=EP$3)*(('حجز الإجازات'!$E$5:$E$104)&gt;=EP$3)*('حجز الإجازات'!$G$5:$G$104="معتمد")*ROW('حجز الإجازات'!$B$5:$B$104)))-5+1))</f>
        <v/>
      </c>
      <c r="EQ8" s="62">
        <f>IF(SUMPRODUCT(('حجز الإجازات'!$B$5:$B$104='الموظفون'!$B$6)*('حجز الإجازات'!$D$5:$D$104&lt;=EQ$3)*(('حجز الإجازات'!$E$5:$E$104)&gt;=EQ$3)*('حجز الإجازات'!$G$5:$G$104="معتمد")*ROW('حجز الإجازات'!$B$5:$B$104))=0,IF(EQ$3&lt;'الموظفون'!$D$6,"",IF(ISNUMBER(MATCH(EQ$3,Holidays,0)),"عطلة",IF(MOD(EQ$3-'الموظفون'!$D$6,CycleWork+CycleRest)&lt;CycleWork,INDEX('الإعدادات والقوائم'!$H$2:$H$4,MOD(INT(MOD(EQ$3-'الموظفون'!$D$6,CycleWork+CycleRest)*3/CycleWork)+MATCH(StartShift,'الإعدادات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الإجازات'!$D$5:$D$104&lt;=EQ$3)*(('حجز الإجازات'!$E$5:$E$104)&gt;=EQ$3)*('حجز الإجازات'!$G$5:$G$104="معتمد")*ROW('حجز الإجازات'!$B$5:$B$104)))-5+1))</f>
        <v/>
      </c>
      <c r="ER8" s="62">
        <f>IF(SUMPRODUCT(('حجز الإجازات'!$B$5:$B$104='الموظفون'!$B$6)*('حجز الإجازات'!$D$5:$D$104&lt;=ER$3)*(('حجز الإجازات'!$E$5:$E$104)&gt;=ER$3)*('حجز الإجازات'!$G$5:$G$104="معتمد")*ROW('حجز الإجازات'!$B$5:$B$104))=0,IF(ER$3&lt;'الموظفون'!$D$6,"",IF(ISNUMBER(MATCH(ER$3,Holidays,0)),"عطلة",IF(MOD(ER$3-'الموظفون'!$D$6,CycleWork+CycleRest)&lt;CycleWork,INDEX('الإعدادات والقوائم'!$H$2:$H$4,MOD(INT(MOD(ER$3-'الموظفون'!$D$6,CycleWork+CycleRest)*3/CycleWork)+MATCH(StartShift,'الإعدادات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الإجازات'!$D$5:$D$104&lt;=ER$3)*(('حجز الإجازات'!$E$5:$E$104)&gt;=ER$3)*('حجز الإجازات'!$G$5:$G$104="معتمد")*ROW('حجز الإجازات'!$B$5:$B$104)))-5+1))</f>
        <v/>
      </c>
      <c r="ES8" s="62">
        <f>IF(SUMPRODUCT(('حجز الإجازات'!$B$5:$B$104='الموظفون'!$B$6)*('حجز الإجازات'!$D$5:$D$104&lt;=ES$3)*(('حجز الإجازات'!$E$5:$E$104)&gt;=ES$3)*('حجز الإجازات'!$G$5:$G$104="معتمد")*ROW('حجز الإجازات'!$B$5:$B$104))=0,IF(ES$3&lt;'الموظفون'!$D$6,"",IF(ISNUMBER(MATCH(ES$3,Holidays,0)),"عطلة",IF(MOD(ES$3-'الموظفون'!$D$6,CycleWork+CycleRest)&lt;CycleWork,INDEX('الإعدادات والقوائم'!$H$2:$H$4,MOD(INT(MOD(ES$3-'الموظفون'!$D$6,CycleWork+CycleRest)*3/CycleWork)+MATCH(StartShift,'الإعدادات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الإجازات'!$D$5:$D$104&lt;=ES$3)*(('حجز الإجازات'!$E$5:$E$104)&gt;=ES$3)*('حجز الإجازات'!$G$5:$G$104="معتمد")*ROW('حجز الإجازات'!$B$5:$B$104)))-5+1))</f>
        <v/>
      </c>
      <c r="ET8" s="62">
        <f>IF(SUMPRODUCT(('حجز الإجازات'!$B$5:$B$104='الموظفون'!$B$6)*('حجز الإجازات'!$D$5:$D$104&lt;=ET$3)*(('حجز الإجازات'!$E$5:$E$104)&gt;=ET$3)*('حجز الإجازات'!$G$5:$G$104="معتمد")*ROW('حجز الإجازات'!$B$5:$B$104))=0,IF(ET$3&lt;'الموظفون'!$D$6,"",IF(ISNUMBER(MATCH(ET$3,Holidays,0)),"عطلة",IF(MOD(ET$3-'الموظفون'!$D$6,CycleWork+CycleRest)&lt;CycleWork,INDEX('الإعدادات والقوائم'!$H$2:$H$4,MOD(INT(MOD(ET$3-'الموظفون'!$D$6,CycleWork+CycleRest)*3/CycleWork)+MATCH(StartShift,'الإعدادات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الإجازات'!$D$5:$D$104&lt;=ET$3)*(('حجز الإجازات'!$E$5:$E$104)&gt;=ET$3)*('حجز الإجازات'!$G$5:$G$104="معتمد")*ROW('حجز الإجازات'!$B$5:$B$104)))-5+1))</f>
        <v/>
      </c>
      <c r="EU8" s="62">
        <f>IF(SUMPRODUCT(('حجز الإجازات'!$B$5:$B$104='الموظفون'!$B$6)*('حجز الإجازات'!$D$5:$D$104&lt;=EU$3)*(('حجز الإجازات'!$E$5:$E$104)&gt;=EU$3)*('حجز الإجازات'!$G$5:$G$104="معتمد")*ROW('حجز الإجازات'!$B$5:$B$104))=0,IF(EU$3&lt;'الموظفون'!$D$6,"",IF(ISNUMBER(MATCH(EU$3,Holidays,0)),"عطلة",IF(MOD(EU$3-'الموظفون'!$D$6,CycleWork+CycleRest)&lt;CycleWork,INDEX('الإعدادات والقوائم'!$H$2:$H$4,MOD(INT(MOD(EU$3-'الموظفون'!$D$6,CycleWork+CycleRest)*3/CycleWork)+MATCH(StartShift,'الإعدادات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الإجازات'!$D$5:$D$104&lt;=EU$3)*(('حجز الإجازات'!$E$5:$E$104)&gt;=EU$3)*('حجز الإجازات'!$G$5:$G$104="معتمد")*ROW('حجز الإجازات'!$B$5:$B$104)))-5+1))</f>
        <v/>
      </c>
      <c r="EV8" s="62">
        <f>IF(SUMPRODUCT(('حجز الإجازات'!$B$5:$B$104='الموظفون'!$B$6)*('حجز الإجازات'!$D$5:$D$104&lt;=EV$3)*(('حجز الإجازات'!$E$5:$E$104)&gt;=EV$3)*('حجز الإجازات'!$G$5:$G$104="معتمد")*ROW('حجز الإجازات'!$B$5:$B$104))=0,IF(EV$3&lt;'الموظفون'!$D$6,"",IF(ISNUMBER(MATCH(EV$3,Holidays,0)),"عطلة",IF(MOD(EV$3-'الموظفون'!$D$6,CycleWork+CycleRest)&lt;CycleWork,INDEX('الإعدادات والقوائم'!$H$2:$H$4,MOD(INT(MOD(EV$3-'الموظفون'!$D$6,CycleWork+CycleRest)*3/CycleWork)+MATCH(StartShift,'الإعدادات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الإجازات'!$D$5:$D$104&lt;=EV$3)*(('حجز الإجازات'!$E$5:$E$104)&gt;=EV$3)*('حجز الإجازات'!$G$5:$G$104="معتمد")*ROW('حجز الإجازات'!$B$5:$B$104)))-5+1))</f>
        <v/>
      </c>
      <c r="EW8" s="62">
        <f>IF(SUMPRODUCT(('حجز الإجازات'!$B$5:$B$104='الموظفون'!$B$6)*('حجز الإجازات'!$D$5:$D$104&lt;=EW$3)*(('حجز الإجازات'!$E$5:$E$104)&gt;=EW$3)*('حجز الإجازات'!$G$5:$G$104="معتمد")*ROW('حجز الإجازات'!$B$5:$B$104))=0,IF(EW$3&lt;'الموظفون'!$D$6,"",IF(ISNUMBER(MATCH(EW$3,Holidays,0)),"عطلة",IF(MOD(EW$3-'الموظفون'!$D$6,CycleWork+CycleRest)&lt;CycleWork,INDEX('الإعدادات والقوائم'!$H$2:$H$4,MOD(INT(MOD(EW$3-'الموظفون'!$D$6,CycleWork+CycleRest)*3/CycleWork)+MATCH(StartShift,'الإعدادات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الإجازات'!$D$5:$D$104&lt;=EW$3)*(('حجز الإجازات'!$E$5:$E$104)&gt;=EW$3)*('حجز الإجازات'!$G$5:$G$104="معتمد")*ROW('حجز الإجازات'!$B$5:$B$104)))-5+1))</f>
        <v/>
      </c>
      <c r="EX8" s="62">
        <f>IF(SUMPRODUCT(('حجز الإجازات'!$B$5:$B$104='الموظفون'!$B$6)*('حجز الإجازات'!$D$5:$D$104&lt;=EX$3)*(('حجز الإجازات'!$E$5:$E$104)&gt;=EX$3)*('حجز الإجازات'!$G$5:$G$104="معتمد")*ROW('حجز الإجازات'!$B$5:$B$104))=0,IF(EX$3&lt;'الموظفون'!$D$6,"",IF(ISNUMBER(MATCH(EX$3,Holidays,0)),"عطلة",IF(MOD(EX$3-'الموظفون'!$D$6,CycleWork+CycleRest)&lt;CycleWork,INDEX('الإعدادات والقوائم'!$H$2:$H$4,MOD(INT(MOD(EX$3-'الموظفون'!$D$6,CycleWork+CycleRest)*3/CycleWork)+MATCH(StartShift,'الإعدادات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الإجازات'!$D$5:$D$104&lt;=EX$3)*(('حجز الإجازات'!$E$5:$E$104)&gt;=EX$3)*('حجز الإجازات'!$G$5:$G$104="معتمد")*ROW('حجز الإجازات'!$B$5:$B$104)))-5+1))</f>
        <v/>
      </c>
      <c r="EY8" s="62">
        <f>IF(SUMPRODUCT(('حجز الإجازات'!$B$5:$B$104='الموظفون'!$B$6)*('حجز الإجازات'!$D$5:$D$104&lt;=EY$3)*(('حجز الإجازات'!$E$5:$E$104)&gt;=EY$3)*('حجز الإجازات'!$G$5:$G$104="معتمد")*ROW('حجز الإجازات'!$B$5:$B$104))=0,IF(EY$3&lt;'الموظفون'!$D$6,"",IF(ISNUMBER(MATCH(EY$3,Holidays,0)),"عطلة",IF(MOD(EY$3-'الموظفون'!$D$6,CycleWork+CycleRest)&lt;CycleWork,INDEX('الإعدادات والقوائم'!$H$2:$H$4,MOD(INT(MOD(EY$3-'الموظفون'!$D$6,CycleWork+CycleRest)*3/CycleWork)+MATCH(StartShift,'الإعدادات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الإجازات'!$D$5:$D$104&lt;=EY$3)*(('حجز الإجازات'!$E$5:$E$104)&gt;=EY$3)*('حجز الإجازات'!$G$5:$G$104="معتمد")*ROW('حجز الإجازات'!$B$5:$B$104)))-5+1))</f>
        <v/>
      </c>
      <c r="EZ8" s="62">
        <f>IF(SUMPRODUCT(('حجز الإجازات'!$B$5:$B$104='الموظفون'!$B$6)*('حجز الإجازات'!$D$5:$D$104&lt;=EZ$3)*(('حجز الإجازات'!$E$5:$E$104)&gt;=EZ$3)*('حجز الإجازات'!$G$5:$G$104="معتمد")*ROW('حجز الإجازات'!$B$5:$B$104))=0,IF(EZ$3&lt;'الموظفون'!$D$6,"",IF(ISNUMBER(MATCH(EZ$3,Holidays,0)),"عطلة",IF(MOD(EZ$3-'الموظفون'!$D$6,CycleWork+CycleRest)&lt;CycleWork,INDEX('الإعدادات والقوائم'!$H$2:$H$4,MOD(INT(MOD(EZ$3-'الموظفون'!$D$6,CycleWork+CycleRest)*3/CycleWork)+MATCH(StartShift,'الإعدادات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الإجازات'!$D$5:$D$104&lt;=EZ$3)*(('حجز الإجازات'!$E$5:$E$104)&gt;=EZ$3)*('حجز الإجازات'!$G$5:$G$104="معتمد")*ROW('حجز الإجازات'!$B$5:$B$104)))-5+1))</f>
        <v/>
      </c>
      <c r="FA8" s="62">
        <f>IF(SUMPRODUCT(('حجز الإجازات'!$B$5:$B$104='الموظفون'!$B$6)*('حجز الإجازات'!$D$5:$D$104&lt;=FA$3)*(('حجز الإجازات'!$E$5:$E$104)&gt;=FA$3)*('حجز الإجازات'!$G$5:$G$104="معتمد")*ROW('حجز الإجازات'!$B$5:$B$104))=0,IF(FA$3&lt;'الموظفون'!$D$6,"",IF(ISNUMBER(MATCH(FA$3,Holidays,0)),"عطلة",IF(MOD(FA$3-'الموظفون'!$D$6,CycleWork+CycleRest)&lt;CycleWork,INDEX('الإعدادات والقوائم'!$H$2:$H$4,MOD(INT(MOD(FA$3-'الموظفون'!$D$6,CycleWork+CycleRest)*3/CycleWork)+MATCH(StartShift,'الإعدادات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الإجازات'!$D$5:$D$104&lt;=FA$3)*(('حجز الإجازات'!$E$5:$E$104)&gt;=FA$3)*('حجز الإجازات'!$G$5:$G$104="معتمد")*ROW('حجز الإجازات'!$B$5:$B$104)))-5+1))</f>
        <v/>
      </c>
      <c r="FB8" s="62">
        <f>IF(SUMPRODUCT(('حجز الإجازات'!$B$5:$B$104='الموظفون'!$B$6)*('حجز الإجازات'!$D$5:$D$104&lt;=FB$3)*(('حجز الإجازات'!$E$5:$E$104)&gt;=FB$3)*('حجز الإجازات'!$G$5:$G$104="معتمد")*ROW('حجز الإجازات'!$B$5:$B$104))=0,IF(FB$3&lt;'الموظفون'!$D$6,"",IF(ISNUMBER(MATCH(FB$3,Holidays,0)),"عطلة",IF(MOD(FB$3-'الموظفون'!$D$6,CycleWork+CycleRest)&lt;CycleWork,INDEX('الإعدادات والقوائم'!$H$2:$H$4,MOD(INT(MOD(FB$3-'الموظفون'!$D$6,CycleWork+CycleRest)*3/CycleWork)+MATCH(StartShift,'الإعدادات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الإجازات'!$D$5:$D$104&lt;=FB$3)*(('حجز الإجازات'!$E$5:$E$104)&gt;=FB$3)*('حجز الإجازات'!$G$5:$G$104="معتمد")*ROW('حجز الإجازات'!$B$5:$B$104)))-5+1))</f>
        <v/>
      </c>
      <c r="FC8" s="62">
        <f>IF(SUMPRODUCT(('حجز الإجازات'!$B$5:$B$104='الموظفون'!$B$6)*('حجز الإجازات'!$D$5:$D$104&lt;=FC$3)*(('حجز الإجازات'!$E$5:$E$104)&gt;=FC$3)*('حجز الإجازات'!$G$5:$G$104="معتمد")*ROW('حجز الإجازات'!$B$5:$B$104))=0,IF(FC$3&lt;'الموظفون'!$D$6,"",IF(ISNUMBER(MATCH(FC$3,Holidays,0)),"عطلة",IF(MOD(FC$3-'الموظفون'!$D$6,CycleWork+CycleRest)&lt;CycleWork,INDEX('الإعدادات والقوائم'!$H$2:$H$4,MOD(INT(MOD(FC$3-'الموظفون'!$D$6,CycleWork+CycleRest)*3/CycleWork)+MATCH(StartShift,'الإعدادات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الإجازات'!$D$5:$D$104&lt;=FC$3)*(('حجز الإجازات'!$E$5:$E$104)&gt;=FC$3)*('حجز الإجازات'!$G$5:$G$104="معتمد")*ROW('حجز الإجازات'!$B$5:$B$104)))-5+1))</f>
        <v/>
      </c>
      <c r="FD8" s="62">
        <f>IF(SUMPRODUCT(('حجز الإجازات'!$B$5:$B$104='الموظفون'!$B$6)*('حجز الإجازات'!$D$5:$D$104&lt;=FD$3)*(('حجز الإجازات'!$E$5:$E$104)&gt;=FD$3)*('حجز الإجازات'!$G$5:$G$104="معتمد")*ROW('حجز الإجازات'!$B$5:$B$104))=0,IF(FD$3&lt;'الموظفون'!$D$6,"",IF(ISNUMBER(MATCH(FD$3,Holidays,0)),"عطلة",IF(MOD(FD$3-'الموظفون'!$D$6,CycleWork+CycleRest)&lt;CycleWork,INDEX('الإعدادات والقوائم'!$H$2:$H$4,MOD(INT(MOD(FD$3-'الموظفون'!$D$6,CycleWork+CycleRest)*3/CycleWork)+MATCH(StartShift,'الإعدادات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الإجازات'!$D$5:$D$104&lt;=FD$3)*(('حجز الإجازات'!$E$5:$E$104)&gt;=FD$3)*('حجز الإجازات'!$G$5:$G$104="معتمد")*ROW('حجز الإجازات'!$B$5:$B$104)))-5+1))</f>
        <v/>
      </c>
      <c r="FE8" s="62">
        <f>IF(SUMPRODUCT(('حجز الإجازات'!$B$5:$B$104='الموظفون'!$B$6)*('حجز الإجازات'!$D$5:$D$104&lt;=FE$3)*(('حجز الإجازات'!$E$5:$E$104)&gt;=FE$3)*('حجز الإجازات'!$G$5:$G$104="معتمد")*ROW('حجز الإجازات'!$B$5:$B$104))=0,IF(FE$3&lt;'الموظفون'!$D$6,"",IF(ISNUMBER(MATCH(FE$3,Holidays,0)),"عطلة",IF(MOD(FE$3-'الموظفون'!$D$6,CycleWork+CycleRest)&lt;CycleWork,INDEX('الإعدادات والقوائم'!$H$2:$H$4,MOD(INT(MOD(FE$3-'الموظفون'!$D$6,CycleWork+CycleRest)*3/CycleWork)+MATCH(StartShift,'الإعدادات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الإجازات'!$D$5:$D$104&lt;=FE$3)*(('حجز الإجازات'!$E$5:$E$104)&gt;=FE$3)*('حجز الإجازات'!$G$5:$G$104="معتمد")*ROW('حجز الإجازات'!$B$5:$B$104)))-5+1))</f>
        <v/>
      </c>
      <c r="FF8" s="62">
        <f>IF(SUMPRODUCT(('حجز الإجازات'!$B$5:$B$104='الموظفون'!$B$6)*('حجز الإجازات'!$D$5:$D$104&lt;=FF$3)*(('حجز الإجازات'!$E$5:$E$104)&gt;=FF$3)*('حجز الإجازات'!$G$5:$G$104="معتمد")*ROW('حجز الإجازات'!$B$5:$B$104))=0,IF(FF$3&lt;'الموظفون'!$D$6,"",IF(ISNUMBER(MATCH(FF$3,Holidays,0)),"عطلة",IF(MOD(FF$3-'الموظفون'!$D$6,CycleWork+CycleRest)&lt;CycleWork,INDEX('الإعدادات والقوائم'!$H$2:$H$4,MOD(INT(MOD(FF$3-'الموظفون'!$D$6,CycleWork+CycleRest)*3/CycleWork)+MATCH(StartShift,'الإعدادات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الإجازات'!$D$5:$D$104&lt;=FF$3)*(('حجز الإجازات'!$E$5:$E$104)&gt;=FF$3)*('حجز الإجازات'!$G$5:$G$104="معتمد")*ROW('حجز الإجازات'!$B$5:$B$104)))-5+1))</f>
        <v/>
      </c>
      <c r="FG8" s="62">
        <f>IF(SUMPRODUCT(('حجز الإجازات'!$B$5:$B$104='الموظفون'!$B$6)*('حجز الإجازات'!$D$5:$D$104&lt;=FG$3)*(('حجز الإجازات'!$E$5:$E$104)&gt;=FG$3)*('حجز الإجازات'!$G$5:$G$104="معتمد")*ROW('حجز الإجازات'!$B$5:$B$104))=0,IF(FG$3&lt;'الموظفون'!$D$6,"",IF(ISNUMBER(MATCH(FG$3,Holidays,0)),"عطلة",IF(MOD(FG$3-'الموظفون'!$D$6,CycleWork+CycleRest)&lt;CycleWork,INDEX('الإعدادات والقوائم'!$H$2:$H$4,MOD(INT(MOD(FG$3-'الموظفون'!$D$6,CycleWork+CycleRest)*3/CycleWork)+MATCH(StartShift,'الإعدادات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الإجازات'!$D$5:$D$104&lt;=FG$3)*(('حجز الإجازات'!$E$5:$E$104)&gt;=FG$3)*('حجز الإجازات'!$G$5:$G$104="معتمد")*ROW('حجز الإجازات'!$B$5:$B$104)))-5+1))</f>
        <v/>
      </c>
      <c r="FH8" s="62">
        <f>IF(SUMPRODUCT(('حجز الإجازات'!$B$5:$B$104='الموظفون'!$B$6)*('حجز الإجازات'!$D$5:$D$104&lt;=FH$3)*(('حجز الإجازات'!$E$5:$E$104)&gt;=FH$3)*('حجز الإجازات'!$G$5:$G$104="معتمد")*ROW('حجز الإجازات'!$B$5:$B$104))=0,IF(FH$3&lt;'الموظفون'!$D$6,"",IF(ISNUMBER(MATCH(FH$3,Holidays,0)),"عطلة",IF(MOD(FH$3-'الموظفون'!$D$6,CycleWork+CycleRest)&lt;CycleWork,INDEX('الإعدادات والقوائم'!$H$2:$H$4,MOD(INT(MOD(FH$3-'الموظفون'!$D$6,CycleWork+CycleRest)*3/CycleWork)+MATCH(StartShift,'الإعدادات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الإجازات'!$D$5:$D$104&lt;=FH$3)*(('حجز الإجازات'!$E$5:$E$104)&gt;=FH$3)*('حجز الإجازات'!$G$5:$G$104="معتمد")*ROW('حجز الإجازات'!$B$5:$B$104)))-5+1))</f>
        <v/>
      </c>
      <c r="FI8" s="62">
        <f>IF(SUMPRODUCT(('حجز الإجازات'!$B$5:$B$104='الموظفون'!$B$6)*('حجز الإجازات'!$D$5:$D$104&lt;=FI$3)*(('حجز الإجازات'!$E$5:$E$104)&gt;=FI$3)*('حجز الإجازات'!$G$5:$G$104="معتمد")*ROW('حجز الإجازات'!$B$5:$B$104))=0,IF(FI$3&lt;'الموظفون'!$D$6,"",IF(ISNUMBER(MATCH(FI$3,Holidays,0)),"عطلة",IF(MOD(FI$3-'الموظفون'!$D$6,CycleWork+CycleRest)&lt;CycleWork,INDEX('الإعدادات والقوائم'!$H$2:$H$4,MOD(INT(MOD(FI$3-'الموظفون'!$D$6,CycleWork+CycleRest)*3/CycleWork)+MATCH(StartShift,'الإعدادات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الإجازات'!$D$5:$D$104&lt;=FI$3)*(('حجز الإجازات'!$E$5:$E$104)&gt;=FI$3)*('حجز الإجازات'!$G$5:$G$104="معتمد")*ROW('حجز الإجازات'!$B$5:$B$104)))-5+1))</f>
        <v/>
      </c>
      <c r="FJ8" s="62">
        <f>IF(SUMPRODUCT(('حجز الإجازات'!$B$5:$B$104='الموظفون'!$B$6)*('حجز الإجازات'!$D$5:$D$104&lt;=FJ$3)*(('حجز الإجازات'!$E$5:$E$104)&gt;=FJ$3)*('حجز الإجازات'!$G$5:$G$104="معتمد")*ROW('حجز الإجازات'!$B$5:$B$104))=0,IF(FJ$3&lt;'الموظفون'!$D$6,"",IF(ISNUMBER(MATCH(FJ$3,Holidays,0)),"عطلة",IF(MOD(FJ$3-'الموظفون'!$D$6,CycleWork+CycleRest)&lt;CycleWork,INDEX('الإعدادات والقوائم'!$H$2:$H$4,MOD(INT(MOD(FJ$3-'الموظفون'!$D$6,CycleWork+CycleRest)*3/CycleWork)+MATCH(StartShift,'الإعدادات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الإجازات'!$D$5:$D$104&lt;=FJ$3)*(('حجز الإجازات'!$E$5:$E$104)&gt;=FJ$3)*('حجز الإجازات'!$G$5:$G$104="معتمد")*ROW('حجز الإجازات'!$B$5:$B$104)))-5+1))</f>
        <v/>
      </c>
      <c r="FK8" s="62">
        <f>IF(SUMPRODUCT(('حجز الإجازات'!$B$5:$B$104='الموظفون'!$B$6)*('حجز الإجازات'!$D$5:$D$104&lt;=FK$3)*(('حجز الإجازات'!$E$5:$E$104)&gt;=FK$3)*('حجز الإجازات'!$G$5:$G$104="معتمد")*ROW('حجز الإجازات'!$B$5:$B$104))=0,IF(FK$3&lt;'الموظفون'!$D$6,"",IF(ISNUMBER(MATCH(FK$3,Holidays,0)),"عطلة",IF(MOD(FK$3-'الموظفون'!$D$6,CycleWork+CycleRest)&lt;CycleWork,INDEX('الإعدادات والقوائم'!$H$2:$H$4,MOD(INT(MOD(FK$3-'الموظفون'!$D$6,CycleWork+CycleRest)*3/CycleWork)+MATCH(StartShift,'الإعدادات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الإجازات'!$D$5:$D$104&lt;=FK$3)*(('حجز الإجازات'!$E$5:$E$104)&gt;=FK$3)*('حجز الإجازات'!$G$5:$G$104="معتمد")*ROW('حجز الإجازات'!$B$5:$B$104)))-5+1))</f>
        <v/>
      </c>
      <c r="FL8" s="62">
        <f>IF(SUMPRODUCT(('حجز الإجازات'!$B$5:$B$104='الموظفون'!$B$6)*('حجز الإجازات'!$D$5:$D$104&lt;=FL$3)*(('حجز الإجازات'!$E$5:$E$104)&gt;=FL$3)*('حجز الإجازات'!$G$5:$G$104="معتمد")*ROW('حجز الإجازات'!$B$5:$B$104))=0,IF(FL$3&lt;'الموظفون'!$D$6,"",IF(ISNUMBER(MATCH(FL$3,Holidays,0)),"عطلة",IF(MOD(FL$3-'الموظفون'!$D$6,CycleWork+CycleRest)&lt;CycleWork,INDEX('الإعدادات والقوائم'!$H$2:$H$4,MOD(INT(MOD(FL$3-'الموظفون'!$D$6,CycleWork+CycleRest)*3/CycleWork)+MATCH(StartShift,'الإعدادات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الإجازات'!$D$5:$D$104&lt;=FL$3)*(('حجز الإجازات'!$E$5:$E$104)&gt;=FL$3)*('حجز الإجازات'!$G$5:$G$104="معتمد")*ROW('حجز الإجازات'!$B$5:$B$104)))-5+1))</f>
        <v/>
      </c>
      <c r="FM8" s="62">
        <f>IF(SUMPRODUCT(('حجز الإجازات'!$B$5:$B$104='الموظفون'!$B$6)*('حجز الإجازات'!$D$5:$D$104&lt;=FM$3)*(('حجز الإجازات'!$E$5:$E$104)&gt;=FM$3)*('حجز الإجازات'!$G$5:$G$104="معتمد")*ROW('حجز الإجازات'!$B$5:$B$104))=0,IF(FM$3&lt;'الموظفون'!$D$6,"",IF(ISNUMBER(MATCH(FM$3,Holidays,0)),"عطلة",IF(MOD(FM$3-'الموظفون'!$D$6,CycleWork+CycleRest)&lt;CycleWork,INDEX('الإعدادات والقوائم'!$H$2:$H$4,MOD(INT(MOD(FM$3-'الموظفون'!$D$6,CycleWork+CycleRest)*3/CycleWork)+MATCH(StartShift,'الإعدادات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الإجازات'!$D$5:$D$104&lt;=FM$3)*(('حجز الإجازات'!$E$5:$E$104)&gt;=FM$3)*('حجز الإجازات'!$G$5:$G$104="معتمد")*ROW('حجز الإجازات'!$B$5:$B$104)))-5+1))</f>
        <v/>
      </c>
      <c r="FN8" s="62">
        <f>IF(SUMPRODUCT(('حجز الإجازات'!$B$5:$B$104='الموظفون'!$B$6)*('حجز الإجازات'!$D$5:$D$104&lt;=FN$3)*(('حجز الإجازات'!$E$5:$E$104)&gt;=FN$3)*('حجز الإجازات'!$G$5:$G$104="معتمد")*ROW('حجز الإجازات'!$B$5:$B$104))=0,IF(FN$3&lt;'الموظفون'!$D$6,"",IF(ISNUMBER(MATCH(FN$3,Holidays,0)),"عطلة",IF(MOD(FN$3-'الموظفون'!$D$6,CycleWork+CycleRest)&lt;CycleWork,INDEX('الإعدادات والقوائم'!$H$2:$H$4,MOD(INT(MOD(FN$3-'الموظفون'!$D$6,CycleWork+CycleRest)*3/CycleWork)+MATCH(StartShift,'الإعدادات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الإجازات'!$D$5:$D$104&lt;=FN$3)*(('حجز الإجازات'!$E$5:$E$104)&gt;=FN$3)*('حجز الإجازات'!$G$5:$G$104="معتمد")*ROW('حجز الإجازات'!$B$5:$B$104)))-5+1))</f>
        <v/>
      </c>
      <c r="FO8" s="62">
        <f>IF(SUMPRODUCT(('حجز الإجازات'!$B$5:$B$104='الموظفون'!$B$6)*('حجز الإجازات'!$D$5:$D$104&lt;=FO$3)*(('حجز الإجازات'!$E$5:$E$104)&gt;=FO$3)*('حجز الإجازات'!$G$5:$G$104="معتمد")*ROW('حجز الإجازات'!$B$5:$B$104))=0,IF(FO$3&lt;'الموظفون'!$D$6,"",IF(ISNUMBER(MATCH(FO$3,Holidays,0)),"عطلة",IF(MOD(FO$3-'الموظفون'!$D$6,CycleWork+CycleRest)&lt;CycleWork,INDEX('الإعدادات والقوائم'!$H$2:$H$4,MOD(INT(MOD(FO$3-'الموظفون'!$D$6,CycleWork+CycleRest)*3/CycleWork)+MATCH(StartShift,'الإعدادات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الإجازات'!$D$5:$D$104&lt;=FO$3)*(('حجز الإجازات'!$E$5:$E$104)&gt;=FO$3)*('حجز الإجازات'!$G$5:$G$104="معتمد")*ROW('حجز الإجازات'!$B$5:$B$104)))-5+1))</f>
        <v/>
      </c>
      <c r="FP8" s="62">
        <f>IF(SUMPRODUCT(('حجز الإجازات'!$B$5:$B$104='الموظفون'!$B$6)*('حجز الإجازات'!$D$5:$D$104&lt;=FP$3)*(('حجز الإجازات'!$E$5:$E$104)&gt;=FP$3)*('حجز الإجازات'!$G$5:$G$104="معتمد")*ROW('حجز الإجازات'!$B$5:$B$104))=0,IF(FP$3&lt;'الموظفون'!$D$6,"",IF(ISNUMBER(MATCH(FP$3,Holidays,0)),"عطلة",IF(MOD(FP$3-'الموظفون'!$D$6,CycleWork+CycleRest)&lt;CycleWork,INDEX('الإعدادات والقوائم'!$H$2:$H$4,MOD(INT(MOD(FP$3-'الموظفون'!$D$6,CycleWork+CycleRest)*3/CycleWork)+MATCH(StartShift,'الإعدادات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الإجازات'!$D$5:$D$104&lt;=FP$3)*(('حجز الإجازات'!$E$5:$E$104)&gt;=FP$3)*('حجز الإجازات'!$G$5:$G$104="معتمد")*ROW('حجز الإجازات'!$B$5:$B$104)))-5+1))</f>
        <v/>
      </c>
      <c r="FQ8" s="62">
        <f>IF(SUMPRODUCT(('حجز الإجازات'!$B$5:$B$104='الموظفون'!$B$6)*('حجز الإجازات'!$D$5:$D$104&lt;=FQ$3)*(('حجز الإجازات'!$E$5:$E$104)&gt;=FQ$3)*('حجز الإجازات'!$G$5:$G$104="معتمد")*ROW('حجز الإجازات'!$B$5:$B$104))=0,IF(FQ$3&lt;'الموظفون'!$D$6,"",IF(ISNUMBER(MATCH(FQ$3,Holidays,0)),"عطلة",IF(MOD(FQ$3-'الموظفون'!$D$6,CycleWork+CycleRest)&lt;CycleWork,INDEX('الإعدادات والقوائم'!$H$2:$H$4,MOD(INT(MOD(FQ$3-'الموظفون'!$D$6,CycleWork+CycleRest)*3/CycleWork)+MATCH(StartShift,'الإعدادات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الإجازات'!$D$5:$D$104&lt;=FQ$3)*(('حجز الإجازات'!$E$5:$E$104)&gt;=FQ$3)*('حجز الإجازات'!$G$5:$G$104="معتمد")*ROW('حجز الإجازات'!$B$5:$B$104)))-5+1))</f>
        <v/>
      </c>
      <c r="FR8" s="62">
        <f>IF(SUMPRODUCT(('حجز الإجازات'!$B$5:$B$104='الموظفون'!$B$6)*('حجز الإجازات'!$D$5:$D$104&lt;=FR$3)*(('حجز الإجازات'!$E$5:$E$104)&gt;=FR$3)*('حجز الإجازات'!$G$5:$G$104="معتمد")*ROW('حجز الإجازات'!$B$5:$B$104))=0,IF(FR$3&lt;'الموظفون'!$D$6,"",IF(ISNUMBER(MATCH(FR$3,Holidays,0)),"عطلة",IF(MOD(FR$3-'الموظفون'!$D$6,CycleWork+CycleRest)&lt;CycleWork,INDEX('الإعدادات والقوائم'!$H$2:$H$4,MOD(INT(MOD(FR$3-'الموظفون'!$D$6,CycleWork+CycleRest)*3/CycleWork)+MATCH(StartShift,'الإعدادات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الإجازات'!$D$5:$D$104&lt;=FR$3)*(('حجز الإجازات'!$E$5:$E$104)&gt;=FR$3)*('حجز الإجازات'!$G$5:$G$104="معتمد")*ROW('حجز الإجازات'!$B$5:$B$104)))-5+1))</f>
        <v/>
      </c>
      <c r="FS8" s="62">
        <f>IF(SUMPRODUCT(('حجز الإجازات'!$B$5:$B$104='الموظفون'!$B$6)*('حجز الإجازات'!$D$5:$D$104&lt;=FS$3)*(('حجز الإجازات'!$E$5:$E$104)&gt;=FS$3)*('حجز الإجازات'!$G$5:$G$104="معتمد")*ROW('حجز الإجازات'!$B$5:$B$104))=0,IF(FS$3&lt;'الموظفون'!$D$6,"",IF(ISNUMBER(MATCH(FS$3,Holidays,0)),"عطلة",IF(MOD(FS$3-'الموظفون'!$D$6,CycleWork+CycleRest)&lt;CycleWork,INDEX('الإعدادات والقوائم'!$H$2:$H$4,MOD(INT(MOD(FS$3-'الموظفون'!$D$6,CycleWork+CycleRest)*3/CycleWork)+MATCH(StartShift,'الإعدادات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الإجازات'!$D$5:$D$104&lt;=FS$3)*(('حجز الإجازات'!$E$5:$E$104)&gt;=FS$3)*('حجز الإجازات'!$G$5:$G$104="معتمد")*ROW('حجز الإجازات'!$B$5:$B$104)))-5+1))</f>
        <v/>
      </c>
      <c r="FT8" s="62">
        <f>IF(SUMPRODUCT(('حجز الإجازات'!$B$5:$B$104='الموظفون'!$B$6)*('حجز الإجازات'!$D$5:$D$104&lt;=FT$3)*(('حجز الإجازات'!$E$5:$E$104)&gt;=FT$3)*('حجز الإجازات'!$G$5:$G$104="معتمد")*ROW('حجز الإجازات'!$B$5:$B$104))=0,IF(FT$3&lt;'الموظفون'!$D$6,"",IF(ISNUMBER(MATCH(FT$3,Holidays,0)),"عطلة",IF(MOD(FT$3-'الموظفون'!$D$6,CycleWork+CycleRest)&lt;CycleWork,INDEX('الإعدادات والقوائم'!$H$2:$H$4,MOD(INT(MOD(FT$3-'الموظفون'!$D$6,CycleWork+CycleRest)*3/CycleWork)+MATCH(StartShift,'الإعدادات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الإجازات'!$D$5:$D$104&lt;=FT$3)*(('حجز الإجازات'!$E$5:$E$104)&gt;=FT$3)*('حجز الإجازات'!$G$5:$G$104="معتمد")*ROW('حجز الإجازات'!$B$5:$B$104)))-5+1))</f>
        <v/>
      </c>
      <c r="FU8" s="62">
        <f>IF(SUMPRODUCT(('حجز الإجازات'!$B$5:$B$104='الموظفون'!$B$6)*('حجز الإجازات'!$D$5:$D$104&lt;=FU$3)*(('حجز الإجازات'!$E$5:$E$104)&gt;=FU$3)*('حجز الإجازات'!$G$5:$G$104="معتمد")*ROW('حجز الإجازات'!$B$5:$B$104))=0,IF(FU$3&lt;'الموظفون'!$D$6,"",IF(ISNUMBER(MATCH(FU$3,Holidays,0)),"عطلة",IF(MOD(FU$3-'الموظفون'!$D$6,CycleWork+CycleRest)&lt;CycleWork,INDEX('الإعدادات والقوائم'!$H$2:$H$4,MOD(INT(MOD(FU$3-'الموظفون'!$D$6,CycleWork+CycleRest)*3/CycleWork)+MATCH(StartShift,'الإعدادات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الإجازات'!$D$5:$D$104&lt;=FU$3)*(('حجز الإجازات'!$E$5:$E$104)&gt;=FU$3)*('حجز الإجازات'!$G$5:$G$104="معتمد")*ROW('حجز الإجازات'!$B$5:$B$104)))-5+1))</f>
        <v/>
      </c>
      <c r="FV8" s="62">
        <f>IF(SUMPRODUCT(('حجز الإجازات'!$B$5:$B$104='الموظفون'!$B$6)*('حجز الإجازات'!$D$5:$D$104&lt;=FV$3)*(('حجز الإجازات'!$E$5:$E$104)&gt;=FV$3)*('حجز الإجازات'!$G$5:$G$104="معتمد")*ROW('حجز الإجازات'!$B$5:$B$104))=0,IF(FV$3&lt;'الموظفون'!$D$6,"",IF(ISNUMBER(MATCH(FV$3,Holidays,0)),"عطلة",IF(MOD(FV$3-'الموظفون'!$D$6,CycleWork+CycleRest)&lt;CycleWork,INDEX('الإعدادات والقوائم'!$H$2:$H$4,MOD(INT(MOD(FV$3-'الموظفون'!$D$6,CycleWork+CycleRest)*3/CycleWork)+MATCH(StartShift,'الإعدادات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الإجازات'!$D$5:$D$104&lt;=FV$3)*(('حجز الإجازات'!$E$5:$E$104)&gt;=FV$3)*('حجز الإجازات'!$G$5:$G$104="معتمد")*ROW('حجز الإجازات'!$B$5:$B$104)))-5+1))</f>
        <v/>
      </c>
      <c r="FW8" s="62">
        <f>IF(SUMPRODUCT(('حجز الإجازات'!$B$5:$B$104='الموظفون'!$B$6)*('حجز الإجازات'!$D$5:$D$104&lt;=FW$3)*(('حجز الإجازات'!$E$5:$E$104)&gt;=FW$3)*('حجز الإجازات'!$G$5:$G$104="معتمد")*ROW('حجز الإجازات'!$B$5:$B$104))=0,IF(FW$3&lt;'الموظفون'!$D$6,"",IF(ISNUMBER(MATCH(FW$3,Holidays,0)),"عطلة",IF(MOD(FW$3-'الموظفون'!$D$6,CycleWork+CycleRest)&lt;CycleWork,INDEX('الإعدادات والقوائم'!$H$2:$H$4,MOD(INT(MOD(FW$3-'الموظفون'!$D$6,CycleWork+CycleRest)*3/CycleWork)+MATCH(StartShift,'الإعدادات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الإجازات'!$D$5:$D$104&lt;=FW$3)*(('حجز الإجازات'!$E$5:$E$104)&gt;=FW$3)*('حجز الإجازات'!$G$5:$G$104="معتمد")*ROW('حجز الإجازات'!$B$5:$B$104)))-5+1))</f>
        <v/>
      </c>
      <c r="FX8" s="62">
        <f>IF(SUMPRODUCT(('حجز الإجازات'!$B$5:$B$104='الموظفون'!$B$6)*('حجز الإجازات'!$D$5:$D$104&lt;=FX$3)*(('حجز الإجازات'!$E$5:$E$104)&gt;=FX$3)*('حجز الإجازات'!$G$5:$G$104="معتمد")*ROW('حجز الإجازات'!$B$5:$B$104))=0,IF(FX$3&lt;'الموظفون'!$D$6,"",IF(ISNUMBER(MATCH(FX$3,Holidays,0)),"عطلة",IF(MOD(FX$3-'الموظفون'!$D$6,CycleWork+CycleRest)&lt;CycleWork,INDEX('الإعدادات والقوائم'!$H$2:$H$4,MOD(INT(MOD(FX$3-'الموظفون'!$D$6,CycleWork+CycleRest)*3/CycleWork)+MATCH(StartShift,'الإعدادات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الإجازات'!$D$5:$D$104&lt;=FX$3)*(('حجز الإجازات'!$E$5:$E$104)&gt;=FX$3)*('حجز الإجازات'!$G$5:$G$104="معتمد")*ROW('حجز الإجازات'!$B$5:$B$104)))-5+1))</f>
        <v/>
      </c>
      <c r="FY8" s="62">
        <f>IF(SUMPRODUCT(('حجز الإجازات'!$B$5:$B$104='الموظفون'!$B$6)*('حجز الإجازات'!$D$5:$D$104&lt;=FY$3)*(('حجز الإجازات'!$E$5:$E$104)&gt;=FY$3)*('حجز الإجازات'!$G$5:$G$104="معتمد")*ROW('حجز الإجازات'!$B$5:$B$104))=0,IF(FY$3&lt;'الموظفون'!$D$6,"",IF(ISNUMBER(MATCH(FY$3,Holidays,0)),"عطلة",IF(MOD(FY$3-'الموظفون'!$D$6,CycleWork+CycleRest)&lt;CycleWork,INDEX('الإعدادات والقوائم'!$H$2:$H$4,MOD(INT(MOD(FY$3-'الموظفون'!$D$6,CycleWork+CycleRest)*3/CycleWork)+MATCH(StartShift,'الإعدادات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الإجازات'!$D$5:$D$104&lt;=FY$3)*(('حجز الإجازات'!$E$5:$E$104)&gt;=FY$3)*('حجز الإجازات'!$G$5:$G$104="معتمد")*ROW('حجز الإجازات'!$B$5:$B$104)))-5+1))</f>
        <v/>
      </c>
      <c r="FZ8" s="62">
        <f>IF(SUMPRODUCT(('حجز الإجازات'!$B$5:$B$104='الموظفون'!$B$6)*('حجز الإجازات'!$D$5:$D$104&lt;=FZ$3)*(('حجز الإجازات'!$E$5:$E$104)&gt;=FZ$3)*('حجز الإجازات'!$G$5:$G$104="معتمد")*ROW('حجز الإجازات'!$B$5:$B$104))=0,IF(FZ$3&lt;'الموظفون'!$D$6,"",IF(ISNUMBER(MATCH(FZ$3,Holidays,0)),"عطلة",IF(MOD(FZ$3-'الموظفون'!$D$6,CycleWork+CycleRest)&lt;CycleWork,INDEX('الإعدادات والقوائم'!$H$2:$H$4,MOD(INT(MOD(FZ$3-'الموظفون'!$D$6,CycleWork+CycleRest)*3/CycleWork)+MATCH(StartShift,'الإعدادات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الإجازات'!$D$5:$D$104&lt;=FZ$3)*(('حجز الإجازات'!$E$5:$E$104)&gt;=FZ$3)*('حجز الإجازات'!$G$5:$G$104="معتمد")*ROW('حجز الإجازات'!$B$5:$B$104)))-5+1))</f>
        <v/>
      </c>
      <c r="GA8" s="62">
        <f>IF(SUMPRODUCT(('حجز الإجازات'!$B$5:$B$104='الموظفون'!$B$6)*('حجز الإجازات'!$D$5:$D$104&lt;=GA$3)*(('حجز الإجازات'!$E$5:$E$104)&gt;=GA$3)*('حجز الإجازات'!$G$5:$G$104="معتمد")*ROW('حجز الإجازات'!$B$5:$B$104))=0,IF(GA$3&lt;'الموظفون'!$D$6,"",IF(ISNUMBER(MATCH(GA$3,Holidays,0)),"عطلة",IF(MOD(GA$3-'الموظفون'!$D$6,CycleWork+CycleRest)&lt;CycleWork,INDEX('الإعدادات والقوائم'!$H$2:$H$4,MOD(INT(MOD(GA$3-'الموظفون'!$D$6,CycleWork+CycleRest)*3/CycleWork)+MATCH(StartShift,'الإعدادات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الإجازات'!$D$5:$D$104&lt;=GA$3)*(('حجز الإجازات'!$E$5:$E$104)&gt;=GA$3)*('حجز الإجازات'!$G$5:$G$104="معتمد")*ROW('حجز الإجازات'!$B$5:$B$104)))-5+1))</f>
        <v/>
      </c>
      <c r="GB8" s="62">
        <f>IF(SUMPRODUCT(('حجز الإجازات'!$B$5:$B$104='الموظفون'!$B$6)*('حجز الإجازات'!$D$5:$D$104&lt;=GB$3)*(('حجز الإجازات'!$E$5:$E$104)&gt;=GB$3)*('حجز الإجازات'!$G$5:$G$104="معتمد")*ROW('حجز الإجازات'!$B$5:$B$104))=0,IF(GB$3&lt;'الموظفون'!$D$6,"",IF(ISNUMBER(MATCH(GB$3,Holidays,0)),"عطلة",IF(MOD(GB$3-'الموظفون'!$D$6,CycleWork+CycleRest)&lt;CycleWork,INDEX('الإعدادات والقوائم'!$H$2:$H$4,MOD(INT(MOD(GB$3-'الموظفون'!$D$6,CycleWork+CycleRest)*3/CycleWork)+MATCH(StartShift,'الإعدادات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الإجازات'!$D$5:$D$104&lt;=GB$3)*(('حجز الإجازات'!$E$5:$E$104)&gt;=GB$3)*('حجز الإجازات'!$G$5:$G$104="معتمد")*ROW('حجز الإجازات'!$B$5:$B$104)))-5+1))</f>
        <v/>
      </c>
      <c r="GC8" s="62">
        <f>IF(SUMPRODUCT(('حجز الإجازات'!$B$5:$B$104='الموظفون'!$B$6)*('حجز الإجازات'!$D$5:$D$104&lt;=GC$3)*(('حجز الإجازات'!$E$5:$E$104)&gt;=GC$3)*('حجز الإجازات'!$G$5:$G$104="معتمد")*ROW('حجز الإجازات'!$B$5:$B$104))=0,IF(GC$3&lt;'الموظفون'!$D$6,"",IF(ISNUMBER(MATCH(GC$3,Holidays,0)),"عطلة",IF(MOD(GC$3-'الموظفون'!$D$6,CycleWork+CycleRest)&lt;CycleWork,INDEX('الإعدادات والقوائم'!$H$2:$H$4,MOD(INT(MOD(GC$3-'الموظفون'!$D$6,CycleWork+CycleRest)*3/CycleWork)+MATCH(StartShift,'الإعدادات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الإجازات'!$D$5:$D$104&lt;=GC$3)*(('حجز الإجازات'!$E$5:$E$104)&gt;=GC$3)*('حجز الإجازات'!$G$5:$G$104="معتمد")*ROW('حجز الإجازات'!$B$5:$B$104)))-5+1))</f>
        <v/>
      </c>
      <c r="GD8" s="62">
        <f>IF(SUMPRODUCT(('حجز الإجازات'!$B$5:$B$104='الموظفون'!$B$6)*('حجز الإجازات'!$D$5:$D$104&lt;=GD$3)*(('حجز الإجازات'!$E$5:$E$104)&gt;=GD$3)*('حجز الإجازات'!$G$5:$G$104="معتمد")*ROW('حجز الإجازات'!$B$5:$B$104))=0,IF(GD$3&lt;'الموظفون'!$D$6,"",IF(ISNUMBER(MATCH(GD$3,Holidays,0)),"عطلة",IF(MOD(GD$3-'الموظفون'!$D$6,CycleWork+CycleRest)&lt;CycleWork,INDEX('الإعدادات والقوائم'!$H$2:$H$4,MOD(INT(MOD(GD$3-'الموظفون'!$D$6,CycleWork+CycleRest)*3/CycleWork)+MATCH(StartShift,'الإعدادات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الإجازات'!$D$5:$D$104&lt;=GD$3)*(('حجز الإجازات'!$E$5:$E$104)&gt;=GD$3)*('حجز الإجازات'!$G$5:$G$104="معتمد")*ROW('حجز الإجازات'!$B$5:$B$104)))-5+1))</f>
        <v/>
      </c>
      <c r="GE8" s="62">
        <f>IF(SUMPRODUCT(('حجز الإجازات'!$B$5:$B$104='الموظفون'!$B$6)*('حجز الإجازات'!$D$5:$D$104&lt;=GE$3)*(('حجز الإجازات'!$E$5:$E$104)&gt;=GE$3)*('حجز الإجازات'!$G$5:$G$104="معتمد")*ROW('حجز الإجازات'!$B$5:$B$104))=0,IF(GE$3&lt;'الموظفون'!$D$6,"",IF(ISNUMBER(MATCH(GE$3,Holidays,0)),"عطلة",IF(MOD(GE$3-'الموظفون'!$D$6,CycleWork+CycleRest)&lt;CycleWork,INDEX('الإعدادات والقوائم'!$H$2:$H$4,MOD(INT(MOD(GE$3-'الموظفون'!$D$6,CycleWork+CycleRest)*3/CycleWork)+MATCH(StartShift,'الإعدادات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الإجازات'!$D$5:$D$104&lt;=GE$3)*(('حجز الإجازات'!$E$5:$E$104)&gt;=GE$3)*('حجز الإجازات'!$G$5:$G$104="معتمد")*ROW('حجز الإجازات'!$B$5:$B$104)))-5+1))</f>
        <v/>
      </c>
      <c r="GF8" s="62">
        <f>IF(SUMPRODUCT(('حجز الإجازات'!$B$5:$B$104='الموظفون'!$B$6)*('حجز الإجازات'!$D$5:$D$104&lt;=GF$3)*(('حجز الإجازات'!$E$5:$E$104)&gt;=GF$3)*('حجز الإجازات'!$G$5:$G$104="معتمد")*ROW('حجز الإجازات'!$B$5:$B$104))=0,IF(GF$3&lt;'الموظفون'!$D$6,"",IF(ISNUMBER(MATCH(GF$3,Holidays,0)),"عطلة",IF(MOD(GF$3-'الموظفون'!$D$6,CycleWork+CycleRest)&lt;CycleWork,INDEX('الإعدادات والقوائم'!$H$2:$H$4,MOD(INT(MOD(GF$3-'الموظفون'!$D$6,CycleWork+CycleRest)*3/CycleWork)+MATCH(StartShift,'الإعدادات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الإجازات'!$D$5:$D$104&lt;=GF$3)*(('حجز الإجازات'!$E$5:$E$104)&gt;=GF$3)*('حجز الإجازات'!$G$5:$G$104="معتمد")*ROW('حجز الإجازات'!$B$5:$B$104)))-5+1))</f>
        <v/>
      </c>
      <c r="GG8" s="62">
        <f>IF(SUMPRODUCT(('حجز الإجازات'!$B$5:$B$104='الموظفون'!$B$6)*('حجز الإجازات'!$D$5:$D$104&lt;=GG$3)*(('حجز الإجازات'!$E$5:$E$104)&gt;=GG$3)*('حجز الإجازات'!$G$5:$G$104="معتمد")*ROW('حجز الإجازات'!$B$5:$B$104))=0,IF(GG$3&lt;'الموظفون'!$D$6,"",IF(ISNUMBER(MATCH(GG$3,Holidays,0)),"عطلة",IF(MOD(GG$3-'الموظفون'!$D$6,CycleWork+CycleRest)&lt;CycleWork,INDEX('الإعدادات والقوائم'!$H$2:$H$4,MOD(INT(MOD(GG$3-'الموظفون'!$D$6,CycleWork+CycleRest)*3/CycleWork)+MATCH(StartShift,'الإعدادات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الإجازات'!$D$5:$D$104&lt;=GG$3)*(('حجز الإجازات'!$E$5:$E$104)&gt;=GG$3)*('حجز الإجازات'!$G$5:$G$104="معتمد")*ROW('حجز الإجازات'!$B$5:$B$104)))-5+1))</f>
        <v/>
      </c>
      <c r="GH8" s="62">
        <f>IF(SUMPRODUCT(('حجز الإجازات'!$B$5:$B$104='الموظفون'!$B$6)*('حجز الإجازات'!$D$5:$D$104&lt;=GH$3)*(('حجز الإجازات'!$E$5:$E$104)&gt;=GH$3)*('حجز الإجازات'!$G$5:$G$104="معتمد")*ROW('حجز الإجازات'!$B$5:$B$104))=0,IF(GH$3&lt;'الموظفون'!$D$6,"",IF(ISNUMBER(MATCH(GH$3,Holidays,0)),"عطلة",IF(MOD(GH$3-'الموظفون'!$D$6,CycleWork+CycleRest)&lt;CycleWork,INDEX('الإعدادات والقوائم'!$H$2:$H$4,MOD(INT(MOD(GH$3-'الموظفون'!$D$6,CycleWork+CycleRest)*3/CycleWork)+MATCH(StartShift,'الإعدادات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الإجازات'!$D$5:$D$104&lt;=GH$3)*(('حجز الإجازات'!$E$5:$E$104)&gt;=GH$3)*('حجز الإجازات'!$G$5:$G$104="معتمد")*ROW('حجز الإجازات'!$B$5:$B$104)))-5+1))</f>
        <v/>
      </c>
      <c r="GI8" s="62">
        <f>IF(SUMPRODUCT(('حجز الإجازات'!$B$5:$B$104='الموظفون'!$B$6)*('حجز الإجازات'!$D$5:$D$104&lt;=GI$3)*(('حجز الإجازات'!$E$5:$E$104)&gt;=GI$3)*('حجز الإجازات'!$G$5:$G$104="معتمد")*ROW('حجز الإجازات'!$B$5:$B$104))=0,IF(GI$3&lt;'الموظفون'!$D$6,"",IF(ISNUMBER(MATCH(GI$3,Holidays,0)),"عطلة",IF(MOD(GI$3-'الموظفون'!$D$6,CycleWork+CycleRest)&lt;CycleWork,INDEX('الإعدادات والقوائم'!$H$2:$H$4,MOD(INT(MOD(GI$3-'الموظفون'!$D$6,CycleWork+CycleRest)*3/CycleWork)+MATCH(StartShift,'الإعدادات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الإجازات'!$D$5:$D$104&lt;=GI$3)*(('حجز الإجازات'!$E$5:$E$104)&gt;=GI$3)*('حجز الإجازات'!$G$5:$G$104="معتمد")*ROW('حجز الإجازات'!$B$5:$B$104)))-5+1))</f>
        <v/>
      </c>
      <c r="GJ8" s="62">
        <f>IF(SUMPRODUCT(('حجز الإجازات'!$B$5:$B$104='الموظفون'!$B$6)*('حجز الإجازات'!$D$5:$D$104&lt;=GJ$3)*(('حجز الإجازات'!$E$5:$E$104)&gt;=GJ$3)*('حجز الإجازات'!$G$5:$G$104="معتمد")*ROW('حجز الإجازات'!$B$5:$B$104))=0,IF(GJ$3&lt;'الموظفون'!$D$6,"",IF(ISNUMBER(MATCH(GJ$3,Holidays,0)),"عطلة",IF(MOD(GJ$3-'الموظفون'!$D$6,CycleWork+CycleRest)&lt;CycleWork,INDEX('الإعدادات والقوائم'!$H$2:$H$4,MOD(INT(MOD(GJ$3-'الموظفون'!$D$6,CycleWork+CycleRest)*3/CycleWork)+MATCH(StartShift,'الإعدادات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الإجازات'!$D$5:$D$104&lt;=GJ$3)*(('حجز الإجازات'!$E$5:$E$104)&gt;=GJ$3)*('حجز الإجازات'!$G$5:$G$104="معتمد")*ROW('حجز الإجازات'!$B$5:$B$104)))-5+1))</f>
        <v/>
      </c>
      <c r="GK8" s="62">
        <f>IF(SUMPRODUCT(('حجز الإجازات'!$B$5:$B$104='الموظفون'!$B$6)*('حجز الإجازات'!$D$5:$D$104&lt;=GK$3)*(('حجز الإجازات'!$E$5:$E$104)&gt;=GK$3)*('حجز الإجازات'!$G$5:$G$104="معتمد")*ROW('حجز الإجازات'!$B$5:$B$104))=0,IF(GK$3&lt;'الموظفون'!$D$6,"",IF(ISNUMBER(MATCH(GK$3,Holidays,0)),"عطلة",IF(MOD(GK$3-'الموظفون'!$D$6,CycleWork+CycleRest)&lt;CycleWork,INDEX('الإعدادات والقوائم'!$H$2:$H$4,MOD(INT(MOD(GK$3-'الموظفون'!$D$6,CycleWork+CycleRest)*3/CycleWork)+MATCH(StartShift,'الإعدادات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الإجازات'!$D$5:$D$104&lt;=GK$3)*(('حجز الإجازات'!$E$5:$E$104)&gt;=GK$3)*('حجز الإجازات'!$G$5:$G$104="معتمد")*ROW('حجز الإجازات'!$B$5:$B$104)))-5+1))</f>
        <v/>
      </c>
      <c r="GL8" s="62">
        <f>IF(SUMPRODUCT(('حجز الإجازات'!$B$5:$B$104='الموظفون'!$B$6)*('حجز الإجازات'!$D$5:$D$104&lt;=GL$3)*(('حجز الإجازات'!$E$5:$E$104)&gt;=GL$3)*('حجز الإجازات'!$G$5:$G$104="معتمد")*ROW('حجز الإجازات'!$B$5:$B$104))=0,IF(GL$3&lt;'الموظفون'!$D$6,"",IF(ISNUMBER(MATCH(GL$3,Holidays,0)),"عطلة",IF(MOD(GL$3-'الموظفون'!$D$6,CycleWork+CycleRest)&lt;CycleWork,INDEX('الإعدادات والقوائم'!$H$2:$H$4,MOD(INT(MOD(GL$3-'الموظفون'!$D$6,CycleWork+CycleRest)*3/CycleWork)+MATCH(StartShift,'الإعدادات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الإجازات'!$D$5:$D$104&lt;=GL$3)*(('حجز الإجازات'!$E$5:$E$104)&gt;=GL$3)*('حجز الإجازات'!$G$5:$G$104="معتمد")*ROW('حجز الإجازات'!$B$5:$B$104)))-5+1))</f>
        <v/>
      </c>
      <c r="GM8" s="62">
        <f>IF(SUMPRODUCT(('حجز الإجازات'!$B$5:$B$104='الموظفون'!$B$6)*('حجز الإجازات'!$D$5:$D$104&lt;=GM$3)*(('حجز الإجازات'!$E$5:$E$104)&gt;=GM$3)*('حجز الإجازات'!$G$5:$G$104="معتمد")*ROW('حجز الإجازات'!$B$5:$B$104))=0,IF(GM$3&lt;'الموظفون'!$D$6,"",IF(ISNUMBER(MATCH(GM$3,Holidays,0)),"عطلة",IF(MOD(GM$3-'الموظفون'!$D$6,CycleWork+CycleRest)&lt;CycleWork,INDEX('الإعدادات والقوائم'!$H$2:$H$4,MOD(INT(MOD(GM$3-'الموظفون'!$D$6,CycleWork+CycleRest)*3/CycleWork)+MATCH(StartShift,'الإعدادات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الإجازات'!$D$5:$D$104&lt;=GM$3)*(('حجز الإجازات'!$E$5:$E$104)&gt;=GM$3)*('حجز الإجازات'!$G$5:$G$104="معتمد")*ROW('حجز الإجازات'!$B$5:$B$104)))-5+1))</f>
        <v/>
      </c>
      <c r="GN8" s="62">
        <f>IF(SUMPRODUCT(('حجز الإجازات'!$B$5:$B$104='الموظفون'!$B$6)*('حجز الإجازات'!$D$5:$D$104&lt;=GN$3)*(('حجز الإجازات'!$E$5:$E$104)&gt;=GN$3)*('حجز الإجازات'!$G$5:$G$104="معتمد")*ROW('حجز الإجازات'!$B$5:$B$104))=0,IF(GN$3&lt;'الموظفون'!$D$6,"",IF(ISNUMBER(MATCH(GN$3,Holidays,0)),"عطلة",IF(MOD(GN$3-'الموظفون'!$D$6,CycleWork+CycleRest)&lt;CycleWork,INDEX('الإعدادات والقوائم'!$H$2:$H$4,MOD(INT(MOD(GN$3-'الموظفون'!$D$6,CycleWork+CycleRest)*3/CycleWork)+MATCH(StartShift,'الإعدادات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الإجازات'!$D$5:$D$104&lt;=GN$3)*(('حجز الإجازات'!$E$5:$E$104)&gt;=GN$3)*('حجز الإجازات'!$G$5:$G$104="معتمد")*ROW('حجز الإجازات'!$B$5:$B$104)))-5+1))</f>
        <v/>
      </c>
      <c r="GO8" s="62">
        <f>IF(SUMPRODUCT(('حجز الإجازات'!$B$5:$B$104='الموظفون'!$B$6)*('حجز الإجازات'!$D$5:$D$104&lt;=GO$3)*(('حجز الإجازات'!$E$5:$E$104)&gt;=GO$3)*('حجز الإجازات'!$G$5:$G$104="معتمد")*ROW('حجز الإجازات'!$B$5:$B$104))=0,IF(GO$3&lt;'الموظفون'!$D$6,"",IF(ISNUMBER(MATCH(GO$3,Holidays,0)),"عطلة",IF(MOD(GO$3-'الموظفون'!$D$6,CycleWork+CycleRest)&lt;CycleWork,INDEX('الإعدادات والقوائم'!$H$2:$H$4,MOD(INT(MOD(GO$3-'الموظفون'!$D$6,CycleWork+CycleRest)*3/CycleWork)+MATCH(StartShift,'الإعدادات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الإجازات'!$D$5:$D$104&lt;=GO$3)*(('حجز الإجازات'!$E$5:$E$104)&gt;=GO$3)*('حجز الإجازات'!$G$5:$G$104="معتمد")*ROW('حجز الإجازات'!$B$5:$B$104)))-5+1))</f>
        <v/>
      </c>
      <c r="GP8" s="62">
        <f>IF(SUMPRODUCT(('حجز الإجازات'!$B$5:$B$104='الموظفون'!$B$6)*('حجز الإجازات'!$D$5:$D$104&lt;=GP$3)*(('حجز الإجازات'!$E$5:$E$104)&gt;=GP$3)*('حجز الإجازات'!$G$5:$G$104="معتمد")*ROW('حجز الإجازات'!$B$5:$B$104))=0,IF(GP$3&lt;'الموظفون'!$D$6,"",IF(ISNUMBER(MATCH(GP$3,Holidays,0)),"عطلة",IF(MOD(GP$3-'الموظفون'!$D$6,CycleWork+CycleRest)&lt;CycleWork,INDEX('الإعدادات والقوائم'!$H$2:$H$4,MOD(INT(MOD(GP$3-'الموظفون'!$D$6,CycleWork+CycleRest)*3/CycleWork)+MATCH(StartShift,'الإعدادات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الإجازات'!$D$5:$D$104&lt;=GP$3)*(('حجز الإجازات'!$E$5:$E$104)&gt;=GP$3)*('حجز الإجازات'!$G$5:$G$104="معتمد")*ROW('حجز الإجازات'!$B$5:$B$104)))-5+1))</f>
        <v/>
      </c>
      <c r="GQ8" s="62">
        <f>IF(SUMPRODUCT(('حجز الإجازات'!$B$5:$B$104='الموظفون'!$B$6)*('حجز الإجازات'!$D$5:$D$104&lt;=GQ$3)*(('حجز الإجازات'!$E$5:$E$104)&gt;=GQ$3)*('حجز الإجازات'!$G$5:$G$104="معتمد")*ROW('حجز الإجازات'!$B$5:$B$104))=0,IF(GQ$3&lt;'الموظفون'!$D$6,"",IF(ISNUMBER(MATCH(GQ$3,Holidays,0)),"عطلة",IF(MOD(GQ$3-'الموظفون'!$D$6,CycleWork+CycleRest)&lt;CycleWork,INDEX('الإعدادات والقوائم'!$H$2:$H$4,MOD(INT(MOD(GQ$3-'الموظفون'!$D$6,CycleWork+CycleRest)*3/CycleWork)+MATCH(StartShift,'الإعدادات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الإجازات'!$D$5:$D$104&lt;=GQ$3)*(('حجز الإجازات'!$E$5:$E$104)&gt;=GQ$3)*('حجز الإجازات'!$G$5:$G$104="معتمد")*ROW('حجز الإجازات'!$B$5:$B$104)))-5+1))</f>
        <v/>
      </c>
      <c r="GR8" s="62">
        <f>IF(SUMPRODUCT(('حجز الإجازات'!$B$5:$B$104='الموظفون'!$B$6)*('حجز الإجازات'!$D$5:$D$104&lt;=GR$3)*(('حجز الإجازات'!$E$5:$E$104)&gt;=GR$3)*('حجز الإجازات'!$G$5:$G$104="معتمد")*ROW('حجز الإجازات'!$B$5:$B$104))=0,IF(GR$3&lt;'الموظفون'!$D$6,"",IF(ISNUMBER(MATCH(GR$3,Holidays,0)),"عطلة",IF(MOD(GR$3-'الموظفون'!$D$6,CycleWork+CycleRest)&lt;CycleWork,INDEX('الإعدادات والقوائم'!$H$2:$H$4,MOD(INT(MOD(GR$3-'الموظفون'!$D$6,CycleWork+CycleRest)*3/CycleWork)+MATCH(StartShift,'الإعدادات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الإجازات'!$D$5:$D$104&lt;=GR$3)*(('حجز الإجازات'!$E$5:$E$104)&gt;=GR$3)*('حجز الإجازات'!$G$5:$G$104="معتمد")*ROW('حجز الإجازات'!$B$5:$B$104)))-5+1))</f>
        <v/>
      </c>
      <c r="GS8" s="62">
        <f>IF(SUMPRODUCT(('حجز الإجازات'!$B$5:$B$104='الموظفون'!$B$6)*('حجز الإجازات'!$D$5:$D$104&lt;=GS$3)*(('حجز الإجازات'!$E$5:$E$104)&gt;=GS$3)*('حجز الإجازات'!$G$5:$G$104="معتمد")*ROW('حجز الإجازات'!$B$5:$B$104))=0,IF(GS$3&lt;'الموظفون'!$D$6,"",IF(ISNUMBER(MATCH(GS$3,Holidays,0)),"عطلة",IF(MOD(GS$3-'الموظفون'!$D$6,CycleWork+CycleRest)&lt;CycleWork,INDEX('الإعدادات والقوائم'!$H$2:$H$4,MOD(INT(MOD(GS$3-'الموظفون'!$D$6,CycleWork+CycleRest)*3/CycleWork)+MATCH(StartShift,'الإعدادات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الإجازات'!$D$5:$D$104&lt;=GS$3)*(('حجز الإجازات'!$E$5:$E$104)&gt;=GS$3)*('حجز الإجازات'!$G$5:$G$104="معتمد")*ROW('حجز الإجازات'!$B$5:$B$104)))-5+1))</f>
        <v/>
      </c>
      <c r="GT8" s="62">
        <f>IF(SUMPRODUCT(('حجز الإجازات'!$B$5:$B$104='الموظفون'!$B$6)*('حجز الإجازات'!$D$5:$D$104&lt;=GT$3)*(('حجز الإجازات'!$E$5:$E$104)&gt;=GT$3)*('حجز الإجازات'!$G$5:$G$104="معتمد")*ROW('حجز الإجازات'!$B$5:$B$104))=0,IF(GT$3&lt;'الموظفون'!$D$6,"",IF(ISNUMBER(MATCH(GT$3,Holidays,0)),"عطلة",IF(MOD(GT$3-'الموظفون'!$D$6,CycleWork+CycleRest)&lt;CycleWork,INDEX('الإعدادات والقوائم'!$H$2:$H$4,MOD(INT(MOD(GT$3-'الموظفون'!$D$6,CycleWork+CycleRest)*3/CycleWork)+MATCH(StartShift,'الإعدادات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الإجازات'!$D$5:$D$104&lt;=GT$3)*(('حجز الإجازات'!$E$5:$E$104)&gt;=GT$3)*('حجز الإجازات'!$G$5:$G$104="معتمد")*ROW('حجز الإجازات'!$B$5:$B$104)))-5+1))</f>
        <v/>
      </c>
      <c r="GU8" s="62">
        <f>IF(SUMPRODUCT(('حجز الإجازات'!$B$5:$B$104='الموظفون'!$B$6)*('حجز الإجازات'!$D$5:$D$104&lt;=GU$3)*(('حجز الإجازات'!$E$5:$E$104)&gt;=GU$3)*('حجز الإجازات'!$G$5:$G$104="معتمد")*ROW('حجز الإجازات'!$B$5:$B$104))=0,IF(GU$3&lt;'الموظفون'!$D$6,"",IF(ISNUMBER(MATCH(GU$3,Holidays,0)),"عطلة",IF(MOD(GU$3-'الموظفون'!$D$6,CycleWork+CycleRest)&lt;CycleWork,INDEX('الإعدادات والقوائم'!$H$2:$H$4,MOD(INT(MOD(GU$3-'الموظفون'!$D$6,CycleWork+CycleRest)*3/CycleWork)+MATCH(StartShift,'الإعدادات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الإجازات'!$D$5:$D$104&lt;=GU$3)*(('حجز الإجازات'!$E$5:$E$104)&gt;=GU$3)*('حجز الإجازات'!$G$5:$G$104="معتمد")*ROW('حجز الإجازات'!$B$5:$B$104)))-5+1))</f>
        <v/>
      </c>
      <c r="GV8" s="62">
        <f>IF(SUMPRODUCT(('حجز الإجازات'!$B$5:$B$104='الموظفون'!$B$6)*('حجز الإجازات'!$D$5:$D$104&lt;=GV$3)*(('حجز الإجازات'!$E$5:$E$104)&gt;=GV$3)*('حجز الإجازات'!$G$5:$G$104="معتمد")*ROW('حجز الإجازات'!$B$5:$B$104))=0,IF(GV$3&lt;'الموظفون'!$D$6,"",IF(ISNUMBER(MATCH(GV$3,Holidays,0)),"عطلة",IF(MOD(GV$3-'الموظفون'!$D$6,CycleWork+CycleRest)&lt;CycleWork,INDEX('الإعدادات والقوائم'!$H$2:$H$4,MOD(INT(MOD(GV$3-'الموظفون'!$D$6,CycleWork+CycleRest)*3/CycleWork)+MATCH(StartShift,'الإعدادات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الإجازات'!$D$5:$D$104&lt;=GV$3)*(('حجز الإجازات'!$E$5:$E$104)&gt;=GV$3)*('حجز الإجازات'!$G$5:$G$104="معتمد")*ROW('حجز الإجازات'!$B$5:$B$104)))-5+1))</f>
        <v/>
      </c>
      <c r="GW8" s="62">
        <f>IF(SUMPRODUCT(('حجز الإجازات'!$B$5:$B$104='الموظفون'!$B$6)*('حجز الإجازات'!$D$5:$D$104&lt;=GW$3)*(('حجز الإجازات'!$E$5:$E$104)&gt;=GW$3)*('حجز الإجازات'!$G$5:$G$104="معتمد")*ROW('حجز الإجازات'!$B$5:$B$104))=0,IF(GW$3&lt;'الموظفون'!$D$6,"",IF(ISNUMBER(MATCH(GW$3,Holidays,0)),"عطلة",IF(MOD(GW$3-'الموظفون'!$D$6,CycleWork+CycleRest)&lt;CycleWork,INDEX('الإعدادات والقوائم'!$H$2:$H$4,MOD(INT(MOD(GW$3-'الموظفون'!$D$6,CycleWork+CycleRest)*3/CycleWork)+MATCH(StartShift,'الإعدادات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الإجازات'!$D$5:$D$104&lt;=GW$3)*(('حجز الإجازات'!$E$5:$E$104)&gt;=GW$3)*('حجز الإجازات'!$G$5:$G$104="معتمد")*ROW('حجز الإجازات'!$B$5:$B$104)))-5+1))</f>
        <v/>
      </c>
      <c r="GX8" s="62">
        <f>IF(SUMPRODUCT(('حجز الإجازات'!$B$5:$B$104='الموظفون'!$B$6)*('حجز الإجازات'!$D$5:$D$104&lt;=GX$3)*(('حجز الإجازات'!$E$5:$E$104)&gt;=GX$3)*('حجز الإجازات'!$G$5:$G$104="معتمد")*ROW('حجز الإجازات'!$B$5:$B$104))=0,IF(GX$3&lt;'الموظفون'!$D$6,"",IF(ISNUMBER(MATCH(GX$3,Holidays,0)),"عطلة",IF(MOD(GX$3-'الموظفون'!$D$6,CycleWork+CycleRest)&lt;CycleWork,INDEX('الإعدادات والقوائم'!$H$2:$H$4,MOD(INT(MOD(GX$3-'الموظفون'!$D$6,CycleWork+CycleRest)*3/CycleWork)+MATCH(StartShift,'الإعدادات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الإجازات'!$D$5:$D$104&lt;=GX$3)*(('حجز الإجازات'!$E$5:$E$104)&gt;=GX$3)*('حجز الإجازات'!$G$5:$G$104="معتمد")*ROW('حجز الإجازات'!$B$5:$B$104)))-5+1))</f>
        <v/>
      </c>
      <c r="GY8" s="62">
        <f>IF(SUMPRODUCT(('حجز الإجازات'!$B$5:$B$104='الموظفون'!$B$6)*('حجز الإجازات'!$D$5:$D$104&lt;=GY$3)*(('حجز الإجازات'!$E$5:$E$104)&gt;=GY$3)*('حجز الإجازات'!$G$5:$G$104="معتمد")*ROW('حجز الإجازات'!$B$5:$B$104))=0,IF(GY$3&lt;'الموظفون'!$D$6,"",IF(ISNUMBER(MATCH(GY$3,Holidays,0)),"عطلة",IF(MOD(GY$3-'الموظفون'!$D$6,CycleWork+CycleRest)&lt;CycleWork,INDEX('الإعدادات والقوائم'!$H$2:$H$4,MOD(INT(MOD(GY$3-'الموظفون'!$D$6,CycleWork+CycleRest)*3/CycleWork)+MATCH(StartShift,'الإعدادات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الإجازات'!$D$5:$D$104&lt;=GY$3)*(('حجز الإجازات'!$E$5:$E$104)&gt;=GY$3)*('حجز الإجازات'!$G$5:$G$104="معتمد")*ROW('حجز الإجازات'!$B$5:$B$104)))-5+1))</f>
        <v/>
      </c>
      <c r="GZ8" s="62">
        <f>IF(SUMPRODUCT(('حجز الإجازات'!$B$5:$B$104='الموظفون'!$B$6)*('حجز الإجازات'!$D$5:$D$104&lt;=GZ$3)*(('حجز الإجازات'!$E$5:$E$104)&gt;=GZ$3)*('حجز الإجازات'!$G$5:$G$104="معتمد")*ROW('حجز الإجازات'!$B$5:$B$104))=0,IF(GZ$3&lt;'الموظفون'!$D$6,"",IF(ISNUMBER(MATCH(GZ$3,Holidays,0)),"عطلة",IF(MOD(GZ$3-'الموظفون'!$D$6,CycleWork+CycleRest)&lt;CycleWork,INDEX('الإعدادات والقوائم'!$H$2:$H$4,MOD(INT(MOD(GZ$3-'الموظفون'!$D$6,CycleWork+CycleRest)*3/CycleWork)+MATCH(StartShift,'الإعدادات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الإجازات'!$D$5:$D$104&lt;=GZ$3)*(('حجز الإجازات'!$E$5:$E$104)&gt;=GZ$3)*('حجز الإجازات'!$G$5:$G$104="معتمد")*ROW('حجز الإجازات'!$B$5:$B$104)))-5+1))</f>
        <v/>
      </c>
      <c r="HA8" s="62">
        <f>IF(SUMPRODUCT(('حجز الإجازات'!$B$5:$B$104='الموظفون'!$B$6)*('حجز الإجازات'!$D$5:$D$104&lt;=HA$3)*(('حجز الإجازات'!$E$5:$E$104)&gt;=HA$3)*('حجز الإجازات'!$G$5:$G$104="معتمد")*ROW('حجز الإجازات'!$B$5:$B$104))=0,IF(HA$3&lt;'الموظفون'!$D$6,"",IF(ISNUMBER(MATCH(HA$3,Holidays,0)),"عطلة",IF(MOD(HA$3-'الموظفون'!$D$6,CycleWork+CycleRest)&lt;CycleWork,INDEX('الإعدادات والقوائم'!$H$2:$H$4,MOD(INT(MOD(HA$3-'الموظفون'!$D$6,CycleWork+CycleRest)*3/CycleWork)+MATCH(StartShift,'الإعدادات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الإجازات'!$D$5:$D$104&lt;=HA$3)*(('حجز الإجازات'!$E$5:$E$104)&gt;=HA$3)*('حجز الإجازات'!$G$5:$G$104="معتمد")*ROW('حجز الإجازات'!$B$5:$B$104)))-5+1))</f>
        <v/>
      </c>
      <c r="HB8" s="62">
        <f>IF(SUMPRODUCT(('حجز الإجازات'!$B$5:$B$104='الموظفون'!$B$6)*('حجز الإجازات'!$D$5:$D$104&lt;=HB$3)*(('حجز الإجازات'!$E$5:$E$104)&gt;=HB$3)*('حجز الإجازات'!$G$5:$G$104="معتمد")*ROW('حجز الإجازات'!$B$5:$B$104))=0,IF(HB$3&lt;'الموظفون'!$D$6,"",IF(ISNUMBER(MATCH(HB$3,Holidays,0)),"عطلة",IF(MOD(HB$3-'الموظفون'!$D$6,CycleWork+CycleRest)&lt;CycleWork,INDEX('الإعدادات والقوائم'!$H$2:$H$4,MOD(INT(MOD(HB$3-'الموظفون'!$D$6,CycleWork+CycleRest)*3/CycleWork)+MATCH(StartShift,'الإعدادات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الإجازات'!$D$5:$D$104&lt;=HB$3)*(('حجز الإجازات'!$E$5:$E$104)&gt;=HB$3)*('حجز الإجازات'!$G$5:$G$104="معتمد")*ROW('حجز الإجازات'!$B$5:$B$104)))-5+1))</f>
        <v/>
      </c>
      <c r="HC8" s="62">
        <f>IF(SUMPRODUCT(('حجز الإجازات'!$B$5:$B$104='الموظفون'!$B$6)*('حجز الإجازات'!$D$5:$D$104&lt;=HC$3)*(('حجز الإجازات'!$E$5:$E$104)&gt;=HC$3)*('حجز الإجازات'!$G$5:$G$104="معتمد")*ROW('حجز الإجازات'!$B$5:$B$104))=0,IF(HC$3&lt;'الموظفون'!$D$6,"",IF(ISNUMBER(MATCH(HC$3,Holidays,0)),"عطلة",IF(MOD(HC$3-'الموظفون'!$D$6,CycleWork+CycleRest)&lt;CycleWork,INDEX('الإعدادات والقوائم'!$H$2:$H$4,MOD(INT(MOD(HC$3-'الموظفون'!$D$6,CycleWork+CycleRest)*3/CycleWork)+MATCH(StartShift,'الإعدادات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الإجازات'!$D$5:$D$104&lt;=HC$3)*(('حجز الإجازات'!$E$5:$E$104)&gt;=HC$3)*('حجز الإجازات'!$G$5:$G$104="معتمد")*ROW('حجز الإجازات'!$B$5:$B$104)))-5+1))</f>
        <v/>
      </c>
      <c r="HD8" s="62">
        <f>IF(SUMPRODUCT(('حجز الإجازات'!$B$5:$B$104='الموظفون'!$B$6)*('حجز الإجازات'!$D$5:$D$104&lt;=HD$3)*(('حجز الإجازات'!$E$5:$E$104)&gt;=HD$3)*('حجز الإجازات'!$G$5:$G$104="معتمد")*ROW('حجز الإجازات'!$B$5:$B$104))=0,IF(HD$3&lt;'الموظفون'!$D$6,"",IF(ISNUMBER(MATCH(HD$3,Holidays,0)),"عطلة",IF(MOD(HD$3-'الموظفون'!$D$6,CycleWork+CycleRest)&lt;CycleWork,INDEX('الإعدادات والقوائم'!$H$2:$H$4,MOD(INT(MOD(HD$3-'الموظفون'!$D$6,CycleWork+CycleRest)*3/CycleWork)+MATCH(StartShift,'الإعدادات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الإجازات'!$D$5:$D$104&lt;=HD$3)*(('حجز الإجازات'!$E$5:$E$104)&gt;=HD$3)*('حجز الإجازات'!$G$5:$G$104="معتمد")*ROW('حجز الإجازات'!$B$5:$B$104)))-5+1))</f>
        <v/>
      </c>
      <c r="HE8" s="62">
        <f>IF(SUMPRODUCT(('حجز الإجازات'!$B$5:$B$104='الموظفون'!$B$6)*('حجز الإجازات'!$D$5:$D$104&lt;=HE$3)*(('حجز الإجازات'!$E$5:$E$104)&gt;=HE$3)*('حجز الإجازات'!$G$5:$G$104="معتمد")*ROW('حجز الإجازات'!$B$5:$B$104))=0,IF(HE$3&lt;'الموظفون'!$D$6,"",IF(ISNUMBER(MATCH(HE$3,Holidays,0)),"عطلة",IF(MOD(HE$3-'الموظفون'!$D$6,CycleWork+CycleRest)&lt;CycleWork,INDEX('الإعدادات والقوائم'!$H$2:$H$4,MOD(INT(MOD(HE$3-'الموظفون'!$D$6,CycleWork+CycleRest)*3/CycleWork)+MATCH(StartShift,'الإعدادات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الإجازات'!$D$5:$D$104&lt;=HE$3)*(('حجز الإجازات'!$E$5:$E$104)&gt;=HE$3)*('حجز الإجازات'!$G$5:$G$104="معتمد")*ROW('حجز الإجازات'!$B$5:$B$104)))-5+1))</f>
        <v/>
      </c>
      <c r="HF8" s="62">
        <f>IF(SUMPRODUCT(('حجز الإجازات'!$B$5:$B$104='الموظفون'!$B$6)*('حجز الإجازات'!$D$5:$D$104&lt;=HF$3)*(('حجز الإجازات'!$E$5:$E$104)&gt;=HF$3)*('حجز الإجازات'!$G$5:$G$104="معتمد")*ROW('حجز الإجازات'!$B$5:$B$104))=0,IF(HF$3&lt;'الموظفون'!$D$6,"",IF(ISNUMBER(MATCH(HF$3,Holidays,0)),"عطلة",IF(MOD(HF$3-'الموظفون'!$D$6,CycleWork+CycleRest)&lt;CycleWork,INDEX('الإعدادات والقوائم'!$H$2:$H$4,MOD(INT(MOD(HF$3-'الموظفون'!$D$6,CycleWork+CycleRest)*3/CycleWork)+MATCH(StartShift,'الإعدادات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الإجازات'!$D$5:$D$104&lt;=HF$3)*(('حجز الإجازات'!$E$5:$E$104)&gt;=HF$3)*('حجز الإجازات'!$G$5:$G$104="معتمد")*ROW('حجز الإجازات'!$B$5:$B$104)))-5+1))</f>
        <v/>
      </c>
      <c r="HG8" s="62">
        <f>IF(SUMPRODUCT(('حجز الإجازات'!$B$5:$B$104='الموظفون'!$B$6)*('حجز الإجازات'!$D$5:$D$104&lt;=HG$3)*(('حجز الإجازات'!$E$5:$E$104)&gt;=HG$3)*('حجز الإجازات'!$G$5:$G$104="معتمد")*ROW('حجز الإجازات'!$B$5:$B$104))=0,IF(HG$3&lt;'الموظفون'!$D$6,"",IF(ISNUMBER(MATCH(HG$3,Holidays,0)),"عطلة",IF(MOD(HG$3-'الموظفون'!$D$6,CycleWork+CycleRest)&lt;CycleWork,INDEX('الإعدادات والقوائم'!$H$2:$H$4,MOD(INT(MOD(HG$3-'الموظفون'!$D$6,CycleWork+CycleRest)*3/CycleWork)+MATCH(StartShift,'الإعدادات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الإجازات'!$D$5:$D$104&lt;=HG$3)*(('حجز الإجازات'!$E$5:$E$104)&gt;=HG$3)*('حجز الإجازات'!$G$5:$G$104="معتمد")*ROW('حجز الإجازات'!$B$5:$B$104)))-5+1))</f>
        <v/>
      </c>
      <c r="HH8" s="62">
        <f>IF(SUMPRODUCT(('حجز الإجازات'!$B$5:$B$104='الموظفون'!$B$6)*('حجز الإجازات'!$D$5:$D$104&lt;=HH$3)*(('حجز الإجازات'!$E$5:$E$104)&gt;=HH$3)*('حجز الإجازات'!$G$5:$G$104="معتمد")*ROW('حجز الإجازات'!$B$5:$B$104))=0,IF(HH$3&lt;'الموظفون'!$D$6,"",IF(ISNUMBER(MATCH(HH$3,Holidays,0)),"عطلة",IF(MOD(HH$3-'الموظفون'!$D$6,CycleWork+CycleRest)&lt;CycleWork,INDEX('الإعدادات والقوائم'!$H$2:$H$4,MOD(INT(MOD(HH$3-'الموظفون'!$D$6,CycleWork+CycleRest)*3/CycleWork)+MATCH(StartShift,'الإعدادات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الإجازات'!$D$5:$D$104&lt;=HH$3)*(('حجز الإجازات'!$E$5:$E$104)&gt;=HH$3)*('حجز الإجازات'!$G$5:$G$104="معتمد")*ROW('حجز الإجازات'!$B$5:$B$104)))-5+1))</f>
        <v/>
      </c>
      <c r="HI8" s="62">
        <f>IF(SUMPRODUCT(('حجز الإجازات'!$B$5:$B$104='الموظفون'!$B$6)*('حجز الإجازات'!$D$5:$D$104&lt;=HI$3)*(('حجز الإجازات'!$E$5:$E$104)&gt;=HI$3)*('حجز الإجازات'!$G$5:$G$104="معتمد")*ROW('حجز الإجازات'!$B$5:$B$104))=0,IF(HI$3&lt;'الموظفون'!$D$6,"",IF(ISNUMBER(MATCH(HI$3,Holidays,0)),"عطلة",IF(MOD(HI$3-'الموظفون'!$D$6,CycleWork+CycleRest)&lt;CycleWork,INDEX('الإعدادات والقوائم'!$H$2:$H$4,MOD(INT(MOD(HI$3-'الموظفون'!$D$6,CycleWork+CycleRest)*3/CycleWork)+MATCH(StartShift,'الإعدادات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الإجازات'!$D$5:$D$104&lt;=HI$3)*(('حجز الإجازات'!$E$5:$E$104)&gt;=HI$3)*('حجز الإجازات'!$G$5:$G$104="معتمد")*ROW('حجز الإجازات'!$B$5:$B$104)))-5+1))</f>
        <v/>
      </c>
      <c r="HJ8" s="62">
        <f>IF(SUMPRODUCT(('حجز الإجازات'!$B$5:$B$104='الموظفون'!$B$6)*('حجز الإجازات'!$D$5:$D$104&lt;=HJ$3)*(('حجز الإجازات'!$E$5:$E$104)&gt;=HJ$3)*('حجز الإجازات'!$G$5:$G$104="معتمد")*ROW('حجز الإجازات'!$B$5:$B$104))=0,IF(HJ$3&lt;'الموظفون'!$D$6,"",IF(ISNUMBER(MATCH(HJ$3,Holidays,0)),"عطلة",IF(MOD(HJ$3-'الموظفون'!$D$6,CycleWork+CycleRest)&lt;CycleWork,INDEX('الإعدادات والقوائم'!$H$2:$H$4,MOD(INT(MOD(HJ$3-'الموظفون'!$D$6,CycleWork+CycleRest)*3/CycleWork)+MATCH(StartShift,'الإعدادات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الإجازات'!$D$5:$D$104&lt;=HJ$3)*(('حجز الإجازات'!$E$5:$E$104)&gt;=HJ$3)*('حجز الإجازات'!$G$5:$G$104="معتمد")*ROW('حجز الإجازات'!$B$5:$B$104)))-5+1))</f>
        <v/>
      </c>
      <c r="HK8" s="62">
        <f>IF(SUMPRODUCT(('حجز الإجازات'!$B$5:$B$104='الموظفون'!$B$6)*('حجز الإجازات'!$D$5:$D$104&lt;=HK$3)*(('حجز الإجازات'!$E$5:$E$104)&gt;=HK$3)*('حجز الإجازات'!$G$5:$G$104="معتمد")*ROW('حجز الإجازات'!$B$5:$B$104))=0,IF(HK$3&lt;'الموظفون'!$D$6,"",IF(ISNUMBER(MATCH(HK$3,Holidays,0)),"عطلة",IF(MOD(HK$3-'الموظفون'!$D$6,CycleWork+CycleRest)&lt;CycleWork,INDEX('الإعدادات والقوائم'!$H$2:$H$4,MOD(INT(MOD(HK$3-'الموظفون'!$D$6,CycleWork+CycleRest)*3/CycleWork)+MATCH(StartShift,'الإعدادات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الإجازات'!$D$5:$D$104&lt;=HK$3)*(('حجز الإجازات'!$E$5:$E$104)&gt;=HK$3)*('حجز الإجازات'!$G$5:$G$104="معتمد")*ROW('حجز الإجازات'!$B$5:$B$104)))-5+1))</f>
        <v/>
      </c>
      <c r="HL8" s="62">
        <f>IF(SUMPRODUCT(('حجز الإجازات'!$B$5:$B$104='الموظفون'!$B$6)*('حجز الإجازات'!$D$5:$D$104&lt;=HL$3)*(('حجز الإجازات'!$E$5:$E$104)&gt;=HL$3)*('حجز الإجازات'!$G$5:$G$104="معتمد")*ROW('حجز الإجازات'!$B$5:$B$104))=0,IF(HL$3&lt;'الموظفون'!$D$6,"",IF(ISNUMBER(MATCH(HL$3,Holidays,0)),"عطلة",IF(MOD(HL$3-'الموظفون'!$D$6,CycleWork+CycleRest)&lt;CycleWork,INDEX('الإعدادات والقوائم'!$H$2:$H$4,MOD(INT(MOD(HL$3-'الموظفون'!$D$6,CycleWork+CycleRest)*3/CycleWork)+MATCH(StartShift,'الإعدادات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الإجازات'!$D$5:$D$104&lt;=HL$3)*(('حجز الإجازات'!$E$5:$E$104)&gt;=HL$3)*('حجز الإجازات'!$G$5:$G$104="معتمد")*ROW('حجز الإجازات'!$B$5:$B$104)))-5+1))</f>
        <v/>
      </c>
      <c r="HM8" s="62">
        <f>IF(SUMPRODUCT(('حجز الإجازات'!$B$5:$B$104='الموظفون'!$B$6)*('حجز الإجازات'!$D$5:$D$104&lt;=HM$3)*(('حجز الإجازات'!$E$5:$E$104)&gt;=HM$3)*('حجز الإجازات'!$G$5:$G$104="معتمد")*ROW('حجز الإجازات'!$B$5:$B$104))=0,IF(HM$3&lt;'الموظفون'!$D$6,"",IF(ISNUMBER(MATCH(HM$3,Holidays,0)),"عطلة",IF(MOD(HM$3-'الموظفون'!$D$6,CycleWork+CycleRest)&lt;CycleWork,INDEX('الإعدادات والقوائم'!$H$2:$H$4,MOD(INT(MOD(HM$3-'الموظفون'!$D$6,CycleWork+CycleRest)*3/CycleWork)+MATCH(StartShift,'الإعدادات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الإجازات'!$D$5:$D$104&lt;=HM$3)*(('حجز الإجازات'!$E$5:$E$104)&gt;=HM$3)*('حجز الإجازات'!$G$5:$G$104="معتمد")*ROW('حجز الإجازات'!$B$5:$B$104)))-5+1))</f>
        <v/>
      </c>
      <c r="HN8" s="62">
        <f>IF(SUMPRODUCT(('حجز الإجازات'!$B$5:$B$104='الموظفون'!$B$6)*('حجز الإجازات'!$D$5:$D$104&lt;=HN$3)*(('حجز الإجازات'!$E$5:$E$104)&gt;=HN$3)*('حجز الإجازات'!$G$5:$G$104="معتمد")*ROW('حجز الإجازات'!$B$5:$B$104))=0,IF(HN$3&lt;'الموظفون'!$D$6,"",IF(ISNUMBER(MATCH(HN$3,Holidays,0)),"عطلة",IF(MOD(HN$3-'الموظفون'!$D$6,CycleWork+CycleRest)&lt;CycleWork,INDEX('الإعدادات والقوائم'!$H$2:$H$4,MOD(INT(MOD(HN$3-'الموظفون'!$D$6,CycleWork+CycleRest)*3/CycleWork)+MATCH(StartShift,'الإعدادات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الإجازات'!$D$5:$D$104&lt;=HN$3)*(('حجز الإجازات'!$E$5:$E$104)&gt;=HN$3)*('حجز الإجازات'!$G$5:$G$104="معتمد")*ROW('حجز الإجازات'!$B$5:$B$104)))-5+1))</f>
        <v/>
      </c>
      <c r="HO8" s="62">
        <f>IF(SUMPRODUCT(('حجز الإجازات'!$B$5:$B$104='الموظفون'!$B$6)*('حجز الإجازات'!$D$5:$D$104&lt;=HO$3)*(('حجز الإجازات'!$E$5:$E$104)&gt;=HO$3)*('حجز الإجازات'!$G$5:$G$104="معتمد")*ROW('حجز الإجازات'!$B$5:$B$104))=0,IF(HO$3&lt;'الموظفون'!$D$6,"",IF(ISNUMBER(MATCH(HO$3,Holidays,0)),"عطلة",IF(MOD(HO$3-'الموظفون'!$D$6,CycleWork+CycleRest)&lt;CycleWork,INDEX('الإعدادات والقوائم'!$H$2:$H$4,MOD(INT(MOD(HO$3-'الموظفون'!$D$6,CycleWork+CycleRest)*3/CycleWork)+MATCH(StartShift,'الإعدادات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الإجازات'!$D$5:$D$104&lt;=HO$3)*(('حجز الإجازات'!$E$5:$E$104)&gt;=HO$3)*('حجز الإجازات'!$G$5:$G$104="معتمد")*ROW('حجز الإجازات'!$B$5:$B$104)))-5+1))</f>
        <v/>
      </c>
      <c r="HP8" s="62">
        <f>IF(SUMPRODUCT(('حجز الإجازات'!$B$5:$B$104='الموظفون'!$B$6)*('حجز الإجازات'!$D$5:$D$104&lt;=HP$3)*(('حجز الإجازات'!$E$5:$E$104)&gt;=HP$3)*('حجز الإجازات'!$G$5:$G$104="معتمد")*ROW('حجز الإجازات'!$B$5:$B$104))=0,IF(HP$3&lt;'الموظفون'!$D$6,"",IF(ISNUMBER(MATCH(HP$3,Holidays,0)),"عطلة",IF(MOD(HP$3-'الموظفون'!$D$6,CycleWork+CycleRest)&lt;CycleWork,INDEX('الإعدادات والقوائم'!$H$2:$H$4,MOD(INT(MOD(HP$3-'الموظفون'!$D$6,CycleWork+CycleRest)*3/CycleWork)+MATCH(StartShift,'الإعدادات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الإجازات'!$D$5:$D$104&lt;=HP$3)*(('حجز الإجازات'!$E$5:$E$104)&gt;=HP$3)*('حجز الإجازات'!$G$5:$G$104="معتمد")*ROW('حجز الإجازات'!$B$5:$B$104)))-5+1))</f>
        <v/>
      </c>
      <c r="HQ8" s="62">
        <f>IF(SUMPRODUCT(('حجز الإجازات'!$B$5:$B$104='الموظفون'!$B$6)*('حجز الإجازات'!$D$5:$D$104&lt;=HQ$3)*(('حجز الإجازات'!$E$5:$E$104)&gt;=HQ$3)*('حجز الإجازات'!$G$5:$G$104="معتمد")*ROW('حجز الإجازات'!$B$5:$B$104))=0,IF(HQ$3&lt;'الموظفون'!$D$6,"",IF(ISNUMBER(MATCH(HQ$3,Holidays,0)),"عطلة",IF(MOD(HQ$3-'الموظفون'!$D$6,CycleWork+CycleRest)&lt;CycleWork,INDEX('الإعدادات والقوائم'!$H$2:$H$4,MOD(INT(MOD(HQ$3-'الموظفون'!$D$6,CycleWork+CycleRest)*3/CycleWork)+MATCH(StartShift,'الإعدادات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الإجازات'!$D$5:$D$104&lt;=HQ$3)*(('حجز الإجازات'!$E$5:$E$104)&gt;=HQ$3)*('حجز الإجازات'!$G$5:$G$104="معتمد")*ROW('حجز الإجازات'!$B$5:$B$104)))-5+1))</f>
        <v/>
      </c>
      <c r="HR8" s="62">
        <f>IF(SUMPRODUCT(('حجز الإجازات'!$B$5:$B$104='الموظفون'!$B$6)*('حجز الإجازات'!$D$5:$D$104&lt;=HR$3)*(('حجز الإجازات'!$E$5:$E$104)&gt;=HR$3)*('حجز الإجازات'!$G$5:$G$104="معتمد")*ROW('حجز الإجازات'!$B$5:$B$104))=0,IF(HR$3&lt;'الموظفون'!$D$6,"",IF(ISNUMBER(MATCH(HR$3,Holidays,0)),"عطلة",IF(MOD(HR$3-'الموظفون'!$D$6,CycleWork+CycleRest)&lt;CycleWork,INDEX('الإعدادات والقوائم'!$H$2:$H$4,MOD(INT(MOD(HR$3-'الموظفون'!$D$6,CycleWork+CycleRest)*3/CycleWork)+MATCH(StartShift,'الإعدادات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الإجازات'!$D$5:$D$104&lt;=HR$3)*(('حجز الإجازات'!$E$5:$E$104)&gt;=HR$3)*('حجز الإجازات'!$G$5:$G$104="معتمد")*ROW('حجز الإجازات'!$B$5:$B$104)))-5+1))</f>
        <v/>
      </c>
      <c r="HS8" s="62">
        <f>IF(SUMPRODUCT(('حجز الإجازات'!$B$5:$B$104='الموظفون'!$B$6)*('حجز الإجازات'!$D$5:$D$104&lt;=HS$3)*(('حجز الإجازات'!$E$5:$E$104)&gt;=HS$3)*('حجز الإجازات'!$G$5:$G$104="معتمد")*ROW('حجز الإجازات'!$B$5:$B$104))=0,IF(HS$3&lt;'الموظفون'!$D$6,"",IF(ISNUMBER(MATCH(HS$3,Holidays,0)),"عطلة",IF(MOD(HS$3-'الموظفون'!$D$6,CycleWork+CycleRest)&lt;CycleWork,INDEX('الإعدادات والقوائم'!$H$2:$H$4,MOD(INT(MOD(HS$3-'الموظفون'!$D$6,CycleWork+CycleRest)*3/CycleWork)+MATCH(StartShift,'الإعدادات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الإجازات'!$D$5:$D$104&lt;=HS$3)*(('حجز الإجازات'!$E$5:$E$104)&gt;=HS$3)*('حجز الإجازات'!$G$5:$G$104="معتمد")*ROW('حجز الإجازات'!$B$5:$B$104)))-5+1))</f>
        <v/>
      </c>
      <c r="HT8" s="62">
        <f>IF(SUMPRODUCT(('حجز الإجازات'!$B$5:$B$104='الموظفون'!$B$6)*('حجز الإجازات'!$D$5:$D$104&lt;=HT$3)*(('حجز الإجازات'!$E$5:$E$104)&gt;=HT$3)*('حجز الإجازات'!$G$5:$G$104="معتمد")*ROW('حجز الإجازات'!$B$5:$B$104))=0,IF(HT$3&lt;'الموظفون'!$D$6,"",IF(ISNUMBER(MATCH(HT$3,Holidays,0)),"عطلة",IF(MOD(HT$3-'الموظفون'!$D$6,CycleWork+CycleRest)&lt;CycleWork,INDEX('الإعدادات والقوائم'!$H$2:$H$4,MOD(INT(MOD(HT$3-'الموظفون'!$D$6,CycleWork+CycleRest)*3/CycleWork)+MATCH(StartShift,'الإعدادات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الإجازات'!$D$5:$D$104&lt;=HT$3)*(('حجز الإجازات'!$E$5:$E$104)&gt;=HT$3)*('حجز الإجازات'!$G$5:$G$104="معتمد")*ROW('حجز الإجازات'!$B$5:$B$104)))-5+1))</f>
        <v/>
      </c>
      <c r="HU8" s="62">
        <f>IF(SUMPRODUCT(('حجز الإجازات'!$B$5:$B$104='الموظفون'!$B$6)*('حجز الإجازات'!$D$5:$D$104&lt;=HU$3)*(('حجز الإجازات'!$E$5:$E$104)&gt;=HU$3)*('حجز الإجازات'!$G$5:$G$104="معتمد")*ROW('حجز الإجازات'!$B$5:$B$104))=0,IF(HU$3&lt;'الموظفون'!$D$6,"",IF(ISNUMBER(MATCH(HU$3,Holidays,0)),"عطلة",IF(MOD(HU$3-'الموظفون'!$D$6,CycleWork+CycleRest)&lt;CycleWork,INDEX('الإعدادات والقوائم'!$H$2:$H$4,MOD(INT(MOD(HU$3-'الموظفون'!$D$6,CycleWork+CycleRest)*3/CycleWork)+MATCH(StartShift,'الإعدادات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الإجازات'!$D$5:$D$104&lt;=HU$3)*(('حجز الإجازات'!$E$5:$E$104)&gt;=HU$3)*('حجز الإجازات'!$G$5:$G$104="معتمد")*ROW('حجز الإجازات'!$B$5:$B$104)))-5+1))</f>
        <v/>
      </c>
      <c r="HV8" s="62">
        <f>IF(SUMPRODUCT(('حجز الإجازات'!$B$5:$B$104='الموظفون'!$B$6)*('حجز الإجازات'!$D$5:$D$104&lt;=HV$3)*(('حجز الإجازات'!$E$5:$E$104)&gt;=HV$3)*('حجز الإجازات'!$G$5:$G$104="معتمد")*ROW('حجز الإجازات'!$B$5:$B$104))=0,IF(HV$3&lt;'الموظفون'!$D$6,"",IF(ISNUMBER(MATCH(HV$3,Holidays,0)),"عطلة",IF(MOD(HV$3-'الموظفون'!$D$6,CycleWork+CycleRest)&lt;CycleWork,INDEX('الإعدادات والقوائم'!$H$2:$H$4,MOD(INT(MOD(HV$3-'الموظفون'!$D$6,CycleWork+CycleRest)*3/CycleWork)+MATCH(StartShift,'الإعدادات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الإجازات'!$D$5:$D$104&lt;=HV$3)*(('حجز الإجازات'!$E$5:$E$104)&gt;=HV$3)*('حجز الإجازات'!$G$5:$G$104="معتمد")*ROW('حجز الإجازات'!$B$5:$B$104)))-5+1))</f>
        <v/>
      </c>
      <c r="HW8" s="62">
        <f>IF(SUMPRODUCT(('حجز الإجازات'!$B$5:$B$104='الموظفون'!$B$6)*('حجز الإجازات'!$D$5:$D$104&lt;=HW$3)*(('حجز الإجازات'!$E$5:$E$104)&gt;=HW$3)*('حجز الإجازات'!$G$5:$G$104="معتمد")*ROW('حجز الإجازات'!$B$5:$B$104))=0,IF(HW$3&lt;'الموظفون'!$D$6,"",IF(ISNUMBER(MATCH(HW$3,Holidays,0)),"عطلة",IF(MOD(HW$3-'الموظفون'!$D$6,CycleWork+CycleRest)&lt;CycleWork,INDEX('الإعدادات والقوائم'!$H$2:$H$4,MOD(INT(MOD(HW$3-'الموظفون'!$D$6,CycleWork+CycleRest)*3/CycleWork)+MATCH(StartShift,'الإعدادات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الإجازات'!$D$5:$D$104&lt;=HW$3)*(('حجز الإجازات'!$E$5:$E$104)&gt;=HW$3)*('حجز الإجازات'!$G$5:$G$104="معتمد")*ROW('حجز الإجازات'!$B$5:$B$104)))-5+1))</f>
        <v/>
      </c>
      <c r="HX8" s="62">
        <f>IF(SUMPRODUCT(('حجز الإجازات'!$B$5:$B$104='الموظفون'!$B$6)*('حجز الإجازات'!$D$5:$D$104&lt;=HX$3)*(('حجز الإجازات'!$E$5:$E$104)&gt;=HX$3)*('حجز الإجازات'!$G$5:$G$104="معتمد")*ROW('حجز الإجازات'!$B$5:$B$104))=0,IF(HX$3&lt;'الموظفون'!$D$6,"",IF(ISNUMBER(MATCH(HX$3,Holidays,0)),"عطلة",IF(MOD(HX$3-'الموظفون'!$D$6,CycleWork+CycleRest)&lt;CycleWork,INDEX('الإعدادات والقوائم'!$H$2:$H$4,MOD(INT(MOD(HX$3-'الموظفون'!$D$6,CycleWork+CycleRest)*3/CycleWork)+MATCH(StartShift,'الإعدادات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الإجازات'!$D$5:$D$104&lt;=HX$3)*(('حجز الإجازات'!$E$5:$E$104)&gt;=HX$3)*('حجز الإجازات'!$G$5:$G$104="معتمد")*ROW('حجز الإجازات'!$B$5:$B$104)))-5+1))</f>
        <v/>
      </c>
      <c r="HY8" s="62">
        <f>IF(SUMPRODUCT(('حجز الإجازات'!$B$5:$B$104='الموظفون'!$B$6)*('حجز الإجازات'!$D$5:$D$104&lt;=HY$3)*(('حجز الإجازات'!$E$5:$E$104)&gt;=HY$3)*('حجز الإجازات'!$G$5:$G$104="معتمد")*ROW('حجز الإجازات'!$B$5:$B$104))=0,IF(HY$3&lt;'الموظفون'!$D$6,"",IF(ISNUMBER(MATCH(HY$3,Holidays,0)),"عطلة",IF(MOD(HY$3-'الموظفون'!$D$6,CycleWork+CycleRest)&lt;CycleWork,INDEX('الإعدادات والقوائم'!$H$2:$H$4,MOD(INT(MOD(HY$3-'الموظفون'!$D$6,CycleWork+CycleRest)*3/CycleWork)+MATCH(StartShift,'الإعدادات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الإجازات'!$D$5:$D$104&lt;=HY$3)*(('حجز الإجازات'!$E$5:$E$104)&gt;=HY$3)*('حجز الإجازات'!$G$5:$G$104="معتمد")*ROW('حجز الإجازات'!$B$5:$B$104)))-5+1))</f>
        <v/>
      </c>
      <c r="HZ8" s="62">
        <f>IF(SUMPRODUCT(('حجز الإجازات'!$B$5:$B$104='الموظفون'!$B$6)*('حجز الإجازات'!$D$5:$D$104&lt;=HZ$3)*(('حجز الإجازات'!$E$5:$E$104)&gt;=HZ$3)*('حجز الإجازات'!$G$5:$G$104="معتمد")*ROW('حجز الإجازات'!$B$5:$B$104))=0,IF(HZ$3&lt;'الموظفون'!$D$6,"",IF(ISNUMBER(MATCH(HZ$3,Holidays,0)),"عطلة",IF(MOD(HZ$3-'الموظفون'!$D$6,CycleWork+CycleRest)&lt;CycleWork,INDEX('الإعدادات والقوائم'!$H$2:$H$4,MOD(INT(MOD(HZ$3-'الموظفون'!$D$6,CycleWork+CycleRest)*3/CycleWork)+MATCH(StartShift,'الإعدادات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الإجازات'!$D$5:$D$104&lt;=HZ$3)*(('حجز الإجازات'!$E$5:$E$104)&gt;=HZ$3)*('حجز الإجازات'!$G$5:$G$104="معتمد")*ROW('حجز الإجازات'!$B$5:$B$104)))-5+1))</f>
        <v/>
      </c>
      <c r="IA8" s="62">
        <f>IF(SUMPRODUCT(('حجز الإجازات'!$B$5:$B$104='الموظفون'!$B$6)*('حجز الإجازات'!$D$5:$D$104&lt;=IA$3)*(('حجز الإجازات'!$E$5:$E$104)&gt;=IA$3)*('حجز الإجازات'!$G$5:$G$104="معتمد")*ROW('حجز الإجازات'!$B$5:$B$104))=0,IF(IA$3&lt;'الموظفون'!$D$6,"",IF(ISNUMBER(MATCH(IA$3,Holidays,0)),"عطلة",IF(MOD(IA$3-'الموظفون'!$D$6,CycleWork+CycleRest)&lt;CycleWork,INDEX('الإعدادات والقوائم'!$H$2:$H$4,MOD(INT(MOD(IA$3-'الموظفون'!$D$6,CycleWork+CycleRest)*3/CycleWork)+MATCH(StartShift,'الإعدادات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الإجازات'!$D$5:$D$104&lt;=IA$3)*(('حجز الإجازات'!$E$5:$E$104)&gt;=IA$3)*('حجز الإجازات'!$G$5:$G$104="معتمد")*ROW('حجز الإجازات'!$B$5:$B$104)))-5+1))</f>
        <v/>
      </c>
      <c r="IB8" s="62">
        <f>IF(SUMPRODUCT(('حجز الإجازات'!$B$5:$B$104='الموظفون'!$B$6)*('حجز الإجازات'!$D$5:$D$104&lt;=IB$3)*(('حجز الإجازات'!$E$5:$E$104)&gt;=IB$3)*('حجز الإجازات'!$G$5:$G$104="معتمد")*ROW('حجز الإجازات'!$B$5:$B$104))=0,IF(IB$3&lt;'الموظفون'!$D$6,"",IF(ISNUMBER(MATCH(IB$3,Holidays,0)),"عطلة",IF(MOD(IB$3-'الموظفون'!$D$6,CycleWork+CycleRest)&lt;CycleWork,INDEX('الإعدادات والقوائم'!$H$2:$H$4,MOD(INT(MOD(IB$3-'الموظفون'!$D$6,CycleWork+CycleRest)*3/CycleWork)+MATCH(StartShift,'الإعدادات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الإجازات'!$D$5:$D$104&lt;=IB$3)*(('حجز الإجازات'!$E$5:$E$104)&gt;=IB$3)*('حجز الإجازات'!$G$5:$G$104="معتمد")*ROW('حجز الإجازات'!$B$5:$B$104)))-5+1))</f>
        <v/>
      </c>
      <c r="IC8" s="62">
        <f>IF(SUMPRODUCT(('حجز الإجازات'!$B$5:$B$104='الموظفون'!$B$6)*('حجز الإجازات'!$D$5:$D$104&lt;=IC$3)*(('حجز الإجازات'!$E$5:$E$104)&gt;=IC$3)*('حجز الإجازات'!$G$5:$G$104="معتمد")*ROW('حجز الإجازات'!$B$5:$B$104))=0,IF(IC$3&lt;'الموظفون'!$D$6,"",IF(ISNUMBER(MATCH(IC$3,Holidays,0)),"عطلة",IF(MOD(IC$3-'الموظفون'!$D$6,CycleWork+CycleRest)&lt;CycleWork,INDEX('الإعدادات والقوائم'!$H$2:$H$4,MOD(INT(MOD(IC$3-'الموظفون'!$D$6,CycleWork+CycleRest)*3/CycleWork)+MATCH(StartShift,'الإعدادات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الإجازات'!$D$5:$D$104&lt;=IC$3)*(('حجز الإجازات'!$E$5:$E$104)&gt;=IC$3)*('حجز الإجازات'!$G$5:$G$104="معتمد")*ROW('حجز الإجازات'!$B$5:$B$104)))-5+1))</f>
        <v/>
      </c>
      <c r="ID8" s="62">
        <f>IF(SUMPRODUCT(('حجز الإجازات'!$B$5:$B$104='الموظفون'!$B$6)*('حجز الإجازات'!$D$5:$D$104&lt;=ID$3)*(('حجز الإجازات'!$E$5:$E$104)&gt;=ID$3)*('حجز الإجازات'!$G$5:$G$104="معتمد")*ROW('حجز الإجازات'!$B$5:$B$104))=0,IF(ID$3&lt;'الموظفون'!$D$6,"",IF(ISNUMBER(MATCH(ID$3,Holidays,0)),"عطلة",IF(MOD(ID$3-'الموظفون'!$D$6,CycleWork+CycleRest)&lt;CycleWork,INDEX('الإعدادات والقوائم'!$H$2:$H$4,MOD(INT(MOD(ID$3-'الموظفون'!$D$6,CycleWork+CycleRest)*3/CycleWork)+MATCH(StartShift,'الإعدادات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الإجازات'!$D$5:$D$104&lt;=ID$3)*(('حجز الإجازات'!$E$5:$E$104)&gt;=ID$3)*('حجز الإجازات'!$G$5:$G$104="معتمد")*ROW('حجز الإجازات'!$B$5:$B$104)))-5+1))</f>
        <v/>
      </c>
      <c r="IE8" s="62">
        <f>IF(SUMPRODUCT(('حجز الإجازات'!$B$5:$B$104='الموظفون'!$B$6)*('حجز الإجازات'!$D$5:$D$104&lt;=IE$3)*(('حجز الإجازات'!$E$5:$E$104)&gt;=IE$3)*('حجز الإجازات'!$G$5:$G$104="معتمد")*ROW('حجز الإجازات'!$B$5:$B$104))=0,IF(IE$3&lt;'الموظفون'!$D$6,"",IF(ISNUMBER(MATCH(IE$3,Holidays,0)),"عطلة",IF(MOD(IE$3-'الموظفون'!$D$6,CycleWork+CycleRest)&lt;CycleWork,INDEX('الإعدادات والقوائم'!$H$2:$H$4,MOD(INT(MOD(IE$3-'الموظفون'!$D$6,CycleWork+CycleRest)*3/CycleWork)+MATCH(StartShift,'الإعدادات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الإجازات'!$D$5:$D$104&lt;=IE$3)*(('حجز الإجازات'!$E$5:$E$104)&gt;=IE$3)*('حجز الإجازات'!$G$5:$G$104="معتمد")*ROW('حجز الإجازات'!$B$5:$B$104)))-5+1))</f>
        <v/>
      </c>
      <c r="IF8" s="62">
        <f>IF(SUMPRODUCT(('حجز الإجازات'!$B$5:$B$104='الموظفون'!$B$6)*('حجز الإجازات'!$D$5:$D$104&lt;=IF$3)*(('حجز الإجازات'!$E$5:$E$104)&gt;=IF$3)*('حجز الإجازات'!$G$5:$G$104="معتمد")*ROW('حجز الإجازات'!$B$5:$B$104))=0,IF(IF$3&lt;'الموظفون'!$D$6,"",IF(ISNUMBER(MATCH(IF$3,Holidays,0)),"عطلة",IF(MOD(IF$3-'الموظفون'!$D$6,CycleWork+CycleRest)&lt;CycleWork,INDEX('الإعدادات والقوائم'!$H$2:$H$4,MOD(INT(MOD(IF$3-'الموظفون'!$D$6,CycleWork+CycleRest)*3/CycleWork)+MATCH(StartShift,'الإعدادات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الإجازات'!$D$5:$D$104&lt;=IF$3)*(('حجز الإجازات'!$E$5:$E$104)&gt;=IF$3)*('حجز الإجازات'!$G$5:$G$104="معتمد")*ROW('حجز الإجازات'!$B$5:$B$104)))-5+1))</f>
        <v/>
      </c>
      <c r="IG8" s="62">
        <f>IF(SUMPRODUCT(('حجز الإجازات'!$B$5:$B$104='الموظفون'!$B$6)*('حجز الإجازات'!$D$5:$D$104&lt;=IG$3)*(('حجز الإجازات'!$E$5:$E$104)&gt;=IG$3)*('حجز الإجازات'!$G$5:$G$104="معتمد")*ROW('حجز الإجازات'!$B$5:$B$104))=0,IF(IG$3&lt;'الموظفون'!$D$6,"",IF(ISNUMBER(MATCH(IG$3,Holidays,0)),"عطلة",IF(MOD(IG$3-'الموظفون'!$D$6,CycleWork+CycleRest)&lt;CycleWork,INDEX('الإعدادات والقوائم'!$H$2:$H$4,MOD(INT(MOD(IG$3-'الموظفون'!$D$6,CycleWork+CycleRest)*3/CycleWork)+MATCH(StartShift,'الإعدادات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الإجازات'!$D$5:$D$104&lt;=IG$3)*(('حجز الإجازات'!$E$5:$E$104)&gt;=IG$3)*('حجز الإجازات'!$G$5:$G$104="معتمد")*ROW('حجز الإجازات'!$B$5:$B$104)))-5+1))</f>
        <v/>
      </c>
      <c r="IH8" s="62">
        <f>IF(SUMPRODUCT(('حجز الإجازات'!$B$5:$B$104='الموظفون'!$B$6)*('حجز الإجازات'!$D$5:$D$104&lt;=IH$3)*(('حجز الإجازات'!$E$5:$E$104)&gt;=IH$3)*('حجز الإجازات'!$G$5:$G$104="معتمد")*ROW('حجز الإجازات'!$B$5:$B$104))=0,IF(IH$3&lt;'الموظفون'!$D$6,"",IF(ISNUMBER(MATCH(IH$3,Holidays,0)),"عطلة",IF(MOD(IH$3-'الموظفون'!$D$6,CycleWork+CycleRest)&lt;CycleWork,INDEX('الإعدادات والقوائم'!$H$2:$H$4,MOD(INT(MOD(IH$3-'الموظفون'!$D$6,CycleWork+CycleRest)*3/CycleWork)+MATCH(StartShift,'الإعدادات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الإجازات'!$D$5:$D$104&lt;=IH$3)*(('حجز الإجازات'!$E$5:$E$104)&gt;=IH$3)*('حجز الإجازات'!$G$5:$G$104="معتمد")*ROW('حجز الإجازات'!$B$5:$B$104)))-5+1))</f>
        <v/>
      </c>
      <c r="II8" s="62">
        <f>IF(SUMPRODUCT(('حجز الإجازات'!$B$5:$B$104='الموظفون'!$B$6)*('حجز الإجازات'!$D$5:$D$104&lt;=II$3)*(('حجز الإجازات'!$E$5:$E$104)&gt;=II$3)*('حجز الإجازات'!$G$5:$G$104="معتمد")*ROW('حجز الإجازات'!$B$5:$B$104))=0,IF(II$3&lt;'الموظفون'!$D$6,"",IF(ISNUMBER(MATCH(II$3,Holidays,0)),"عطلة",IF(MOD(II$3-'الموظفون'!$D$6,CycleWork+CycleRest)&lt;CycleWork,INDEX('الإعدادات والقوائم'!$H$2:$H$4,MOD(INT(MOD(II$3-'الموظفون'!$D$6,CycleWork+CycleRest)*3/CycleWork)+MATCH(StartShift,'الإعدادات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الإجازات'!$D$5:$D$104&lt;=II$3)*(('حجز الإجازات'!$E$5:$E$104)&gt;=II$3)*('حجز الإجازات'!$G$5:$G$104="معتمد")*ROW('حجز الإجازات'!$B$5:$B$104)))-5+1))</f>
        <v/>
      </c>
      <c r="IJ8" s="62">
        <f>IF(SUMPRODUCT(('حجز الإجازات'!$B$5:$B$104='الموظفون'!$B$6)*('حجز الإجازات'!$D$5:$D$104&lt;=IJ$3)*(('حجز الإجازات'!$E$5:$E$104)&gt;=IJ$3)*('حجز الإجازات'!$G$5:$G$104="معتمد")*ROW('حجز الإجازات'!$B$5:$B$104))=0,IF(IJ$3&lt;'الموظفون'!$D$6,"",IF(ISNUMBER(MATCH(IJ$3,Holidays,0)),"عطلة",IF(MOD(IJ$3-'الموظفون'!$D$6,CycleWork+CycleRest)&lt;CycleWork,INDEX('الإعدادات والقوائم'!$H$2:$H$4,MOD(INT(MOD(IJ$3-'الموظفون'!$D$6,CycleWork+CycleRest)*3/CycleWork)+MATCH(StartShift,'الإعدادات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الإجازات'!$D$5:$D$104&lt;=IJ$3)*(('حجز الإجازات'!$E$5:$E$104)&gt;=IJ$3)*('حجز الإجازات'!$G$5:$G$104="معتمد")*ROW('حجز الإجازات'!$B$5:$B$104)))-5+1))</f>
        <v/>
      </c>
      <c r="IK8" s="62">
        <f>IF(SUMPRODUCT(('حجز الإجازات'!$B$5:$B$104='الموظفون'!$B$6)*('حجز الإجازات'!$D$5:$D$104&lt;=IK$3)*(('حجز الإجازات'!$E$5:$E$104)&gt;=IK$3)*('حجز الإجازات'!$G$5:$G$104="معتمد")*ROW('حجز الإجازات'!$B$5:$B$104))=0,IF(IK$3&lt;'الموظفون'!$D$6,"",IF(ISNUMBER(MATCH(IK$3,Holidays,0)),"عطلة",IF(MOD(IK$3-'الموظفون'!$D$6,CycleWork+CycleRest)&lt;CycleWork,INDEX('الإعدادات والقوائم'!$H$2:$H$4,MOD(INT(MOD(IK$3-'الموظفون'!$D$6,CycleWork+CycleRest)*3/CycleWork)+MATCH(StartShift,'الإعدادات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الإجازات'!$D$5:$D$104&lt;=IK$3)*(('حجز الإجازات'!$E$5:$E$104)&gt;=IK$3)*('حجز الإجازات'!$G$5:$G$104="معتمد")*ROW('حجز الإجازات'!$B$5:$B$104)))-5+1))</f>
        <v/>
      </c>
      <c r="IL8" s="62">
        <f>IF(SUMPRODUCT(('حجز الإجازات'!$B$5:$B$104='الموظفون'!$B$6)*('حجز الإجازات'!$D$5:$D$104&lt;=IL$3)*(('حجز الإجازات'!$E$5:$E$104)&gt;=IL$3)*('حجز الإجازات'!$G$5:$G$104="معتمد")*ROW('حجز الإجازات'!$B$5:$B$104))=0,IF(IL$3&lt;'الموظفون'!$D$6,"",IF(ISNUMBER(MATCH(IL$3,Holidays,0)),"عطلة",IF(MOD(IL$3-'الموظفون'!$D$6,CycleWork+CycleRest)&lt;CycleWork,INDEX('الإعدادات والقوائم'!$H$2:$H$4,MOD(INT(MOD(IL$3-'الموظفون'!$D$6,CycleWork+CycleRest)*3/CycleWork)+MATCH(StartShift,'الإعدادات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الإجازات'!$D$5:$D$104&lt;=IL$3)*(('حجز الإجازات'!$E$5:$E$104)&gt;=IL$3)*('حجز الإجازات'!$G$5:$G$104="معتمد")*ROW('حجز الإجازات'!$B$5:$B$104)))-5+1))</f>
        <v/>
      </c>
      <c r="IM8" s="62">
        <f>IF(SUMPRODUCT(('حجز الإجازات'!$B$5:$B$104='الموظفون'!$B$6)*('حجز الإجازات'!$D$5:$D$104&lt;=IM$3)*(('حجز الإجازات'!$E$5:$E$104)&gt;=IM$3)*('حجز الإجازات'!$G$5:$G$104="معتمد")*ROW('حجز الإجازات'!$B$5:$B$104))=0,IF(IM$3&lt;'الموظفون'!$D$6,"",IF(ISNUMBER(MATCH(IM$3,Holidays,0)),"عطلة",IF(MOD(IM$3-'الموظفون'!$D$6,CycleWork+CycleRest)&lt;CycleWork,INDEX('الإعدادات والقوائم'!$H$2:$H$4,MOD(INT(MOD(IM$3-'الموظفون'!$D$6,CycleWork+CycleRest)*3/CycleWork)+MATCH(StartShift,'الإعدادات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الإجازات'!$D$5:$D$104&lt;=IM$3)*(('حجز الإجازات'!$E$5:$E$104)&gt;=IM$3)*('حجز الإجازات'!$G$5:$G$104="معتمد")*ROW('حجز الإجازات'!$B$5:$B$104)))-5+1))</f>
        <v/>
      </c>
      <c r="IN8" s="62">
        <f>IF(SUMPRODUCT(('حجز الإجازات'!$B$5:$B$104='الموظفون'!$B$6)*('حجز الإجازات'!$D$5:$D$104&lt;=IN$3)*(('حجز الإجازات'!$E$5:$E$104)&gt;=IN$3)*('حجز الإجازات'!$G$5:$G$104="معتمد")*ROW('حجز الإجازات'!$B$5:$B$104))=0,IF(IN$3&lt;'الموظفون'!$D$6,"",IF(ISNUMBER(MATCH(IN$3,Holidays,0)),"عطلة",IF(MOD(IN$3-'الموظفون'!$D$6,CycleWork+CycleRest)&lt;CycleWork,INDEX('الإعدادات والقوائم'!$H$2:$H$4,MOD(INT(MOD(IN$3-'الموظفون'!$D$6,CycleWork+CycleRest)*3/CycleWork)+MATCH(StartShift,'الإعدادات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الإجازات'!$D$5:$D$104&lt;=IN$3)*(('حجز الإجازات'!$E$5:$E$104)&gt;=IN$3)*('حجز الإجازات'!$G$5:$G$104="معتمد")*ROW('حجز الإجازات'!$B$5:$B$104)))-5+1))</f>
        <v/>
      </c>
      <c r="IO8" s="62">
        <f>IF(SUMPRODUCT(('حجز الإجازات'!$B$5:$B$104='الموظفون'!$B$6)*('حجز الإجازات'!$D$5:$D$104&lt;=IO$3)*(('حجز الإجازات'!$E$5:$E$104)&gt;=IO$3)*('حجز الإجازات'!$G$5:$G$104="معتمد")*ROW('حجز الإجازات'!$B$5:$B$104))=0,IF(IO$3&lt;'الموظفون'!$D$6,"",IF(ISNUMBER(MATCH(IO$3,Holidays,0)),"عطلة",IF(MOD(IO$3-'الموظفون'!$D$6,CycleWork+CycleRest)&lt;CycleWork,INDEX('الإعدادات والقوائم'!$H$2:$H$4,MOD(INT(MOD(IO$3-'الموظفون'!$D$6,CycleWork+CycleRest)*3/CycleWork)+MATCH(StartShift,'الإعدادات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الإجازات'!$D$5:$D$104&lt;=IO$3)*(('حجز الإجازات'!$E$5:$E$104)&gt;=IO$3)*('حجز الإجازات'!$G$5:$G$104="معتمد")*ROW('حجز الإجازات'!$B$5:$B$104)))-5+1))</f>
        <v/>
      </c>
      <c r="IP8" s="62">
        <f>IF(SUMPRODUCT(('حجز الإجازات'!$B$5:$B$104='الموظفون'!$B$6)*('حجز الإجازات'!$D$5:$D$104&lt;=IP$3)*(('حجز الإجازات'!$E$5:$E$104)&gt;=IP$3)*('حجز الإجازات'!$G$5:$G$104="معتمد")*ROW('حجز الإجازات'!$B$5:$B$104))=0,IF(IP$3&lt;'الموظفون'!$D$6,"",IF(ISNUMBER(MATCH(IP$3,Holidays,0)),"عطلة",IF(MOD(IP$3-'الموظفون'!$D$6,CycleWork+CycleRest)&lt;CycleWork,INDEX('الإعدادات والقوائم'!$H$2:$H$4,MOD(INT(MOD(IP$3-'الموظفون'!$D$6,CycleWork+CycleRest)*3/CycleWork)+MATCH(StartShift,'الإعدادات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الإجازات'!$D$5:$D$104&lt;=IP$3)*(('حجز الإجازات'!$E$5:$E$104)&gt;=IP$3)*('حجز الإجازات'!$G$5:$G$104="معتمد")*ROW('حجز الإجازات'!$B$5:$B$104)))-5+1))</f>
        <v/>
      </c>
      <c r="IQ8" s="62">
        <f>IF(SUMPRODUCT(('حجز الإجازات'!$B$5:$B$104='الموظفون'!$B$6)*('حجز الإجازات'!$D$5:$D$104&lt;=IQ$3)*(('حجز الإجازات'!$E$5:$E$104)&gt;=IQ$3)*('حجز الإجازات'!$G$5:$G$104="معتمد")*ROW('حجز الإجازات'!$B$5:$B$104))=0,IF(IQ$3&lt;'الموظفون'!$D$6,"",IF(ISNUMBER(MATCH(IQ$3,Holidays,0)),"عطلة",IF(MOD(IQ$3-'الموظفون'!$D$6,CycleWork+CycleRest)&lt;CycleWork,INDEX('الإعدادات والقوائم'!$H$2:$H$4,MOD(INT(MOD(IQ$3-'الموظفون'!$D$6,CycleWork+CycleRest)*3/CycleWork)+MATCH(StartShift,'الإعدادات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الإجازات'!$D$5:$D$104&lt;=IQ$3)*(('حجز الإجازات'!$E$5:$E$104)&gt;=IQ$3)*('حجز الإجازات'!$G$5:$G$104="معتمد")*ROW('حجز الإجازات'!$B$5:$B$104)))-5+1))</f>
        <v/>
      </c>
      <c r="IR8" s="62">
        <f>IF(SUMPRODUCT(('حجز الإجازات'!$B$5:$B$104='الموظفون'!$B$6)*('حجز الإجازات'!$D$5:$D$104&lt;=IR$3)*(('حجز الإجازات'!$E$5:$E$104)&gt;=IR$3)*('حجز الإجازات'!$G$5:$G$104="معتمد")*ROW('حجز الإجازات'!$B$5:$B$104))=0,IF(IR$3&lt;'الموظفون'!$D$6,"",IF(ISNUMBER(MATCH(IR$3,Holidays,0)),"عطلة",IF(MOD(IR$3-'الموظفون'!$D$6,CycleWork+CycleRest)&lt;CycleWork,INDEX('الإعدادات والقوائم'!$H$2:$H$4,MOD(INT(MOD(IR$3-'الموظفون'!$D$6,CycleWork+CycleRest)*3/CycleWork)+MATCH(StartShift,'الإعدادات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الإجازات'!$D$5:$D$104&lt;=IR$3)*(('حجز الإجازات'!$E$5:$E$104)&gt;=IR$3)*('حجز الإجازات'!$G$5:$G$104="معتمد")*ROW('حجز الإجازات'!$B$5:$B$104)))-5+1))</f>
        <v/>
      </c>
      <c r="IS8" s="62">
        <f>IF(SUMPRODUCT(('حجز الإجازات'!$B$5:$B$104='الموظفون'!$B$6)*('حجز الإجازات'!$D$5:$D$104&lt;=IS$3)*(('حجز الإجازات'!$E$5:$E$104)&gt;=IS$3)*('حجز الإجازات'!$G$5:$G$104="معتمد")*ROW('حجز الإجازات'!$B$5:$B$104))=0,IF(IS$3&lt;'الموظفون'!$D$6,"",IF(ISNUMBER(MATCH(IS$3,Holidays,0)),"عطلة",IF(MOD(IS$3-'الموظفون'!$D$6,CycleWork+CycleRest)&lt;CycleWork,INDEX('الإعدادات والقوائم'!$H$2:$H$4,MOD(INT(MOD(IS$3-'الموظفون'!$D$6,CycleWork+CycleRest)*3/CycleWork)+MATCH(StartShift,'الإعدادات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الإجازات'!$D$5:$D$104&lt;=IS$3)*(('حجز الإجازات'!$E$5:$E$104)&gt;=IS$3)*('حجز الإجازات'!$G$5:$G$104="معتمد")*ROW('حجز الإجازات'!$B$5:$B$104)))-5+1))</f>
        <v/>
      </c>
      <c r="IT8" s="62">
        <f>IF(SUMPRODUCT(('حجز الإجازات'!$B$5:$B$104='الموظفون'!$B$6)*('حجز الإجازات'!$D$5:$D$104&lt;=IT$3)*(('حجز الإجازات'!$E$5:$E$104)&gt;=IT$3)*('حجز الإجازات'!$G$5:$G$104="معتمد")*ROW('حجز الإجازات'!$B$5:$B$104))=0,IF(IT$3&lt;'الموظفون'!$D$6,"",IF(ISNUMBER(MATCH(IT$3,Holidays,0)),"عطلة",IF(MOD(IT$3-'الموظفون'!$D$6,CycleWork+CycleRest)&lt;CycleWork,INDEX('الإعدادات والقوائم'!$H$2:$H$4,MOD(INT(MOD(IT$3-'الموظفون'!$D$6,CycleWork+CycleRest)*3/CycleWork)+MATCH(StartShift,'الإعدادات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الإجازات'!$D$5:$D$104&lt;=IT$3)*(('حجز الإجازات'!$E$5:$E$104)&gt;=IT$3)*('حجز الإجازات'!$G$5:$G$104="معتمد")*ROW('حجز الإجازات'!$B$5:$B$104)))-5+1))</f>
        <v/>
      </c>
      <c r="IU8" s="62">
        <f>IF(SUMPRODUCT(('حجز الإجازات'!$B$5:$B$104='الموظفون'!$B$6)*('حجز الإجازات'!$D$5:$D$104&lt;=IU$3)*(('حجز الإجازات'!$E$5:$E$104)&gt;=IU$3)*('حجز الإجازات'!$G$5:$G$104="معتمد")*ROW('حجز الإجازات'!$B$5:$B$104))=0,IF(IU$3&lt;'الموظفون'!$D$6,"",IF(ISNUMBER(MATCH(IU$3,Holidays,0)),"عطلة",IF(MOD(IU$3-'الموظفون'!$D$6,CycleWork+CycleRest)&lt;CycleWork,INDEX('الإعدادات والقوائم'!$H$2:$H$4,MOD(INT(MOD(IU$3-'الموظفون'!$D$6,CycleWork+CycleRest)*3/CycleWork)+MATCH(StartShift,'الإعدادات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الإجازات'!$D$5:$D$104&lt;=IU$3)*(('حجز الإجازات'!$E$5:$E$104)&gt;=IU$3)*('حجز الإجازات'!$G$5:$G$104="معتمد")*ROW('حجز الإجازات'!$B$5:$B$104)))-5+1))</f>
        <v/>
      </c>
      <c r="IV8" s="62">
        <f>IF(SUMPRODUCT(('حجز الإجازات'!$B$5:$B$104='الموظفون'!$B$6)*('حجز الإجازات'!$D$5:$D$104&lt;=IV$3)*(('حجز الإجازات'!$E$5:$E$104)&gt;=IV$3)*('حجز الإجازات'!$G$5:$G$104="معتمد")*ROW('حجز الإجازات'!$B$5:$B$104))=0,IF(IV$3&lt;'الموظفون'!$D$6,"",IF(ISNUMBER(MATCH(IV$3,Holidays,0)),"عطلة",IF(MOD(IV$3-'الموظفون'!$D$6,CycleWork+CycleRest)&lt;CycleWork,INDEX('الإعدادات والقوائم'!$H$2:$H$4,MOD(INT(MOD(IV$3-'الموظفون'!$D$6,CycleWork+CycleRest)*3/CycleWork)+MATCH(StartShift,'الإعدادات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الإجازات'!$D$5:$D$104&lt;=IV$3)*(('حجز الإجازات'!$E$5:$E$104)&gt;=IV$3)*('حجز الإجازات'!$G$5:$G$104="معتمد")*ROW('حجز الإجازات'!$B$5:$B$104)))-5+1))</f>
        <v/>
      </c>
      <c r="IW8" s="62">
        <f>IF(SUMPRODUCT(('حجز الإجازات'!$B$5:$B$104='الموظفون'!$B$6)*('حجز الإجازات'!$D$5:$D$104&lt;=IW$3)*(('حجز الإجازات'!$E$5:$E$104)&gt;=IW$3)*('حجز الإجازات'!$G$5:$G$104="معتمد")*ROW('حجز الإجازات'!$B$5:$B$104))=0,IF(IW$3&lt;'الموظفون'!$D$6,"",IF(ISNUMBER(MATCH(IW$3,Holidays,0)),"عطلة",IF(MOD(IW$3-'الموظفون'!$D$6,CycleWork+CycleRest)&lt;CycleWork,INDEX('الإعدادات والقوائم'!$H$2:$H$4,MOD(INT(MOD(IW$3-'الموظفون'!$D$6,CycleWork+CycleRest)*3/CycleWork)+MATCH(StartShift,'الإعدادات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الإجازات'!$D$5:$D$104&lt;=IW$3)*(('حجز الإجازات'!$E$5:$E$104)&gt;=IW$3)*('حجز الإجازات'!$G$5:$G$104="معتمد")*ROW('حجز الإجازات'!$B$5:$B$104)))-5+1))</f>
        <v/>
      </c>
      <c r="IX8" s="62">
        <f>IF(SUMPRODUCT(('حجز الإجازات'!$B$5:$B$104='الموظفون'!$B$6)*('حجز الإجازات'!$D$5:$D$104&lt;=IX$3)*(('حجز الإجازات'!$E$5:$E$104)&gt;=IX$3)*('حجز الإجازات'!$G$5:$G$104="معتمد")*ROW('حجز الإجازات'!$B$5:$B$104))=0,IF(IX$3&lt;'الموظفون'!$D$6,"",IF(ISNUMBER(MATCH(IX$3,Holidays,0)),"عطلة",IF(MOD(IX$3-'الموظفون'!$D$6,CycleWork+CycleRest)&lt;CycleWork,INDEX('الإعدادات والقوائم'!$H$2:$H$4,MOD(INT(MOD(IX$3-'الموظفون'!$D$6,CycleWork+CycleRest)*3/CycleWork)+MATCH(StartShift,'الإعدادات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الإجازات'!$D$5:$D$104&lt;=IX$3)*(('حجز الإجازات'!$E$5:$E$104)&gt;=IX$3)*('حجز الإجازات'!$G$5:$G$104="معتمد")*ROW('حجز الإجازات'!$B$5:$B$104)))-5+1))</f>
        <v/>
      </c>
      <c r="IY8" s="62">
        <f>IF(SUMPRODUCT(('حجز الإجازات'!$B$5:$B$104='الموظفون'!$B$6)*('حجز الإجازات'!$D$5:$D$104&lt;=IY$3)*(('حجز الإجازات'!$E$5:$E$104)&gt;=IY$3)*('حجز الإجازات'!$G$5:$G$104="معتمد")*ROW('حجز الإجازات'!$B$5:$B$104))=0,IF(IY$3&lt;'الموظفون'!$D$6,"",IF(ISNUMBER(MATCH(IY$3,Holidays,0)),"عطلة",IF(MOD(IY$3-'الموظفون'!$D$6,CycleWork+CycleRest)&lt;CycleWork,INDEX('الإعدادات والقوائم'!$H$2:$H$4,MOD(INT(MOD(IY$3-'الموظفون'!$D$6,CycleWork+CycleRest)*3/CycleWork)+MATCH(StartShift,'الإعدادات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الإجازات'!$D$5:$D$104&lt;=IY$3)*(('حجز الإجازات'!$E$5:$E$104)&gt;=IY$3)*('حجز الإجازات'!$G$5:$G$104="معتمد")*ROW('حجز الإجازات'!$B$5:$B$104)))-5+1))</f>
        <v/>
      </c>
      <c r="IZ8" s="62">
        <f>IF(SUMPRODUCT(('حجز الإجازات'!$B$5:$B$104='الموظفون'!$B$6)*('حجز الإجازات'!$D$5:$D$104&lt;=IZ$3)*(('حجز الإجازات'!$E$5:$E$104)&gt;=IZ$3)*('حجز الإجازات'!$G$5:$G$104="معتمد")*ROW('حجز الإجازات'!$B$5:$B$104))=0,IF(IZ$3&lt;'الموظفون'!$D$6,"",IF(ISNUMBER(MATCH(IZ$3,Holidays,0)),"عطلة",IF(MOD(IZ$3-'الموظفون'!$D$6,CycleWork+CycleRest)&lt;CycleWork,INDEX('الإعدادات والقوائم'!$H$2:$H$4,MOD(INT(MOD(IZ$3-'الموظفون'!$D$6,CycleWork+CycleRest)*3/CycleWork)+MATCH(StartShift,'الإعدادات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الإجازات'!$D$5:$D$104&lt;=IZ$3)*(('حجز الإجازات'!$E$5:$E$104)&gt;=IZ$3)*('حجز الإجازات'!$G$5:$G$104="معتمد")*ROW('حجز الإجازات'!$B$5:$B$104)))-5+1))</f>
        <v/>
      </c>
      <c r="JA8" s="62">
        <f>IF(SUMPRODUCT(('حجز الإجازات'!$B$5:$B$104='الموظفون'!$B$6)*('حجز الإجازات'!$D$5:$D$104&lt;=JA$3)*(('حجز الإجازات'!$E$5:$E$104)&gt;=JA$3)*('حجز الإجازات'!$G$5:$G$104="معتمد")*ROW('حجز الإجازات'!$B$5:$B$104))=0,IF(JA$3&lt;'الموظفون'!$D$6,"",IF(ISNUMBER(MATCH(JA$3,Holidays,0)),"عطلة",IF(MOD(JA$3-'الموظفون'!$D$6,CycleWork+CycleRest)&lt;CycleWork,INDEX('الإعدادات والقوائم'!$H$2:$H$4,MOD(INT(MOD(JA$3-'الموظفون'!$D$6,CycleWork+CycleRest)*3/CycleWork)+MATCH(StartShift,'الإعدادات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الإجازات'!$D$5:$D$104&lt;=JA$3)*(('حجز الإجازات'!$E$5:$E$104)&gt;=JA$3)*('حجز الإجازات'!$G$5:$G$104="معتمد")*ROW('حجز الإجازات'!$B$5:$B$104)))-5+1))</f>
        <v/>
      </c>
      <c r="JB8" s="62">
        <f>IF(SUMPRODUCT(('حجز الإجازات'!$B$5:$B$104='الموظفون'!$B$6)*('حجز الإجازات'!$D$5:$D$104&lt;=JB$3)*(('حجز الإجازات'!$E$5:$E$104)&gt;=JB$3)*('حجز الإجازات'!$G$5:$G$104="معتمد")*ROW('حجز الإجازات'!$B$5:$B$104))=0,IF(JB$3&lt;'الموظفون'!$D$6,"",IF(ISNUMBER(MATCH(JB$3,Holidays,0)),"عطلة",IF(MOD(JB$3-'الموظفون'!$D$6,CycleWork+CycleRest)&lt;CycleWork,INDEX('الإعدادات والقوائم'!$H$2:$H$4,MOD(INT(MOD(JB$3-'الموظفون'!$D$6,CycleWork+CycleRest)*3/CycleWork)+MATCH(StartShift,'الإعدادات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الإجازات'!$D$5:$D$104&lt;=JB$3)*(('حجز الإجازات'!$E$5:$E$104)&gt;=JB$3)*('حجز الإجازات'!$G$5:$G$104="معتمد")*ROW('حجز الإجازات'!$B$5:$B$104)))-5+1))</f>
        <v/>
      </c>
      <c r="JC8" s="62">
        <f>IF(SUMPRODUCT(('حجز الإجازات'!$B$5:$B$104='الموظفون'!$B$6)*('حجز الإجازات'!$D$5:$D$104&lt;=JC$3)*(('حجز الإجازات'!$E$5:$E$104)&gt;=JC$3)*('حجز الإجازات'!$G$5:$G$104="معتمد")*ROW('حجز الإجازات'!$B$5:$B$104))=0,IF(JC$3&lt;'الموظفون'!$D$6,"",IF(ISNUMBER(MATCH(JC$3,Holidays,0)),"عطلة",IF(MOD(JC$3-'الموظفون'!$D$6,CycleWork+CycleRest)&lt;CycleWork,INDEX('الإعدادات والقوائم'!$H$2:$H$4,MOD(INT(MOD(JC$3-'الموظفون'!$D$6,CycleWork+CycleRest)*3/CycleWork)+MATCH(StartShift,'الإعدادات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الإجازات'!$D$5:$D$104&lt;=JC$3)*(('حجز الإجازات'!$E$5:$E$104)&gt;=JC$3)*('حجز الإجازات'!$G$5:$G$104="معتمد")*ROW('حجز الإجازات'!$B$5:$B$104)))-5+1))</f>
        <v/>
      </c>
      <c r="JD8" s="62">
        <f>IF(SUMPRODUCT(('حجز الإجازات'!$B$5:$B$104='الموظفون'!$B$6)*('حجز الإجازات'!$D$5:$D$104&lt;=JD$3)*(('حجز الإجازات'!$E$5:$E$104)&gt;=JD$3)*('حجز الإجازات'!$G$5:$G$104="معتمد")*ROW('حجز الإجازات'!$B$5:$B$104))=0,IF(JD$3&lt;'الموظفون'!$D$6,"",IF(ISNUMBER(MATCH(JD$3,Holidays,0)),"عطلة",IF(MOD(JD$3-'الموظفون'!$D$6,CycleWork+CycleRest)&lt;CycleWork,INDEX('الإعدادات والقوائم'!$H$2:$H$4,MOD(INT(MOD(JD$3-'الموظفون'!$D$6,CycleWork+CycleRest)*3/CycleWork)+MATCH(StartShift,'الإعدادات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الإجازات'!$D$5:$D$104&lt;=JD$3)*(('حجز الإجازات'!$E$5:$E$104)&gt;=JD$3)*('حجز الإجازات'!$G$5:$G$104="معتمد")*ROW('حجز الإجازات'!$B$5:$B$104)))-5+1))</f>
        <v/>
      </c>
      <c r="JE8" s="62">
        <f>IF(SUMPRODUCT(('حجز الإجازات'!$B$5:$B$104='الموظفون'!$B$6)*('حجز الإجازات'!$D$5:$D$104&lt;=JE$3)*(('حجز الإجازات'!$E$5:$E$104)&gt;=JE$3)*('حجز الإجازات'!$G$5:$G$104="معتمد")*ROW('حجز الإجازات'!$B$5:$B$104))=0,IF(JE$3&lt;'الموظفون'!$D$6,"",IF(ISNUMBER(MATCH(JE$3,Holidays,0)),"عطلة",IF(MOD(JE$3-'الموظفون'!$D$6,CycleWork+CycleRest)&lt;CycleWork,INDEX('الإعدادات والقوائم'!$H$2:$H$4,MOD(INT(MOD(JE$3-'الموظفون'!$D$6,CycleWork+CycleRest)*3/CycleWork)+MATCH(StartShift,'الإعدادات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الإجازات'!$D$5:$D$104&lt;=JE$3)*(('حجز الإجازات'!$E$5:$E$104)&gt;=JE$3)*('حجز الإجازات'!$G$5:$G$104="معتمد")*ROW('حجز الإجازات'!$B$5:$B$104)))-5+1))</f>
        <v/>
      </c>
      <c r="JF8" s="62">
        <f>IF(SUMPRODUCT(('حجز الإجازات'!$B$5:$B$104='الموظفون'!$B$6)*('حجز الإجازات'!$D$5:$D$104&lt;=JF$3)*(('حجز الإجازات'!$E$5:$E$104)&gt;=JF$3)*('حجز الإجازات'!$G$5:$G$104="معتمد")*ROW('حجز الإجازات'!$B$5:$B$104))=0,IF(JF$3&lt;'الموظفون'!$D$6,"",IF(ISNUMBER(MATCH(JF$3,Holidays,0)),"عطلة",IF(MOD(JF$3-'الموظفون'!$D$6,CycleWork+CycleRest)&lt;CycleWork,INDEX('الإعدادات والقوائم'!$H$2:$H$4,MOD(INT(MOD(JF$3-'الموظفون'!$D$6,CycleWork+CycleRest)*3/CycleWork)+MATCH(StartShift,'الإعدادات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الإجازات'!$D$5:$D$104&lt;=JF$3)*(('حجز الإجازات'!$E$5:$E$104)&gt;=JF$3)*('حجز الإجازات'!$G$5:$G$104="معتمد")*ROW('حجز الإجازات'!$B$5:$B$104)))-5+1))</f>
        <v/>
      </c>
      <c r="JG8" s="62">
        <f>IF(SUMPRODUCT(('حجز الإجازات'!$B$5:$B$104='الموظفون'!$B$6)*('حجز الإجازات'!$D$5:$D$104&lt;=JG$3)*(('حجز الإجازات'!$E$5:$E$104)&gt;=JG$3)*('حجز الإجازات'!$G$5:$G$104="معتمد")*ROW('حجز الإجازات'!$B$5:$B$104))=0,IF(JG$3&lt;'الموظفون'!$D$6,"",IF(ISNUMBER(MATCH(JG$3,Holidays,0)),"عطلة",IF(MOD(JG$3-'الموظفون'!$D$6,CycleWork+CycleRest)&lt;CycleWork,INDEX('الإعدادات والقوائم'!$H$2:$H$4,MOD(INT(MOD(JG$3-'الموظفون'!$D$6,CycleWork+CycleRest)*3/CycleWork)+MATCH(StartShift,'الإعدادات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الإجازات'!$D$5:$D$104&lt;=JG$3)*(('حجز الإجازات'!$E$5:$E$104)&gt;=JG$3)*('حجز الإجازات'!$G$5:$G$104="معتمد")*ROW('حجز الإجازات'!$B$5:$B$104)))-5+1))</f>
        <v/>
      </c>
      <c r="JH8" s="62">
        <f>IF(SUMPRODUCT(('حجز الإجازات'!$B$5:$B$104='الموظفون'!$B$6)*('حجز الإجازات'!$D$5:$D$104&lt;=JH$3)*(('حجز الإجازات'!$E$5:$E$104)&gt;=JH$3)*('حجز الإجازات'!$G$5:$G$104="معتمد")*ROW('حجز الإجازات'!$B$5:$B$104))=0,IF(JH$3&lt;'الموظفون'!$D$6,"",IF(ISNUMBER(MATCH(JH$3,Holidays,0)),"عطلة",IF(MOD(JH$3-'الموظفون'!$D$6,CycleWork+CycleRest)&lt;CycleWork,INDEX('الإعدادات والقوائم'!$H$2:$H$4,MOD(INT(MOD(JH$3-'الموظفون'!$D$6,CycleWork+CycleRest)*3/CycleWork)+MATCH(StartShift,'الإعدادات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الإجازات'!$D$5:$D$104&lt;=JH$3)*(('حجز الإجازات'!$E$5:$E$104)&gt;=JH$3)*('حجز الإجازات'!$G$5:$G$104="معتمد")*ROW('حجز الإجازات'!$B$5:$B$104)))-5+1))</f>
        <v/>
      </c>
      <c r="JI8" s="62">
        <f>IF(SUMPRODUCT(('حجز الإجازات'!$B$5:$B$104='الموظفون'!$B$6)*('حجز الإجازات'!$D$5:$D$104&lt;=JI$3)*(('حجز الإجازات'!$E$5:$E$104)&gt;=JI$3)*('حجز الإجازات'!$G$5:$G$104="معتمد")*ROW('حجز الإجازات'!$B$5:$B$104))=0,IF(JI$3&lt;'الموظفون'!$D$6,"",IF(ISNUMBER(MATCH(JI$3,Holidays,0)),"عطلة",IF(MOD(JI$3-'الموظفون'!$D$6,CycleWork+CycleRest)&lt;CycleWork,INDEX('الإعدادات والقوائم'!$H$2:$H$4,MOD(INT(MOD(JI$3-'الموظفون'!$D$6,CycleWork+CycleRest)*3/CycleWork)+MATCH(StartShift,'الإعدادات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الإجازات'!$D$5:$D$104&lt;=JI$3)*(('حجز الإجازات'!$E$5:$E$104)&gt;=JI$3)*('حجز الإجازات'!$G$5:$G$104="معتمد")*ROW('حجز الإجازات'!$B$5:$B$104)))-5+1))</f>
        <v/>
      </c>
      <c r="JJ8" s="62">
        <f>IF(SUMPRODUCT(('حجز الإجازات'!$B$5:$B$104='الموظفون'!$B$6)*('حجز الإجازات'!$D$5:$D$104&lt;=JJ$3)*(('حجز الإجازات'!$E$5:$E$104)&gt;=JJ$3)*('حجز الإجازات'!$G$5:$G$104="معتمد")*ROW('حجز الإجازات'!$B$5:$B$104))=0,IF(JJ$3&lt;'الموظفون'!$D$6,"",IF(ISNUMBER(MATCH(JJ$3,Holidays,0)),"عطلة",IF(MOD(JJ$3-'الموظفون'!$D$6,CycleWork+CycleRest)&lt;CycleWork,INDEX('الإعدادات والقوائم'!$H$2:$H$4,MOD(INT(MOD(JJ$3-'الموظفون'!$D$6,CycleWork+CycleRest)*3/CycleWork)+MATCH(StartShift,'الإعدادات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الإجازات'!$D$5:$D$104&lt;=JJ$3)*(('حجز الإجازات'!$E$5:$E$104)&gt;=JJ$3)*('حجز الإجازات'!$G$5:$G$104="معتمد")*ROW('حجز الإجازات'!$B$5:$B$104)))-5+1))</f>
        <v/>
      </c>
      <c r="JK8" s="62">
        <f>IF(SUMPRODUCT(('حجز الإجازات'!$B$5:$B$104='الموظفون'!$B$6)*('حجز الإجازات'!$D$5:$D$104&lt;=JK$3)*(('حجز الإجازات'!$E$5:$E$104)&gt;=JK$3)*('حجز الإجازات'!$G$5:$G$104="معتمد")*ROW('حجز الإجازات'!$B$5:$B$104))=0,IF(JK$3&lt;'الموظفون'!$D$6,"",IF(ISNUMBER(MATCH(JK$3,Holidays,0)),"عطلة",IF(MOD(JK$3-'الموظفون'!$D$6,CycleWork+CycleRest)&lt;CycleWork,INDEX('الإعدادات والقوائم'!$H$2:$H$4,MOD(INT(MOD(JK$3-'الموظفون'!$D$6,CycleWork+CycleRest)*3/CycleWork)+MATCH(StartShift,'الإعدادات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الإجازات'!$D$5:$D$104&lt;=JK$3)*(('حجز الإجازات'!$E$5:$E$104)&gt;=JK$3)*('حجز الإجازات'!$G$5:$G$104="معتمد")*ROW('حجز الإجازات'!$B$5:$B$104)))-5+1))</f>
        <v/>
      </c>
      <c r="JL8" s="62">
        <f>IF(SUMPRODUCT(('حجز الإجازات'!$B$5:$B$104='الموظفون'!$B$6)*('حجز الإجازات'!$D$5:$D$104&lt;=JL$3)*(('حجز الإجازات'!$E$5:$E$104)&gt;=JL$3)*('حجز الإجازات'!$G$5:$G$104="معتمد")*ROW('حجز الإجازات'!$B$5:$B$104))=0,IF(JL$3&lt;'الموظفون'!$D$6,"",IF(ISNUMBER(MATCH(JL$3,Holidays,0)),"عطلة",IF(MOD(JL$3-'الموظفون'!$D$6,CycleWork+CycleRest)&lt;CycleWork,INDEX('الإعدادات والقوائم'!$H$2:$H$4,MOD(INT(MOD(JL$3-'الموظفون'!$D$6,CycleWork+CycleRest)*3/CycleWork)+MATCH(StartShift,'الإعدادات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الإجازات'!$D$5:$D$104&lt;=JL$3)*(('حجز الإجازات'!$E$5:$E$104)&gt;=JL$3)*('حجز الإجازات'!$G$5:$G$104="معتمد")*ROW('حجز الإجازات'!$B$5:$B$104)))-5+1))</f>
        <v/>
      </c>
      <c r="JM8" s="62">
        <f>IF(SUMPRODUCT(('حجز الإجازات'!$B$5:$B$104='الموظفون'!$B$6)*('حجز الإجازات'!$D$5:$D$104&lt;=JM$3)*(('حجز الإجازات'!$E$5:$E$104)&gt;=JM$3)*('حجز الإجازات'!$G$5:$G$104="معتمد")*ROW('حجز الإجازات'!$B$5:$B$104))=0,IF(JM$3&lt;'الموظفون'!$D$6,"",IF(ISNUMBER(MATCH(JM$3,Holidays,0)),"عطلة",IF(MOD(JM$3-'الموظفون'!$D$6,CycleWork+CycleRest)&lt;CycleWork,INDEX('الإعدادات والقوائم'!$H$2:$H$4,MOD(INT(MOD(JM$3-'الموظفون'!$D$6,CycleWork+CycleRest)*3/CycleWork)+MATCH(StartShift,'الإعدادات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الإجازات'!$D$5:$D$104&lt;=JM$3)*(('حجز الإجازات'!$E$5:$E$104)&gt;=JM$3)*('حجز الإجازات'!$G$5:$G$104="معتمد")*ROW('حجز الإجازات'!$B$5:$B$104)))-5+1))</f>
        <v/>
      </c>
      <c r="JN8" s="62">
        <f>IF(SUMPRODUCT(('حجز الإجازات'!$B$5:$B$104='الموظفون'!$B$6)*('حجز الإجازات'!$D$5:$D$104&lt;=JN$3)*(('حجز الإجازات'!$E$5:$E$104)&gt;=JN$3)*('حجز الإجازات'!$G$5:$G$104="معتمد")*ROW('حجز الإجازات'!$B$5:$B$104))=0,IF(JN$3&lt;'الموظفون'!$D$6,"",IF(ISNUMBER(MATCH(JN$3,Holidays,0)),"عطلة",IF(MOD(JN$3-'الموظفون'!$D$6,CycleWork+CycleRest)&lt;CycleWork,INDEX('الإعدادات والقوائم'!$H$2:$H$4,MOD(INT(MOD(JN$3-'الموظفون'!$D$6,CycleWork+CycleRest)*3/CycleWork)+MATCH(StartShift,'الإعدادات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الإجازات'!$D$5:$D$104&lt;=JN$3)*(('حجز الإجازات'!$E$5:$E$104)&gt;=JN$3)*('حجز الإجازات'!$G$5:$G$104="معتمد")*ROW('حجز الإجازات'!$B$5:$B$104)))-5+1))</f>
        <v/>
      </c>
      <c r="JO8" s="62">
        <f>IF(SUMPRODUCT(('حجز الإجازات'!$B$5:$B$104='الموظفون'!$B$6)*('حجز الإجازات'!$D$5:$D$104&lt;=JO$3)*(('حجز الإجازات'!$E$5:$E$104)&gt;=JO$3)*('حجز الإجازات'!$G$5:$G$104="معتمد")*ROW('حجز الإجازات'!$B$5:$B$104))=0,IF(JO$3&lt;'الموظفون'!$D$6,"",IF(ISNUMBER(MATCH(JO$3,Holidays,0)),"عطلة",IF(MOD(JO$3-'الموظفون'!$D$6,CycleWork+CycleRest)&lt;CycleWork,INDEX('الإعدادات والقوائم'!$H$2:$H$4,MOD(INT(MOD(JO$3-'الموظفون'!$D$6,CycleWork+CycleRest)*3/CycleWork)+MATCH(StartShift,'الإعدادات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الإجازات'!$D$5:$D$104&lt;=JO$3)*(('حجز الإجازات'!$E$5:$E$104)&gt;=JO$3)*('حجز الإجازات'!$G$5:$G$104="معتمد")*ROW('حجز الإجازات'!$B$5:$B$104)))-5+1))</f>
        <v/>
      </c>
      <c r="JP8" s="62">
        <f>IF(SUMPRODUCT(('حجز الإجازات'!$B$5:$B$104='الموظفون'!$B$6)*('حجز الإجازات'!$D$5:$D$104&lt;=JP$3)*(('حجز الإجازات'!$E$5:$E$104)&gt;=JP$3)*('حجز الإجازات'!$G$5:$G$104="معتمد")*ROW('حجز الإجازات'!$B$5:$B$104))=0,IF(JP$3&lt;'الموظفون'!$D$6,"",IF(ISNUMBER(MATCH(JP$3,Holidays,0)),"عطلة",IF(MOD(JP$3-'الموظفون'!$D$6,CycleWork+CycleRest)&lt;CycleWork,INDEX('الإعدادات والقوائم'!$H$2:$H$4,MOD(INT(MOD(JP$3-'الموظفون'!$D$6,CycleWork+CycleRest)*3/CycleWork)+MATCH(StartShift,'الإعدادات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الإجازات'!$D$5:$D$104&lt;=JP$3)*(('حجز الإجازات'!$E$5:$E$104)&gt;=JP$3)*('حجز الإجازات'!$G$5:$G$104="معتمد")*ROW('حجز الإجازات'!$B$5:$B$104)))-5+1))</f>
        <v/>
      </c>
      <c r="JQ8" s="62">
        <f>IF(SUMPRODUCT(('حجز الإجازات'!$B$5:$B$104='الموظفون'!$B$6)*('حجز الإجازات'!$D$5:$D$104&lt;=JQ$3)*(('حجز الإجازات'!$E$5:$E$104)&gt;=JQ$3)*('حجز الإجازات'!$G$5:$G$104="معتمد")*ROW('حجز الإجازات'!$B$5:$B$104))=0,IF(JQ$3&lt;'الموظفون'!$D$6,"",IF(ISNUMBER(MATCH(JQ$3,Holidays,0)),"عطلة",IF(MOD(JQ$3-'الموظفون'!$D$6,CycleWork+CycleRest)&lt;CycleWork,INDEX('الإعدادات والقوائم'!$H$2:$H$4,MOD(INT(MOD(JQ$3-'الموظفون'!$D$6,CycleWork+CycleRest)*3/CycleWork)+MATCH(StartShift,'الإعدادات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الإجازات'!$D$5:$D$104&lt;=JQ$3)*(('حجز الإجازات'!$E$5:$E$104)&gt;=JQ$3)*('حجز الإجازات'!$G$5:$G$104="معتمد")*ROW('حجز الإجازات'!$B$5:$B$104)))-5+1))</f>
        <v/>
      </c>
      <c r="JR8" s="62">
        <f>IF(SUMPRODUCT(('حجز الإجازات'!$B$5:$B$104='الموظفون'!$B$6)*('حجز الإجازات'!$D$5:$D$104&lt;=JR$3)*(('حجز الإجازات'!$E$5:$E$104)&gt;=JR$3)*('حجز الإجازات'!$G$5:$G$104="معتمد")*ROW('حجز الإجازات'!$B$5:$B$104))=0,IF(JR$3&lt;'الموظفون'!$D$6,"",IF(ISNUMBER(MATCH(JR$3,Holidays,0)),"عطلة",IF(MOD(JR$3-'الموظفون'!$D$6,CycleWork+CycleRest)&lt;CycleWork,INDEX('الإعدادات والقوائم'!$H$2:$H$4,MOD(INT(MOD(JR$3-'الموظفون'!$D$6,CycleWork+CycleRest)*3/CycleWork)+MATCH(StartShift,'الإعدادات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الإجازات'!$D$5:$D$104&lt;=JR$3)*(('حجز الإجازات'!$E$5:$E$104)&gt;=JR$3)*('حجز الإجازات'!$G$5:$G$104="معتمد")*ROW('حجز الإجازات'!$B$5:$B$104)))-5+1))</f>
        <v/>
      </c>
      <c r="JS8" s="62">
        <f>IF(SUMPRODUCT(('حجز الإجازات'!$B$5:$B$104='الموظفون'!$B$6)*('حجز الإجازات'!$D$5:$D$104&lt;=JS$3)*(('حجز الإجازات'!$E$5:$E$104)&gt;=JS$3)*('حجز الإجازات'!$G$5:$G$104="معتمد")*ROW('حجز الإجازات'!$B$5:$B$104))=0,IF(JS$3&lt;'الموظفون'!$D$6,"",IF(ISNUMBER(MATCH(JS$3,Holidays,0)),"عطلة",IF(MOD(JS$3-'الموظفون'!$D$6,CycleWork+CycleRest)&lt;CycleWork,INDEX('الإعدادات والقوائم'!$H$2:$H$4,MOD(INT(MOD(JS$3-'الموظفون'!$D$6,CycleWork+CycleRest)*3/CycleWork)+MATCH(StartShift,'الإعدادات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الإجازات'!$D$5:$D$104&lt;=JS$3)*(('حجز الإجازات'!$E$5:$E$104)&gt;=JS$3)*('حجز الإجازات'!$G$5:$G$104="معتمد")*ROW('حجز الإجازات'!$B$5:$B$104)))-5+1))</f>
        <v/>
      </c>
      <c r="JT8" s="62">
        <f>IF(SUMPRODUCT(('حجز الإجازات'!$B$5:$B$104='الموظفون'!$B$6)*('حجز الإجازات'!$D$5:$D$104&lt;=JT$3)*(('حجز الإجازات'!$E$5:$E$104)&gt;=JT$3)*('حجز الإجازات'!$G$5:$G$104="معتمد")*ROW('حجز الإجازات'!$B$5:$B$104))=0,IF(JT$3&lt;'الموظفون'!$D$6,"",IF(ISNUMBER(MATCH(JT$3,Holidays,0)),"عطلة",IF(MOD(JT$3-'الموظفون'!$D$6,CycleWork+CycleRest)&lt;CycleWork,INDEX('الإعدادات والقوائم'!$H$2:$H$4,MOD(INT(MOD(JT$3-'الموظفون'!$D$6,CycleWork+CycleRest)*3/CycleWork)+MATCH(StartShift,'الإعدادات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الإجازات'!$D$5:$D$104&lt;=JT$3)*(('حجز الإجازات'!$E$5:$E$104)&gt;=JT$3)*('حجز الإجازات'!$G$5:$G$104="معتمد")*ROW('حجز الإجازات'!$B$5:$B$104)))-5+1))</f>
        <v/>
      </c>
      <c r="JU8" s="62">
        <f>IF(SUMPRODUCT(('حجز الإجازات'!$B$5:$B$104='الموظفون'!$B$6)*('حجز الإجازات'!$D$5:$D$104&lt;=JU$3)*(('حجز الإجازات'!$E$5:$E$104)&gt;=JU$3)*('حجز الإجازات'!$G$5:$G$104="معتمد")*ROW('حجز الإجازات'!$B$5:$B$104))=0,IF(JU$3&lt;'الموظفون'!$D$6,"",IF(ISNUMBER(MATCH(JU$3,Holidays,0)),"عطلة",IF(MOD(JU$3-'الموظفون'!$D$6,CycleWork+CycleRest)&lt;CycleWork,INDEX('الإعدادات والقوائم'!$H$2:$H$4,MOD(INT(MOD(JU$3-'الموظفون'!$D$6,CycleWork+CycleRest)*3/CycleWork)+MATCH(StartShift,'الإعدادات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الإجازات'!$D$5:$D$104&lt;=JU$3)*(('حجز الإجازات'!$E$5:$E$104)&gt;=JU$3)*('حجز الإجازات'!$G$5:$G$104="معتمد")*ROW('حجز الإجازات'!$B$5:$B$104)))-5+1))</f>
        <v/>
      </c>
      <c r="JV8" s="62">
        <f>IF(SUMPRODUCT(('حجز الإجازات'!$B$5:$B$104='الموظفون'!$B$6)*('حجز الإجازات'!$D$5:$D$104&lt;=JV$3)*(('حجز الإجازات'!$E$5:$E$104)&gt;=JV$3)*('حجز الإجازات'!$G$5:$G$104="معتمد")*ROW('حجز الإجازات'!$B$5:$B$104))=0,IF(JV$3&lt;'الموظفون'!$D$6,"",IF(ISNUMBER(MATCH(JV$3,Holidays,0)),"عطلة",IF(MOD(JV$3-'الموظفون'!$D$6,CycleWork+CycleRest)&lt;CycleWork,INDEX('الإعدادات والقوائم'!$H$2:$H$4,MOD(INT(MOD(JV$3-'الموظفون'!$D$6,CycleWork+CycleRest)*3/CycleWork)+MATCH(StartShift,'الإعدادات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الإجازات'!$D$5:$D$104&lt;=JV$3)*(('حجز الإجازات'!$E$5:$E$104)&gt;=JV$3)*('حجز الإجازات'!$G$5:$G$104="معتمد")*ROW('حجز الإجازات'!$B$5:$B$104)))-5+1))</f>
        <v/>
      </c>
      <c r="JW8" s="62">
        <f>IF(SUMPRODUCT(('حجز الإجازات'!$B$5:$B$104='الموظفون'!$B$6)*('حجز الإجازات'!$D$5:$D$104&lt;=JW$3)*(('حجز الإجازات'!$E$5:$E$104)&gt;=JW$3)*('حجز الإجازات'!$G$5:$G$104="معتمد")*ROW('حجز الإجازات'!$B$5:$B$104))=0,IF(JW$3&lt;'الموظفون'!$D$6,"",IF(ISNUMBER(MATCH(JW$3,Holidays,0)),"عطلة",IF(MOD(JW$3-'الموظفون'!$D$6,CycleWork+CycleRest)&lt;CycleWork,INDEX('الإعدادات والقوائم'!$H$2:$H$4,MOD(INT(MOD(JW$3-'الموظفون'!$D$6,CycleWork+CycleRest)*3/CycleWork)+MATCH(StartShift,'الإعدادات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الإجازات'!$D$5:$D$104&lt;=JW$3)*(('حجز الإجازات'!$E$5:$E$104)&gt;=JW$3)*('حجز الإجازات'!$G$5:$G$104="معتمد")*ROW('حجز الإجازات'!$B$5:$B$104)))-5+1))</f>
        <v/>
      </c>
      <c r="JX8" s="62">
        <f>IF(SUMPRODUCT(('حجز الإجازات'!$B$5:$B$104='الموظفون'!$B$6)*('حجز الإجازات'!$D$5:$D$104&lt;=JX$3)*(('حجز الإجازات'!$E$5:$E$104)&gt;=JX$3)*('حجز الإجازات'!$G$5:$G$104="معتمد")*ROW('حجز الإجازات'!$B$5:$B$104))=0,IF(JX$3&lt;'الموظفون'!$D$6,"",IF(ISNUMBER(MATCH(JX$3,Holidays,0)),"عطلة",IF(MOD(JX$3-'الموظفون'!$D$6,CycleWork+CycleRest)&lt;CycleWork,INDEX('الإعدادات والقوائم'!$H$2:$H$4,MOD(INT(MOD(JX$3-'الموظفون'!$D$6,CycleWork+CycleRest)*3/CycleWork)+MATCH(StartShift,'الإعدادات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الإجازات'!$D$5:$D$104&lt;=JX$3)*(('حجز الإجازات'!$E$5:$E$104)&gt;=JX$3)*('حجز الإجازات'!$G$5:$G$104="معتمد")*ROW('حجز الإجازات'!$B$5:$B$104)))-5+1))</f>
        <v/>
      </c>
      <c r="JY8" s="62">
        <f>IF(SUMPRODUCT(('حجز الإجازات'!$B$5:$B$104='الموظفون'!$B$6)*('حجز الإجازات'!$D$5:$D$104&lt;=JY$3)*(('حجز الإجازات'!$E$5:$E$104)&gt;=JY$3)*('حجز الإجازات'!$G$5:$G$104="معتمد")*ROW('حجز الإجازات'!$B$5:$B$104))=0,IF(JY$3&lt;'الموظفون'!$D$6,"",IF(ISNUMBER(MATCH(JY$3,Holidays,0)),"عطلة",IF(MOD(JY$3-'الموظفون'!$D$6,CycleWork+CycleRest)&lt;CycleWork,INDEX('الإعدادات والقوائم'!$H$2:$H$4,MOD(INT(MOD(JY$3-'الموظفون'!$D$6,CycleWork+CycleRest)*3/CycleWork)+MATCH(StartShift,'الإعدادات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الإجازات'!$D$5:$D$104&lt;=JY$3)*(('حجز الإجازات'!$E$5:$E$104)&gt;=JY$3)*('حجز الإجازات'!$G$5:$G$104="معتمد")*ROW('حجز الإجازات'!$B$5:$B$104)))-5+1))</f>
        <v/>
      </c>
      <c r="JZ8" s="62">
        <f>IF(SUMPRODUCT(('حجز الإجازات'!$B$5:$B$104='الموظفون'!$B$6)*('حجز الإجازات'!$D$5:$D$104&lt;=JZ$3)*(('حجز الإجازات'!$E$5:$E$104)&gt;=JZ$3)*('حجز الإجازات'!$G$5:$G$104="معتمد")*ROW('حجز الإجازات'!$B$5:$B$104))=0,IF(JZ$3&lt;'الموظفون'!$D$6,"",IF(ISNUMBER(MATCH(JZ$3,Holidays,0)),"عطلة",IF(MOD(JZ$3-'الموظفون'!$D$6,CycleWork+CycleRest)&lt;CycleWork,INDEX('الإعدادات والقوائم'!$H$2:$H$4,MOD(INT(MOD(JZ$3-'الموظفون'!$D$6,CycleWork+CycleRest)*3/CycleWork)+MATCH(StartShift,'الإعدادات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الإجازات'!$D$5:$D$104&lt;=JZ$3)*(('حجز الإجازات'!$E$5:$E$104)&gt;=JZ$3)*('حجز الإجازات'!$G$5:$G$104="معتمد")*ROW('حجز الإجازات'!$B$5:$B$104)))-5+1))</f>
        <v/>
      </c>
      <c r="KA8" s="62">
        <f>IF(SUMPRODUCT(('حجز الإجازات'!$B$5:$B$104='الموظفون'!$B$6)*('حجز الإجازات'!$D$5:$D$104&lt;=KA$3)*(('حجز الإجازات'!$E$5:$E$104)&gt;=KA$3)*('حجز الإجازات'!$G$5:$G$104="معتمد")*ROW('حجز الإجازات'!$B$5:$B$104))=0,IF(KA$3&lt;'الموظفون'!$D$6,"",IF(ISNUMBER(MATCH(KA$3,Holidays,0)),"عطلة",IF(MOD(KA$3-'الموظفون'!$D$6,CycleWork+CycleRest)&lt;CycleWork,INDEX('الإعدادات والقوائم'!$H$2:$H$4,MOD(INT(MOD(KA$3-'الموظفون'!$D$6,CycleWork+CycleRest)*3/CycleWork)+MATCH(StartShift,'الإعدادات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الإجازات'!$D$5:$D$104&lt;=KA$3)*(('حجز الإجازات'!$E$5:$E$104)&gt;=KA$3)*('حجز الإجازات'!$G$5:$G$104="معتمد")*ROW('حجز الإجازات'!$B$5:$B$104)))-5+1))</f>
        <v/>
      </c>
      <c r="KB8" s="62">
        <f>IF(SUMPRODUCT(('حجز الإجازات'!$B$5:$B$104='الموظفون'!$B$6)*('حجز الإجازات'!$D$5:$D$104&lt;=KB$3)*(('حجز الإجازات'!$E$5:$E$104)&gt;=KB$3)*('حجز الإجازات'!$G$5:$G$104="معتمد")*ROW('حجز الإجازات'!$B$5:$B$104))=0,IF(KB$3&lt;'الموظفون'!$D$6,"",IF(ISNUMBER(MATCH(KB$3,Holidays,0)),"عطلة",IF(MOD(KB$3-'الموظفون'!$D$6,CycleWork+CycleRest)&lt;CycleWork,INDEX('الإعدادات والقوائم'!$H$2:$H$4,MOD(INT(MOD(KB$3-'الموظفون'!$D$6,CycleWork+CycleRest)*3/CycleWork)+MATCH(StartShift,'الإعدادات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الإجازات'!$D$5:$D$104&lt;=KB$3)*(('حجز الإجازات'!$E$5:$E$104)&gt;=KB$3)*('حجز الإجازات'!$G$5:$G$104="معتمد")*ROW('حجز الإجازات'!$B$5:$B$104)))-5+1))</f>
        <v/>
      </c>
      <c r="KC8" s="62">
        <f>IF(SUMPRODUCT(('حجز الإجازات'!$B$5:$B$104='الموظفون'!$B$6)*('حجز الإجازات'!$D$5:$D$104&lt;=KC$3)*(('حجز الإجازات'!$E$5:$E$104)&gt;=KC$3)*('حجز الإجازات'!$G$5:$G$104="معتمد")*ROW('حجز الإجازات'!$B$5:$B$104))=0,IF(KC$3&lt;'الموظفون'!$D$6,"",IF(ISNUMBER(MATCH(KC$3,Holidays,0)),"عطلة",IF(MOD(KC$3-'الموظفون'!$D$6,CycleWork+CycleRest)&lt;CycleWork,INDEX('الإعدادات والقوائم'!$H$2:$H$4,MOD(INT(MOD(KC$3-'الموظفون'!$D$6,CycleWork+CycleRest)*3/CycleWork)+MATCH(StartShift,'الإعدادات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الإجازات'!$D$5:$D$104&lt;=KC$3)*(('حجز الإجازات'!$E$5:$E$104)&gt;=KC$3)*('حجز الإجازات'!$G$5:$G$104="معتمد")*ROW('حجز الإجازات'!$B$5:$B$104)))-5+1))</f>
        <v/>
      </c>
      <c r="KD8" s="62">
        <f>IF(SUMPRODUCT(('حجز الإجازات'!$B$5:$B$104='الموظفون'!$B$6)*('حجز الإجازات'!$D$5:$D$104&lt;=KD$3)*(('حجز الإجازات'!$E$5:$E$104)&gt;=KD$3)*('حجز الإجازات'!$G$5:$G$104="معتمد")*ROW('حجز الإجازات'!$B$5:$B$104))=0,IF(KD$3&lt;'الموظفون'!$D$6,"",IF(ISNUMBER(MATCH(KD$3,Holidays,0)),"عطلة",IF(MOD(KD$3-'الموظفون'!$D$6,CycleWork+CycleRest)&lt;CycleWork,INDEX('الإعدادات والقوائم'!$H$2:$H$4,MOD(INT(MOD(KD$3-'الموظفون'!$D$6,CycleWork+CycleRest)*3/CycleWork)+MATCH(StartShift,'الإعدادات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الإجازات'!$D$5:$D$104&lt;=KD$3)*(('حجز الإجازات'!$E$5:$E$104)&gt;=KD$3)*('حجز الإجازات'!$G$5:$G$104="معتمد")*ROW('حجز الإجازات'!$B$5:$B$104)))-5+1))</f>
        <v/>
      </c>
      <c r="KE8" s="62">
        <f>IF(SUMPRODUCT(('حجز الإجازات'!$B$5:$B$104='الموظفون'!$B$6)*('حجز الإجازات'!$D$5:$D$104&lt;=KE$3)*(('حجز الإجازات'!$E$5:$E$104)&gt;=KE$3)*('حجز الإجازات'!$G$5:$G$104="معتمد")*ROW('حجز الإجازات'!$B$5:$B$104))=0,IF(KE$3&lt;'الموظفون'!$D$6,"",IF(ISNUMBER(MATCH(KE$3,Holidays,0)),"عطلة",IF(MOD(KE$3-'الموظفون'!$D$6,CycleWork+CycleRest)&lt;CycleWork,INDEX('الإعدادات والقوائم'!$H$2:$H$4,MOD(INT(MOD(KE$3-'الموظفون'!$D$6,CycleWork+CycleRest)*3/CycleWork)+MATCH(StartShift,'الإعدادات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الإجازات'!$D$5:$D$104&lt;=KE$3)*(('حجز الإجازات'!$E$5:$E$104)&gt;=KE$3)*('حجز الإجازات'!$G$5:$G$104="معتمد")*ROW('حجز الإجازات'!$B$5:$B$104)))-5+1))</f>
        <v/>
      </c>
      <c r="KF8" s="62">
        <f>IF(SUMPRODUCT(('حجز الإجازات'!$B$5:$B$104='الموظفون'!$B$6)*('حجز الإجازات'!$D$5:$D$104&lt;=KF$3)*(('حجز الإجازات'!$E$5:$E$104)&gt;=KF$3)*('حجز الإجازات'!$G$5:$G$104="معتمد")*ROW('حجز الإجازات'!$B$5:$B$104))=0,IF(KF$3&lt;'الموظفون'!$D$6,"",IF(ISNUMBER(MATCH(KF$3,Holidays,0)),"عطلة",IF(MOD(KF$3-'الموظفون'!$D$6,CycleWork+CycleRest)&lt;CycleWork,INDEX('الإعدادات والقوائم'!$H$2:$H$4,MOD(INT(MOD(KF$3-'الموظفون'!$D$6,CycleWork+CycleRest)*3/CycleWork)+MATCH(StartShift,'الإعدادات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الإجازات'!$D$5:$D$104&lt;=KF$3)*(('حجز الإجازات'!$E$5:$E$104)&gt;=KF$3)*('حجز الإجازات'!$G$5:$G$104="معتمد")*ROW('حجز الإجازات'!$B$5:$B$104)))-5+1))</f>
        <v/>
      </c>
      <c r="KG8" s="62">
        <f>IF(SUMPRODUCT(('حجز الإجازات'!$B$5:$B$104='الموظفون'!$B$6)*('حجز الإجازات'!$D$5:$D$104&lt;=KG$3)*(('حجز الإجازات'!$E$5:$E$104)&gt;=KG$3)*('حجز الإجازات'!$G$5:$G$104="معتمد")*ROW('حجز الإجازات'!$B$5:$B$104))=0,IF(KG$3&lt;'الموظفون'!$D$6,"",IF(ISNUMBER(MATCH(KG$3,Holidays,0)),"عطلة",IF(MOD(KG$3-'الموظفون'!$D$6,CycleWork+CycleRest)&lt;CycleWork,INDEX('الإعدادات والقوائم'!$H$2:$H$4,MOD(INT(MOD(KG$3-'الموظفون'!$D$6,CycleWork+CycleRest)*3/CycleWork)+MATCH(StartShift,'الإعدادات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الإجازات'!$D$5:$D$104&lt;=KG$3)*(('حجز الإجازات'!$E$5:$E$104)&gt;=KG$3)*('حجز الإجازات'!$G$5:$G$104="معتمد")*ROW('حجز الإجازات'!$B$5:$B$104)))-5+1))</f>
        <v/>
      </c>
      <c r="KH8" s="62">
        <f>IF(SUMPRODUCT(('حجز الإجازات'!$B$5:$B$104='الموظفون'!$B$6)*('حجز الإجازات'!$D$5:$D$104&lt;=KH$3)*(('حجز الإجازات'!$E$5:$E$104)&gt;=KH$3)*('حجز الإجازات'!$G$5:$G$104="معتمد")*ROW('حجز الإجازات'!$B$5:$B$104))=0,IF(KH$3&lt;'الموظفون'!$D$6,"",IF(ISNUMBER(MATCH(KH$3,Holidays,0)),"عطلة",IF(MOD(KH$3-'الموظفون'!$D$6,CycleWork+CycleRest)&lt;CycleWork,INDEX('الإعدادات والقوائم'!$H$2:$H$4,MOD(INT(MOD(KH$3-'الموظفون'!$D$6,CycleWork+CycleRest)*3/CycleWork)+MATCH(StartShift,'الإعدادات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الإجازات'!$D$5:$D$104&lt;=KH$3)*(('حجز الإجازات'!$E$5:$E$104)&gt;=KH$3)*('حجز الإجازات'!$G$5:$G$104="معتمد")*ROW('حجز الإجازات'!$B$5:$B$104)))-5+1))</f>
        <v/>
      </c>
      <c r="KI8" s="62">
        <f>IF(SUMPRODUCT(('حجز الإجازات'!$B$5:$B$104='الموظفون'!$B$6)*('حجز الإجازات'!$D$5:$D$104&lt;=KI$3)*(('حجز الإجازات'!$E$5:$E$104)&gt;=KI$3)*('حجز الإجازات'!$G$5:$G$104="معتمد")*ROW('حجز الإجازات'!$B$5:$B$104))=0,IF(KI$3&lt;'الموظفون'!$D$6,"",IF(ISNUMBER(MATCH(KI$3,Holidays,0)),"عطلة",IF(MOD(KI$3-'الموظفون'!$D$6,CycleWork+CycleRest)&lt;CycleWork,INDEX('الإعدادات والقوائم'!$H$2:$H$4,MOD(INT(MOD(KI$3-'الموظفون'!$D$6,CycleWork+CycleRest)*3/CycleWork)+MATCH(StartShift,'الإعدادات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الإجازات'!$D$5:$D$104&lt;=KI$3)*(('حجز الإجازات'!$E$5:$E$104)&gt;=KI$3)*('حجز الإجازات'!$G$5:$G$104="معتمد")*ROW('حجز الإجازات'!$B$5:$B$104)))-5+1))</f>
        <v/>
      </c>
      <c r="KJ8" s="62">
        <f>IF(SUMPRODUCT(('حجز الإجازات'!$B$5:$B$104='الموظفون'!$B$6)*('حجز الإجازات'!$D$5:$D$104&lt;=KJ$3)*(('حجز الإجازات'!$E$5:$E$104)&gt;=KJ$3)*('حجز الإجازات'!$G$5:$G$104="معتمد")*ROW('حجز الإجازات'!$B$5:$B$104))=0,IF(KJ$3&lt;'الموظفون'!$D$6,"",IF(ISNUMBER(MATCH(KJ$3,Holidays,0)),"عطلة",IF(MOD(KJ$3-'الموظفون'!$D$6,CycleWork+CycleRest)&lt;CycleWork,INDEX('الإعدادات والقوائم'!$H$2:$H$4,MOD(INT(MOD(KJ$3-'الموظفون'!$D$6,CycleWork+CycleRest)*3/CycleWork)+MATCH(StartShift,'الإعدادات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الإجازات'!$D$5:$D$104&lt;=KJ$3)*(('حجز الإجازات'!$E$5:$E$104)&gt;=KJ$3)*('حجز الإجازات'!$G$5:$G$104="معتمد")*ROW('حجز الإجازات'!$B$5:$B$104)))-5+1))</f>
        <v/>
      </c>
      <c r="KK8" s="62">
        <f>IF(SUMPRODUCT(('حجز الإجازات'!$B$5:$B$104='الموظفون'!$B$6)*('حجز الإجازات'!$D$5:$D$104&lt;=KK$3)*(('حجز الإجازات'!$E$5:$E$104)&gt;=KK$3)*('حجز الإجازات'!$G$5:$G$104="معتمد")*ROW('حجز الإجازات'!$B$5:$B$104))=0,IF(KK$3&lt;'الموظفون'!$D$6,"",IF(ISNUMBER(MATCH(KK$3,Holidays,0)),"عطلة",IF(MOD(KK$3-'الموظفون'!$D$6,CycleWork+CycleRest)&lt;CycleWork,INDEX('الإعدادات والقوائم'!$H$2:$H$4,MOD(INT(MOD(KK$3-'الموظفون'!$D$6,CycleWork+CycleRest)*3/CycleWork)+MATCH(StartShift,'الإعدادات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الإجازات'!$D$5:$D$104&lt;=KK$3)*(('حجز الإجازات'!$E$5:$E$104)&gt;=KK$3)*('حجز الإجازات'!$G$5:$G$104="معتمد")*ROW('حجز الإجازات'!$B$5:$B$104)))-5+1))</f>
        <v/>
      </c>
      <c r="KL8" s="62">
        <f>IF(SUMPRODUCT(('حجز الإجازات'!$B$5:$B$104='الموظفون'!$B$6)*('حجز الإجازات'!$D$5:$D$104&lt;=KL$3)*(('حجز الإجازات'!$E$5:$E$104)&gt;=KL$3)*('حجز الإجازات'!$G$5:$G$104="معتمد")*ROW('حجز الإجازات'!$B$5:$B$104))=0,IF(KL$3&lt;'الموظفون'!$D$6,"",IF(ISNUMBER(MATCH(KL$3,Holidays,0)),"عطلة",IF(MOD(KL$3-'الموظفون'!$D$6,CycleWork+CycleRest)&lt;CycleWork,INDEX('الإعدادات والقوائم'!$H$2:$H$4,MOD(INT(MOD(KL$3-'الموظفون'!$D$6,CycleWork+CycleRest)*3/CycleWork)+MATCH(StartShift,'الإعدادات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الإجازات'!$D$5:$D$104&lt;=KL$3)*(('حجز الإجازات'!$E$5:$E$104)&gt;=KL$3)*('حجز الإجازات'!$G$5:$G$104="معتمد")*ROW('حجز الإجازات'!$B$5:$B$104)))-5+1))</f>
        <v/>
      </c>
      <c r="KM8" s="62">
        <f>IF(SUMPRODUCT(('حجز الإجازات'!$B$5:$B$104='الموظفون'!$B$6)*('حجز الإجازات'!$D$5:$D$104&lt;=KM$3)*(('حجز الإجازات'!$E$5:$E$104)&gt;=KM$3)*('حجز الإجازات'!$G$5:$G$104="معتمد")*ROW('حجز الإجازات'!$B$5:$B$104))=0,IF(KM$3&lt;'الموظفون'!$D$6,"",IF(ISNUMBER(MATCH(KM$3,Holidays,0)),"عطلة",IF(MOD(KM$3-'الموظفون'!$D$6,CycleWork+CycleRest)&lt;CycleWork,INDEX('الإعدادات والقوائم'!$H$2:$H$4,MOD(INT(MOD(KM$3-'الموظفون'!$D$6,CycleWork+CycleRest)*3/CycleWork)+MATCH(StartShift,'الإعدادات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الإجازات'!$D$5:$D$104&lt;=KM$3)*(('حجز الإجازات'!$E$5:$E$104)&gt;=KM$3)*('حجز الإجازات'!$G$5:$G$104="معتمد")*ROW('حجز الإجازات'!$B$5:$B$104)))-5+1))</f>
        <v/>
      </c>
      <c r="KN8" s="62">
        <f>IF(SUMPRODUCT(('حجز الإجازات'!$B$5:$B$104='الموظفون'!$B$6)*('حجز الإجازات'!$D$5:$D$104&lt;=KN$3)*(('حجز الإجازات'!$E$5:$E$104)&gt;=KN$3)*('حجز الإجازات'!$G$5:$G$104="معتمد")*ROW('حجز الإجازات'!$B$5:$B$104))=0,IF(KN$3&lt;'الموظفون'!$D$6,"",IF(ISNUMBER(MATCH(KN$3,Holidays,0)),"عطلة",IF(MOD(KN$3-'الموظفون'!$D$6,CycleWork+CycleRest)&lt;CycleWork,INDEX('الإعدادات والقوائم'!$H$2:$H$4,MOD(INT(MOD(KN$3-'الموظفون'!$D$6,CycleWork+CycleRest)*3/CycleWork)+MATCH(StartShift,'الإعدادات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الإجازات'!$D$5:$D$104&lt;=KN$3)*(('حجز الإجازات'!$E$5:$E$104)&gt;=KN$3)*('حجز الإجازات'!$G$5:$G$104="معتمد")*ROW('حجز الإجازات'!$B$5:$B$104)))-5+1))</f>
        <v/>
      </c>
      <c r="KO8" s="62">
        <f>IF(SUMPRODUCT(('حجز الإجازات'!$B$5:$B$104='الموظفون'!$B$6)*('حجز الإجازات'!$D$5:$D$104&lt;=KO$3)*(('حجز الإجازات'!$E$5:$E$104)&gt;=KO$3)*('حجز الإجازات'!$G$5:$G$104="معتمد")*ROW('حجز الإجازات'!$B$5:$B$104))=0,IF(KO$3&lt;'الموظفون'!$D$6,"",IF(ISNUMBER(MATCH(KO$3,Holidays,0)),"عطلة",IF(MOD(KO$3-'الموظفون'!$D$6,CycleWork+CycleRest)&lt;CycleWork,INDEX('الإعدادات والقوائم'!$H$2:$H$4,MOD(INT(MOD(KO$3-'الموظفون'!$D$6,CycleWork+CycleRest)*3/CycleWork)+MATCH(StartShift,'الإعدادات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الإجازات'!$D$5:$D$104&lt;=KO$3)*(('حجز الإجازات'!$E$5:$E$104)&gt;=KO$3)*('حجز الإجازات'!$G$5:$G$104="معتمد")*ROW('حجز الإجازات'!$B$5:$B$104)))-5+1))</f>
        <v/>
      </c>
      <c r="KP8" s="62">
        <f>IF(SUMPRODUCT(('حجز الإجازات'!$B$5:$B$104='الموظفون'!$B$6)*('حجز الإجازات'!$D$5:$D$104&lt;=KP$3)*(('حجز الإجازات'!$E$5:$E$104)&gt;=KP$3)*('حجز الإجازات'!$G$5:$G$104="معتمد")*ROW('حجز الإجازات'!$B$5:$B$104))=0,IF(KP$3&lt;'الموظفون'!$D$6,"",IF(ISNUMBER(MATCH(KP$3,Holidays,0)),"عطلة",IF(MOD(KP$3-'الموظفون'!$D$6,CycleWork+CycleRest)&lt;CycleWork,INDEX('الإعدادات والقوائم'!$H$2:$H$4,MOD(INT(MOD(KP$3-'الموظفون'!$D$6,CycleWork+CycleRest)*3/CycleWork)+MATCH(StartShift,'الإعدادات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الإجازات'!$D$5:$D$104&lt;=KP$3)*(('حجز الإجازات'!$E$5:$E$104)&gt;=KP$3)*('حجز الإجازات'!$G$5:$G$104="معتمد")*ROW('حجز الإجازات'!$B$5:$B$104)))-5+1))</f>
        <v/>
      </c>
      <c r="KQ8" s="62">
        <f>IF(SUMPRODUCT(('حجز الإجازات'!$B$5:$B$104='الموظفون'!$B$6)*('حجز الإجازات'!$D$5:$D$104&lt;=KQ$3)*(('حجز الإجازات'!$E$5:$E$104)&gt;=KQ$3)*('حجز الإجازات'!$G$5:$G$104="معتمد")*ROW('حجز الإجازات'!$B$5:$B$104))=0,IF(KQ$3&lt;'الموظفون'!$D$6,"",IF(ISNUMBER(MATCH(KQ$3,Holidays,0)),"عطلة",IF(MOD(KQ$3-'الموظفون'!$D$6,CycleWork+CycleRest)&lt;CycleWork,INDEX('الإعدادات والقوائم'!$H$2:$H$4,MOD(INT(MOD(KQ$3-'الموظفون'!$D$6,CycleWork+CycleRest)*3/CycleWork)+MATCH(StartShift,'الإعدادات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الإجازات'!$D$5:$D$104&lt;=KQ$3)*(('حجز الإجازات'!$E$5:$E$104)&gt;=KQ$3)*('حجز الإجازات'!$G$5:$G$104="معتمد")*ROW('حجز الإجازات'!$B$5:$B$104)))-5+1))</f>
        <v/>
      </c>
      <c r="KR8" s="62">
        <f>IF(SUMPRODUCT(('حجز الإجازات'!$B$5:$B$104='الموظفون'!$B$6)*('حجز الإجازات'!$D$5:$D$104&lt;=KR$3)*(('حجز الإجازات'!$E$5:$E$104)&gt;=KR$3)*('حجز الإجازات'!$G$5:$G$104="معتمد")*ROW('حجز الإجازات'!$B$5:$B$104))=0,IF(KR$3&lt;'الموظفون'!$D$6,"",IF(ISNUMBER(MATCH(KR$3,Holidays,0)),"عطلة",IF(MOD(KR$3-'الموظفون'!$D$6,CycleWork+CycleRest)&lt;CycleWork,INDEX('الإعدادات والقوائم'!$H$2:$H$4,MOD(INT(MOD(KR$3-'الموظفون'!$D$6,CycleWork+CycleRest)*3/CycleWork)+MATCH(StartShift,'الإعدادات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الإجازات'!$D$5:$D$104&lt;=KR$3)*(('حجز الإجازات'!$E$5:$E$104)&gt;=KR$3)*('حجز الإجازات'!$G$5:$G$104="معتمد")*ROW('حجز الإجازات'!$B$5:$B$104)))-5+1))</f>
        <v/>
      </c>
      <c r="KS8" s="62">
        <f>IF(SUMPRODUCT(('حجز الإجازات'!$B$5:$B$104='الموظفون'!$B$6)*('حجز الإجازات'!$D$5:$D$104&lt;=KS$3)*(('حجز الإجازات'!$E$5:$E$104)&gt;=KS$3)*('حجز الإجازات'!$G$5:$G$104="معتمد")*ROW('حجز الإجازات'!$B$5:$B$104))=0,IF(KS$3&lt;'الموظفون'!$D$6,"",IF(ISNUMBER(MATCH(KS$3,Holidays,0)),"عطلة",IF(MOD(KS$3-'الموظفون'!$D$6,CycleWork+CycleRest)&lt;CycleWork,INDEX('الإعدادات والقوائم'!$H$2:$H$4,MOD(INT(MOD(KS$3-'الموظفون'!$D$6,CycleWork+CycleRest)*3/CycleWork)+MATCH(StartShift,'الإعدادات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الإجازات'!$D$5:$D$104&lt;=KS$3)*(('حجز الإجازات'!$E$5:$E$104)&gt;=KS$3)*('حجز الإجازات'!$G$5:$G$104="معتمد")*ROW('حجز الإجازات'!$B$5:$B$104)))-5+1))</f>
        <v/>
      </c>
      <c r="KT8" s="62">
        <f>IF(SUMPRODUCT(('حجز الإجازات'!$B$5:$B$104='الموظفون'!$B$6)*('حجز الإجازات'!$D$5:$D$104&lt;=KT$3)*(('حجز الإجازات'!$E$5:$E$104)&gt;=KT$3)*('حجز الإجازات'!$G$5:$G$104="معتمد")*ROW('حجز الإجازات'!$B$5:$B$104))=0,IF(KT$3&lt;'الموظفون'!$D$6,"",IF(ISNUMBER(MATCH(KT$3,Holidays,0)),"عطلة",IF(MOD(KT$3-'الموظفون'!$D$6,CycleWork+CycleRest)&lt;CycleWork,INDEX('الإعدادات والقوائم'!$H$2:$H$4,MOD(INT(MOD(KT$3-'الموظفون'!$D$6,CycleWork+CycleRest)*3/CycleWork)+MATCH(StartShift,'الإعدادات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الإجازات'!$D$5:$D$104&lt;=KT$3)*(('حجز الإجازات'!$E$5:$E$104)&gt;=KT$3)*('حجز الإجازات'!$G$5:$G$104="معتمد")*ROW('حجز الإجازات'!$B$5:$B$104)))-5+1))</f>
        <v/>
      </c>
      <c r="KU8" s="62">
        <f>IF(SUMPRODUCT(('حجز الإجازات'!$B$5:$B$104='الموظفون'!$B$6)*('حجز الإجازات'!$D$5:$D$104&lt;=KU$3)*(('حجز الإجازات'!$E$5:$E$104)&gt;=KU$3)*('حجز الإجازات'!$G$5:$G$104="معتمد")*ROW('حجز الإجازات'!$B$5:$B$104))=0,IF(KU$3&lt;'الموظفون'!$D$6,"",IF(ISNUMBER(MATCH(KU$3,Holidays,0)),"عطلة",IF(MOD(KU$3-'الموظفون'!$D$6,CycleWork+CycleRest)&lt;CycleWork,INDEX('الإعدادات والقوائم'!$H$2:$H$4,MOD(INT(MOD(KU$3-'الموظفون'!$D$6,CycleWork+CycleRest)*3/CycleWork)+MATCH(StartShift,'الإعدادات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الإجازات'!$D$5:$D$104&lt;=KU$3)*(('حجز الإجازات'!$E$5:$E$104)&gt;=KU$3)*('حجز الإجازات'!$G$5:$G$104="معتمد")*ROW('حجز الإجازات'!$B$5:$B$104)))-5+1))</f>
        <v/>
      </c>
      <c r="KV8" s="62">
        <f>IF(SUMPRODUCT(('حجز الإجازات'!$B$5:$B$104='الموظفون'!$B$6)*('حجز الإجازات'!$D$5:$D$104&lt;=KV$3)*(('حجز الإجازات'!$E$5:$E$104)&gt;=KV$3)*('حجز الإجازات'!$G$5:$G$104="معتمد")*ROW('حجز الإجازات'!$B$5:$B$104))=0,IF(KV$3&lt;'الموظفون'!$D$6,"",IF(ISNUMBER(MATCH(KV$3,Holidays,0)),"عطلة",IF(MOD(KV$3-'الموظفون'!$D$6,CycleWork+CycleRest)&lt;CycleWork,INDEX('الإعدادات والقوائم'!$H$2:$H$4,MOD(INT(MOD(KV$3-'الموظفون'!$D$6,CycleWork+CycleRest)*3/CycleWork)+MATCH(StartShift,'الإعدادات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الإجازات'!$D$5:$D$104&lt;=KV$3)*(('حجز الإجازات'!$E$5:$E$104)&gt;=KV$3)*('حجز الإجازات'!$G$5:$G$104="معتمد")*ROW('حجز الإجازات'!$B$5:$B$104)))-5+1))</f>
        <v/>
      </c>
      <c r="KW8" s="62">
        <f>IF(SUMPRODUCT(('حجز الإجازات'!$B$5:$B$104='الموظفون'!$B$6)*('حجز الإجازات'!$D$5:$D$104&lt;=KW$3)*(('حجز الإجازات'!$E$5:$E$104)&gt;=KW$3)*('حجز الإجازات'!$G$5:$G$104="معتمد")*ROW('حجز الإجازات'!$B$5:$B$104))=0,IF(KW$3&lt;'الموظفون'!$D$6,"",IF(ISNUMBER(MATCH(KW$3,Holidays,0)),"عطلة",IF(MOD(KW$3-'الموظفون'!$D$6,CycleWork+CycleRest)&lt;CycleWork,INDEX('الإعدادات والقوائم'!$H$2:$H$4,MOD(INT(MOD(KW$3-'الموظفون'!$D$6,CycleWork+CycleRest)*3/CycleWork)+MATCH(StartShift,'الإعدادات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الإجازات'!$D$5:$D$104&lt;=KW$3)*(('حجز الإجازات'!$E$5:$E$104)&gt;=KW$3)*('حجز الإجازات'!$G$5:$G$104="معتمد")*ROW('حجز الإجازات'!$B$5:$B$104)))-5+1))</f>
        <v/>
      </c>
      <c r="KX8" s="62">
        <f>IF(SUMPRODUCT(('حجز الإجازات'!$B$5:$B$104='الموظفون'!$B$6)*('حجز الإجازات'!$D$5:$D$104&lt;=KX$3)*(('حجز الإجازات'!$E$5:$E$104)&gt;=KX$3)*('حجز الإجازات'!$G$5:$G$104="معتمد")*ROW('حجز الإجازات'!$B$5:$B$104))=0,IF(KX$3&lt;'الموظفون'!$D$6,"",IF(ISNUMBER(MATCH(KX$3,Holidays,0)),"عطلة",IF(MOD(KX$3-'الموظفون'!$D$6,CycleWork+CycleRest)&lt;CycleWork,INDEX('الإعدادات والقوائم'!$H$2:$H$4,MOD(INT(MOD(KX$3-'الموظفون'!$D$6,CycleWork+CycleRest)*3/CycleWork)+MATCH(StartShift,'الإعدادات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الإجازات'!$D$5:$D$104&lt;=KX$3)*(('حجز الإجازات'!$E$5:$E$104)&gt;=KX$3)*('حجز الإجازات'!$G$5:$G$104="معتمد")*ROW('حجز الإجازات'!$B$5:$B$104)))-5+1))</f>
        <v/>
      </c>
      <c r="KY8" s="62">
        <f>IF(SUMPRODUCT(('حجز الإجازات'!$B$5:$B$104='الموظفون'!$B$6)*('حجز الإجازات'!$D$5:$D$104&lt;=KY$3)*(('حجز الإجازات'!$E$5:$E$104)&gt;=KY$3)*('حجز الإجازات'!$G$5:$G$104="معتمد")*ROW('حجز الإجازات'!$B$5:$B$104))=0,IF(KY$3&lt;'الموظفون'!$D$6,"",IF(ISNUMBER(MATCH(KY$3,Holidays,0)),"عطلة",IF(MOD(KY$3-'الموظفون'!$D$6,CycleWork+CycleRest)&lt;CycleWork,INDEX('الإعدادات والقوائم'!$H$2:$H$4,MOD(INT(MOD(KY$3-'الموظفون'!$D$6,CycleWork+CycleRest)*3/CycleWork)+MATCH(StartShift,'الإعدادات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الإجازات'!$D$5:$D$104&lt;=KY$3)*(('حجز الإجازات'!$E$5:$E$104)&gt;=KY$3)*('حجز الإجازات'!$G$5:$G$104="معتمد")*ROW('حجز الإجازات'!$B$5:$B$104)))-5+1))</f>
        <v/>
      </c>
      <c r="KZ8" s="62">
        <f>IF(SUMPRODUCT(('حجز الإجازات'!$B$5:$B$104='الموظفون'!$B$6)*('حجز الإجازات'!$D$5:$D$104&lt;=KZ$3)*(('حجز الإجازات'!$E$5:$E$104)&gt;=KZ$3)*('حجز الإجازات'!$G$5:$G$104="معتمد")*ROW('حجز الإجازات'!$B$5:$B$104))=0,IF(KZ$3&lt;'الموظفون'!$D$6,"",IF(ISNUMBER(MATCH(KZ$3,Holidays,0)),"عطلة",IF(MOD(KZ$3-'الموظفون'!$D$6,CycleWork+CycleRest)&lt;CycleWork,INDEX('الإعدادات والقوائم'!$H$2:$H$4,MOD(INT(MOD(KZ$3-'الموظفون'!$D$6,CycleWork+CycleRest)*3/CycleWork)+MATCH(StartShift,'الإعدادات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الإجازات'!$D$5:$D$104&lt;=KZ$3)*(('حجز الإجازات'!$E$5:$E$104)&gt;=KZ$3)*('حجز الإجازات'!$G$5:$G$104="معتمد")*ROW('حجز الإجازات'!$B$5:$B$104)))-5+1))</f>
        <v/>
      </c>
      <c r="LA8" s="62">
        <f>IF(SUMPRODUCT(('حجز الإجازات'!$B$5:$B$104='الموظفون'!$B$6)*('حجز الإجازات'!$D$5:$D$104&lt;=LA$3)*(('حجز الإجازات'!$E$5:$E$104)&gt;=LA$3)*('حجز الإجازات'!$G$5:$G$104="معتمد")*ROW('حجز الإجازات'!$B$5:$B$104))=0,IF(LA$3&lt;'الموظفون'!$D$6,"",IF(ISNUMBER(MATCH(LA$3,Holidays,0)),"عطلة",IF(MOD(LA$3-'الموظفون'!$D$6,CycleWork+CycleRest)&lt;CycleWork,INDEX('الإعدادات والقوائم'!$H$2:$H$4,MOD(INT(MOD(LA$3-'الموظفون'!$D$6,CycleWork+CycleRest)*3/CycleWork)+MATCH(StartShift,'الإعدادات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الإجازات'!$D$5:$D$104&lt;=LA$3)*(('حجز الإجازات'!$E$5:$E$104)&gt;=LA$3)*('حجز الإجازات'!$G$5:$G$104="معتمد")*ROW('حجز الإجازات'!$B$5:$B$104)))-5+1))</f>
        <v/>
      </c>
      <c r="LB8" s="62">
        <f>IF(SUMPRODUCT(('حجز الإجازات'!$B$5:$B$104='الموظفون'!$B$6)*('حجز الإجازات'!$D$5:$D$104&lt;=LB$3)*(('حجز الإجازات'!$E$5:$E$104)&gt;=LB$3)*('حجز الإجازات'!$G$5:$G$104="معتمد")*ROW('حجز الإجازات'!$B$5:$B$104))=0,IF(LB$3&lt;'الموظفون'!$D$6,"",IF(ISNUMBER(MATCH(LB$3,Holidays,0)),"عطلة",IF(MOD(LB$3-'الموظفون'!$D$6,CycleWork+CycleRest)&lt;CycleWork,INDEX('الإعدادات والقوائم'!$H$2:$H$4,MOD(INT(MOD(LB$3-'الموظفون'!$D$6,CycleWork+CycleRest)*3/CycleWork)+MATCH(StartShift,'الإعدادات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الإجازات'!$D$5:$D$104&lt;=LB$3)*(('حجز الإجازات'!$E$5:$E$104)&gt;=LB$3)*('حجز الإجازات'!$G$5:$G$104="معتمد")*ROW('حجز الإجازات'!$B$5:$B$104)))-5+1))</f>
        <v/>
      </c>
      <c r="LC8" s="62">
        <f>IF(SUMPRODUCT(('حجز الإجازات'!$B$5:$B$104='الموظفون'!$B$6)*('حجز الإجازات'!$D$5:$D$104&lt;=LC$3)*(('حجز الإجازات'!$E$5:$E$104)&gt;=LC$3)*('حجز الإجازات'!$G$5:$G$104="معتمد")*ROW('حجز الإجازات'!$B$5:$B$104))=0,IF(LC$3&lt;'الموظفون'!$D$6,"",IF(ISNUMBER(MATCH(LC$3,Holidays,0)),"عطلة",IF(MOD(LC$3-'الموظفون'!$D$6,CycleWork+CycleRest)&lt;CycleWork,INDEX('الإعدادات والقوائم'!$H$2:$H$4,MOD(INT(MOD(LC$3-'الموظفون'!$D$6,CycleWork+CycleRest)*3/CycleWork)+MATCH(StartShift,'الإعدادات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الإجازات'!$D$5:$D$104&lt;=LC$3)*(('حجز الإجازات'!$E$5:$E$104)&gt;=LC$3)*('حجز الإجازات'!$G$5:$G$104="معتمد")*ROW('حجز الإجازات'!$B$5:$B$104)))-5+1))</f>
        <v/>
      </c>
      <c r="LD8" s="62">
        <f>IF(SUMPRODUCT(('حجز الإجازات'!$B$5:$B$104='الموظفون'!$B$6)*('حجز الإجازات'!$D$5:$D$104&lt;=LD$3)*(('حجز الإجازات'!$E$5:$E$104)&gt;=LD$3)*('حجز الإجازات'!$G$5:$G$104="معتمد")*ROW('حجز الإجازات'!$B$5:$B$104))=0,IF(LD$3&lt;'الموظفون'!$D$6,"",IF(ISNUMBER(MATCH(LD$3,Holidays,0)),"عطلة",IF(MOD(LD$3-'الموظفون'!$D$6,CycleWork+CycleRest)&lt;CycleWork,INDEX('الإعدادات والقوائم'!$H$2:$H$4,MOD(INT(MOD(LD$3-'الموظفون'!$D$6,CycleWork+CycleRest)*3/CycleWork)+MATCH(StartShift,'الإعدادات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الإجازات'!$D$5:$D$104&lt;=LD$3)*(('حجز الإجازات'!$E$5:$E$104)&gt;=LD$3)*('حجز الإجازات'!$G$5:$G$104="معتمد")*ROW('حجز الإجازات'!$B$5:$B$104)))-5+1))</f>
        <v/>
      </c>
      <c r="LE8" s="62">
        <f>IF(SUMPRODUCT(('حجز الإجازات'!$B$5:$B$104='الموظفون'!$B$6)*('حجز الإجازات'!$D$5:$D$104&lt;=LE$3)*(('حجز الإجازات'!$E$5:$E$104)&gt;=LE$3)*('حجز الإجازات'!$G$5:$G$104="معتمد")*ROW('حجز الإجازات'!$B$5:$B$104))=0,IF(LE$3&lt;'الموظفون'!$D$6,"",IF(ISNUMBER(MATCH(LE$3,Holidays,0)),"عطلة",IF(MOD(LE$3-'الموظفون'!$D$6,CycleWork+CycleRest)&lt;CycleWork,INDEX('الإعدادات والقوائم'!$H$2:$H$4,MOD(INT(MOD(LE$3-'الموظفون'!$D$6,CycleWork+CycleRest)*3/CycleWork)+MATCH(StartShift,'الإعدادات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الإجازات'!$D$5:$D$104&lt;=LE$3)*(('حجز الإجازات'!$E$5:$E$104)&gt;=LE$3)*('حجز الإجازات'!$G$5:$G$104="معتمد")*ROW('حجز الإجازات'!$B$5:$B$104)))-5+1))</f>
        <v/>
      </c>
      <c r="LF8" s="62">
        <f>IF(SUMPRODUCT(('حجز الإجازات'!$B$5:$B$104='الموظفون'!$B$6)*('حجز الإجازات'!$D$5:$D$104&lt;=LF$3)*(('حجز الإجازات'!$E$5:$E$104)&gt;=LF$3)*('حجز الإجازات'!$G$5:$G$104="معتمد")*ROW('حجز الإجازات'!$B$5:$B$104))=0,IF(LF$3&lt;'الموظفون'!$D$6,"",IF(ISNUMBER(MATCH(LF$3,Holidays,0)),"عطلة",IF(MOD(LF$3-'الموظفون'!$D$6,CycleWork+CycleRest)&lt;CycleWork,INDEX('الإعدادات والقوائم'!$H$2:$H$4,MOD(INT(MOD(LF$3-'الموظفون'!$D$6,CycleWork+CycleRest)*3/CycleWork)+MATCH(StartShift,'الإعدادات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الإجازات'!$D$5:$D$104&lt;=LF$3)*(('حجز الإجازات'!$E$5:$E$104)&gt;=LF$3)*('حجز الإجازات'!$G$5:$G$104="معتمد")*ROW('حجز الإجازات'!$B$5:$B$104)))-5+1))</f>
        <v/>
      </c>
      <c r="LG8" s="62">
        <f>IF(SUMPRODUCT(('حجز الإجازات'!$B$5:$B$104='الموظفون'!$B$6)*('حجز الإجازات'!$D$5:$D$104&lt;=LG$3)*(('حجز الإجازات'!$E$5:$E$104)&gt;=LG$3)*('حجز الإجازات'!$G$5:$G$104="معتمد")*ROW('حجز الإجازات'!$B$5:$B$104))=0,IF(LG$3&lt;'الموظفون'!$D$6,"",IF(ISNUMBER(MATCH(LG$3,Holidays,0)),"عطلة",IF(MOD(LG$3-'الموظفون'!$D$6,CycleWork+CycleRest)&lt;CycleWork,INDEX('الإعدادات والقوائم'!$H$2:$H$4,MOD(INT(MOD(LG$3-'الموظفون'!$D$6,CycleWork+CycleRest)*3/CycleWork)+MATCH(StartShift,'الإعدادات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الإجازات'!$D$5:$D$104&lt;=LG$3)*(('حجز الإجازات'!$E$5:$E$104)&gt;=LG$3)*('حجز الإجازات'!$G$5:$G$104="معتمد")*ROW('حجز الإجازات'!$B$5:$B$104)))-5+1))</f>
        <v/>
      </c>
      <c r="LH8" s="62">
        <f>IF(SUMPRODUCT(('حجز الإجازات'!$B$5:$B$104='الموظفون'!$B$6)*('حجز الإجازات'!$D$5:$D$104&lt;=LH$3)*(('حجز الإجازات'!$E$5:$E$104)&gt;=LH$3)*('حجز الإجازات'!$G$5:$G$104="معتمد")*ROW('حجز الإجازات'!$B$5:$B$104))=0,IF(LH$3&lt;'الموظفون'!$D$6,"",IF(ISNUMBER(MATCH(LH$3,Holidays,0)),"عطلة",IF(MOD(LH$3-'الموظفون'!$D$6,CycleWork+CycleRest)&lt;CycleWork,INDEX('الإعدادات والقوائم'!$H$2:$H$4,MOD(INT(MOD(LH$3-'الموظفون'!$D$6,CycleWork+CycleRest)*3/CycleWork)+MATCH(StartShift,'الإعدادات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الإجازات'!$D$5:$D$104&lt;=LH$3)*(('حجز الإجازات'!$E$5:$E$104)&gt;=LH$3)*('حجز الإجازات'!$G$5:$G$104="معتمد")*ROW('حجز الإجازات'!$B$5:$B$104)))-5+1))</f>
        <v/>
      </c>
      <c r="LI8" s="62">
        <f>IF(SUMPRODUCT(('حجز الإجازات'!$B$5:$B$104='الموظفون'!$B$6)*('حجز الإجازات'!$D$5:$D$104&lt;=LI$3)*(('حجز الإجازات'!$E$5:$E$104)&gt;=LI$3)*('حجز الإجازات'!$G$5:$G$104="معتمد")*ROW('حجز الإجازات'!$B$5:$B$104))=0,IF(LI$3&lt;'الموظفون'!$D$6,"",IF(ISNUMBER(MATCH(LI$3,Holidays,0)),"عطلة",IF(MOD(LI$3-'الموظفون'!$D$6,CycleWork+CycleRest)&lt;CycleWork,INDEX('الإعدادات والقوائم'!$H$2:$H$4,MOD(INT(MOD(LI$3-'الموظفون'!$D$6,CycleWork+CycleRest)*3/CycleWork)+MATCH(StartShift,'الإعدادات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الإجازات'!$D$5:$D$104&lt;=LI$3)*(('حجز الإجازات'!$E$5:$E$104)&gt;=LI$3)*('حجز الإجازات'!$G$5:$G$104="معتمد")*ROW('حجز الإجازات'!$B$5:$B$104)))-5+1))</f>
        <v/>
      </c>
      <c r="LJ8" s="62">
        <f>IF(SUMPRODUCT(('حجز الإجازات'!$B$5:$B$104='الموظفون'!$B$6)*('حجز الإجازات'!$D$5:$D$104&lt;=LJ$3)*(('حجز الإجازات'!$E$5:$E$104)&gt;=LJ$3)*('حجز الإجازات'!$G$5:$G$104="معتمد")*ROW('حجز الإجازات'!$B$5:$B$104))=0,IF(LJ$3&lt;'الموظفون'!$D$6,"",IF(ISNUMBER(MATCH(LJ$3,Holidays,0)),"عطلة",IF(MOD(LJ$3-'الموظفون'!$D$6,CycleWork+CycleRest)&lt;CycleWork,INDEX('الإعدادات والقوائم'!$H$2:$H$4,MOD(INT(MOD(LJ$3-'الموظفون'!$D$6,CycleWork+CycleRest)*3/CycleWork)+MATCH(StartShift,'الإعدادات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الإجازات'!$D$5:$D$104&lt;=LJ$3)*(('حجز الإجازات'!$E$5:$E$104)&gt;=LJ$3)*('حجز الإجازات'!$G$5:$G$104="معتمد")*ROW('حجز الإجازات'!$B$5:$B$104)))-5+1))</f>
        <v/>
      </c>
      <c r="LK8" s="62">
        <f>IF(SUMPRODUCT(('حجز الإجازات'!$B$5:$B$104='الموظفون'!$B$6)*('حجز الإجازات'!$D$5:$D$104&lt;=LK$3)*(('حجز الإجازات'!$E$5:$E$104)&gt;=LK$3)*('حجز الإجازات'!$G$5:$G$104="معتمد")*ROW('حجز الإجازات'!$B$5:$B$104))=0,IF(LK$3&lt;'الموظفون'!$D$6,"",IF(ISNUMBER(MATCH(LK$3,Holidays,0)),"عطلة",IF(MOD(LK$3-'الموظفون'!$D$6,CycleWork+CycleRest)&lt;CycleWork,INDEX('الإعدادات والقوائم'!$H$2:$H$4,MOD(INT(MOD(LK$3-'الموظفون'!$D$6,CycleWork+CycleRest)*3/CycleWork)+MATCH(StartShift,'الإعدادات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الإجازات'!$D$5:$D$104&lt;=LK$3)*(('حجز الإجازات'!$E$5:$E$104)&gt;=LK$3)*('حجز الإجازات'!$G$5:$G$104="معتمد")*ROW('حجز الإجازات'!$B$5:$B$104)))-5+1))</f>
        <v/>
      </c>
      <c r="LL8" s="62">
        <f>IF(SUMPRODUCT(('حجز الإجازات'!$B$5:$B$104='الموظفون'!$B$6)*('حجز الإجازات'!$D$5:$D$104&lt;=LL$3)*(('حجز الإجازات'!$E$5:$E$104)&gt;=LL$3)*('حجز الإجازات'!$G$5:$G$104="معتمد")*ROW('حجز الإجازات'!$B$5:$B$104))=0,IF(LL$3&lt;'الموظفون'!$D$6,"",IF(ISNUMBER(MATCH(LL$3,Holidays,0)),"عطلة",IF(MOD(LL$3-'الموظفون'!$D$6,CycleWork+CycleRest)&lt;CycleWork,INDEX('الإعدادات والقوائم'!$H$2:$H$4,MOD(INT(MOD(LL$3-'الموظفون'!$D$6,CycleWork+CycleRest)*3/CycleWork)+MATCH(StartShift,'الإعدادات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الإجازات'!$D$5:$D$104&lt;=LL$3)*(('حجز الإجازات'!$E$5:$E$104)&gt;=LL$3)*('حجز الإجازات'!$G$5:$G$104="معتمد")*ROW('حجز الإجازات'!$B$5:$B$104)))-5+1))</f>
        <v/>
      </c>
      <c r="LM8" s="62">
        <f>IF(SUMPRODUCT(('حجز الإجازات'!$B$5:$B$104='الموظفون'!$B$6)*('حجز الإجازات'!$D$5:$D$104&lt;=LM$3)*(('حجز الإجازات'!$E$5:$E$104)&gt;=LM$3)*('حجز الإجازات'!$G$5:$G$104="معتمد")*ROW('حجز الإجازات'!$B$5:$B$104))=0,IF(LM$3&lt;'الموظفون'!$D$6,"",IF(ISNUMBER(MATCH(LM$3,Holidays,0)),"عطلة",IF(MOD(LM$3-'الموظفون'!$D$6,CycleWork+CycleRest)&lt;CycleWork,INDEX('الإعدادات والقوائم'!$H$2:$H$4,MOD(INT(MOD(LM$3-'الموظفون'!$D$6,CycleWork+CycleRest)*3/CycleWork)+MATCH(StartShift,'الإعدادات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الإجازات'!$D$5:$D$104&lt;=LM$3)*(('حجز الإجازات'!$E$5:$E$104)&gt;=LM$3)*('حجز الإجازات'!$G$5:$G$104="معتمد")*ROW('حجز الإجازات'!$B$5:$B$104)))-5+1))</f>
        <v/>
      </c>
      <c r="LN8" s="62">
        <f>IF(SUMPRODUCT(('حجز الإجازات'!$B$5:$B$104='الموظفون'!$B$6)*('حجز الإجازات'!$D$5:$D$104&lt;=LN$3)*(('حجز الإجازات'!$E$5:$E$104)&gt;=LN$3)*('حجز الإجازات'!$G$5:$G$104="معتمد")*ROW('حجز الإجازات'!$B$5:$B$104))=0,IF(LN$3&lt;'الموظفون'!$D$6,"",IF(ISNUMBER(MATCH(LN$3,Holidays,0)),"عطلة",IF(MOD(LN$3-'الموظفون'!$D$6,CycleWork+CycleRest)&lt;CycleWork,INDEX('الإعدادات والقوائم'!$H$2:$H$4,MOD(INT(MOD(LN$3-'الموظفون'!$D$6,CycleWork+CycleRest)*3/CycleWork)+MATCH(StartShift,'الإعدادات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الإجازات'!$D$5:$D$104&lt;=LN$3)*(('حجز الإجازات'!$E$5:$E$104)&gt;=LN$3)*('حجز الإجازات'!$G$5:$G$104="معتمد")*ROW('حجز الإجازات'!$B$5:$B$104)))-5+1))</f>
        <v/>
      </c>
      <c r="LO8" s="62">
        <f>IF(SUMPRODUCT(('حجز الإجازات'!$B$5:$B$104='الموظفون'!$B$6)*('حجز الإجازات'!$D$5:$D$104&lt;=LO$3)*(('حجز الإجازات'!$E$5:$E$104)&gt;=LO$3)*('حجز الإجازات'!$G$5:$G$104="معتمد")*ROW('حجز الإجازات'!$B$5:$B$104))=0,IF(LO$3&lt;'الموظفون'!$D$6,"",IF(ISNUMBER(MATCH(LO$3,Holidays,0)),"عطلة",IF(MOD(LO$3-'الموظفون'!$D$6,CycleWork+CycleRest)&lt;CycleWork,INDEX('الإعدادات والقوائم'!$H$2:$H$4,MOD(INT(MOD(LO$3-'الموظفون'!$D$6,CycleWork+CycleRest)*3/CycleWork)+MATCH(StartShift,'الإعدادات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الإجازات'!$D$5:$D$104&lt;=LO$3)*(('حجز الإجازات'!$E$5:$E$104)&gt;=LO$3)*('حجز الإجازات'!$G$5:$G$104="معتمد")*ROW('حجز الإجازات'!$B$5:$B$104)))-5+1))</f>
        <v/>
      </c>
      <c r="LP8" s="62">
        <f>IF(SUMPRODUCT(('حجز الإجازات'!$B$5:$B$104='الموظفون'!$B$6)*('حجز الإجازات'!$D$5:$D$104&lt;=LP$3)*(('حجز الإجازات'!$E$5:$E$104)&gt;=LP$3)*('حجز الإجازات'!$G$5:$G$104="معتمد")*ROW('حجز الإجازات'!$B$5:$B$104))=0,IF(LP$3&lt;'الموظفون'!$D$6,"",IF(ISNUMBER(MATCH(LP$3,Holidays,0)),"عطلة",IF(MOD(LP$3-'الموظفون'!$D$6,CycleWork+CycleRest)&lt;CycleWork,INDEX('الإعدادات والقوائم'!$H$2:$H$4,MOD(INT(MOD(LP$3-'الموظفون'!$D$6,CycleWork+CycleRest)*3/CycleWork)+MATCH(StartShift,'الإعدادات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الإجازات'!$D$5:$D$104&lt;=LP$3)*(('حجز الإجازات'!$E$5:$E$104)&gt;=LP$3)*('حجز الإجازات'!$G$5:$G$104="معتمد")*ROW('حجز الإجازات'!$B$5:$B$104)))-5+1))</f>
        <v/>
      </c>
      <c r="LQ8" s="62">
        <f>IF(SUMPRODUCT(('حجز الإجازات'!$B$5:$B$104='الموظفون'!$B$6)*('حجز الإجازات'!$D$5:$D$104&lt;=LQ$3)*(('حجز الإجازات'!$E$5:$E$104)&gt;=LQ$3)*('حجز الإجازات'!$G$5:$G$104="معتمد")*ROW('حجز الإجازات'!$B$5:$B$104))=0,IF(LQ$3&lt;'الموظفون'!$D$6,"",IF(ISNUMBER(MATCH(LQ$3,Holidays,0)),"عطلة",IF(MOD(LQ$3-'الموظفون'!$D$6,CycleWork+CycleRest)&lt;CycleWork,INDEX('الإعدادات والقوائم'!$H$2:$H$4,MOD(INT(MOD(LQ$3-'الموظفون'!$D$6,CycleWork+CycleRest)*3/CycleWork)+MATCH(StartShift,'الإعدادات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الإجازات'!$D$5:$D$104&lt;=LQ$3)*(('حجز الإجازات'!$E$5:$E$104)&gt;=LQ$3)*('حجز الإجازات'!$G$5:$G$104="معتمد")*ROW('حجز الإجازات'!$B$5:$B$104)))-5+1))</f>
        <v/>
      </c>
      <c r="LR8" s="62">
        <f>IF(SUMPRODUCT(('حجز الإجازات'!$B$5:$B$104='الموظفون'!$B$6)*('حجز الإجازات'!$D$5:$D$104&lt;=LR$3)*(('حجز الإجازات'!$E$5:$E$104)&gt;=LR$3)*('حجز الإجازات'!$G$5:$G$104="معتمد")*ROW('حجز الإجازات'!$B$5:$B$104))=0,IF(LR$3&lt;'الموظفون'!$D$6,"",IF(ISNUMBER(MATCH(LR$3,Holidays,0)),"عطلة",IF(MOD(LR$3-'الموظفون'!$D$6,CycleWork+CycleRest)&lt;CycleWork,INDEX('الإعدادات والقوائم'!$H$2:$H$4,MOD(INT(MOD(LR$3-'الموظفون'!$D$6,CycleWork+CycleRest)*3/CycleWork)+MATCH(StartShift,'الإعدادات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الإجازات'!$D$5:$D$104&lt;=LR$3)*(('حجز الإجازات'!$E$5:$E$104)&gt;=LR$3)*('حجز الإجازات'!$G$5:$G$104="معتمد")*ROW('حجز الإجازات'!$B$5:$B$104)))-5+1))</f>
        <v/>
      </c>
      <c r="LS8" s="62">
        <f>IF(SUMPRODUCT(('حجز الإجازات'!$B$5:$B$104='الموظفون'!$B$6)*('حجز الإجازات'!$D$5:$D$104&lt;=LS$3)*(('حجز الإجازات'!$E$5:$E$104)&gt;=LS$3)*('حجز الإجازات'!$G$5:$G$104="معتمد")*ROW('حجز الإجازات'!$B$5:$B$104))=0,IF(LS$3&lt;'الموظفون'!$D$6,"",IF(ISNUMBER(MATCH(LS$3,Holidays,0)),"عطلة",IF(MOD(LS$3-'الموظفون'!$D$6,CycleWork+CycleRest)&lt;CycleWork,INDEX('الإعدادات والقوائم'!$H$2:$H$4,MOD(INT(MOD(LS$3-'الموظفون'!$D$6,CycleWork+CycleRest)*3/CycleWork)+MATCH(StartShift,'الإعدادات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الإجازات'!$D$5:$D$104&lt;=LS$3)*(('حجز الإجازات'!$E$5:$E$104)&gt;=LS$3)*('حجز الإجازات'!$G$5:$G$104="معتمد")*ROW('حجز الإجازات'!$B$5:$B$104)))-5+1))</f>
        <v/>
      </c>
      <c r="LT8" s="62">
        <f>IF(SUMPRODUCT(('حجز الإجازات'!$B$5:$B$104='الموظفون'!$B$6)*('حجز الإجازات'!$D$5:$D$104&lt;=LT$3)*(('حجز الإجازات'!$E$5:$E$104)&gt;=LT$3)*('حجز الإجازات'!$G$5:$G$104="معتمد")*ROW('حجز الإجازات'!$B$5:$B$104))=0,IF(LT$3&lt;'الموظفون'!$D$6,"",IF(ISNUMBER(MATCH(LT$3,Holidays,0)),"عطلة",IF(MOD(LT$3-'الموظفون'!$D$6,CycleWork+CycleRest)&lt;CycleWork,INDEX('الإعدادات والقوائم'!$H$2:$H$4,MOD(INT(MOD(LT$3-'الموظفون'!$D$6,CycleWork+CycleRest)*3/CycleWork)+MATCH(StartShift,'الإعدادات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الإجازات'!$D$5:$D$104&lt;=LT$3)*(('حجز الإجازات'!$E$5:$E$104)&gt;=LT$3)*('حجز الإجازات'!$G$5:$G$104="معتمد")*ROW('حجز الإجازات'!$B$5:$B$104)))-5+1))</f>
        <v/>
      </c>
      <c r="LU8" s="62">
        <f>IF(SUMPRODUCT(('حجز الإجازات'!$B$5:$B$104='الموظفون'!$B$6)*('حجز الإجازات'!$D$5:$D$104&lt;=LU$3)*(('حجز الإجازات'!$E$5:$E$104)&gt;=LU$3)*('حجز الإجازات'!$G$5:$G$104="معتمد")*ROW('حجز الإجازات'!$B$5:$B$104))=0,IF(LU$3&lt;'الموظفون'!$D$6,"",IF(ISNUMBER(MATCH(LU$3,Holidays,0)),"عطلة",IF(MOD(LU$3-'الموظفون'!$D$6,CycleWork+CycleRest)&lt;CycleWork,INDEX('الإعدادات والقوائم'!$H$2:$H$4,MOD(INT(MOD(LU$3-'الموظفون'!$D$6,CycleWork+CycleRest)*3/CycleWork)+MATCH(StartShift,'الإعدادات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الإجازات'!$D$5:$D$104&lt;=LU$3)*(('حجز الإجازات'!$E$5:$E$104)&gt;=LU$3)*('حجز الإجازات'!$G$5:$G$104="معتمد")*ROW('حجز الإجازات'!$B$5:$B$104)))-5+1))</f>
        <v/>
      </c>
      <c r="LV8" s="62">
        <f>IF(SUMPRODUCT(('حجز الإجازات'!$B$5:$B$104='الموظفون'!$B$6)*('حجز الإجازات'!$D$5:$D$104&lt;=LV$3)*(('حجز الإجازات'!$E$5:$E$104)&gt;=LV$3)*('حجز الإجازات'!$G$5:$G$104="معتمد")*ROW('حجز الإجازات'!$B$5:$B$104))=0,IF(LV$3&lt;'الموظفون'!$D$6,"",IF(ISNUMBER(MATCH(LV$3,Holidays,0)),"عطلة",IF(MOD(LV$3-'الموظفون'!$D$6,CycleWork+CycleRest)&lt;CycleWork,INDEX('الإعدادات والقوائم'!$H$2:$H$4,MOD(INT(MOD(LV$3-'الموظفون'!$D$6,CycleWork+CycleRest)*3/CycleWork)+MATCH(StartShift,'الإعدادات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الإجازات'!$D$5:$D$104&lt;=LV$3)*(('حجز الإجازات'!$E$5:$E$104)&gt;=LV$3)*('حجز الإجازات'!$G$5:$G$104="معتمد")*ROW('حجز الإجازات'!$B$5:$B$104)))-5+1))</f>
        <v/>
      </c>
      <c r="LW8" s="62">
        <f>IF(SUMPRODUCT(('حجز الإجازات'!$B$5:$B$104='الموظفون'!$B$6)*('حجز الإجازات'!$D$5:$D$104&lt;=LW$3)*(('حجز الإجازات'!$E$5:$E$104)&gt;=LW$3)*('حجز الإجازات'!$G$5:$G$104="معتمد")*ROW('حجز الإجازات'!$B$5:$B$104))=0,IF(LW$3&lt;'الموظفون'!$D$6,"",IF(ISNUMBER(MATCH(LW$3,Holidays,0)),"عطلة",IF(MOD(LW$3-'الموظفون'!$D$6,CycleWork+CycleRest)&lt;CycleWork,INDEX('الإعدادات والقوائم'!$H$2:$H$4,MOD(INT(MOD(LW$3-'الموظفون'!$D$6,CycleWork+CycleRest)*3/CycleWork)+MATCH(StartShift,'الإعدادات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الإجازات'!$D$5:$D$104&lt;=LW$3)*(('حجز الإجازات'!$E$5:$E$104)&gt;=LW$3)*('حجز الإجازات'!$G$5:$G$104="معتمد")*ROW('حجز الإجازات'!$B$5:$B$104)))-5+1))</f>
        <v/>
      </c>
      <c r="LX8" s="62">
        <f>IF(SUMPRODUCT(('حجز الإجازات'!$B$5:$B$104='الموظفون'!$B$6)*('حجز الإجازات'!$D$5:$D$104&lt;=LX$3)*(('حجز الإجازات'!$E$5:$E$104)&gt;=LX$3)*('حجز الإجازات'!$G$5:$G$104="معتمد")*ROW('حجز الإجازات'!$B$5:$B$104))=0,IF(LX$3&lt;'الموظفون'!$D$6,"",IF(ISNUMBER(MATCH(LX$3,Holidays,0)),"عطلة",IF(MOD(LX$3-'الموظفون'!$D$6,CycleWork+CycleRest)&lt;CycleWork,INDEX('الإعدادات والقوائم'!$H$2:$H$4,MOD(INT(MOD(LX$3-'الموظفون'!$D$6,CycleWork+CycleRest)*3/CycleWork)+MATCH(StartShift,'الإعدادات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الإجازات'!$D$5:$D$104&lt;=LX$3)*(('حجز الإجازات'!$E$5:$E$104)&gt;=LX$3)*('حجز الإجازات'!$G$5:$G$104="معتمد")*ROW('حجز الإجازات'!$B$5:$B$104)))-5+1))</f>
        <v/>
      </c>
      <c r="LY8" s="62">
        <f>IF(SUMPRODUCT(('حجز الإجازات'!$B$5:$B$104='الموظفون'!$B$6)*('حجز الإجازات'!$D$5:$D$104&lt;=LY$3)*(('حجز الإجازات'!$E$5:$E$104)&gt;=LY$3)*('حجز الإجازات'!$G$5:$G$104="معتمد")*ROW('حجز الإجازات'!$B$5:$B$104))=0,IF(LY$3&lt;'الموظفون'!$D$6,"",IF(ISNUMBER(MATCH(LY$3,Holidays,0)),"عطلة",IF(MOD(LY$3-'الموظفون'!$D$6,CycleWork+CycleRest)&lt;CycleWork,INDEX('الإعدادات والقوائم'!$H$2:$H$4,MOD(INT(MOD(LY$3-'الموظفون'!$D$6,CycleWork+CycleRest)*3/CycleWork)+MATCH(StartShift,'الإعدادات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الإجازات'!$D$5:$D$104&lt;=LY$3)*(('حجز الإجازات'!$E$5:$E$104)&gt;=LY$3)*('حجز الإجازات'!$G$5:$G$104="معتمد")*ROW('حجز الإجازات'!$B$5:$B$104)))-5+1))</f>
        <v/>
      </c>
      <c r="LZ8" s="62">
        <f>IF(SUMPRODUCT(('حجز الإجازات'!$B$5:$B$104='الموظفون'!$B$6)*('حجز الإجازات'!$D$5:$D$104&lt;=LZ$3)*(('حجز الإجازات'!$E$5:$E$104)&gt;=LZ$3)*('حجز الإجازات'!$G$5:$G$104="معتمد")*ROW('حجز الإجازات'!$B$5:$B$104))=0,IF(LZ$3&lt;'الموظفون'!$D$6,"",IF(ISNUMBER(MATCH(LZ$3,Holidays,0)),"عطلة",IF(MOD(LZ$3-'الموظفون'!$D$6,CycleWork+CycleRest)&lt;CycleWork,INDEX('الإعدادات والقوائم'!$H$2:$H$4,MOD(INT(MOD(LZ$3-'الموظفون'!$D$6,CycleWork+CycleRest)*3/CycleWork)+MATCH(StartShift,'الإعدادات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الإجازات'!$D$5:$D$104&lt;=LZ$3)*(('حجز الإجازات'!$E$5:$E$104)&gt;=LZ$3)*('حجز الإجازات'!$G$5:$G$104="معتمد")*ROW('حجز الإجازات'!$B$5:$B$104)))-5+1))</f>
        <v/>
      </c>
      <c r="MA8" s="62">
        <f>IF(SUMPRODUCT(('حجز الإجازات'!$B$5:$B$104='الموظفون'!$B$6)*('حجز الإجازات'!$D$5:$D$104&lt;=MA$3)*(('حجز الإجازات'!$E$5:$E$104)&gt;=MA$3)*('حجز الإجازات'!$G$5:$G$104="معتمد")*ROW('حجز الإجازات'!$B$5:$B$104))=0,IF(MA$3&lt;'الموظفون'!$D$6,"",IF(ISNUMBER(MATCH(MA$3,Holidays,0)),"عطلة",IF(MOD(MA$3-'الموظفون'!$D$6,CycleWork+CycleRest)&lt;CycleWork,INDEX('الإعدادات والقوائم'!$H$2:$H$4,MOD(INT(MOD(MA$3-'الموظفون'!$D$6,CycleWork+CycleRest)*3/CycleWork)+MATCH(StartShift,'الإعدادات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الإجازات'!$D$5:$D$104&lt;=MA$3)*(('حجز الإجازات'!$E$5:$E$104)&gt;=MA$3)*('حجز الإجازات'!$G$5:$G$104="معتمد")*ROW('حجز الإجازات'!$B$5:$B$104)))-5+1))</f>
        <v/>
      </c>
      <c r="MB8" s="62">
        <f>IF(SUMPRODUCT(('حجز الإجازات'!$B$5:$B$104='الموظفون'!$B$6)*('حجز الإجازات'!$D$5:$D$104&lt;=MB$3)*(('حجز الإجازات'!$E$5:$E$104)&gt;=MB$3)*('حجز الإجازات'!$G$5:$G$104="معتمد")*ROW('حجز الإجازات'!$B$5:$B$104))=0,IF(MB$3&lt;'الموظفون'!$D$6,"",IF(ISNUMBER(MATCH(MB$3,Holidays,0)),"عطلة",IF(MOD(MB$3-'الموظفون'!$D$6,CycleWork+CycleRest)&lt;CycleWork,INDEX('الإعدادات والقوائم'!$H$2:$H$4,MOD(INT(MOD(MB$3-'الموظفون'!$D$6,CycleWork+CycleRest)*3/CycleWork)+MATCH(StartShift,'الإعدادات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الإجازات'!$D$5:$D$104&lt;=MB$3)*(('حجز الإجازات'!$E$5:$E$104)&gt;=MB$3)*('حجز الإجازات'!$G$5:$G$104="معتمد")*ROW('حجز الإجازات'!$B$5:$B$104)))-5+1))</f>
        <v/>
      </c>
      <c r="MC8" s="62">
        <f>IF(SUMPRODUCT(('حجز الإجازات'!$B$5:$B$104='الموظفون'!$B$6)*('حجز الإجازات'!$D$5:$D$104&lt;=MC$3)*(('حجز الإجازات'!$E$5:$E$104)&gt;=MC$3)*('حجز الإجازات'!$G$5:$G$104="معتمد")*ROW('حجز الإجازات'!$B$5:$B$104))=0,IF(MC$3&lt;'الموظفون'!$D$6,"",IF(ISNUMBER(MATCH(MC$3,Holidays,0)),"عطلة",IF(MOD(MC$3-'الموظفون'!$D$6,CycleWork+CycleRest)&lt;CycleWork,INDEX('الإعدادات والقوائم'!$H$2:$H$4,MOD(INT(MOD(MC$3-'الموظفون'!$D$6,CycleWork+CycleRest)*3/CycleWork)+MATCH(StartShift,'الإعدادات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الإجازات'!$D$5:$D$104&lt;=MC$3)*(('حجز الإجازات'!$E$5:$E$104)&gt;=MC$3)*('حجز الإجازات'!$G$5:$G$104="معتمد")*ROW('حجز الإجازات'!$B$5:$B$104)))-5+1))</f>
        <v/>
      </c>
      <c r="MD8" s="62">
        <f>IF(SUMPRODUCT(('حجز الإجازات'!$B$5:$B$104='الموظفون'!$B$6)*('حجز الإجازات'!$D$5:$D$104&lt;=MD$3)*(('حجز الإجازات'!$E$5:$E$104)&gt;=MD$3)*('حجز الإجازات'!$G$5:$G$104="معتمد")*ROW('حجز الإجازات'!$B$5:$B$104))=0,IF(MD$3&lt;'الموظفون'!$D$6,"",IF(ISNUMBER(MATCH(MD$3,Holidays,0)),"عطلة",IF(MOD(MD$3-'الموظفون'!$D$6,CycleWork+CycleRest)&lt;CycleWork,INDEX('الإعدادات والقوائم'!$H$2:$H$4,MOD(INT(MOD(MD$3-'الموظفون'!$D$6,CycleWork+CycleRest)*3/CycleWork)+MATCH(StartShift,'الإعدادات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الإجازات'!$D$5:$D$104&lt;=MD$3)*(('حجز الإجازات'!$E$5:$E$104)&gt;=MD$3)*('حجز الإجازات'!$G$5:$G$104="معتمد")*ROW('حجز الإجازات'!$B$5:$B$104)))-5+1))</f>
        <v/>
      </c>
      <c r="ME8" s="62">
        <f>IF(SUMPRODUCT(('حجز الإجازات'!$B$5:$B$104='الموظفون'!$B$6)*('حجز الإجازات'!$D$5:$D$104&lt;=ME$3)*(('حجز الإجازات'!$E$5:$E$104)&gt;=ME$3)*('حجز الإجازات'!$G$5:$G$104="معتمد")*ROW('حجز الإجازات'!$B$5:$B$104))=0,IF(ME$3&lt;'الموظفون'!$D$6,"",IF(ISNUMBER(MATCH(ME$3,Holidays,0)),"عطلة",IF(MOD(ME$3-'الموظفون'!$D$6,CycleWork+CycleRest)&lt;CycleWork,INDEX('الإعدادات والقوائم'!$H$2:$H$4,MOD(INT(MOD(ME$3-'الموظفون'!$D$6,CycleWork+CycleRest)*3/CycleWork)+MATCH(StartShift,'الإعدادات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الإجازات'!$D$5:$D$104&lt;=ME$3)*(('حجز الإجازات'!$E$5:$E$104)&gt;=ME$3)*('حجز الإجازات'!$G$5:$G$104="معتمد")*ROW('حجز الإجازات'!$B$5:$B$104)))-5+1))</f>
        <v/>
      </c>
      <c r="MF8" s="62">
        <f>IF(SUMPRODUCT(('حجز الإجازات'!$B$5:$B$104='الموظفون'!$B$6)*('حجز الإجازات'!$D$5:$D$104&lt;=MF$3)*(('حجز الإجازات'!$E$5:$E$104)&gt;=MF$3)*('حجز الإجازات'!$G$5:$G$104="معتمد")*ROW('حجز الإجازات'!$B$5:$B$104))=0,IF(MF$3&lt;'الموظفون'!$D$6,"",IF(ISNUMBER(MATCH(MF$3,Holidays,0)),"عطلة",IF(MOD(MF$3-'الموظفون'!$D$6,CycleWork+CycleRest)&lt;CycleWork,INDEX('الإعدادات والقوائم'!$H$2:$H$4,MOD(INT(MOD(MF$3-'الموظفون'!$D$6,CycleWork+CycleRest)*3/CycleWork)+MATCH(StartShift,'الإعدادات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الإجازات'!$D$5:$D$104&lt;=MF$3)*(('حجز الإجازات'!$E$5:$E$104)&gt;=MF$3)*('حجز الإجازات'!$G$5:$G$104="معتمد")*ROW('حجز الإجازات'!$B$5:$B$104)))-5+1))</f>
        <v/>
      </c>
      <c r="MG8" s="62">
        <f>IF(SUMPRODUCT(('حجز الإجازات'!$B$5:$B$104='الموظفون'!$B$6)*('حجز الإجازات'!$D$5:$D$104&lt;=MG$3)*(('حجز الإجازات'!$E$5:$E$104)&gt;=MG$3)*('حجز الإجازات'!$G$5:$G$104="معتمد")*ROW('حجز الإجازات'!$B$5:$B$104))=0,IF(MG$3&lt;'الموظفون'!$D$6,"",IF(ISNUMBER(MATCH(MG$3,Holidays,0)),"عطلة",IF(MOD(MG$3-'الموظفون'!$D$6,CycleWork+CycleRest)&lt;CycleWork,INDEX('الإعدادات والقوائم'!$H$2:$H$4,MOD(INT(MOD(MG$3-'الموظفون'!$D$6,CycleWork+CycleRest)*3/CycleWork)+MATCH(StartShift,'الإعدادات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الإجازات'!$D$5:$D$104&lt;=MG$3)*(('حجز الإجازات'!$E$5:$E$104)&gt;=MG$3)*('حجز الإجازات'!$G$5:$G$104="معتمد")*ROW('حجز الإجازات'!$B$5:$B$104)))-5+1))</f>
        <v/>
      </c>
      <c r="MH8" s="62">
        <f>IF(SUMPRODUCT(('حجز الإجازات'!$B$5:$B$104='الموظفون'!$B$6)*('حجز الإجازات'!$D$5:$D$104&lt;=MH$3)*(('حجز الإجازات'!$E$5:$E$104)&gt;=MH$3)*('حجز الإجازات'!$G$5:$G$104="معتمد")*ROW('حجز الإجازات'!$B$5:$B$104))=0,IF(MH$3&lt;'الموظفون'!$D$6,"",IF(ISNUMBER(MATCH(MH$3,Holidays,0)),"عطلة",IF(MOD(MH$3-'الموظفون'!$D$6,CycleWork+CycleRest)&lt;CycleWork,INDEX('الإعدادات والقوائم'!$H$2:$H$4,MOD(INT(MOD(MH$3-'الموظفون'!$D$6,CycleWork+CycleRest)*3/CycleWork)+MATCH(StartShift,'الإعدادات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الإجازات'!$D$5:$D$104&lt;=MH$3)*(('حجز الإجازات'!$E$5:$E$104)&gt;=MH$3)*('حجز الإجازات'!$G$5:$G$104="معتمد")*ROW('حجز الإجازات'!$B$5:$B$104)))-5+1))</f>
        <v/>
      </c>
      <c r="MI8" s="62">
        <f>IF(SUMPRODUCT(('حجز الإجازات'!$B$5:$B$104='الموظفون'!$B$6)*('حجز الإجازات'!$D$5:$D$104&lt;=MI$3)*(('حجز الإجازات'!$E$5:$E$104)&gt;=MI$3)*('حجز الإجازات'!$G$5:$G$104="معتمد")*ROW('حجز الإجازات'!$B$5:$B$104))=0,IF(MI$3&lt;'الموظفون'!$D$6,"",IF(ISNUMBER(MATCH(MI$3,Holidays,0)),"عطلة",IF(MOD(MI$3-'الموظفون'!$D$6,CycleWork+CycleRest)&lt;CycleWork,INDEX('الإعدادات والقوائم'!$H$2:$H$4,MOD(INT(MOD(MI$3-'الموظفون'!$D$6,CycleWork+CycleRest)*3/CycleWork)+MATCH(StartShift,'الإعدادات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الإجازات'!$D$5:$D$104&lt;=MI$3)*(('حجز الإجازات'!$E$5:$E$104)&gt;=MI$3)*('حجز الإجازات'!$G$5:$G$104="معتمد")*ROW('حجز الإجازات'!$B$5:$B$104)))-5+1))</f>
        <v/>
      </c>
      <c r="MJ8" s="62">
        <f>IF(SUMPRODUCT(('حجز الإجازات'!$B$5:$B$104='الموظفون'!$B$6)*('حجز الإجازات'!$D$5:$D$104&lt;=MJ$3)*(('حجز الإجازات'!$E$5:$E$104)&gt;=MJ$3)*('حجز الإجازات'!$G$5:$G$104="معتمد")*ROW('حجز الإجازات'!$B$5:$B$104))=0,IF(MJ$3&lt;'الموظفون'!$D$6,"",IF(ISNUMBER(MATCH(MJ$3,Holidays,0)),"عطلة",IF(MOD(MJ$3-'الموظفون'!$D$6,CycleWork+CycleRest)&lt;CycleWork,INDEX('الإعدادات والقوائم'!$H$2:$H$4,MOD(INT(MOD(MJ$3-'الموظفون'!$D$6,CycleWork+CycleRest)*3/CycleWork)+MATCH(StartShift,'الإعدادات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الإجازات'!$D$5:$D$104&lt;=MJ$3)*(('حجز الإجازات'!$E$5:$E$104)&gt;=MJ$3)*('حجز الإجازات'!$G$5:$G$104="معتمد")*ROW('حجز الإجازات'!$B$5:$B$104)))-5+1))</f>
        <v/>
      </c>
      <c r="MK8" s="62">
        <f>IF(SUMPRODUCT(('حجز الإجازات'!$B$5:$B$104='الموظفون'!$B$6)*('حجز الإجازات'!$D$5:$D$104&lt;=MK$3)*(('حجز الإجازات'!$E$5:$E$104)&gt;=MK$3)*('حجز الإجازات'!$G$5:$G$104="معتمد")*ROW('حجز الإجازات'!$B$5:$B$104))=0,IF(MK$3&lt;'الموظفون'!$D$6,"",IF(ISNUMBER(MATCH(MK$3,Holidays,0)),"عطلة",IF(MOD(MK$3-'الموظفون'!$D$6,CycleWork+CycleRest)&lt;CycleWork,INDEX('الإعدادات والقوائم'!$H$2:$H$4,MOD(INT(MOD(MK$3-'الموظفون'!$D$6,CycleWork+CycleRest)*3/CycleWork)+MATCH(StartShift,'الإعدادات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الإجازات'!$D$5:$D$104&lt;=MK$3)*(('حجز الإجازات'!$E$5:$E$104)&gt;=MK$3)*('حجز الإجازات'!$G$5:$G$104="معتمد")*ROW('حجز الإجازات'!$B$5:$B$104)))-5+1))</f>
        <v/>
      </c>
      <c r="ML8" s="62">
        <f>IF(SUMPRODUCT(('حجز الإجازات'!$B$5:$B$104='الموظفون'!$B$6)*('حجز الإجازات'!$D$5:$D$104&lt;=ML$3)*(('حجز الإجازات'!$E$5:$E$104)&gt;=ML$3)*('حجز الإجازات'!$G$5:$G$104="معتمد")*ROW('حجز الإجازات'!$B$5:$B$104))=0,IF(ML$3&lt;'الموظفون'!$D$6,"",IF(ISNUMBER(MATCH(ML$3,Holidays,0)),"عطلة",IF(MOD(ML$3-'الموظفون'!$D$6,CycleWork+CycleRest)&lt;CycleWork,INDEX('الإعدادات والقوائم'!$H$2:$H$4,MOD(INT(MOD(ML$3-'الموظفون'!$D$6,CycleWork+CycleRest)*3/CycleWork)+MATCH(StartShift,'الإعدادات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الإجازات'!$D$5:$D$104&lt;=ML$3)*(('حجز الإجازات'!$E$5:$E$104)&gt;=ML$3)*('حجز الإجازات'!$G$5:$G$104="معتمد")*ROW('حجز الإجازات'!$B$5:$B$104)))-5+1))</f>
        <v/>
      </c>
      <c r="MM8" s="62">
        <f>IF(SUMPRODUCT(('حجز الإجازات'!$B$5:$B$104='الموظفون'!$B$6)*('حجز الإجازات'!$D$5:$D$104&lt;=MM$3)*(('حجز الإجازات'!$E$5:$E$104)&gt;=MM$3)*('حجز الإجازات'!$G$5:$G$104="معتمد")*ROW('حجز الإجازات'!$B$5:$B$104))=0,IF(MM$3&lt;'الموظفون'!$D$6,"",IF(ISNUMBER(MATCH(MM$3,Holidays,0)),"عطلة",IF(MOD(MM$3-'الموظفون'!$D$6,CycleWork+CycleRest)&lt;CycleWork,INDEX('الإعدادات والقوائم'!$H$2:$H$4,MOD(INT(MOD(MM$3-'الموظفون'!$D$6,CycleWork+CycleRest)*3/CycleWork)+MATCH(StartShift,'الإعدادات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الإجازات'!$D$5:$D$104&lt;=MM$3)*(('حجز الإجازات'!$E$5:$E$104)&gt;=MM$3)*('حجز الإجازات'!$G$5:$G$104="معتمد")*ROW('حجز الإجازات'!$B$5:$B$104)))-5+1))</f>
        <v/>
      </c>
      <c r="MN8" s="62">
        <f>IF(SUMPRODUCT(('حجز الإجازات'!$B$5:$B$104='الموظفون'!$B$6)*('حجز الإجازات'!$D$5:$D$104&lt;=MN$3)*(('حجز الإجازات'!$E$5:$E$104)&gt;=MN$3)*('حجز الإجازات'!$G$5:$G$104="معتمد")*ROW('حجز الإجازات'!$B$5:$B$104))=0,IF(MN$3&lt;'الموظفون'!$D$6,"",IF(ISNUMBER(MATCH(MN$3,Holidays,0)),"عطلة",IF(MOD(MN$3-'الموظفون'!$D$6,CycleWork+CycleRest)&lt;CycleWork,INDEX('الإعدادات والقوائم'!$H$2:$H$4,MOD(INT(MOD(MN$3-'الموظفون'!$D$6,CycleWork+CycleRest)*3/CycleWork)+MATCH(StartShift,'الإعدادات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الإجازات'!$D$5:$D$104&lt;=MN$3)*(('حجز الإجازات'!$E$5:$E$104)&gt;=MN$3)*('حجز الإجازات'!$G$5:$G$104="معتمد")*ROW('حجز الإجازات'!$B$5:$B$104)))-5+1))</f>
        <v/>
      </c>
      <c r="MO8" s="62">
        <f>IF(SUMPRODUCT(('حجز الإجازات'!$B$5:$B$104='الموظفون'!$B$6)*('حجز الإجازات'!$D$5:$D$104&lt;=MO$3)*(('حجز الإجازات'!$E$5:$E$104)&gt;=MO$3)*('حجز الإجازات'!$G$5:$G$104="معتمد")*ROW('حجز الإجازات'!$B$5:$B$104))=0,IF(MO$3&lt;'الموظفون'!$D$6,"",IF(ISNUMBER(MATCH(MO$3,Holidays,0)),"عطلة",IF(MOD(MO$3-'الموظفون'!$D$6,CycleWork+CycleRest)&lt;CycleWork,INDEX('الإعدادات والقوائم'!$H$2:$H$4,MOD(INT(MOD(MO$3-'الموظفون'!$D$6,CycleWork+CycleRest)*3/CycleWork)+MATCH(StartShift,'الإعدادات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الإجازات'!$D$5:$D$104&lt;=MO$3)*(('حجز الإجازات'!$E$5:$E$104)&gt;=MO$3)*('حجز الإجازات'!$G$5:$G$104="معتمد")*ROW('حجز الإجازات'!$B$5:$B$104)))-5+1))</f>
        <v/>
      </c>
      <c r="MP8" s="62">
        <f>IF(SUMPRODUCT(('حجز الإجازات'!$B$5:$B$104='الموظفون'!$B$6)*('حجز الإجازات'!$D$5:$D$104&lt;=MP$3)*(('حجز الإجازات'!$E$5:$E$104)&gt;=MP$3)*('حجز الإجازات'!$G$5:$G$104="معتمد")*ROW('حجز الإجازات'!$B$5:$B$104))=0,IF(MP$3&lt;'الموظفون'!$D$6,"",IF(ISNUMBER(MATCH(MP$3,Holidays,0)),"عطلة",IF(MOD(MP$3-'الموظفون'!$D$6,CycleWork+CycleRest)&lt;CycleWork,INDEX('الإعدادات والقوائم'!$H$2:$H$4,MOD(INT(MOD(MP$3-'الموظفون'!$D$6,CycleWork+CycleRest)*3/CycleWork)+MATCH(StartShift,'الإعدادات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الإجازات'!$D$5:$D$104&lt;=MP$3)*(('حجز الإجازات'!$E$5:$E$104)&gt;=MP$3)*('حجز الإجازات'!$G$5:$G$104="معتمد")*ROW('حجز الإجازات'!$B$5:$B$104)))-5+1))</f>
        <v/>
      </c>
      <c r="MQ8" s="62">
        <f>IF(SUMPRODUCT(('حجز الإجازات'!$B$5:$B$104='الموظفون'!$B$6)*('حجز الإجازات'!$D$5:$D$104&lt;=MQ$3)*(('حجز الإجازات'!$E$5:$E$104)&gt;=MQ$3)*('حجز الإجازات'!$G$5:$G$104="معتمد")*ROW('حجز الإجازات'!$B$5:$B$104))=0,IF(MQ$3&lt;'الموظفون'!$D$6,"",IF(ISNUMBER(MATCH(MQ$3,Holidays,0)),"عطلة",IF(MOD(MQ$3-'الموظفون'!$D$6,CycleWork+CycleRest)&lt;CycleWork,INDEX('الإعدادات والقوائم'!$H$2:$H$4,MOD(INT(MOD(MQ$3-'الموظفون'!$D$6,CycleWork+CycleRest)*3/CycleWork)+MATCH(StartShift,'الإعدادات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الإجازات'!$D$5:$D$104&lt;=MQ$3)*(('حجز الإجازات'!$E$5:$E$104)&gt;=MQ$3)*('حجز الإجازات'!$G$5:$G$104="معتمد")*ROW('حجز الإجازات'!$B$5:$B$104)))-5+1))</f>
        <v/>
      </c>
      <c r="MR8" s="62">
        <f>IF(SUMPRODUCT(('حجز الإجازات'!$B$5:$B$104='الموظفون'!$B$6)*('حجز الإجازات'!$D$5:$D$104&lt;=MR$3)*(('حجز الإجازات'!$E$5:$E$104)&gt;=MR$3)*('حجز الإجازات'!$G$5:$G$104="معتمد")*ROW('حجز الإجازات'!$B$5:$B$104))=0,IF(MR$3&lt;'الموظفون'!$D$6,"",IF(ISNUMBER(MATCH(MR$3,Holidays,0)),"عطلة",IF(MOD(MR$3-'الموظفون'!$D$6,CycleWork+CycleRest)&lt;CycleWork,INDEX('الإعدادات والقوائم'!$H$2:$H$4,MOD(INT(MOD(MR$3-'الموظفون'!$D$6,CycleWork+CycleRest)*3/CycleWork)+MATCH(StartShift,'الإعدادات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الإجازات'!$D$5:$D$104&lt;=MR$3)*(('حجز الإجازات'!$E$5:$E$104)&gt;=MR$3)*('حجز الإجازات'!$G$5:$G$104="معتمد")*ROW('حجز الإجازات'!$B$5:$B$104)))-5+1))</f>
        <v/>
      </c>
      <c r="MS8" s="62">
        <f>IF(SUMPRODUCT(('حجز الإجازات'!$B$5:$B$104='الموظفون'!$B$6)*('حجز الإجازات'!$D$5:$D$104&lt;=MS$3)*(('حجز الإجازات'!$E$5:$E$104)&gt;=MS$3)*('حجز الإجازات'!$G$5:$G$104="معتمد")*ROW('حجز الإجازات'!$B$5:$B$104))=0,IF(MS$3&lt;'الموظفون'!$D$6,"",IF(ISNUMBER(MATCH(MS$3,Holidays,0)),"عطلة",IF(MOD(MS$3-'الموظفون'!$D$6,CycleWork+CycleRest)&lt;CycleWork,INDEX('الإعدادات والقوائم'!$H$2:$H$4,MOD(INT(MOD(MS$3-'الموظفون'!$D$6,CycleWork+CycleRest)*3/CycleWork)+MATCH(StartShift,'الإعدادات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الإجازات'!$D$5:$D$104&lt;=MS$3)*(('حجز الإجازات'!$E$5:$E$104)&gt;=MS$3)*('حجز الإجازات'!$G$5:$G$104="معتمد")*ROW('حجز الإجازات'!$B$5:$B$104)))-5+1))</f>
        <v/>
      </c>
      <c r="MT8" s="62">
        <f>IF(SUMPRODUCT(('حجز الإجازات'!$B$5:$B$104='الموظفون'!$B$6)*('حجز الإجازات'!$D$5:$D$104&lt;=MT$3)*(('حجز الإجازات'!$E$5:$E$104)&gt;=MT$3)*('حجز الإجازات'!$G$5:$G$104="معتمد")*ROW('حجز الإجازات'!$B$5:$B$104))=0,IF(MT$3&lt;'الموظفون'!$D$6,"",IF(ISNUMBER(MATCH(MT$3,Holidays,0)),"عطلة",IF(MOD(MT$3-'الموظفون'!$D$6,CycleWork+CycleRest)&lt;CycleWork,INDEX('الإعدادات والقوائم'!$H$2:$H$4,MOD(INT(MOD(MT$3-'الموظفون'!$D$6,CycleWork+CycleRest)*3/CycleWork)+MATCH(StartShift,'الإعدادات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الإجازات'!$D$5:$D$104&lt;=MT$3)*(('حجز الإجازات'!$E$5:$E$104)&gt;=MT$3)*('حجز الإجازات'!$G$5:$G$104="معتمد")*ROW('حجز الإجازات'!$B$5:$B$104)))-5+1))</f>
        <v/>
      </c>
      <c r="MU8" s="62">
        <f>IF(SUMPRODUCT(('حجز الإجازات'!$B$5:$B$104='الموظفون'!$B$6)*('حجز الإجازات'!$D$5:$D$104&lt;=MU$3)*(('حجز الإجازات'!$E$5:$E$104)&gt;=MU$3)*('حجز الإجازات'!$G$5:$G$104="معتمد")*ROW('حجز الإجازات'!$B$5:$B$104))=0,IF(MU$3&lt;'الموظفون'!$D$6,"",IF(ISNUMBER(MATCH(MU$3,Holidays,0)),"عطلة",IF(MOD(MU$3-'الموظفون'!$D$6,CycleWork+CycleRest)&lt;CycleWork,INDEX('الإعدادات والقوائم'!$H$2:$H$4,MOD(INT(MOD(MU$3-'الموظفون'!$D$6,CycleWork+CycleRest)*3/CycleWork)+MATCH(StartShift,'الإعدادات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الإجازات'!$D$5:$D$104&lt;=MU$3)*(('حجز الإجازات'!$E$5:$E$104)&gt;=MU$3)*('حجز الإجازات'!$G$5:$G$104="معتمد")*ROW('حجز الإجازات'!$B$5:$B$104)))-5+1))</f>
        <v/>
      </c>
      <c r="MV8" s="62">
        <f>IF(SUMPRODUCT(('حجز الإجازات'!$B$5:$B$104='الموظفون'!$B$6)*('حجز الإجازات'!$D$5:$D$104&lt;=MV$3)*(('حجز الإجازات'!$E$5:$E$104)&gt;=MV$3)*('حجز الإجازات'!$G$5:$G$104="معتمد")*ROW('حجز الإجازات'!$B$5:$B$104))=0,IF(MV$3&lt;'الموظفون'!$D$6,"",IF(ISNUMBER(MATCH(MV$3,Holidays,0)),"عطلة",IF(MOD(MV$3-'الموظفون'!$D$6,CycleWork+CycleRest)&lt;CycleWork,INDEX('الإعدادات والقوائم'!$H$2:$H$4,MOD(INT(MOD(MV$3-'الموظفون'!$D$6,CycleWork+CycleRest)*3/CycleWork)+MATCH(StartShift,'الإعدادات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الإجازات'!$D$5:$D$104&lt;=MV$3)*(('حجز الإجازات'!$E$5:$E$104)&gt;=MV$3)*('حجز الإجازات'!$G$5:$G$104="معتمد")*ROW('حجز الإجازات'!$B$5:$B$104)))-5+1))</f>
        <v/>
      </c>
      <c r="MW8" s="62">
        <f>IF(SUMPRODUCT(('حجز الإجازات'!$B$5:$B$104='الموظفون'!$B$6)*('حجز الإجازات'!$D$5:$D$104&lt;=MW$3)*(('حجز الإجازات'!$E$5:$E$104)&gt;=MW$3)*('حجز الإجازات'!$G$5:$G$104="معتمد")*ROW('حجز الإجازات'!$B$5:$B$104))=0,IF(MW$3&lt;'الموظفون'!$D$6,"",IF(ISNUMBER(MATCH(MW$3,Holidays,0)),"عطلة",IF(MOD(MW$3-'الموظفون'!$D$6,CycleWork+CycleRest)&lt;CycleWork,INDEX('الإعدادات والقوائم'!$H$2:$H$4,MOD(INT(MOD(MW$3-'الموظفون'!$D$6,CycleWork+CycleRest)*3/CycleWork)+MATCH(StartShift,'الإعدادات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الإجازات'!$D$5:$D$104&lt;=MW$3)*(('حجز الإجازات'!$E$5:$E$104)&gt;=MW$3)*('حجز الإجازات'!$G$5:$G$104="معتمد")*ROW('حجز الإجازات'!$B$5:$B$104)))-5+1))</f>
        <v/>
      </c>
      <c r="MX8" s="62">
        <f>IF(SUMPRODUCT(('حجز الإجازات'!$B$5:$B$104='الموظفون'!$B$6)*('حجز الإجازات'!$D$5:$D$104&lt;=MX$3)*(('حجز الإجازات'!$E$5:$E$104)&gt;=MX$3)*('حجز الإجازات'!$G$5:$G$104="معتمد")*ROW('حجز الإجازات'!$B$5:$B$104))=0,IF(MX$3&lt;'الموظفون'!$D$6,"",IF(ISNUMBER(MATCH(MX$3,Holidays,0)),"عطلة",IF(MOD(MX$3-'الموظفون'!$D$6,CycleWork+CycleRest)&lt;CycleWork,INDEX('الإعدادات والقوائم'!$H$2:$H$4,MOD(INT(MOD(MX$3-'الموظفون'!$D$6,CycleWork+CycleRest)*3/CycleWork)+MATCH(StartShift,'الإعدادات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الإجازات'!$D$5:$D$104&lt;=MX$3)*(('حجز الإجازات'!$E$5:$E$104)&gt;=MX$3)*('حجز الإجازات'!$G$5:$G$104="معتمد")*ROW('حجز الإجازات'!$B$5:$B$104)))-5+1))</f>
        <v/>
      </c>
      <c r="MY8" s="62">
        <f>IF(SUMPRODUCT(('حجز الإجازات'!$B$5:$B$104='الموظفون'!$B$6)*('حجز الإجازات'!$D$5:$D$104&lt;=MY$3)*(('حجز الإجازات'!$E$5:$E$104)&gt;=MY$3)*('حجز الإجازات'!$G$5:$G$104="معتمد")*ROW('حجز الإجازات'!$B$5:$B$104))=0,IF(MY$3&lt;'الموظفون'!$D$6,"",IF(ISNUMBER(MATCH(MY$3,Holidays,0)),"عطلة",IF(MOD(MY$3-'الموظفون'!$D$6,CycleWork+CycleRest)&lt;CycleWork,INDEX('الإعدادات والقوائم'!$H$2:$H$4,MOD(INT(MOD(MY$3-'الموظفون'!$D$6,CycleWork+CycleRest)*3/CycleWork)+MATCH(StartShift,'الإعدادات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الإجازات'!$D$5:$D$104&lt;=MY$3)*(('حجز الإجازات'!$E$5:$E$104)&gt;=MY$3)*('حجز الإجازات'!$G$5:$G$104="معتمد")*ROW('حجز الإجازات'!$B$5:$B$104)))-5+1))</f>
        <v/>
      </c>
      <c r="MZ8" s="62">
        <f>IF(SUMPRODUCT(('حجز الإجازات'!$B$5:$B$104='الموظفون'!$B$6)*('حجز الإجازات'!$D$5:$D$104&lt;=MZ$3)*(('حجز الإجازات'!$E$5:$E$104)&gt;=MZ$3)*('حجز الإجازات'!$G$5:$G$104="معتمد")*ROW('حجز الإجازات'!$B$5:$B$104))=0,IF(MZ$3&lt;'الموظفون'!$D$6,"",IF(ISNUMBER(MATCH(MZ$3,Holidays,0)),"عطلة",IF(MOD(MZ$3-'الموظفون'!$D$6,CycleWork+CycleRest)&lt;CycleWork,INDEX('الإعدادات والقوائم'!$H$2:$H$4,MOD(INT(MOD(MZ$3-'الموظفون'!$D$6,CycleWork+CycleRest)*3/CycleWork)+MATCH(StartShift,'الإعدادات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الإجازات'!$D$5:$D$104&lt;=MZ$3)*(('حجز الإجازات'!$E$5:$E$104)&gt;=MZ$3)*('حجز الإجازات'!$G$5:$G$104="معتمد")*ROW('حجز الإجازات'!$B$5:$B$104)))-5+1))</f>
        <v/>
      </c>
      <c r="NA8" s="62">
        <f>IF(SUMPRODUCT(('حجز الإجازات'!$B$5:$B$104='الموظفون'!$B$6)*('حجز الإجازات'!$D$5:$D$104&lt;=NA$3)*(('حجز الإجازات'!$E$5:$E$104)&gt;=NA$3)*('حجز الإجازات'!$G$5:$G$104="معتمد")*ROW('حجز الإجازات'!$B$5:$B$104))=0,IF(NA$3&lt;'الموظفون'!$D$6,"",IF(ISNUMBER(MATCH(NA$3,Holidays,0)),"عطلة",IF(MOD(NA$3-'الموظفون'!$D$6,CycleWork+CycleRest)&lt;CycleWork,INDEX('الإعدادات والقوائم'!$H$2:$H$4,MOD(INT(MOD(NA$3-'الموظفون'!$D$6,CycleWork+CycleRest)*3/CycleWork)+MATCH(StartShift,'الإعدادات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الإجازات'!$D$5:$D$104&lt;=NA$3)*(('حجز الإجازات'!$E$5:$E$104)&gt;=NA$3)*('حجز الإجازات'!$G$5:$G$104="معتمد")*ROW('حجز الإجازات'!$B$5:$B$104)))-5+1))</f>
        <v/>
      </c>
      <c r="NB8" s="62">
        <f>IF(SUMPRODUCT(('حجز الإجازات'!$B$5:$B$104='الموظفون'!$B$6)*('حجز الإجازات'!$D$5:$D$104&lt;=NB$3)*(('حجز الإجازات'!$E$5:$E$104)&gt;=NB$3)*('حجز الإجازات'!$G$5:$G$104="معتمد")*ROW('حجز الإجازات'!$B$5:$B$104))=0,IF(NB$3&lt;'الموظفون'!$D$6,"",IF(ISNUMBER(MATCH(NB$3,Holidays,0)),"عطلة",IF(MOD(NB$3-'الموظفون'!$D$6,CycleWork+CycleRest)&lt;CycleWork,INDEX('الإعدادات والقوائم'!$H$2:$H$4,MOD(INT(MOD(NB$3-'الموظفون'!$D$6,CycleWork+CycleRest)*3/CycleWork)+MATCH(StartShift,'الإعدادات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الإجازات'!$D$5:$D$104&lt;=NB$3)*(('حجز الإجازات'!$E$5:$E$104)&gt;=NB$3)*('حجز الإجازات'!$G$5:$G$104="معتمد")*ROW('حجز الإجازات'!$B$5:$B$104)))-5+1))</f>
        <v/>
      </c>
      <c r="NC8" s="62">
        <f>IF(SUMPRODUCT(('حجز الإجازات'!$B$5:$B$104='الموظفون'!$B$6)*('حجز الإجازات'!$D$5:$D$104&lt;=NC$3)*(('حجز الإجازات'!$E$5:$E$104)&gt;=NC$3)*('حجز الإجازات'!$G$5:$G$104="معتمد")*ROW('حجز الإجازات'!$B$5:$B$104))=0,IF(NC$3&lt;'الموظفون'!$D$6,"",IF(ISNUMBER(MATCH(NC$3,Holidays,0)),"عطلة",IF(MOD(NC$3-'الموظفون'!$D$6,CycleWork+CycleRest)&lt;CycleWork,INDEX('الإعدادات والقوائم'!$H$2:$H$4,MOD(INT(MOD(NC$3-'الموظفون'!$D$6,CycleWork+CycleRest)*3/CycleWork)+MATCH(StartShift,'الإعدادات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الإجازات'!$D$5:$D$104&lt;=NC$3)*(('حجز الإجازات'!$E$5:$E$104)&gt;=NC$3)*('حجز الإجازات'!$G$5:$G$104="معتمد")*ROW('حجز الإجازات'!$B$5:$B$104)))-5+1))</f>
        <v/>
      </c>
      <c r="ND8" s="62">
        <f>IF(SUMPRODUCT(('حجز الإجازات'!$B$5:$B$104='الموظفون'!$B$6)*('حجز الإجازات'!$D$5:$D$104&lt;=ND$3)*(('حجز الإجازات'!$E$5:$E$104)&gt;=ND$3)*('حجز الإجازات'!$G$5:$G$104="معتمد")*ROW('حجز الإجازات'!$B$5:$B$104))=0,IF(ND$3&lt;'الموظفون'!$D$6,"",IF(ISNUMBER(MATCH(ND$3,Holidays,0)),"عطلة",IF(MOD(ND$3-'الموظفون'!$D$6,CycleWork+CycleRest)&lt;CycleWork,INDEX('الإعدادات والقوائم'!$H$2:$H$4,MOD(INT(MOD(ND$3-'الموظفون'!$D$6,CycleWork+CycleRest)*3/CycleWork)+MATCH(StartShift,'الإعدادات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الإجازات'!$D$5:$D$104&lt;=ND$3)*(('حجز الإجازات'!$E$5:$E$104)&gt;=ND$3)*('حجز الإجازات'!$G$5:$G$104="معتمد")*ROW('حجز الإجازات'!$B$5:$B$104)))-5+1))</f>
        <v/>
      </c>
    </row>
    <row r="9">
      <c r="A9" s="16" t="n">
        <v>6</v>
      </c>
      <c r="B9" s="22">
        <f>'الموظفون'!B7</f>
        <v/>
      </c>
      <c r="C9" s="16">
        <f>'الموظفون'!C7</f>
        <v/>
      </c>
      <c r="D9" s="62">
        <f>IF(SUMPRODUCT(('حجز الإجازات'!$B$5:$B$104='الموظفون'!$B$7)*('حجز الإجازات'!$D$5:$D$104&lt;=D$3)*(('حجز الإجازات'!$E$5:$E$104)&gt;=D$3)*('حجز الإجازات'!$G$5:$G$104="معتمد")*ROW('حجز الإجازات'!$B$5:$B$104))=0,IF(D$3&lt;'الموظفون'!$D$7,"",IF(ISNUMBER(MATCH(D$3,Holidays,0)),"عطلة",IF(MOD(D$3-'الموظفون'!$D$7,CycleWork+CycleRest)&lt;CycleWork,INDEX('الإعدادات والقوائم'!$H$2:$H$4,MOD(INT(MOD(D$3-'الموظفون'!$D$7,CycleWork+CycleRest)*3/CycleWork)+MATCH(StartShift,'الإعدادات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الإجازات'!$D$5:$D$104&lt;=D$3)*(('حجز الإجازات'!$E$5:$E$104)&gt;=D$3)*('حجز الإجازات'!$G$5:$G$104="معتمد")*ROW('حجز الإجازات'!$B$5:$B$104)))-5+1))</f>
        <v/>
      </c>
      <c r="E9" s="62">
        <f>IF(SUMPRODUCT(('حجز الإجازات'!$B$5:$B$104='الموظفون'!$B$7)*('حجز الإجازات'!$D$5:$D$104&lt;=E$3)*(('حجز الإجازات'!$E$5:$E$104)&gt;=E$3)*('حجز الإجازات'!$G$5:$G$104="معتمد")*ROW('حجز الإجازات'!$B$5:$B$104))=0,IF(E$3&lt;'الموظفون'!$D$7,"",IF(ISNUMBER(MATCH(E$3,Holidays,0)),"عطلة",IF(MOD(E$3-'الموظفون'!$D$7,CycleWork+CycleRest)&lt;CycleWork,INDEX('الإعدادات والقوائم'!$H$2:$H$4,MOD(INT(MOD(E$3-'الموظفون'!$D$7,CycleWork+CycleRest)*3/CycleWork)+MATCH(StartShift,'الإعدادات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الإجازات'!$D$5:$D$104&lt;=E$3)*(('حجز الإجازات'!$E$5:$E$104)&gt;=E$3)*('حجز الإجازات'!$G$5:$G$104="معتمد")*ROW('حجز الإجازات'!$B$5:$B$104)))-5+1))</f>
        <v/>
      </c>
      <c r="F9" s="62">
        <f>IF(SUMPRODUCT(('حجز الإجازات'!$B$5:$B$104='الموظفون'!$B$7)*('حجز الإجازات'!$D$5:$D$104&lt;=F$3)*(('حجز الإجازات'!$E$5:$E$104)&gt;=F$3)*('حجز الإجازات'!$G$5:$G$104="معتمد")*ROW('حجز الإجازات'!$B$5:$B$104))=0,IF(F$3&lt;'الموظفون'!$D$7,"",IF(ISNUMBER(MATCH(F$3,Holidays,0)),"عطلة",IF(MOD(F$3-'الموظفون'!$D$7,CycleWork+CycleRest)&lt;CycleWork,INDEX('الإعدادات والقوائم'!$H$2:$H$4,MOD(INT(MOD(F$3-'الموظفون'!$D$7,CycleWork+CycleRest)*3/CycleWork)+MATCH(StartShift,'الإعدادات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الإجازات'!$D$5:$D$104&lt;=F$3)*(('حجز الإجازات'!$E$5:$E$104)&gt;=F$3)*('حجز الإجازات'!$G$5:$G$104="معتمد")*ROW('حجز الإجازات'!$B$5:$B$104)))-5+1))</f>
        <v/>
      </c>
      <c r="G9" s="62">
        <f>IF(SUMPRODUCT(('حجز الإجازات'!$B$5:$B$104='الموظفون'!$B$7)*('حجز الإجازات'!$D$5:$D$104&lt;=G$3)*(('حجز الإجازات'!$E$5:$E$104)&gt;=G$3)*('حجز الإجازات'!$G$5:$G$104="معتمد")*ROW('حجز الإجازات'!$B$5:$B$104))=0,IF(G$3&lt;'الموظفون'!$D$7,"",IF(ISNUMBER(MATCH(G$3,Holidays,0)),"عطلة",IF(MOD(G$3-'الموظفون'!$D$7,CycleWork+CycleRest)&lt;CycleWork,INDEX('الإعدادات والقوائم'!$H$2:$H$4,MOD(INT(MOD(G$3-'الموظفون'!$D$7,CycleWork+CycleRest)*3/CycleWork)+MATCH(StartShift,'الإعدادات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الإجازات'!$D$5:$D$104&lt;=G$3)*(('حجز الإجازات'!$E$5:$E$104)&gt;=G$3)*('حجز الإجازات'!$G$5:$G$104="معتمد")*ROW('حجز الإجازات'!$B$5:$B$104)))-5+1))</f>
        <v/>
      </c>
      <c r="H9" s="62">
        <f>IF(SUMPRODUCT(('حجز الإجازات'!$B$5:$B$104='الموظفون'!$B$7)*('حجز الإجازات'!$D$5:$D$104&lt;=H$3)*(('حجز الإجازات'!$E$5:$E$104)&gt;=H$3)*('حجز الإجازات'!$G$5:$G$104="معتمد")*ROW('حجز الإجازات'!$B$5:$B$104))=0,IF(H$3&lt;'الموظفون'!$D$7,"",IF(ISNUMBER(MATCH(H$3,Holidays,0)),"عطلة",IF(MOD(H$3-'الموظفون'!$D$7,CycleWork+CycleRest)&lt;CycleWork,INDEX('الإعدادات والقوائم'!$H$2:$H$4,MOD(INT(MOD(H$3-'الموظفون'!$D$7,CycleWork+CycleRest)*3/CycleWork)+MATCH(StartShift,'الإعدادات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الإجازات'!$D$5:$D$104&lt;=H$3)*(('حجز الإجازات'!$E$5:$E$104)&gt;=H$3)*('حجز الإجازات'!$G$5:$G$104="معتمد")*ROW('حجز الإجازات'!$B$5:$B$104)))-5+1))</f>
        <v/>
      </c>
      <c r="I9" s="62">
        <f>IF(SUMPRODUCT(('حجز الإجازات'!$B$5:$B$104='الموظفون'!$B$7)*('حجز الإجازات'!$D$5:$D$104&lt;=I$3)*(('حجز الإجازات'!$E$5:$E$104)&gt;=I$3)*('حجز الإجازات'!$G$5:$G$104="معتمد")*ROW('حجز الإجازات'!$B$5:$B$104))=0,IF(I$3&lt;'الموظفون'!$D$7,"",IF(ISNUMBER(MATCH(I$3,Holidays,0)),"عطلة",IF(MOD(I$3-'الموظفون'!$D$7,CycleWork+CycleRest)&lt;CycleWork,INDEX('الإعدادات والقوائم'!$H$2:$H$4,MOD(INT(MOD(I$3-'الموظفون'!$D$7,CycleWork+CycleRest)*3/CycleWork)+MATCH(StartShift,'الإعدادات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الإجازات'!$D$5:$D$104&lt;=I$3)*(('حجز الإجازات'!$E$5:$E$104)&gt;=I$3)*('حجز الإجازات'!$G$5:$G$104="معتمد")*ROW('حجز الإجازات'!$B$5:$B$104)))-5+1))</f>
        <v/>
      </c>
      <c r="J9" s="62">
        <f>IF(SUMPRODUCT(('حجز الإجازات'!$B$5:$B$104='الموظفون'!$B$7)*('حجز الإجازات'!$D$5:$D$104&lt;=J$3)*(('حجز الإجازات'!$E$5:$E$104)&gt;=J$3)*('حجز الإجازات'!$G$5:$G$104="معتمد")*ROW('حجز الإجازات'!$B$5:$B$104))=0,IF(J$3&lt;'الموظفون'!$D$7,"",IF(ISNUMBER(MATCH(J$3,Holidays,0)),"عطلة",IF(MOD(J$3-'الموظفون'!$D$7,CycleWork+CycleRest)&lt;CycleWork,INDEX('الإعدادات والقوائم'!$H$2:$H$4,MOD(INT(MOD(J$3-'الموظفون'!$D$7,CycleWork+CycleRest)*3/CycleWork)+MATCH(StartShift,'الإعدادات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الإجازات'!$D$5:$D$104&lt;=J$3)*(('حجز الإجازات'!$E$5:$E$104)&gt;=J$3)*('حجز الإجازات'!$G$5:$G$104="معتمد")*ROW('حجز الإجازات'!$B$5:$B$104)))-5+1))</f>
        <v/>
      </c>
      <c r="K9" s="62">
        <f>IF(SUMPRODUCT(('حجز الإجازات'!$B$5:$B$104='الموظفون'!$B$7)*('حجز الإجازات'!$D$5:$D$104&lt;=K$3)*(('حجز الإجازات'!$E$5:$E$104)&gt;=K$3)*('حجز الإجازات'!$G$5:$G$104="معتمد")*ROW('حجز الإجازات'!$B$5:$B$104))=0,IF(K$3&lt;'الموظفون'!$D$7,"",IF(ISNUMBER(MATCH(K$3,Holidays,0)),"عطلة",IF(MOD(K$3-'الموظفون'!$D$7,CycleWork+CycleRest)&lt;CycleWork,INDEX('الإعدادات والقوائم'!$H$2:$H$4,MOD(INT(MOD(K$3-'الموظفون'!$D$7,CycleWork+CycleRest)*3/CycleWork)+MATCH(StartShift,'الإعدادات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الإجازات'!$D$5:$D$104&lt;=K$3)*(('حجز الإجازات'!$E$5:$E$104)&gt;=K$3)*('حجز الإجازات'!$G$5:$G$104="معتمد")*ROW('حجز الإجازات'!$B$5:$B$104)))-5+1))</f>
        <v/>
      </c>
      <c r="L9" s="62">
        <f>IF(SUMPRODUCT(('حجز الإجازات'!$B$5:$B$104='الموظفون'!$B$7)*('حجز الإجازات'!$D$5:$D$104&lt;=L$3)*(('حجز الإجازات'!$E$5:$E$104)&gt;=L$3)*('حجز الإجازات'!$G$5:$G$104="معتمد")*ROW('حجز الإجازات'!$B$5:$B$104))=0,IF(L$3&lt;'الموظفون'!$D$7,"",IF(ISNUMBER(MATCH(L$3,Holidays,0)),"عطلة",IF(MOD(L$3-'الموظفون'!$D$7,CycleWork+CycleRest)&lt;CycleWork,INDEX('الإعدادات والقوائم'!$H$2:$H$4,MOD(INT(MOD(L$3-'الموظفون'!$D$7,CycleWork+CycleRest)*3/CycleWork)+MATCH(StartShift,'الإعدادات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الإجازات'!$D$5:$D$104&lt;=L$3)*(('حجز الإجازات'!$E$5:$E$104)&gt;=L$3)*('حجز الإجازات'!$G$5:$G$104="معتمد")*ROW('حجز الإجازات'!$B$5:$B$104)))-5+1))</f>
        <v/>
      </c>
      <c r="M9" s="62">
        <f>IF(SUMPRODUCT(('حجز الإجازات'!$B$5:$B$104='الموظفون'!$B$7)*('حجز الإجازات'!$D$5:$D$104&lt;=M$3)*(('حجز الإجازات'!$E$5:$E$104)&gt;=M$3)*('حجز الإجازات'!$G$5:$G$104="معتمد")*ROW('حجز الإجازات'!$B$5:$B$104))=0,IF(M$3&lt;'الموظفون'!$D$7,"",IF(ISNUMBER(MATCH(M$3,Holidays,0)),"عطلة",IF(MOD(M$3-'الموظفون'!$D$7,CycleWork+CycleRest)&lt;CycleWork,INDEX('الإعدادات والقوائم'!$H$2:$H$4,MOD(INT(MOD(M$3-'الموظفون'!$D$7,CycleWork+CycleRest)*3/CycleWork)+MATCH(StartShift,'الإعدادات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الإجازات'!$D$5:$D$104&lt;=M$3)*(('حجز الإجازات'!$E$5:$E$104)&gt;=M$3)*('حجز الإجازات'!$G$5:$G$104="معتمد")*ROW('حجز الإجازات'!$B$5:$B$104)))-5+1))</f>
        <v/>
      </c>
      <c r="N9" s="62">
        <f>IF(SUMPRODUCT(('حجز الإجازات'!$B$5:$B$104='الموظفون'!$B$7)*('حجز الإجازات'!$D$5:$D$104&lt;=N$3)*(('حجز الإجازات'!$E$5:$E$104)&gt;=N$3)*('حجز الإجازات'!$G$5:$G$104="معتمد")*ROW('حجز الإجازات'!$B$5:$B$104))=0,IF(N$3&lt;'الموظفون'!$D$7,"",IF(ISNUMBER(MATCH(N$3,Holidays,0)),"عطلة",IF(MOD(N$3-'الموظفون'!$D$7,CycleWork+CycleRest)&lt;CycleWork,INDEX('الإعدادات والقوائم'!$H$2:$H$4,MOD(INT(MOD(N$3-'الموظفون'!$D$7,CycleWork+CycleRest)*3/CycleWork)+MATCH(StartShift,'الإعدادات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الإجازات'!$D$5:$D$104&lt;=N$3)*(('حجز الإجازات'!$E$5:$E$104)&gt;=N$3)*('حجز الإجازات'!$G$5:$G$104="معتمد")*ROW('حجز الإجازات'!$B$5:$B$104)))-5+1))</f>
        <v/>
      </c>
      <c r="O9" s="62">
        <f>IF(SUMPRODUCT(('حجز الإجازات'!$B$5:$B$104='الموظفون'!$B$7)*('حجز الإجازات'!$D$5:$D$104&lt;=O$3)*(('حجز الإجازات'!$E$5:$E$104)&gt;=O$3)*('حجز الإجازات'!$G$5:$G$104="معتمد")*ROW('حجز الإجازات'!$B$5:$B$104))=0,IF(O$3&lt;'الموظفون'!$D$7,"",IF(ISNUMBER(MATCH(O$3,Holidays,0)),"عطلة",IF(MOD(O$3-'الموظفون'!$D$7,CycleWork+CycleRest)&lt;CycleWork,INDEX('الإعدادات والقوائم'!$H$2:$H$4,MOD(INT(MOD(O$3-'الموظفون'!$D$7,CycleWork+CycleRest)*3/CycleWork)+MATCH(StartShift,'الإعدادات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الإجازات'!$D$5:$D$104&lt;=O$3)*(('حجز الإجازات'!$E$5:$E$104)&gt;=O$3)*('حجز الإجازات'!$G$5:$G$104="معتمد")*ROW('حجز الإجازات'!$B$5:$B$104)))-5+1))</f>
        <v/>
      </c>
      <c r="P9" s="62">
        <f>IF(SUMPRODUCT(('حجز الإجازات'!$B$5:$B$104='الموظفون'!$B$7)*('حجز الإجازات'!$D$5:$D$104&lt;=P$3)*(('حجز الإجازات'!$E$5:$E$104)&gt;=P$3)*('حجز الإجازات'!$G$5:$G$104="معتمد")*ROW('حجز الإجازات'!$B$5:$B$104))=0,IF(P$3&lt;'الموظفون'!$D$7,"",IF(ISNUMBER(MATCH(P$3,Holidays,0)),"عطلة",IF(MOD(P$3-'الموظفون'!$D$7,CycleWork+CycleRest)&lt;CycleWork,INDEX('الإعدادات والقوائم'!$H$2:$H$4,MOD(INT(MOD(P$3-'الموظفون'!$D$7,CycleWork+CycleRest)*3/CycleWork)+MATCH(StartShift,'الإعدادات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الإجازات'!$D$5:$D$104&lt;=P$3)*(('حجز الإجازات'!$E$5:$E$104)&gt;=P$3)*('حجز الإجازات'!$G$5:$G$104="معتمد")*ROW('حجز الإجازات'!$B$5:$B$104)))-5+1))</f>
        <v/>
      </c>
      <c r="Q9" s="62">
        <f>IF(SUMPRODUCT(('حجز الإجازات'!$B$5:$B$104='الموظفون'!$B$7)*('حجز الإجازات'!$D$5:$D$104&lt;=Q$3)*(('حجز الإجازات'!$E$5:$E$104)&gt;=Q$3)*('حجز الإجازات'!$G$5:$G$104="معتمد")*ROW('حجز الإجازات'!$B$5:$B$104))=0,IF(Q$3&lt;'الموظفون'!$D$7,"",IF(ISNUMBER(MATCH(Q$3,Holidays,0)),"عطلة",IF(MOD(Q$3-'الموظفون'!$D$7,CycleWork+CycleRest)&lt;CycleWork,INDEX('الإعدادات والقوائم'!$H$2:$H$4,MOD(INT(MOD(Q$3-'الموظفون'!$D$7,CycleWork+CycleRest)*3/CycleWork)+MATCH(StartShift,'الإعدادات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الإجازات'!$D$5:$D$104&lt;=Q$3)*(('حجز الإجازات'!$E$5:$E$104)&gt;=Q$3)*('حجز الإجازات'!$G$5:$G$104="معتمد")*ROW('حجز الإجازات'!$B$5:$B$104)))-5+1))</f>
        <v/>
      </c>
      <c r="R9" s="62">
        <f>IF(SUMPRODUCT(('حجز الإجازات'!$B$5:$B$104='الموظفون'!$B$7)*('حجز الإجازات'!$D$5:$D$104&lt;=R$3)*(('حجز الإجازات'!$E$5:$E$104)&gt;=R$3)*('حجز الإجازات'!$G$5:$G$104="معتمد")*ROW('حجز الإجازات'!$B$5:$B$104))=0,IF(R$3&lt;'الموظفون'!$D$7,"",IF(ISNUMBER(MATCH(R$3,Holidays,0)),"عطلة",IF(MOD(R$3-'الموظفون'!$D$7,CycleWork+CycleRest)&lt;CycleWork,INDEX('الإعدادات والقوائم'!$H$2:$H$4,MOD(INT(MOD(R$3-'الموظفون'!$D$7,CycleWork+CycleRest)*3/CycleWork)+MATCH(StartShift,'الإعدادات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الإجازات'!$D$5:$D$104&lt;=R$3)*(('حجز الإجازات'!$E$5:$E$104)&gt;=R$3)*('حجز الإجازات'!$G$5:$G$104="معتمد")*ROW('حجز الإجازات'!$B$5:$B$104)))-5+1))</f>
        <v/>
      </c>
      <c r="S9" s="62">
        <f>IF(SUMPRODUCT(('حجز الإجازات'!$B$5:$B$104='الموظفون'!$B$7)*('حجز الإجازات'!$D$5:$D$104&lt;=S$3)*(('حجز الإجازات'!$E$5:$E$104)&gt;=S$3)*('حجز الإجازات'!$G$5:$G$104="معتمد")*ROW('حجز الإجازات'!$B$5:$B$104))=0,IF(S$3&lt;'الموظفون'!$D$7,"",IF(ISNUMBER(MATCH(S$3,Holidays,0)),"عطلة",IF(MOD(S$3-'الموظفون'!$D$7,CycleWork+CycleRest)&lt;CycleWork,INDEX('الإعدادات والقوائم'!$H$2:$H$4,MOD(INT(MOD(S$3-'الموظفون'!$D$7,CycleWork+CycleRest)*3/CycleWork)+MATCH(StartShift,'الإعدادات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الإجازات'!$D$5:$D$104&lt;=S$3)*(('حجز الإجازات'!$E$5:$E$104)&gt;=S$3)*('حجز الإجازات'!$G$5:$G$104="معتمد")*ROW('حجز الإجازات'!$B$5:$B$104)))-5+1))</f>
        <v/>
      </c>
      <c r="T9" s="62">
        <f>IF(SUMPRODUCT(('حجز الإجازات'!$B$5:$B$104='الموظفون'!$B$7)*('حجز الإجازات'!$D$5:$D$104&lt;=T$3)*(('حجز الإجازات'!$E$5:$E$104)&gt;=T$3)*('حجز الإجازات'!$G$5:$G$104="معتمد")*ROW('حجز الإجازات'!$B$5:$B$104))=0,IF(T$3&lt;'الموظفون'!$D$7,"",IF(ISNUMBER(MATCH(T$3,Holidays,0)),"عطلة",IF(MOD(T$3-'الموظفون'!$D$7,CycleWork+CycleRest)&lt;CycleWork,INDEX('الإعدادات والقوائم'!$H$2:$H$4,MOD(INT(MOD(T$3-'الموظفون'!$D$7,CycleWork+CycleRest)*3/CycleWork)+MATCH(StartShift,'الإعدادات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الإجازات'!$D$5:$D$104&lt;=T$3)*(('حجز الإجازات'!$E$5:$E$104)&gt;=T$3)*('حجز الإجازات'!$G$5:$G$104="معتمد")*ROW('حجز الإجازات'!$B$5:$B$104)))-5+1))</f>
        <v/>
      </c>
      <c r="U9" s="62">
        <f>IF(SUMPRODUCT(('حجز الإجازات'!$B$5:$B$104='الموظفون'!$B$7)*('حجز الإجازات'!$D$5:$D$104&lt;=U$3)*(('حجز الإجازات'!$E$5:$E$104)&gt;=U$3)*('حجز الإجازات'!$G$5:$G$104="معتمد")*ROW('حجز الإجازات'!$B$5:$B$104))=0,IF(U$3&lt;'الموظفون'!$D$7,"",IF(ISNUMBER(MATCH(U$3,Holidays,0)),"عطلة",IF(MOD(U$3-'الموظفون'!$D$7,CycleWork+CycleRest)&lt;CycleWork,INDEX('الإعدادات والقوائم'!$H$2:$H$4,MOD(INT(MOD(U$3-'الموظفون'!$D$7,CycleWork+CycleRest)*3/CycleWork)+MATCH(StartShift,'الإعدادات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الإجازات'!$D$5:$D$104&lt;=U$3)*(('حجز الإجازات'!$E$5:$E$104)&gt;=U$3)*('حجز الإجازات'!$G$5:$G$104="معتمد")*ROW('حجز الإجازات'!$B$5:$B$104)))-5+1))</f>
        <v/>
      </c>
      <c r="V9" s="62">
        <f>IF(SUMPRODUCT(('حجز الإجازات'!$B$5:$B$104='الموظفون'!$B$7)*('حجز الإجازات'!$D$5:$D$104&lt;=V$3)*(('حجز الإجازات'!$E$5:$E$104)&gt;=V$3)*('حجز الإجازات'!$G$5:$G$104="معتمد")*ROW('حجز الإجازات'!$B$5:$B$104))=0,IF(V$3&lt;'الموظفون'!$D$7,"",IF(ISNUMBER(MATCH(V$3,Holidays,0)),"عطلة",IF(MOD(V$3-'الموظفون'!$D$7,CycleWork+CycleRest)&lt;CycleWork,INDEX('الإعدادات والقوائم'!$H$2:$H$4,MOD(INT(MOD(V$3-'الموظفون'!$D$7,CycleWork+CycleRest)*3/CycleWork)+MATCH(StartShift,'الإعدادات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الإجازات'!$D$5:$D$104&lt;=V$3)*(('حجز الإجازات'!$E$5:$E$104)&gt;=V$3)*('حجز الإجازات'!$G$5:$G$104="معتمد")*ROW('حجز الإجازات'!$B$5:$B$104)))-5+1))</f>
        <v/>
      </c>
      <c r="W9" s="62">
        <f>IF(SUMPRODUCT(('حجز الإجازات'!$B$5:$B$104='الموظفون'!$B$7)*('حجز الإجازات'!$D$5:$D$104&lt;=W$3)*(('حجز الإجازات'!$E$5:$E$104)&gt;=W$3)*('حجز الإجازات'!$G$5:$G$104="معتمد")*ROW('حجز الإجازات'!$B$5:$B$104))=0,IF(W$3&lt;'الموظفون'!$D$7,"",IF(ISNUMBER(MATCH(W$3,Holidays,0)),"عطلة",IF(MOD(W$3-'الموظفون'!$D$7,CycleWork+CycleRest)&lt;CycleWork,INDEX('الإعدادات والقوائم'!$H$2:$H$4,MOD(INT(MOD(W$3-'الموظفون'!$D$7,CycleWork+CycleRest)*3/CycleWork)+MATCH(StartShift,'الإعدادات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الإجازات'!$D$5:$D$104&lt;=W$3)*(('حجز الإجازات'!$E$5:$E$104)&gt;=W$3)*('حجز الإجازات'!$G$5:$G$104="معتمد")*ROW('حجز الإجازات'!$B$5:$B$104)))-5+1))</f>
        <v/>
      </c>
      <c r="X9" s="62">
        <f>IF(SUMPRODUCT(('حجز الإجازات'!$B$5:$B$104='الموظفون'!$B$7)*('حجز الإجازات'!$D$5:$D$104&lt;=X$3)*(('حجز الإجازات'!$E$5:$E$104)&gt;=X$3)*('حجز الإجازات'!$G$5:$G$104="معتمد")*ROW('حجز الإجازات'!$B$5:$B$104))=0,IF(X$3&lt;'الموظفون'!$D$7,"",IF(ISNUMBER(MATCH(X$3,Holidays,0)),"عطلة",IF(MOD(X$3-'الموظفون'!$D$7,CycleWork+CycleRest)&lt;CycleWork,INDEX('الإعدادات والقوائم'!$H$2:$H$4,MOD(INT(MOD(X$3-'الموظفون'!$D$7,CycleWork+CycleRest)*3/CycleWork)+MATCH(StartShift,'الإعدادات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الإجازات'!$D$5:$D$104&lt;=X$3)*(('حجز الإجازات'!$E$5:$E$104)&gt;=X$3)*('حجز الإجازات'!$G$5:$G$104="معتمد")*ROW('حجز الإجازات'!$B$5:$B$104)))-5+1))</f>
        <v/>
      </c>
      <c r="Y9" s="62">
        <f>IF(SUMPRODUCT(('حجز الإجازات'!$B$5:$B$104='الموظفون'!$B$7)*('حجز الإجازات'!$D$5:$D$104&lt;=Y$3)*(('حجز الإجازات'!$E$5:$E$104)&gt;=Y$3)*('حجز الإجازات'!$G$5:$G$104="معتمد")*ROW('حجز الإجازات'!$B$5:$B$104))=0,IF(Y$3&lt;'الموظفون'!$D$7,"",IF(ISNUMBER(MATCH(Y$3,Holidays,0)),"عطلة",IF(MOD(Y$3-'الموظفون'!$D$7,CycleWork+CycleRest)&lt;CycleWork,INDEX('الإعدادات والقوائم'!$H$2:$H$4,MOD(INT(MOD(Y$3-'الموظفون'!$D$7,CycleWork+CycleRest)*3/CycleWork)+MATCH(StartShift,'الإعدادات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الإجازات'!$D$5:$D$104&lt;=Y$3)*(('حجز الإجازات'!$E$5:$E$104)&gt;=Y$3)*('حجز الإجازات'!$G$5:$G$104="معتمد")*ROW('حجز الإجازات'!$B$5:$B$104)))-5+1))</f>
        <v/>
      </c>
      <c r="Z9" s="62">
        <f>IF(SUMPRODUCT(('حجز الإجازات'!$B$5:$B$104='الموظفون'!$B$7)*('حجز الإجازات'!$D$5:$D$104&lt;=Z$3)*(('حجز الإجازات'!$E$5:$E$104)&gt;=Z$3)*('حجز الإجازات'!$G$5:$G$104="معتمد")*ROW('حجز الإجازات'!$B$5:$B$104))=0,IF(Z$3&lt;'الموظفون'!$D$7,"",IF(ISNUMBER(MATCH(Z$3,Holidays,0)),"عطلة",IF(MOD(Z$3-'الموظفون'!$D$7,CycleWork+CycleRest)&lt;CycleWork,INDEX('الإعدادات والقوائم'!$H$2:$H$4,MOD(INT(MOD(Z$3-'الموظفون'!$D$7,CycleWork+CycleRest)*3/CycleWork)+MATCH(StartShift,'الإعدادات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الإجازات'!$D$5:$D$104&lt;=Z$3)*(('حجز الإجازات'!$E$5:$E$104)&gt;=Z$3)*('حجز الإجازات'!$G$5:$G$104="معتمد")*ROW('حجز الإجازات'!$B$5:$B$104)))-5+1))</f>
        <v/>
      </c>
      <c r="AA9" s="62">
        <f>IF(SUMPRODUCT(('حجز الإجازات'!$B$5:$B$104='الموظفون'!$B$7)*('حجز الإجازات'!$D$5:$D$104&lt;=AA$3)*(('حجز الإجازات'!$E$5:$E$104)&gt;=AA$3)*('حجز الإجازات'!$G$5:$G$104="معتمد")*ROW('حجز الإجازات'!$B$5:$B$104))=0,IF(AA$3&lt;'الموظفون'!$D$7,"",IF(ISNUMBER(MATCH(AA$3,Holidays,0)),"عطلة",IF(MOD(AA$3-'الموظفون'!$D$7,CycleWork+CycleRest)&lt;CycleWork,INDEX('الإعدادات والقوائم'!$H$2:$H$4,MOD(INT(MOD(AA$3-'الموظفون'!$D$7,CycleWork+CycleRest)*3/CycleWork)+MATCH(StartShift,'الإعدادات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الإجازات'!$D$5:$D$104&lt;=AA$3)*(('حجز الإجازات'!$E$5:$E$104)&gt;=AA$3)*('حجز الإجازات'!$G$5:$G$104="معتمد")*ROW('حجز الإجازات'!$B$5:$B$104)))-5+1))</f>
        <v/>
      </c>
      <c r="AB9" s="62">
        <f>IF(SUMPRODUCT(('حجز الإجازات'!$B$5:$B$104='الموظفون'!$B$7)*('حجز الإجازات'!$D$5:$D$104&lt;=AB$3)*(('حجز الإجازات'!$E$5:$E$104)&gt;=AB$3)*('حجز الإجازات'!$G$5:$G$104="معتمد")*ROW('حجز الإجازات'!$B$5:$B$104))=0,IF(AB$3&lt;'الموظفون'!$D$7,"",IF(ISNUMBER(MATCH(AB$3,Holidays,0)),"عطلة",IF(MOD(AB$3-'الموظفون'!$D$7,CycleWork+CycleRest)&lt;CycleWork,INDEX('الإعدادات والقوائم'!$H$2:$H$4,MOD(INT(MOD(AB$3-'الموظفون'!$D$7,CycleWork+CycleRest)*3/CycleWork)+MATCH(StartShift,'الإعدادات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الإجازات'!$D$5:$D$104&lt;=AB$3)*(('حجز الإجازات'!$E$5:$E$104)&gt;=AB$3)*('حجز الإجازات'!$G$5:$G$104="معتمد")*ROW('حجز الإجازات'!$B$5:$B$104)))-5+1))</f>
        <v/>
      </c>
      <c r="AC9" s="62">
        <f>IF(SUMPRODUCT(('حجز الإجازات'!$B$5:$B$104='الموظفون'!$B$7)*('حجز الإجازات'!$D$5:$D$104&lt;=AC$3)*(('حجز الإجازات'!$E$5:$E$104)&gt;=AC$3)*('حجز الإجازات'!$G$5:$G$104="معتمد")*ROW('حجز الإجازات'!$B$5:$B$104))=0,IF(AC$3&lt;'الموظفون'!$D$7,"",IF(ISNUMBER(MATCH(AC$3,Holidays,0)),"عطلة",IF(MOD(AC$3-'الموظفون'!$D$7,CycleWork+CycleRest)&lt;CycleWork,INDEX('الإعدادات والقوائم'!$H$2:$H$4,MOD(INT(MOD(AC$3-'الموظفون'!$D$7,CycleWork+CycleRest)*3/CycleWork)+MATCH(StartShift,'الإعدادات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الإجازات'!$D$5:$D$104&lt;=AC$3)*(('حجز الإجازات'!$E$5:$E$104)&gt;=AC$3)*('حجز الإجازات'!$G$5:$G$104="معتمد")*ROW('حجز الإجازات'!$B$5:$B$104)))-5+1))</f>
        <v/>
      </c>
      <c r="AD9" s="62">
        <f>IF(SUMPRODUCT(('حجز الإجازات'!$B$5:$B$104='الموظفون'!$B$7)*('حجز الإجازات'!$D$5:$D$104&lt;=AD$3)*(('حجز الإجازات'!$E$5:$E$104)&gt;=AD$3)*('حجز الإجازات'!$G$5:$G$104="معتمد")*ROW('حجز الإجازات'!$B$5:$B$104))=0,IF(AD$3&lt;'الموظفون'!$D$7,"",IF(ISNUMBER(MATCH(AD$3,Holidays,0)),"عطلة",IF(MOD(AD$3-'الموظفون'!$D$7,CycleWork+CycleRest)&lt;CycleWork,INDEX('الإعدادات والقوائم'!$H$2:$H$4,MOD(INT(MOD(AD$3-'الموظفون'!$D$7,CycleWork+CycleRest)*3/CycleWork)+MATCH(StartShift,'الإعدادات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الإجازات'!$D$5:$D$104&lt;=AD$3)*(('حجز الإجازات'!$E$5:$E$104)&gt;=AD$3)*('حجز الإجازات'!$G$5:$G$104="معتمد")*ROW('حجز الإجازات'!$B$5:$B$104)))-5+1))</f>
        <v/>
      </c>
      <c r="AE9" s="62">
        <f>IF(SUMPRODUCT(('حجز الإجازات'!$B$5:$B$104='الموظفون'!$B$7)*('حجز الإجازات'!$D$5:$D$104&lt;=AE$3)*(('حجز الإجازات'!$E$5:$E$104)&gt;=AE$3)*('حجز الإجازات'!$G$5:$G$104="معتمد")*ROW('حجز الإجازات'!$B$5:$B$104))=0,IF(AE$3&lt;'الموظفون'!$D$7,"",IF(ISNUMBER(MATCH(AE$3,Holidays,0)),"عطلة",IF(MOD(AE$3-'الموظفون'!$D$7,CycleWork+CycleRest)&lt;CycleWork,INDEX('الإعدادات والقوائم'!$H$2:$H$4,MOD(INT(MOD(AE$3-'الموظفون'!$D$7,CycleWork+CycleRest)*3/CycleWork)+MATCH(StartShift,'الإعدادات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الإجازات'!$D$5:$D$104&lt;=AE$3)*(('حجز الإجازات'!$E$5:$E$104)&gt;=AE$3)*('حجز الإجازات'!$G$5:$G$104="معتمد")*ROW('حجز الإجازات'!$B$5:$B$104)))-5+1))</f>
        <v/>
      </c>
      <c r="AF9" s="62">
        <f>IF(SUMPRODUCT(('حجز الإجازات'!$B$5:$B$104='الموظفون'!$B$7)*('حجز الإجازات'!$D$5:$D$104&lt;=AF$3)*(('حجز الإجازات'!$E$5:$E$104)&gt;=AF$3)*('حجز الإجازات'!$G$5:$G$104="معتمد")*ROW('حجز الإجازات'!$B$5:$B$104))=0,IF(AF$3&lt;'الموظفون'!$D$7,"",IF(ISNUMBER(MATCH(AF$3,Holidays,0)),"عطلة",IF(MOD(AF$3-'الموظفون'!$D$7,CycleWork+CycleRest)&lt;CycleWork,INDEX('الإعدادات والقوائم'!$H$2:$H$4,MOD(INT(MOD(AF$3-'الموظفون'!$D$7,CycleWork+CycleRest)*3/CycleWork)+MATCH(StartShift,'الإعدادات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الإجازات'!$D$5:$D$104&lt;=AF$3)*(('حجز الإجازات'!$E$5:$E$104)&gt;=AF$3)*('حجز الإجازات'!$G$5:$G$104="معتمد")*ROW('حجز الإجازات'!$B$5:$B$104)))-5+1))</f>
        <v/>
      </c>
      <c r="AG9" s="62">
        <f>IF(SUMPRODUCT(('حجز الإجازات'!$B$5:$B$104='الموظفون'!$B$7)*('حجز الإجازات'!$D$5:$D$104&lt;=AG$3)*(('حجز الإجازات'!$E$5:$E$104)&gt;=AG$3)*('حجز الإجازات'!$G$5:$G$104="معتمد")*ROW('حجز الإجازات'!$B$5:$B$104))=0,IF(AG$3&lt;'الموظفون'!$D$7,"",IF(ISNUMBER(MATCH(AG$3,Holidays,0)),"عطلة",IF(MOD(AG$3-'الموظفون'!$D$7,CycleWork+CycleRest)&lt;CycleWork,INDEX('الإعدادات والقوائم'!$H$2:$H$4,MOD(INT(MOD(AG$3-'الموظفون'!$D$7,CycleWork+CycleRest)*3/CycleWork)+MATCH(StartShift,'الإعدادات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الإجازات'!$D$5:$D$104&lt;=AG$3)*(('حجز الإجازات'!$E$5:$E$104)&gt;=AG$3)*('حجز الإجازات'!$G$5:$G$104="معتمد")*ROW('حجز الإجازات'!$B$5:$B$104)))-5+1))</f>
        <v/>
      </c>
      <c r="AH9" s="62">
        <f>IF(SUMPRODUCT(('حجز الإجازات'!$B$5:$B$104='الموظفون'!$B$7)*('حجز الإجازات'!$D$5:$D$104&lt;=AH$3)*(('حجز الإجازات'!$E$5:$E$104)&gt;=AH$3)*('حجز الإجازات'!$G$5:$G$104="معتمد")*ROW('حجز الإجازات'!$B$5:$B$104))=0,IF(AH$3&lt;'الموظفون'!$D$7,"",IF(ISNUMBER(MATCH(AH$3,Holidays,0)),"عطلة",IF(MOD(AH$3-'الموظفون'!$D$7,CycleWork+CycleRest)&lt;CycleWork,INDEX('الإعدادات والقوائم'!$H$2:$H$4,MOD(INT(MOD(AH$3-'الموظفون'!$D$7,CycleWork+CycleRest)*3/CycleWork)+MATCH(StartShift,'الإعدادات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الإجازات'!$D$5:$D$104&lt;=AH$3)*(('حجز الإجازات'!$E$5:$E$104)&gt;=AH$3)*('حجز الإجازات'!$G$5:$G$104="معتمد")*ROW('حجز الإجازات'!$B$5:$B$104)))-5+1))</f>
        <v/>
      </c>
      <c r="AI9" s="62">
        <f>IF(SUMPRODUCT(('حجز الإجازات'!$B$5:$B$104='الموظفون'!$B$7)*('حجز الإجازات'!$D$5:$D$104&lt;=AI$3)*(('حجز الإجازات'!$E$5:$E$104)&gt;=AI$3)*('حجز الإجازات'!$G$5:$G$104="معتمد")*ROW('حجز الإجازات'!$B$5:$B$104))=0,IF(AI$3&lt;'الموظفون'!$D$7,"",IF(ISNUMBER(MATCH(AI$3,Holidays,0)),"عطلة",IF(MOD(AI$3-'الموظفون'!$D$7,CycleWork+CycleRest)&lt;CycleWork,INDEX('الإعدادات والقوائم'!$H$2:$H$4,MOD(INT(MOD(AI$3-'الموظفون'!$D$7,CycleWork+CycleRest)*3/CycleWork)+MATCH(StartShift,'الإعدادات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الإجازات'!$D$5:$D$104&lt;=AI$3)*(('حجز الإجازات'!$E$5:$E$104)&gt;=AI$3)*('حجز الإجازات'!$G$5:$G$104="معتمد")*ROW('حجز الإجازات'!$B$5:$B$104)))-5+1))</f>
        <v/>
      </c>
      <c r="AJ9" s="62">
        <f>IF(SUMPRODUCT(('حجز الإجازات'!$B$5:$B$104='الموظفون'!$B$7)*('حجز الإجازات'!$D$5:$D$104&lt;=AJ$3)*(('حجز الإجازات'!$E$5:$E$104)&gt;=AJ$3)*('حجز الإجازات'!$G$5:$G$104="معتمد")*ROW('حجز الإجازات'!$B$5:$B$104))=0,IF(AJ$3&lt;'الموظفون'!$D$7,"",IF(ISNUMBER(MATCH(AJ$3,Holidays,0)),"عطلة",IF(MOD(AJ$3-'الموظفون'!$D$7,CycleWork+CycleRest)&lt;CycleWork,INDEX('الإعدادات والقوائم'!$H$2:$H$4,MOD(INT(MOD(AJ$3-'الموظفون'!$D$7,CycleWork+CycleRest)*3/CycleWork)+MATCH(StartShift,'الإعدادات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الإجازات'!$D$5:$D$104&lt;=AJ$3)*(('حجز الإجازات'!$E$5:$E$104)&gt;=AJ$3)*('حجز الإجازات'!$G$5:$G$104="معتمد")*ROW('حجز الإجازات'!$B$5:$B$104)))-5+1))</f>
        <v/>
      </c>
      <c r="AK9" s="62">
        <f>IF(SUMPRODUCT(('حجز الإجازات'!$B$5:$B$104='الموظفون'!$B$7)*('حجز الإجازات'!$D$5:$D$104&lt;=AK$3)*(('حجز الإجازات'!$E$5:$E$104)&gt;=AK$3)*('حجز الإجازات'!$G$5:$G$104="معتمد")*ROW('حجز الإجازات'!$B$5:$B$104))=0,IF(AK$3&lt;'الموظفون'!$D$7,"",IF(ISNUMBER(MATCH(AK$3,Holidays,0)),"عطلة",IF(MOD(AK$3-'الموظفون'!$D$7,CycleWork+CycleRest)&lt;CycleWork,INDEX('الإعدادات والقوائم'!$H$2:$H$4,MOD(INT(MOD(AK$3-'الموظفون'!$D$7,CycleWork+CycleRest)*3/CycleWork)+MATCH(StartShift,'الإعدادات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الإجازات'!$D$5:$D$104&lt;=AK$3)*(('حجز الإجازات'!$E$5:$E$104)&gt;=AK$3)*('حجز الإجازات'!$G$5:$G$104="معتمد")*ROW('حجز الإجازات'!$B$5:$B$104)))-5+1))</f>
        <v/>
      </c>
      <c r="AL9" s="62">
        <f>IF(SUMPRODUCT(('حجز الإجازات'!$B$5:$B$104='الموظفون'!$B$7)*('حجز الإجازات'!$D$5:$D$104&lt;=AL$3)*(('حجز الإجازات'!$E$5:$E$104)&gt;=AL$3)*('حجز الإجازات'!$G$5:$G$104="معتمد")*ROW('حجز الإجازات'!$B$5:$B$104))=0,IF(AL$3&lt;'الموظفون'!$D$7,"",IF(ISNUMBER(MATCH(AL$3,Holidays,0)),"عطلة",IF(MOD(AL$3-'الموظفون'!$D$7,CycleWork+CycleRest)&lt;CycleWork,INDEX('الإعدادات والقوائم'!$H$2:$H$4,MOD(INT(MOD(AL$3-'الموظفون'!$D$7,CycleWork+CycleRest)*3/CycleWork)+MATCH(StartShift,'الإعدادات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الإجازات'!$D$5:$D$104&lt;=AL$3)*(('حجز الإجازات'!$E$5:$E$104)&gt;=AL$3)*('حجز الإجازات'!$G$5:$G$104="معتمد")*ROW('حجز الإجازات'!$B$5:$B$104)))-5+1))</f>
        <v/>
      </c>
      <c r="AM9" s="62">
        <f>IF(SUMPRODUCT(('حجز الإجازات'!$B$5:$B$104='الموظفون'!$B$7)*('حجز الإجازات'!$D$5:$D$104&lt;=AM$3)*(('حجز الإجازات'!$E$5:$E$104)&gt;=AM$3)*('حجز الإجازات'!$G$5:$G$104="معتمد")*ROW('حجز الإجازات'!$B$5:$B$104))=0,IF(AM$3&lt;'الموظفون'!$D$7,"",IF(ISNUMBER(MATCH(AM$3,Holidays,0)),"عطلة",IF(MOD(AM$3-'الموظفون'!$D$7,CycleWork+CycleRest)&lt;CycleWork,INDEX('الإعدادات والقوائم'!$H$2:$H$4,MOD(INT(MOD(AM$3-'الموظفون'!$D$7,CycleWork+CycleRest)*3/CycleWork)+MATCH(StartShift,'الإعدادات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الإجازات'!$D$5:$D$104&lt;=AM$3)*(('حجز الإجازات'!$E$5:$E$104)&gt;=AM$3)*('حجز الإجازات'!$G$5:$G$104="معتمد")*ROW('حجز الإجازات'!$B$5:$B$104)))-5+1))</f>
        <v/>
      </c>
      <c r="AN9" s="62">
        <f>IF(SUMPRODUCT(('حجز الإجازات'!$B$5:$B$104='الموظفون'!$B$7)*('حجز الإجازات'!$D$5:$D$104&lt;=AN$3)*(('حجز الإجازات'!$E$5:$E$104)&gt;=AN$3)*('حجز الإجازات'!$G$5:$G$104="معتمد")*ROW('حجز الإجازات'!$B$5:$B$104))=0,IF(AN$3&lt;'الموظفون'!$D$7,"",IF(ISNUMBER(MATCH(AN$3,Holidays,0)),"عطلة",IF(MOD(AN$3-'الموظفون'!$D$7,CycleWork+CycleRest)&lt;CycleWork,INDEX('الإعدادات والقوائم'!$H$2:$H$4,MOD(INT(MOD(AN$3-'الموظفون'!$D$7,CycleWork+CycleRest)*3/CycleWork)+MATCH(StartShift,'الإعدادات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الإجازات'!$D$5:$D$104&lt;=AN$3)*(('حجز الإجازات'!$E$5:$E$104)&gt;=AN$3)*('حجز الإجازات'!$G$5:$G$104="معتمد")*ROW('حجز الإجازات'!$B$5:$B$104)))-5+1))</f>
        <v/>
      </c>
      <c r="AO9" s="62">
        <f>IF(SUMPRODUCT(('حجز الإجازات'!$B$5:$B$104='الموظفون'!$B$7)*('حجز الإجازات'!$D$5:$D$104&lt;=AO$3)*(('حجز الإجازات'!$E$5:$E$104)&gt;=AO$3)*('حجز الإجازات'!$G$5:$G$104="معتمد")*ROW('حجز الإجازات'!$B$5:$B$104))=0,IF(AO$3&lt;'الموظفون'!$D$7,"",IF(ISNUMBER(MATCH(AO$3,Holidays,0)),"عطلة",IF(MOD(AO$3-'الموظفون'!$D$7,CycleWork+CycleRest)&lt;CycleWork,INDEX('الإعدادات والقوائم'!$H$2:$H$4,MOD(INT(MOD(AO$3-'الموظفون'!$D$7,CycleWork+CycleRest)*3/CycleWork)+MATCH(StartShift,'الإعدادات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الإجازات'!$D$5:$D$104&lt;=AO$3)*(('حجز الإجازات'!$E$5:$E$104)&gt;=AO$3)*('حجز الإجازات'!$G$5:$G$104="معتمد")*ROW('حجز الإجازات'!$B$5:$B$104)))-5+1))</f>
        <v/>
      </c>
      <c r="AP9" s="62">
        <f>IF(SUMPRODUCT(('حجز الإجازات'!$B$5:$B$104='الموظفون'!$B$7)*('حجز الإجازات'!$D$5:$D$104&lt;=AP$3)*(('حجز الإجازات'!$E$5:$E$104)&gt;=AP$3)*('حجز الإجازات'!$G$5:$G$104="معتمد")*ROW('حجز الإجازات'!$B$5:$B$104))=0,IF(AP$3&lt;'الموظفون'!$D$7,"",IF(ISNUMBER(MATCH(AP$3,Holidays,0)),"عطلة",IF(MOD(AP$3-'الموظفون'!$D$7,CycleWork+CycleRest)&lt;CycleWork,INDEX('الإعدادات والقوائم'!$H$2:$H$4,MOD(INT(MOD(AP$3-'الموظفون'!$D$7,CycleWork+CycleRest)*3/CycleWork)+MATCH(StartShift,'الإعدادات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الإجازات'!$D$5:$D$104&lt;=AP$3)*(('حجز الإجازات'!$E$5:$E$104)&gt;=AP$3)*('حجز الإجازات'!$G$5:$G$104="معتمد")*ROW('حجز الإجازات'!$B$5:$B$104)))-5+1))</f>
        <v/>
      </c>
      <c r="AQ9" s="62">
        <f>IF(SUMPRODUCT(('حجز الإجازات'!$B$5:$B$104='الموظفون'!$B$7)*('حجز الإجازات'!$D$5:$D$104&lt;=AQ$3)*(('حجز الإجازات'!$E$5:$E$104)&gt;=AQ$3)*('حجز الإجازات'!$G$5:$G$104="معتمد")*ROW('حجز الإجازات'!$B$5:$B$104))=0,IF(AQ$3&lt;'الموظفون'!$D$7,"",IF(ISNUMBER(MATCH(AQ$3,Holidays,0)),"عطلة",IF(MOD(AQ$3-'الموظفون'!$D$7,CycleWork+CycleRest)&lt;CycleWork,INDEX('الإعدادات والقوائم'!$H$2:$H$4,MOD(INT(MOD(AQ$3-'الموظفون'!$D$7,CycleWork+CycleRest)*3/CycleWork)+MATCH(StartShift,'الإعدادات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الإجازات'!$D$5:$D$104&lt;=AQ$3)*(('حجز الإجازات'!$E$5:$E$104)&gt;=AQ$3)*('حجز الإجازات'!$G$5:$G$104="معتمد")*ROW('حجز الإجازات'!$B$5:$B$104)))-5+1))</f>
        <v/>
      </c>
      <c r="AR9" s="62">
        <f>IF(SUMPRODUCT(('حجز الإجازات'!$B$5:$B$104='الموظفون'!$B$7)*('حجز الإجازات'!$D$5:$D$104&lt;=AR$3)*(('حجز الإجازات'!$E$5:$E$104)&gt;=AR$3)*('حجز الإجازات'!$G$5:$G$104="معتمد")*ROW('حجز الإجازات'!$B$5:$B$104))=0,IF(AR$3&lt;'الموظفون'!$D$7,"",IF(ISNUMBER(MATCH(AR$3,Holidays,0)),"عطلة",IF(MOD(AR$3-'الموظفون'!$D$7,CycleWork+CycleRest)&lt;CycleWork,INDEX('الإعدادات والقوائم'!$H$2:$H$4,MOD(INT(MOD(AR$3-'الموظفون'!$D$7,CycleWork+CycleRest)*3/CycleWork)+MATCH(StartShift,'الإعدادات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الإجازات'!$D$5:$D$104&lt;=AR$3)*(('حجز الإجازات'!$E$5:$E$104)&gt;=AR$3)*('حجز الإجازات'!$G$5:$G$104="معتمد")*ROW('حجز الإجازات'!$B$5:$B$104)))-5+1))</f>
        <v/>
      </c>
      <c r="AS9" s="62">
        <f>IF(SUMPRODUCT(('حجز الإجازات'!$B$5:$B$104='الموظفون'!$B$7)*('حجز الإجازات'!$D$5:$D$104&lt;=AS$3)*(('حجز الإجازات'!$E$5:$E$104)&gt;=AS$3)*('حجز الإجازات'!$G$5:$G$104="معتمد")*ROW('حجز الإجازات'!$B$5:$B$104))=0,IF(AS$3&lt;'الموظفون'!$D$7,"",IF(ISNUMBER(MATCH(AS$3,Holidays,0)),"عطلة",IF(MOD(AS$3-'الموظفون'!$D$7,CycleWork+CycleRest)&lt;CycleWork,INDEX('الإعدادات والقوائم'!$H$2:$H$4,MOD(INT(MOD(AS$3-'الموظفون'!$D$7,CycleWork+CycleRest)*3/CycleWork)+MATCH(StartShift,'الإعدادات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الإجازات'!$D$5:$D$104&lt;=AS$3)*(('حجز الإجازات'!$E$5:$E$104)&gt;=AS$3)*('حجز الإجازات'!$G$5:$G$104="معتمد")*ROW('حجز الإجازات'!$B$5:$B$104)))-5+1))</f>
        <v/>
      </c>
      <c r="AT9" s="62">
        <f>IF(SUMPRODUCT(('حجز الإجازات'!$B$5:$B$104='الموظفون'!$B$7)*('حجز الإجازات'!$D$5:$D$104&lt;=AT$3)*(('حجز الإجازات'!$E$5:$E$104)&gt;=AT$3)*('حجز الإجازات'!$G$5:$G$104="معتمد")*ROW('حجز الإجازات'!$B$5:$B$104))=0,IF(AT$3&lt;'الموظفون'!$D$7,"",IF(ISNUMBER(MATCH(AT$3,Holidays,0)),"عطلة",IF(MOD(AT$3-'الموظفون'!$D$7,CycleWork+CycleRest)&lt;CycleWork,INDEX('الإعدادات والقوائم'!$H$2:$H$4,MOD(INT(MOD(AT$3-'الموظفون'!$D$7,CycleWork+CycleRest)*3/CycleWork)+MATCH(StartShift,'الإعدادات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الإجازات'!$D$5:$D$104&lt;=AT$3)*(('حجز الإجازات'!$E$5:$E$104)&gt;=AT$3)*('حجز الإجازات'!$G$5:$G$104="معتمد")*ROW('حجز الإجازات'!$B$5:$B$104)))-5+1))</f>
        <v/>
      </c>
      <c r="AU9" s="62">
        <f>IF(SUMPRODUCT(('حجز الإجازات'!$B$5:$B$104='الموظفون'!$B$7)*('حجز الإجازات'!$D$5:$D$104&lt;=AU$3)*(('حجز الإجازات'!$E$5:$E$104)&gt;=AU$3)*('حجز الإجازات'!$G$5:$G$104="معتمد")*ROW('حجز الإجازات'!$B$5:$B$104))=0,IF(AU$3&lt;'الموظفون'!$D$7,"",IF(ISNUMBER(MATCH(AU$3,Holidays,0)),"عطلة",IF(MOD(AU$3-'الموظفون'!$D$7,CycleWork+CycleRest)&lt;CycleWork,INDEX('الإعدادات والقوائم'!$H$2:$H$4,MOD(INT(MOD(AU$3-'الموظفون'!$D$7,CycleWork+CycleRest)*3/CycleWork)+MATCH(StartShift,'الإعدادات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الإجازات'!$D$5:$D$104&lt;=AU$3)*(('حجز الإجازات'!$E$5:$E$104)&gt;=AU$3)*('حجز الإجازات'!$G$5:$G$104="معتمد")*ROW('حجز الإجازات'!$B$5:$B$104)))-5+1))</f>
        <v/>
      </c>
      <c r="AV9" s="62">
        <f>IF(SUMPRODUCT(('حجز الإجازات'!$B$5:$B$104='الموظفون'!$B$7)*('حجز الإجازات'!$D$5:$D$104&lt;=AV$3)*(('حجز الإجازات'!$E$5:$E$104)&gt;=AV$3)*('حجز الإجازات'!$G$5:$G$104="معتمد")*ROW('حجز الإجازات'!$B$5:$B$104))=0,IF(AV$3&lt;'الموظفون'!$D$7,"",IF(ISNUMBER(MATCH(AV$3,Holidays,0)),"عطلة",IF(MOD(AV$3-'الموظفون'!$D$7,CycleWork+CycleRest)&lt;CycleWork,INDEX('الإعدادات والقوائم'!$H$2:$H$4,MOD(INT(MOD(AV$3-'الموظفون'!$D$7,CycleWork+CycleRest)*3/CycleWork)+MATCH(StartShift,'الإعدادات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الإجازات'!$D$5:$D$104&lt;=AV$3)*(('حجز الإجازات'!$E$5:$E$104)&gt;=AV$3)*('حجز الإجازات'!$G$5:$G$104="معتمد")*ROW('حجز الإجازات'!$B$5:$B$104)))-5+1))</f>
        <v/>
      </c>
      <c r="AW9" s="62">
        <f>IF(SUMPRODUCT(('حجز الإجازات'!$B$5:$B$104='الموظفون'!$B$7)*('حجز الإجازات'!$D$5:$D$104&lt;=AW$3)*(('حجز الإجازات'!$E$5:$E$104)&gt;=AW$3)*('حجز الإجازات'!$G$5:$G$104="معتمد")*ROW('حجز الإجازات'!$B$5:$B$104))=0,IF(AW$3&lt;'الموظفون'!$D$7,"",IF(ISNUMBER(MATCH(AW$3,Holidays,0)),"عطلة",IF(MOD(AW$3-'الموظفون'!$D$7,CycleWork+CycleRest)&lt;CycleWork,INDEX('الإعدادات والقوائم'!$H$2:$H$4,MOD(INT(MOD(AW$3-'الموظفون'!$D$7,CycleWork+CycleRest)*3/CycleWork)+MATCH(StartShift,'الإعدادات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الإجازات'!$D$5:$D$104&lt;=AW$3)*(('حجز الإجازات'!$E$5:$E$104)&gt;=AW$3)*('حجز الإجازات'!$G$5:$G$104="معتمد")*ROW('حجز الإجازات'!$B$5:$B$104)))-5+1))</f>
        <v/>
      </c>
      <c r="AX9" s="62">
        <f>IF(SUMPRODUCT(('حجز الإجازات'!$B$5:$B$104='الموظفون'!$B$7)*('حجز الإجازات'!$D$5:$D$104&lt;=AX$3)*(('حجز الإجازات'!$E$5:$E$104)&gt;=AX$3)*('حجز الإجازات'!$G$5:$G$104="معتمد")*ROW('حجز الإجازات'!$B$5:$B$104))=0,IF(AX$3&lt;'الموظفون'!$D$7,"",IF(ISNUMBER(MATCH(AX$3,Holidays,0)),"عطلة",IF(MOD(AX$3-'الموظفون'!$D$7,CycleWork+CycleRest)&lt;CycleWork,INDEX('الإعدادات والقوائم'!$H$2:$H$4,MOD(INT(MOD(AX$3-'الموظفون'!$D$7,CycleWork+CycleRest)*3/CycleWork)+MATCH(StartShift,'الإعدادات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الإجازات'!$D$5:$D$104&lt;=AX$3)*(('حجز الإجازات'!$E$5:$E$104)&gt;=AX$3)*('حجز الإجازات'!$G$5:$G$104="معتمد")*ROW('حجز الإجازات'!$B$5:$B$104)))-5+1))</f>
        <v/>
      </c>
      <c r="AY9" s="62">
        <f>IF(SUMPRODUCT(('حجز الإجازات'!$B$5:$B$104='الموظفون'!$B$7)*('حجز الإجازات'!$D$5:$D$104&lt;=AY$3)*(('حجز الإجازات'!$E$5:$E$104)&gt;=AY$3)*('حجز الإجازات'!$G$5:$G$104="معتمد")*ROW('حجز الإجازات'!$B$5:$B$104))=0,IF(AY$3&lt;'الموظفون'!$D$7,"",IF(ISNUMBER(MATCH(AY$3,Holidays,0)),"عطلة",IF(MOD(AY$3-'الموظفون'!$D$7,CycleWork+CycleRest)&lt;CycleWork,INDEX('الإعدادات والقوائم'!$H$2:$H$4,MOD(INT(MOD(AY$3-'الموظفون'!$D$7,CycleWork+CycleRest)*3/CycleWork)+MATCH(StartShift,'الإعدادات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الإجازات'!$D$5:$D$104&lt;=AY$3)*(('حجز الإجازات'!$E$5:$E$104)&gt;=AY$3)*('حجز الإجازات'!$G$5:$G$104="معتمد")*ROW('حجز الإجازات'!$B$5:$B$104)))-5+1))</f>
        <v/>
      </c>
      <c r="AZ9" s="62">
        <f>IF(SUMPRODUCT(('حجز الإجازات'!$B$5:$B$104='الموظفون'!$B$7)*('حجز الإجازات'!$D$5:$D$104&lt;=AZ$3)*(('حجز الإجازات'!$E$5:$E$104)&gt;=AZ$3)*('حجز الإجازات'!$G$5:$G$104="معتمد")*ROW('حجز الإجازات'!$B$5:$B$104))=0,IF(AZ$3&lt;'الموظفون'!$D$7,"",IF(ISNUMBER(MATCH(AZ$3,Holidays,0)),"عطلة",IF(MOD(AZ$3-'الموظفون'!$D$7,CycleWork+CycleRest)&lt;CycleWork,INDEX('الإعدادات والقوائم'!$H$2:$H$4,MOD(INT(MOD(AZ$3-'الموظفون'!$D$7,CycleWork+CycleRest)*3/CycleWork)+MATCH(StartShift,'الإعدادات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الإجازات'!$D$5:$D$104&lt;=AZ$3)*(('حجز الإجازات'!$E$5:$E$104)&gt;=AZ$3)*('حجز الإجازات'!$G$5:$G$104="معتمد")*ROW('حجز الإجازات'!$B$5:$B$104)))-5+1))</f>
        <v/>
      </c>
      <c r="BA9" s="62">
        <f>IF(SUMPRODUCT(('حجز الإجازات'!$B$5:$B$104='الموظفون'!$B$7)*('حجز الإجازات'!$D$5:$D$104&lt;=BA$3)*(('حجز الإجازات'!$E$5:$E$104)&gt;=BA$3)*('حجز الإجازات'!$G$5:$G$104="معتمد")*ROW('حجز الإجازات'!$B$5:$B$104))=0,IF(BA$3&lt;'الموظفون'!$D$7,"",IF(ISNUMBER(MATCH(BA$3,Holidays,0)),"عطلة",IF(MOD(BA$3-'الموظفون'!$D$7,CycleWork+CycleRest)&lt;CycleWork,INDEX('الإعدادات والقوائم'!$H$2:$H$4,MOD(INT(MOD(BA$3-'الموظفون'!$D$7,CycleWork+CycleRest)*3/CycleWork)+MATCH(StartShift,'الإعدادات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الإجازات'!$D$5:$D$104&lt;=BA$3)*(('حجز الإجازات'!$E$5:$E$104)&gt;=BA$3)*('حجز الإجازات'!$G$5:$G$104="معتمد")*ROW('حجز الإجازات'!$B$5:$B$104)))-5+1))</f>
        <v/>
      </c>
      <c r="BB9" s="62">
        <f>IF(SUMPRODUCT(('حجز الإجازات'!$B$5:$B$104='الموظفون'!$B$7)*('حجز الإجازات'!$D$5:$D$104&lt;=BB$3)*(('حجز الإجازات'!$E$5:$E$104)&gt;=BB$3)*('حجز الإجازات'!$G$5:$G$104="معتمد")*ROW('حجز الإجازات'!$B$5:$B$104))=0,IF(BB$3&lt;'الموظفون'!$D$7,"",IF(ISNUMBER(MATCH(BB$3,Holidays,0)),"عطلة",IF(MOD(BB$3-'الموظفون'!$D$7,CycleWork+CycleRest)&lt;CycleWork,INDEX('الإعدادات والقوائم'!$H$2:$H$4,MOD(INT(MOD(BB$3-'الموظفون'!$D$7,CycleWork+CycleRest)*3/CycleWork)+MATCH(StartShift,'الإعدادات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الإجازات'!$D$5:$D$104&lt;=BB$3)*(('حجز الإجازات'!$E$5:$E$104)&gt;=BB$3)*('حجز الإجازات'!$G$5:$G$104="معتمد")*ROW('حجز الإجازات'!$B$5:$B$104)))-5+1))</f>
        <v/>
      </c>
      <c r="BC9" s="62">
        <f>IF(SUMPRODUCT(('حجز الإجازات'!$B$5:$B$104='الموظفون'!$B$7)*('حجز الإجازات'!$D$5:$D$104&lt;=BC$3)*(('حجز الإجازات'!$E$5:$E$104)&gt;=BC$3)*('حجز الإجازات'!$G$5:$G$104="معتمد")*ROW('حجز الإجازات'!$B$5:$B$104))=0,IF(BC$3&lt;'الموظفون'!$D$7,"",IF(ISNUMBER(MATCH(BC$3,Holidays,0)),"عطلة",IF(MOD(BC$3-'الموظفون'!$D$7,CycleWork+CycleRest)&lt;CycleWork,INDEX('الإعدادات والقوائم'!$H$2:$H$4,MOD(INT(MOD(BC$3-'الموظفون'!$D$7,CycleWork+CycleRest)*3/CycleWork)+MATCH(StartShift,'الإعدادات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الإجازات'!$D$5:$D$104&lt;=BC$3)*(('حجز الإجازات'!$E$5:$E$104)&gt;=BC$3)*('حجز الإجازات'!$G$5:$G$104="معتمد")*ROW('حجز الإجازات'!$B$5:$B$104)))-5+1))</f>
        <v/>
      </c>
      <c r="BD9" s="62">
        <f>IF(SUMPRODUCT(('حجز الإجازات'!$B$5:$B$104='الموظفون'!$B$7)*('حجز الإجازات'!$D$5:$D$104&lt;=BD$3)*(('حجز الإجازات'!$E$5:$E$104)&gt;=BD$3)*('حجز الإجازات'!$G$5:$G$104="معتمد")*ROW('حجز الإجازات'!$B$5:$B$104))=0,IF(BD$3&lt;'الموظفون'!$D$7,"",IF(ISNUMBER(MATCH(BD$3,Holidays,0)),"عطلة",IF(MOD(BD$3-'الموظفون'!$D$7,CycleWork+CycleRest)&lt;CycleWork,INDEX('الإعدادات والقوائم'!$H$2:$H$4,MOD(INT(MOD(BD$3-'الموظفون'!$D$7,CycleWork+CycleRest)*3/CycleWork)+MATCH(StartShift,'الإعدادات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الإجازات'!$D$5:$D$104&lt;=BD$3)*(('حجز الإجازات'!$E$5:$E$104)&gt;=BD$3)*('حجز الإجازات'!$G$5:$G$104="معتمد")*ROW('حجز الإجازات'!$B$5:$B$104)))-5+1))</f>
        <v/>
      </c>
      <c r="BE9" s="62">
        <f>IF(SUMPRODUCT(('حجز الإجازات'!$B$5:$B$104='الموظفون'!$B$7)*('حجز الإجازات'!$D$5:$D$104&lt;=BE$3)*(('حجز الإجازات'!$E$5:$E$104)&gt;=BE$3)*('حجز الإجازات'!$G$5:$G$104="معتمد")*ROW('حجز الإجازات'!$B$5:$B$104))=0,IF(BE$3&lt;'الموظفون'!$D$7,"",IF(ISNUMBER(MATCH(BE$3,Holidays,0)),"عطلة",IF(MOD(BE$3-'الموظفون'!$D$7,CycleWork+CycleRest)&lt;CycleWork,INDEX('الإعدادات والقوائم'!$H$2:$H$4,MOD(INT(MOD(BE$3-'الموظفون'!$D$7,CycleWork+CycleRest)*3/CycleWork)+MATCH(StartShift,'الإعدادات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الإجازات'!$D$5:$D$104&lt;=BE$3)*(('حجز الإجازات'!$E$5:$E$104)&gt;=BE$3)*('حجز الإجازات'!$G$5:$G$104="معتمد")*ROW('حجز الإجازات'!$B$5:$B$104)))-5+1))</f>
        <v/>
      </c>
      <c r="BF9" s="62">
        <f>IF(SUMPRODUCT(('حجز الإجازات'!$B$5:$B$104='الموظفون'!$B$7)*('حجز الإجازات'!$D$5:$D$104&lt;=BF$3)*(('حجز الإجازات'!$E$5:$E$104)&gt;=BF$3)*('حجز الإجازات'!$G$5:$G$104="معتمد")*ROW('حجز الإجازات'!$B$5:$B$104))=0,IF(BF$3&lt;'الموظفون'!$D$7,"",IF(ISNUMBER(MATCH(BF$3,Holidays,0)),"عطلة",IF(MOD(BF$3-'الموظفون'!$D$7,CycleWork+CycleRest)&lt;CycleWork,INDEX('الإعدادات والقوائم'!$H$2:$H$4,MOD(INT(MOD(BF$3-'الموظفون'!$D$7,CycleWork+CycleRest)*3/CycleWork)+MATCH(StartShift,'الإعدادات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الإجازات'!$D$5:$D$104&lt;=BF$3)*(('حجز الإجازات'!$E$5:$E$104)&gt;=BF$3)*('حجز الإجازات'!$G$5:$G$104="معتمد")*ROW('حجز الإجازات'!$B$5:$B$104)))-5+1))</f>
        <v/>
      </c>
      <c r="BG9" s="62">
        <f>IF(SUMPRODUCT(('حجز الإجازات'!$B$5:$B$104='الموظفون'!$B$7)*('حجز الإجازات'!$D$5:$D$104&lt;=BG$3)*(('حجز الإجازات'!$E$5:$E$104)&gt;=BG$3)*('حجز الإجازات'!$G$5:$G$104="معتمد")*ROW('حجز الإجازات'!$B$5:$B$104))=0,IF(BG$3&lt;'الموظفون'!$D$7,"",IF(ISNUMBER(MATCH(BG$3,Holidays,0)),"عطلة",IF(MOD(BG$3-'الموظفون'!$D$7,CycleWork+CycleRest)&lt;CycleWork,INDEX('الإعدادات والقوائم'!$H$2:$H$4,MOD(INT(MOD(BG$3-'الموظفون'!$D$7,CycleWork+CycleRest)*3/CycleWork)+MATCH(StartShift,'الإعدادات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الإجازات'!$D$5:$D$104&lt;=BG$3)*(('حجز الإجازات'!$E$5:$E$104)&gt;=BG$3)*('حجز الإجازات'!$G$5:$G$104="معتمد")*ROW('حجز الإجازات'!$B$5:$B$104)))-5+1))</f>
        <v/>
      </c>
      <c r="BH9" s="62">
        <f>IF(SUMPRODUCT(('حجز الإجازات'!$B$5:$B$104='الموظفون'!$B$7)*('حجز الإجازات'!$D$5:$D$104&lt;=BH$3)*(('حجز الإجازات'!$E$5:$E$104)&gt;=BH$3)*('حجز الإجازات'!$G$5:$G$104="معتمد")*ROW('حجز الإجازات'!$B$5:$B$104))=0,IF(BH$3&lt;'الموظفون'!$D$7,"",IF(ISNUMBER(MATCH(BH$3,Holidays,0)),"عطلة",IF(MOD(BH$3-'الموظفون'!$D$7,CycleWork+CycleRest)&lt;CycleWork,INDEX('الإعدادات والقوائم'!$H$2:$H$4,MOD(INT(MOD(BH$3-'الموظفون'!$D$7,CycleWork+CycleRest)*3/CycleWork)+MATCH(StartShift,'الإعدادات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الإجازات'!$D$5:$D$104&lt;=BH$3)*(('حجز الإجازات'!$E$5:$E$104)&gt;=BH$3)*('حجز الإجازات'!$G$5:$G$104="معتمد")*ROW('حجز الإجازات'!$B$5:$B$104)))-5+1))</f>
        <v/>
      </c>
      <c r="BI9" s="62">
        <f>IF(SUMPRODUCT(('حجز الإجازات'!$B$5:$B$104='الموظفون'!$B$7)*('حجز الإجازات'!$D$5:$D$104&lt;=BI$3)*(('حجز الإجازات'!$E$5:$E$104)&gt;=BI$3)*('حجز الإجازات'!$G$5:$G$104="معتمد")*ROW('حجز الإجازات'!$B$5:$B$104))=0,IF(BI$3&lt;'الموظفون'!$D$7,"",IF(ISNUMBER(MATCH(BI$3,Holidays,0)),"عطلة",IF(MOD(BI$3-'الموظفون'!$D$7,CycleWork+CycleRest)&lt;CycleWork,INDEX('الإعدادات والقوائم'!$H$2:$H$4,MOD(INT(MOD(BI$3-'الموظفون'!$D$7,CycleWork+CycleRest)*3/CycleWork)+MATCH(StartShift,'الإعدادات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الإجازات'!$D$5:$D$104&lt;=BI$3)*(('حجز الإجازات'!$E$5:$E$104)&gt;=BI$3)*('حجز الإجازات'!$G$5:$G$104="معتمد")*ROW('حجز الإجازات'!$B$5:$B$104)))-5+1))</f>
        <v/>
      </c>
      <c r="BJ9" s="62">
        <f>IF(SUMPRODUCT(('حجز الإجازات'!$B$5:$B$104='الموظفون'!$B$7)*('حجز الإجازات'!$D$5:$D$104&lt;=BJ$3)*(('حجز الإجازات'!$E$5:$E$104)&gt;=BJ$3)*('حجز الإجازات'!$G$5:$G$104="معتمد")*ROW('حجز الإجازات'!$B$5:$B$104))=0,IF(BJ$3&lt;'الموظفون'!$D$7,"",IF(ISNUMBER(MATCH(BJ$3,Holidays,0)),"عطلة",IF(MOD(BJ$3-'الموظفون'!$D$7,CycleWork+CycleRest)&lt;CycleWork,INDEX('الإعدادات والقوائم'!$H$2:$H$4,MOD(INT(MOD(BJ$3-'الموظفون'!$D$7,CycleWork+CycleRest)*3/CycleWork)+MATCH(StartShift,'الإعدادات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الإجازات'!$D$5:$D$104&lt;=BJ$3)*(('حجز الإجازات'!$E$5:$E$104)&gt;=BJ$3)*('حجز الإجازات'!$G$5:$G$104="معتمد")*ROW('حجز الإجازات'!$B$5:$B$104)))-5+1))</f>
        <v/>
      </c>
      <c r="BK9" s="62">
        <f>IF(SUMPRODUCT(('حجز الإجازات'!$B$5:$B$104='الموظفون'!$B$7)*('حجز الإجازات'!$D$5:$D$104&lt;=BK$3)*(('حجز الإجازات'!$E$5:$E$104)&gt;=BK$3)*('حجز الإجازات'!$G$5:$G$104="معتمد")*ROW('حجز الإجازات'!$B$5:$B$104))=0,IF(BK$3&lt;'الموظفون'!$D$7,"",IF(ISNUMBER(MATCH(BK$3,Holidays,0)),"عطلة",IF(MOD(BK$3-'الموظفون'!$D$7,CycleWork+CycleRest)&lt;CycleWork,INDEX('الإعدادات والقوائم'!$H$2:$H$4,MOD(INT(MOD(BK$3-'الموظفون'!$D$7,CycleWork+CycleRest)*3/CycleWork)+MATCH(StartShift,'الإعدادات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الإجازات'!$D$5:$D$104&lt;=BK$3)*(('حجز الإجازات'!$E$5:$E$104)&gt;=BK$3)*('حجز الإجازات'!$G$5:$G$104="معتمد")*ROW('حجز الإجازات'!$B$5:$B$104)))-5+1))</f>
        <v/>
      </c>
      <c r="BL9" s="62">
        <f>IF(SUMPRODUCT(('حجز الإجازات'!$B$5:$B$104='الموظفون'!$B$7)*('حجز الإجازات'!$D$5:$D$104&lt;=BL$3)*(('حجز الإجازات'!$E$5:$E$104)&gt;=BL$3)*('حجز الإجازات'!$G$5:$G$104="معتمد")*ROW('حجز الإجازات'!$B$5:$B$104))=0,IF(BL$3&lt;'الموظفون'!$D$7,"",IF(ISNUMBER(MATCH(BL$3,Holidays,0)),"عطلة",IF(MOD(BL$3-'الموظفون'!$D$7,CycleWork+CycleRest)&lt;CycleWork,INDEX('الإعدادات والقوائم'!$H$2:$H$4,MOD(INT(MOD(BL$3-'الموظفون'!$D$7,CycleWork+CycleRest)*3/CycleWork)+MATCH(StartShift,'الإعدادات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الإجازات'!$D$5:$D$104&lt;=BL$3)*(('حجز الإجازات'!$E$5:$E$104)&gt;=BL$3)*('حجز الإجازات'!$G$5:$G$104="معتمد")*ROW('حجز الإجازات'!$B$5:$B$104)))-5+1))</f>
        <v/>
      </c>
      <c r="BM9" s="62">
        <f>IF(SUMPRODUCT(('حجز الإجازات'!$B$5:$B$104='الموظفون'!$B$7)*('حجز الإجازات'!$D$5:$D$104&lt;=BM$3)*(('حجز الإجازات'!$E$5:$E$104)&gt;=BM$3)*('حجز الإجازات'!$G$5:$G$104="معتمد")*ROW('حجز الإجازات'!$B$5:$B$104))=0,IF(BM$3&lt;'الموظفون'!$D$7,"",IF(ISNUMBER(MATCH(BM$3,Holidays,0)),"عطلة",IF(MOD(BM$3-'الموظفون'!$D$7,CycleWork+CycleRest)&lt;CycleWork,INDEX('الإعدادات والقوائم'!$H$2:$H$4,MOD(INT(MOD(BM$3-'الموظفون'!$D$7,CycleWork+CycleRest)*3/CycleWork)+MATCH(StartShift,'الإعدادات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الإجازات'!$D$5:$D$104&lt;=BM$3)*(('حجز الإجازات'!$E$5:$E$104)&gt;=BM$3)*('حجز الإجازات'!$G$5:$G$104="معتمد")*ROW('حجز الإجازات'!$B$5:$B$104)))-5+1))</f>
        <v/>
      </c>
      <c r="BN9" s="62">
        <f>IF(SUMPRODUCT(('حجز الإجازات'!$B$5:$B$104='الموظفون'!$B$7)*('حجز الإجازات'!$D$5:$D$104&lt;=BN$3)*(('حجز الإجازات'!$E$5:$E$104)&gt;=BN$3)*('حجز الإجازات'!$G$5:$G$104="معتمد")*ROW('حجز الإجازات'!$B$5:$B$104))=0,IF(BN$3&lt;'الموظفون'!$D$7,"",IF(ISNUMBER(MATCH(BN$3,Holidays,0)),"عطلة",IF(MOD(BN$3-'الموظفون'!$D$7,CycleWork+CycleRest)&lt;CycleWork,INDEX('الإعدادات والقوائم'!$H$2:$H$4,MOD(INT(MOD(BN$3-'الموظفون'!$D$7,CycleWork+CycleRest)*3/CycleWork)+MATCH(StartShift,'الإعدادات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الإجازات'!$D$5:$D$104&lt;=BN$3)*(('حجز الإجازات'!$E$5:$E$104)&gt;=BN$3)*('حجز الإجازات'!$G$5:$G$104="معتمد")*ROW('حجز الإجازات'!$B$5:$B$104)))-5+1))</f>
        <v/>
      </c>
      <c r="BO9" s="62">
        <f>IF(SUMPRODUCT(('حجز الإجازات'!$B$5:$B$104='الموظفون'!$B$7)*('حجز الإجازات'!$D$5:$D$104&lt;=BO$3)*(('حجز الإجازات'!$E$5:$E$104)&gt;=BO$3)*('حجز الإجازات'!$G$5:$G$104="معتمد")*ROW('حجز الإجازات'!$B$5:$B$104))=0,IF(BO$3&lt;'الموظفون'!$D$7,"",IF(ISNUMBER(MATCH(BO$3,Holidays,0)),"عطلة",IF(MOD(BO$3-'الموظفون'!$D$7,CycleWork+CycleRest)&lt;CycleWork,INDEX('الإعدادات والقوائم'!$H$2:$H$4,MOD(INT(MOD(BO$3-'الموظفون'!$D$7,CycleWork+CycleRest)*3/CycleWork)+MATCH(StartShift,'الإعدادات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الإجازات'!$D$5:$D$104&lt;=BO$3)*(('حجز الإجازات'!$E$5:$E$104)&gt;=BO$3)*('حجز الإجازات'!$G$5:$G$104="معتمد")*ROW('حجز الإجازات'!$B$5:$B$104)))-5+1))</f>
        <v/>
      </c>
      <c r="BP9" s="62">
        <f>IF(SUMPRODUCT(('حجز الإجازات'!$B$5:$B$104='الموظفون'!$B$7)*('حجز الإجازات'!$D$5:$D$104&lt;=BP$3)*(('حجز الإجازات'!$E$5:$E$104)&gt;=BP$3)*('حجز الإجازات'!$G$5:$G$104="معتمد")*ROW('حجز الإجازات'!$B$5:$B$104))=0,IF(BP$3&lt;'الموظفون'!$D$7,"",IF(ISNUMBER(MATCH(BP$3,Holidays,0)),"عطلة",IF(MOD(BP$3-'الموظفون'!$D$7,CycleWork+CycleRest)&lt;CycleWork,INDEX('الإعدادات والقوائم'!$H$2:$H$4,MOD(INT(MOD(BP$3-'الموظفون'!$D$7,CycleWork+CycleRest)*3/CycleWork)+MATCH(StartShift,'الإعدادات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الإجازات'!$D$5:$D$104&lt;=BP$3)*(('حجز الإجازات'!$E$5:$E$104)&gt;=BP$3)*('حجز الإجازات'!$G$5:$G$104="معتمد")*ROW('حجز الإجازات'!$B$5:$B$104)))-5+1))</f>
        <v/>
      </c>
      <c r="BQ9" s="62">
        <f>IF(SUMPRODUCT(('حجز الإجازات'!$B$5:$B$104='الموظفون'!$B$7)*('حجز الإجازات'!$D$5:$D$104&lt;=BQ$3)*(('حجز الإجازات'!$E$5:$E$104)&gt;=BQ$3)*('حجز الإجازات'!$G$5:$G$104="معتمد")*ROW('حجز الإجازات'!$B$5:$B$104))=0,IF(BQ$3&lt;'الموظفون'!$D$7,"",IF(ISNUMBER(MATCH(BQ$3,Holidays,0)),"عطلة",IF(MOD(BQ$3-'الموظفون'!$D$7,CycleWork+CycleRest)&lt;CycleWork,INDEX('الإعدادات والقوائم'!$H$2:$H$4,MOD(INT(MOD(BQ$3-'الموظفون'!$D$7,CycleWork+CycleRest)*3/CycleWork)+MATCH(StartShift,'الإعدادات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الإجازات'!$D$5:$D$104&lt;=BQ$3)*(('حجز الإجازات'!$E$5:$E$104)&gt;=BQ$3)*('حجز الإجازات'!$G$5:$G$104="معتمد")*ROW('حجز الإجازات'!$B$5:$B$104)))-5+1))</f>
        <v/>
      </c>
      <c r="BR9" s="62">
        <f>IF(SUMPRODUCT(('حجز الإجازات'!$B$5:$B$104='الموظفون'!$B$7)*('حجز الإجازات'!$D$5:$D$104&lt;=BR$3)*(('حجز الإجازات'!$E$5:$E$104)&gt;=BR$3)*('حجز الإجازات'!$G$5:$G$104="معتمد")*ROW('حجز الإجازات'!$B$5:$B$104))=0,IF(BR$3&lt;'الموظفون'!$D$7,"",IF(ISNUMBER(MATCH(BR$3,Holidays,0)),"عطلة",IF(MOD(BR$3-'الموظفون'!$D$7,CycleWork+CycleRest)&lt;CycleWork,INDEX('الإعدادات والقوائم'!$H$2:$H$4,MOD(INT(MOD(BR$3-'الموظفون'!$D$7,CycleWork+CycleRest)*3/CycleWork)+MATCH(StartShift,'الإعدادات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الإجازات'!$D$5:$D$104&lt;=BR$3)*(('حجز الإجازات'!$E$5:$E$104)&gt;=BR$3)*('حجز الإجازات'!$G$5:$G$104="معتمد")*ROW('حجز الإجازات'!$B$5:$B$104)))-5+1))</f>
        <v/>
      </c>
      <c r="BS9" s="62">
        <f>IF(SUMPRODUCT(('حجز الإجازات'!$B$5:$B$104='الموظفون'!$B$7)*('حجز الإجازات'!$D$5:$D$104&lt;=BS$3)*(('حجز الإجازات'!$E$5:$E$104)&gt;=BS$3)*('حجز الإجازات'!$G$5:$G$104="معتمد")*ROW('حجز الإجازات'!$B$5:$B$104))=0,IF(BS$3&lt;'الموظفون'!$D$7,"",IF(ISNUMBER(MATCH(BS$3,Holidays,0)),"عطلة",IF(MOD(BS$3-'الموظفون'!$D$7,CycleWork+CycleRest)&lt;CycleWork,INDEX('الإعدادات والقوائم'!$H$2:$H$4,MOD(INT(MOD(BS$3-'الموظفون'!$D$7,CycleWork+CycleRest)*3/CycleWork)+MATCH(StartShift,'الإعدادات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الإجازات'!$D$5:$D$104&lt;=BS$3)*(('حجز الإجازات'!$E$5:$E$104)&gt;=BS$3)*('حجز الإجازات'!$G$5:$G$104="معتمد")*ROW('حجز الإجازات'!$B$5:$B$104)))-5+1))</f>
        <v/>
      </c>
      <c r="BT9" s="62">
        <f>IF(SUMPRODUCT(('حجز الإجازات'!$B$5:$B$104='الموظفون'!$B$7)*('حجز الإجازات'!$D$5:$D$104&lt;=BT$3)*(('حجز الإجازات'!$E$5:$E$104)&gt;=BT$3)*('حجز الإجازات'!$G$5:$G$104="معتمد")*ROW('حجز الإجازات'!$B$5:$B$104))=0,IF(BT$3&lt;'الموظفون'!$D$7,"",IF(ISNUMBER(MATCH(BT$3,Holidays,0)),"عطلة",IF(MOD(BT$3-'الموظفون'!$D$7,CycleWork+CycleRest)&lt;CycleWork,INDEX('الإعدادات والقوائم'!$H$2:$H$4,MOD(INT(MOD(BT$3-'الموظفون'!$D$7,CycleWork+CycleRest)*3/CycleWork)+MATCH(StartShift,'الإعدادات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الإجازات'!$D$5:$D$104&lt;=BT$3)*(('حجز الإجازات'!$E$5:$E$104)&gt;=BT$3)*('حجز الإجازات'!$G$5:$G$104="معتمد")*ROW('حجز الإجازات'!$B$5:$B$104)))-5+1))</f>
        <v/>
      </c>
      <c r="BU9" s="62">
        <f>IF(SUMPRODUCT(('حجز الإجازات'!$B$5:$B$104='الموظفون'!$B$7)*('حجز الإجازات'!$D$5:$D$104&lt;=BU$3)*(('حجز الإجازات'!$E$5:$E$104)&gt;=BU$3)*('حجز الإجازات'!$G$5:$G$104="معتمد")*ROW('حجز الإجازات'!$B$5:$B$104))=0,IF(BU$3&lt;'الموظفون'!$D$7,"",IF(ISNUMBER(MATCH(BU$3,Holidays,0)),"عطلة",IF(MOD(BU$3-'الموظفون'!$D$7,CycleWork+CycleRest)&lt;CycleWork,INDEX('الإعدادات والقوائم'!$H$2:$H$4,MOD(INT(MOD(BU$3-'الموظفون'!$D$7,CycleWork+CycleRest)*3/CycleWork)+MATCH(StartShift,'الإعدادات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الإجازات'!$D$5:$D$104&lt;=BU$3)*(('حجز الإجازات'!$E$5:$E$104)&gt;=BU$3)*('حجز الإجازات'!$G$5:$G$104="معتمد")*ROW('حجز الإجازات'!$B$5:$B$104)))-5+1))</f>
        <v/>
      </c>
      <c r="BV9" s="62">
        <f>IF(SUMPRODUCT(('حجز الإجازات'!$B$5:$B$104='الموظفون'!$B$7)*('حجز الإجازات'!$D$5:$D$104&lt;=BV$3)*(('حجز الإجازات'!$E$5:$E$104)&gt;=BV$3)*('حجز الإجازات'!$G$5:$G$104="معتمد")*ROW('حجز الإجازات'!$B$5:$B$104))=0,IF(BV$3&lt;'الموظفون'!$D$7,"",IF(ISNUMBER(MATCH(BV$3,Holidays,0)),"عطلة",IF(MOD(BV$3-'الموظفون'!$D$7,CycleWork+CycleRest)&lt;CycleWork,INDEX('الإعدادات والقوائم'!$H$2:$H$4,MOD(INT(MOD(BV$3-'الموظفون'!$D$7,CycleWork+CycleRest)*3/CycleWork)+MATCH(StartShift,'الإعدادات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الإجازات'!$D$5:$D$104&lt;=BV$3)*(('حجز الإجازات'!$E$5:$E$104)&gt;=BV$3)*('حجز الإجازات'!$G$5:$G$104="معتمد")*ROW('حجز الإجازات'!$B$5:$B$104)))-5+1))</f>
        <v/>
      </c>
      <c r="BW9" s="62">
        <f>IF(SUMPRODUCT(('حجز الإجازات'!$B$5:$B$104='الموظفون'!$B$7)*('حجز الإجازات'!$D$5:$D$104&lt;=BW$3)*(('حجز الإجازات'!$E$5:$E$104)&gt;=BW$3)*('حجز الإجازات'!$G$5:$G$104="معتمد")*ROW('حجز الإجازات'!$B$5:$B$104))=0,IF(BW$3&lt;'الموظفون'!$D$7,"",IF(ISNUMBER(MATCH(BW$3,Holidays,0)),"عطلة",IF(MOD(BW$3-'الموظفون'!$D$7,CycleWork+CycleRest)&lt;CycleWork,INDEX('الإعدادات والقوائم'!$H$2:$H$4,MOD(INT(MOD(BW$3-'الموظفون'!$D$7,CycleWork+CycleRest)*3/CycleWork)+MATCH(StartShift,'الإعدادات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الإجازات'!$D$5:$D$104&lt;=BW$3)*(('حجز الإجازات'!$E$5:$E$104)&gt;=BW$3)*('حجز الإجازات'!$G$5:$G$104="معتمد")*ROW('حجز الإجازات'!$B$5:$B$104)))-5+1))</f>
        <v/>
      </c>
      <c r="BX9" s="62">
        <f>IF(SUMPRODUCT(('حجز الإجازات'!$B$5:$B$104='الموظفون'!$B$7)*('حجز الإجازات'!$D$5:$D$104&lt;=BX$3)*(('حجز الإجازات'!$E$5:$E$104)&gt;=BX$3)*('حجز الإجازات'!$G$5:$G$104="معتمد")*ROW('حجز الإجازات'!$B$5:$B$104))=0,IF(BX$3&lt;'الموظفون'!$D$7,"",IF(ISNUMBER(MATCH(BX$3,Holidays,0)),"عطلة",IF(MOD(BX$3-'الموظفون'!$D$7,CycleWork+CycleRest)&lt;CycleWork,INDEX('الإعدادات والقوائم'!$H$2:$H$4,MOD(INT(MOD(BX$3-'الموظفون'!$D$7,CycleWork+CycleRest)*3/CycleWork)+MATCH(StartShift,'الإعدادات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الإجازات'!$D$5:$D$104&lt;=BX$3)*(('حجز الإجازات'!$E$5:$E$104)&gt;=BX$3)*('حجز الإجازات'!$G$5:$G$104="معتمد")*ROW('حجز الإجازات'!$B$5:$B$104)))-5+1))</f>
        <v/>
      </c>
      <c r="BY9" s="62">
        <f>IF(SUMPRODUCT(('حجز الإجازات'!$B$5:$B$104='الموظفون'!$B$7)*('حجز الإجازات'!$D$5:$D$104&lt;=BY$3)*(('حجز الإجازات'!$E$5:$E$104)&gt;=BY$3)*('حجز الإجازات'!$G$5:$G$104="معتمد")*ROW('حجز الإجازات'!$B$5:$B$104))=0,IF(BY$3&lt;'الموظفون'!$D$7,"",IF(ISNUMBER(MATCH(BY$3,Holidays,0)),"عطلة",IF(MOD(BY$3-'الموظفون'!$D$7,CycleWork+CycleRest)&lt;CycleWork,INDEX('الإعدادات والقوائم'!$H$2:$H$4,MOD(INT(MOD(BY$3-'الموظفون'!$D$7,CycleWork+CycleRest)*3/CycleWork)+MATCH(StartShift,'الإعدادات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الإجازات'!$D$5:$D$104&lt;=BY$3)*(('حجز الإجازات'!$E$5:$E$104)&gt;=BY$3)*('حجز الإجازات'!$G$5:$G$104="معتمد")*ROW('حجز الإجازات'!$B$5:$B$104)))-5+1))</f>
        <v/>
      </c>
      <c r="BZ9" s="62">
        <f>IF(SUMPRODUCT(('حجز الإجازات'!$B$5:$B$104='الموظفون'!$B$7)*('حجز الإجازات'!$D$5:$D$104&lt;=BZ$3)*(('حجز الإجازات'!$E$5:$E$104)&gt;=BZ$3)*('حجز الإجازات'!$G$5:$G$104="معتمد")*ROW('حجز الإجازات'!$B$5:$B$104))=0,IF(BZ$3&lt;'الموظفون'!$D$7,"",IF(ISNUMBER(MATCH(BZ$3,Holidays,0)),"عطلة",IF(MOD(BZ$3-'الموظفون'!$D$7,CycleWork+CycleRest)&lt;CycleWork,INDEX('الإعدادات والقوائم'!$H$2:$H$4,MOD(INT(MOD(BZ$3-'الموظفون'!$D$7,CycleWork+CycleRest)*3/CycleWork)+MATCH(StartShift,'الإعدادات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الإجازات'!$D$5:$D$104&lt;=BZ$3)*(('حجز الإجازات'!$E$5:$E$104)&gt;=BZ$3)*('حجز الإجازات'!$G$5:$G$104="معتمد")*ROW('حجز الإجازات'!$B$5:$B$104)))-5+1))</f>
        <v/>
      </c>
      <c r="CA9" s="62">
        <f>IF(SUMPRODUCT(('حجز الإجازات'!$B$5:$B$104='الموظفون'!$B$7)*('حجز الإجازات'!$D$5:$D$104&lt;=CA$3)*(('حجز الإجازات'!$E$5:$E$104)&gt;=CA$3)*('حجز الإجازات'!$G$5:$G$104="معتمد")*ROW('حجز الإجازات'!$B$5:$B$104))=0,IF(CA$3&lt;'الموظفون'!$D$7,"",IF(ISNUMBER(MATCH(CA$3,Holidays,0)),"عطلة",IF(MOD(CA$3-'الموظفون'!$D$7,CycleWork+CycleRest)&lt;CycleWork,INDEX('الإعدادات والقوائم'!$H$2:$H$4,MOD(INT(MOD(CA$3-'الموظفون'!$D$7,CycleWork+CycleRest)*3/CycleWork)+MATCH(StartShift,'الإعدادات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الإجازات'!$D$5:$D$104&lt;=CA$3)*(('حجز الإجازات'!$E$5:$E$104)&gt;=CA$3)*('حجز الإجازات'!$G$5:$G$104="معتمد")*ROW('حجز الإجازات'!$B$5:$B$104)))-5+1))</f>
        <v/>
      </c>
      <c r="CB9" s="62">
        <f>IF(SUMPRODUCT(('حجز الإجازات'!$B$5:$B$104='الموظفون'!$B$7)*('حجز الإجازات'!$D$5:$D$104&lt;=CB$3)*(('حجز الإجازات'!$E$5:$E$104)&gt;=CB$3)*('حجز الإجازات'!$G$5:$G$104="معتمد")*ROW('حجز الإجازات'!$B$5:$B$104))=0,IF(CB$3&lt;'الموظفون'!$D$7,"",IF(ISNUMBER(MATCH(CB$3,Holidays,0)),"عطلة",IF(MOD(CB$3-'الموظفون'!$D$7,CycleWork+CycleRest)&lt;CycleWork,INDEX('الإعدادات والقوائم'!$H$2:$H$4,MOD(INT(MOD(CB$3-'الموظفون'!$D$7,CycleWork+CycleRest)*3/CycleWork)+MATCH(StartShift,'الإعدادات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الإجازات'!$D$5:$D$104&lt;=CB$3)*(('حجز الإجازات'!$E$5:$E$104)&gt;=CB$3)*('حجز الإجازات'!$G$5:$G$104="معتمد")*ROW('حجز الإجازات'!$B$5:$B$104)))-5+1))</f>
        <v/>
      </c>
      <c r="CC9" s="62">
        <f>IF(SUMPRODUCT(('حجز الإجازات'!$B$5:$B$104='الموظفون'!$B$7)*('حجز الإجازات'!$D$5:$D$104&lt;=CC$3)*(('حجز الإجازات'!$E$5:$E$104)&gt;=CC$3)*('حجز الإجازات'!$G$5:$G$104="معتمد")*ROW('حجز الإجازات'!$B$5:$B$104))=0,IF(CC$3&lt;'الموظفون'!$D$7,"",IF(ISNUMBER(MATCH(CC$3,Holidays,0)),"عطلة",IF(MOD(CC$3-'الموظفون'!$D$7,CycleWork+CycleRest)&lt;CycleWork,INDEX('الإعدادات والقوائم'!$H$2:$H$4,MOD(INT(MOD(CC$3-'الموظفون'!$D$7,CycleWork+CycleRest)*3/CycleWork)+MATCH(StartShift,'الإعدادات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الإجازات'!$D$5:$D$104&lt;=CC$3)*(('حجز الإجازات'!$E$5:$E$104)&gt;=CC$3)*('حجز الإجازات'!$G$5:$G$104="معتمد")*ROW('حجز الإجازات'!$B$5:$B$104)))-5+1))</f>
        <v/>
      </c>
      <c r="CD9" s="62">
        <f>IF(SUMPRODUCT(('حجز الإجازات'!$B$5:$B$104='الموظفون'!$B$7)*('حجز الإجازات'!$D$5:$D$104&lt;=CD$3)*(('حجز الإجازات'!$E$5:$E$104)&gt;=CD$3)*('حجز الإجازات'!$G$5:$G$104="معتمد")*ROW('حجز الإجازات'!$B$5:$B$104))=0,IF(CD$3&lt;'الموظفون'!$D$7,"",IF(ISNUMBER(MATCH(CD$3,Holidays,0)),"عطلة",IF(MOD(CD$3-'الموظفون'!$D$7,CycleWork+CycleRest)&lt;CycleWork,INDEX('الإعدادات والقوائم'!$H$2:$H$4,MOD(INT(MOD(CD$3-'الموظفون'!$D$7,CycleWork+CycleRest)*3/CycleWork)+MATCH(StartShift,'الإعدادات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الإجازات'!$D$5:$D$104&lt;=CD$3)*(('حجز الإجازات'!$E$5:$E$104)&gt;=CD$3)*('حجز الإجازات'!$G$5:$G$104="معتمد")*ROW('حجز الإجازات'!$B$5:$B$104)))-5+1))</f>
        <v/>
      </c>
      <c r="CE9" s="62">
        <f>IF(SUMPRODUCT(('حجز الإجازات'!$B$5:$B$104='الموظفون'!$B$7)*('حجز الإجازات'!$D$5:$D$104&lt;=CE$3)*(('حجز الإجازات'!$E$5:$E$104)&gt;=CE$3)*('حجز الإجازات'!$G$5:$G$104="معتمد")*ROW('حجز الإجازات'!$B$5:$B$104))=0,IF(CE$3&lt;'الموظفون'!$D$7,"",IF(ISNUMBER(MATCH(CE$3,Holidays,0)),"عطلة",IF(MOD(CE$3-'الموظفون'!$D$7,CycleWork+CycleRest)&lt;CycleWork,INDEX('الإعدادات والقوائم'!$H$2:$H$4,MOD(INT(MOD(CE$3-'الموظفون'!$D$7,CycleWork+CycleRest)*3/CycleWork)+MATCH(StartShift,'الإعدادات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الإجازات'!$D$5:$D$104&lt;=CE$3)*(('حجز الإجازات'!$E$5:$E$104)&gt;=CE$3)*('حجز الإجازات'!$G$5:$G$104="معتمد")*ROW('حجز الإجازات'!$B$5:$B$104)))-5+1))</f>
        <v/>
      </c>
      <c r="CF9" s="62">
        <f>IF(SUMPRODUCT(('حجز الإجازات'!$B$5:$B$104='الموظفون'!$B$7)*('حجز الإجازات'!$D$5:$D$104&lt;=CF$3)*(('حجز الإجازات'!$E$5:$E$104)&gt;=CF$3)*('حجز الإجازات'!$G$5:$G$104="معتمد")*ROW('حجز الإجازات'!$B$5:$B$104))=0,IF(CF$3&lt;'الموظفون'!$D$7,"",IF(ISNUMBER(MATCH(CF$3,Holidays,0)),"عطلة",IF(MOD(CF$3-'الموظفون'!$D$7,CycleWork+CycleRest)&lt;CycleWork,INDEX('الإعدادات والقوائم'!$H$2:$H$4,MOD(INT(MOD(CF$3-'الموظفون'!$D$7,CycleWork+CycleRest)*3/CycleWork)+MATCH(StartShift,'الإعدادات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الإجازات'!$D$5:$D$104&lt;=CF$3)*(('حجز الإجازات'!$E$5:$E$104)&gt;=CF$3)*('حجز الإجازات'!$G$5:$G$104="معتمد")*ROW('حجز الإجازات'!$B$5:$B$104)))-5+1))</f>
        <v/>
      </c>
      <c r="CG9" s="62">
        <f>IF(SUMPRODUCT(('حجز الإجازات'!$B$5:$B$104='الموظفون'!$B$7)*('حجز الإجازات'!$D$5:$D$104&lt;=CG$3)*(('حجز الإجازات'!$E$5:$E$104)&gt;=CG$3)*('حجز الإجازات'!$G$5:$G$104="معتمد")*ROW('حجز الإجازات'!$B$5:$B$104))=0,IF(CG$3&lt;'الموظفون'!$D$7,"",IF(ISNUMBER(MATCH(CG$3,Holidays,0)),"عطلة",IF(MOD(CG$3-'الموظفون'!$D$7,CycleWork+CycleRest)&lt;CycleWork,INDEX('الإعدادات والقوائم'!$H$2:$H$4,MOD(INT(MOD(CG$3-'الموظفون'!$D$7,CycleWork+CycleRest)*3/CycleWork)+MATCH(StartShift,'الإعدادات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الإجازات'!$D$5:$D$104&lt;=CG$3)*(('حجز الإجازات'!$E$5:$E$104)&gt;=CG$3)*('حجز الإجازات'!$G$5:$G$104="معتمد")*ROW('حجز الإجازات'!$B$5:$B$104)))-5+1))</f>
        <v/>
      </c>
      <c r="CH9" s="62">
        <f>IF(SUMPRODUCT(('حجز الإجازات'!$B$5:$B$104='الموظفون'!$B$7)*('حجز الإجازات'!$D$5:$D$104&lt;=CH$3)*(('حجز الإجازات'!$E$5:$E$104)&gt;=CH$3)*('حجز الإجازات'!$G$5:$G$104="معتمد")*ROW('حجز الإجازات'!$B$5:$B$104))=0,IF(CH$3&lt;'الموظفون'!$D$7,"",IF(ISNUMBER(MATCH(CH$3,Holidays,0)),"عطلة",IF(MOD(CH$3-'الموظفون'!$D$7,CycleWork+CycleRest)&lt;CycleWork,INDEX('الإعدادات والقوائم'!$H$2:$H$4,MOD(INT(MOD(CH$3-'الموظفون'!$D$7,CycleWork+CycleRest)*3/CycleWork)+MATCH(StartShift,'الإعدادات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الإجازات'!$D$5:$D$104&lt;=CH$3)*(('حجز الإجازات'!$E$5:$E$104)&gt;=CH$3)*('حجز الإجازات'!$G$5:$G$104="معتمد")*ROW('حجز الإجازات'!$B$5:$B$104)))-5+1))</f>
        <v/>
      </c>
      <c r="CI9" s="62">
        <f>IF(SUMPRODUCT(('حجز الإجازات'!$B$5:$B$104='الموظفون'!$B$7)*('حجز الإجازات'!$D$5:$D$104&lt;=CI$3)*(('حجز الإجازات'!$E$5:$E$104)&gt;=CI$3)*('حجز الإجازات'!$G$5:$G$104="معتمد")*ROW('حجز الإجازات'!$B$5:$B$104))=0,IF(CI$3&lt;'الموظفون'!$D$7,"",IF(ISNUMBER(MATCH(CI$3,Holidays,0)),"عطلة",IF(MOD(CI$3-'الموظفون'!$D$7,CycleWork+CycleRest)&lt;CycleWork,INDEX('الإعدادات والقوائم'!$H$2:$H$4,MOD(INT(MOD(CI$3-'الموظفون'!$D$7,CycleWork+CycleRest)*3/CycleWork)+MATCH(StartShift,'الإعدادات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الإجازات'!$D$5:$D$104&lt;=CI$3)*(('حجز الإجازات'!$E$5:$E$104)&gt;=CI$3)*('حجز الإجازات'!$G$5:$G$104="معتمد")*ROW('حجز الإجازات'!$B$5:$B$104)))-5+1))</f>
        <v/>
      </c>
      <c r="CJ9" s="62">
        <f>IF(SUMPRODUCT(('حجز الإجازات'!$B$5:$B$104='الموظفون'!$B$7)*('حجز الإجازات'!$D$5:$D$104&lt;=CJ$3)*(('حجز الإجازات'!$E$5:$E$104)&gt;=CJ$3)*('حجز الإجازات'!$G$5:$G$104="معتمد")*ROW('حجز الإجازات'!$B$5:$B$104))=0,IF(CJ$3&lt;'الموظفون'!$D$7,"",IF(ISNUMBER(MATCH(CJ$3,Holidays,0)),"عطلة",IF(MOD(CJ$3-'الموظفون'!$D$7,CycleWork+CycleRest)&lt;CycleWork,INDEX('الإعدادات والقوائم'!$H$2:$H$4,MOD(INT(MOD(CJ$3-'الموظفون'!$D$7,CycleWork+CycleRest)*3/CycleWork)+MATCH(StartShift,'الإعدادات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الإجازات'!$D$5:$D$104&lt;=CJ$3)*(('حجز الإجازات'!$E$5:$E$104)&gt;=CJ$3)*('حجز الإجازات'!$G$5:$G$104="معتمد")*ROW('حجز الإجازات'!$B$5:$B$104)))-5+1))</f>
        <v/>
      </c>
      <c r="CK9" s="62">
        <f>IF(SUMPRODUCT(('حجز الإجازات'!$B$5:$B$104='الموظفون'!$B$7)*('حجز الإجازات'!$D$5:$D$104&lt;=CK$3)*(('حجز الإجازات'!$E$5:$E$104)&gt;=CK$3)*('حجز الإجازات'!$G$5:$G$104="معتمد")*ROW('حجز الإجازات'!$B$5:$B$104))=0,IF(CK$3&lt;'الموظفون'!$D$7,"",IF(ISNUMBER(MATCH(CK$3,Holidays,0)),"عطلة",IF(MOD(CK$3-'الموظفون'!$D$7,CycleWork+CycleRest)&lt;CycleWork,INDEX('الإعدادات والقوائم'!$H$2:$H$4,MOD(INT(MOD(CK$3-'الموظفون'!$D$7,CycleWork+CycleRest)*3/CycleWork)+MATCH(StartShift,'الإعدادات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الإجازات'!$D$5:$D$104&lt;=CK$3)*(('حجز الإجازات'!$E$5:$E$104)&gt;=CK$3)*('حجز الإجازات'!$G$5:$G$104="معتمد")*ROW('حجز الإجازات'!$B$5:$B$104)))-5+1))</f>
        <v/>
      </c>
      <c r="CL9" s="62">
        <f>IF(SUMPRODUCT(('حجز الإجازات'!$B$5:$B$104='الموظفون'!$B$7)*('حجز الإجازات'!$D$5:$D$104&lt;=CL$3)*(('حجز الإجازات'!$E$5:$E$104)&gt;=CL$3)*('حجز الإجازات'!$G$5:$G$104="معتمد")*ROW('حجز الإجازات'!$B$5:$B$104))=0,IF(CL$3&lt;'الموظفون'!$D$7,"",IF(ISNUMBER(MATCH(CL$3,Holidays,0)),"عطلة",IF(MOD(CL$3-'الموظفون'!$D$7,CycleWork+CycleRest)&lt;CycleWork,INDEX('الإعدادات والقوائم'!$H$2:$H$4,MOD(INT(MOD(CL$3-'الموظفون'!$D$7,CycleWork+CycleRest)*3/CycleWork)+MATCH(StartShift,'الإعدادات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الإجازات'!$D$5:$D$104&lt;=CL$3)*(('حجز الإجازات'!$E$5:$E$104)&gt;=CL$3)*('حجز الإجازات'!$G$5:$G$104="معتمد")*ROW('حجز الإجازات'!$B$5:$B$104)))-5+1))</f>
        <v/>
      </c>
      <c r="CM9" s="62">
        <f>IF(SUMPRODUCT(('حجز الإجازات'!$B$5:$B$104='الموظفون'!$B$7)*('حجز الإجازات'!$D$5:$D$104&lt;=CM$3)*(('حجز الإجازات'!$E$5:$E$104)&gt;=CM$3)*('حجز الإجازات'!$G$5:$G$104="معتمد")*ROW('حجز الإجازات'!$B$5:$B$104))=0,IF(CM$3&lt;'الموظفون'!$D$7,"",IF(ISNUMBER(MATCH(CM$3,Holidays,0)),"عطلة",IF(MOD(CM$3-'الموظفون'!$D$7,CycleWork+CycleRest)&lt;CycleWork,INDEX('الإعدادات والقوائم'!$H$2:$H$4,MOD(INT(MOD(CM$3-'الموظفون'!$D$7,CycleWork+CycleRest)*3/CycleWork)+MATCH(StartShift,'الإعدادات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الإجازات'!$D$5:$D$104&lt;=CM$3)*(('حجز الإجازات'!$E$5:$E$104)&gt;=CM$3)*('حجز الإجازات'!$G$5:$G$104="معتمد")*ROW('حجز الإجازات'!$B$5:$B$104)))-5+1))</f>
        <v/>
      </c>
      <c r="CN9" s="62">
        <f>IF(SUMPRODUCT(('حجز الإجازات'!$B$5:$B$104='الموظفون'!$B$7)*('حجز الإجازات'!$D$5:$D$104&lt;=CN$3)*(('حجز الإجازات'!$E$5:$E$104)&gt;=CN$3)*('حجز الإجازات'!$G$5:$G$104="معتمد")*ROW('حجز الإجازات'!$B$5:$B$104))=0,IF(CN$3&lt;'الموظفون'!$D$7,"",IF(ISNUMBER(MATCH(CN$3,Holidays,0)),"عطلة",IF(MOD(CN$3-'الموظفون'!$D$7,CycleWork+CycleRest)&lt;CycleWork,INDEX('الإعدادات والقوائم'!$H$2:$H$4,MOD(INT(MOD(CN$3-'الموظفون'!$D$7,CycleWork+CycleRest)*3/CycleWork)+MATCH(StartShift,'الإعدادات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الإجازات'!$D$5:$D$104&lt;=CN$3)*(('حجز الإجازات'!$E$5:$E$104)&gt;=CN$3)*('حجز الإجازات'!$G$5:$G$104="معتمد")*ROW('حجز الإجازات'!$B$5:$B$104)))-5+1))</f>
        <v/>
      </c>
      <c r="CO9" s="62">
        <f>IF(SUMPRODUCT(('حجز الإجازات'!$B$5:$B$104='الموظفون'!$B$7)*('حجز الإجازات'!$D$5:$D$104&lt;=CO$3)*(('حجز الإجازات'!$E$5:$E$104)&gt;=CO$3)*('حجز الإجازات'!$G$5:$G$104="معتمد")*ROW('حجز الإجازات'!$B$5:$B$104))=0,IF(CO$3&lt;'الموظفون'!$D$7,"",IF(ISNUMBER(MATCH(CO$3,Holidays,0)),"عطلة",IF(MOD(CO$3-'الموظفون'!$D$7,CycleWork+CycleRest)&lt;CycleWork,INDEX('الإعدادات والقوائم'!$H$2:$H$4,MOD(INT(MOD(CO$3-'الموظفون'!$D$7,CycleWork+CycleRest)*3/CycleWork)+MATCH(StartShift,'الإعدادات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الإجازات'!$D$5:$D$104&lt;=CO$3)*(('حجز الإجازات'!$E$5:$E$104)&gt;=CO$3)*('حجز الإجازات'!$G$5:$G$104="معتمد")*ROW('حجز الإجازات'!$B$5:$B$104)))-5+1))</f>
        <v/>
      </c>
      <c r="CP9" s="62">
        <f>IF(SUMPRODUCT(('حجز الإجازات'!$B$5:$B$104='الموظفون'!$B$7)*('حجز الإجازات'!$D$5:$D$104&lt;=CP$3)*(('حجز الإجازات'!$E$5:$E$104)&gt;=CP$3)*('حجز الإجازات'!$G$5:$G$104="معتمد")*ROW('حجز الإجازات'!$B$5:$B$104))=0,IF(CP$3&lt;'الموظفون'!$D$7,"",IF(ISNUMBER(MATCH(CP$3,Holidays,0)),"عطلة",IF(MOD(CP$3-'الموظفون'!$D$7,CycleWork+CycleRest)&lt;CycleWork,INDEX('الإعدادات والقوائم'!$H$2:$H$4,MOD(INT(MOD(CP$3-'الموظفون'!$D$7,CycleWork+CycleRest)*3/CycleWork)+MATCH(StartShift,'الإعدادات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الإجازات'!$D$5:$D$104&lt;=CP$3)*(('حجز الإجازات'!$E$5:$E$104)&gt;=CP$3)*('حجز الإجازات'!$G$5:$G$104="معتمد")*ROW('حجز الإجازات'!$B$5:$B$104)))-5+1))</f>
        <v/>
      </c>
      <c r="CQ9" s="62">
        <f>IF(SUMPRODUCT(('حجز الإجازات'!$B$5:$B$104='الموظفون'!$B$7)*('حجز الإجازات'!$D$5:$D$104&lt;=CQ$3)*(('حجز الإجازات'!$E$5:$E$104)&gt;=CQ$3)*('حجز الإجازات'!$G$5:$G$104="معتمد")*ROW('حجز الإجازات'!$B$5:$B$104))=0,IF(CQ$3&lt;'الموظفون'!$D$7,"",IF(ISNUMBER(MATCH(CQ$3,Holidays,0)),"عطلة",IF(MOD(CQ$3-'الموظفون'!$D$7,CycleWork+CycleRest)&lt;CycleWork,INDEX('الإعدادات والقوائم'!$H$2:$H$4,MOD(INT(MOD(CQ$3-'الموظفون'!$D$7,CycleWork+CycleRest)*3/CycleWork)+MATCH(StartShift,'الإعدادات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الإجازات'!$D$5:$D$104&lt;=CQ$3)*(('حجز الإجازات'!$E$5:$E$104)&gt;=CQ$3)*('حجز الإجازات'!$G$5:$G$104="معتمد")*ROW('حجز الإجازات'!$B$5:$B$104)))-5+1))</f>
        <v/>
      </c>
      <c r="CR9" s="62">
        <f>IF(SUMPRODUCT(('حجز الإجازات'!$B$5:$B$104='الموظفون'!$B$7)*('حجز الإجازات'!$D$5:$D$104&lt;=CR$3)*(('حجز الإجازات'!$E$5:$E$104)&gt;=CR$3)*('حجز الإجازات'!$G$5:$G$104="معتمد")*ROW('حجز الإجازات'!$B$5:$B$104))=0,IF(CR$3&lt;'الموظفون'!$D$7,"",IF(ISNUMBER(MATCH(CR$3,Holidays,0)),"عطلة",IF(MOD(CR$3-'الموظفون'!$D$7,CycleWork+CycleRest)&lt;CycleWork,INDEX('الإعدادات والقوائم'!$H$2:$H$4,MOD(INT(MOD(CR$3-'الموظفون'!$D$7,CycleWork+CycleRest)*3/CycleWork)+MATCH(StartShift,'الإعدادات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الإجازات'!$D$5:$D$104&lt;=CR$3)*(('حجز الإجازات'!$E$5:$E$104)&gt;=CR$3)*('حجز الإجازات'!$G$5:$G$104="معتمد")*ROW('حجز الإجازات'!$B$5:$B$104)))-5+1))</f>
        <v/>
      </c>
      <c r="CS9" s="62">
        <f>IF(SUMPRODUCT(('حجز الإجازات'!$B$5:$B$104='الموظفون'!$B$7)*('حجز الإجازات'!$D$5:$D$104&lt;=CS$3)*(('حجز الإجازات'!$E$5:$E$104)&gt;=CS$3)*('حجز الإجازات'!$G$5:$G$104="معتمد")*ROW('حجز الإجازات'!$B$5:$B$104))=0,IF(CS$3&lt;'الموظفون'!$D$7,"",IF(ISNUMBER(MATCH(CS$3,Holidays,0)),"عطلة",IF(MOD(CS$3-'الموظفون'!$D$7,CycleWork+CycleRest)&lt;CycleWork,INDEX('الإعدادات والقوائم'!$H$2:$H$4,MOD(INT(MOD(CS$3-'الموظفون'!$D$7,CycleWork+CycleRest)*3/CycleWork)+MATCH(StartShift,'الإعدادات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الإجازات'!$D$5:$D$104&lt;=CS$3)*(('حجز الإجازات'!$E$5:$E$104)&gt;=CS$3)*('حجز الإجازات'!$G$5:$G$104="معتمد")*ROW('حجز الإجازات'!$B$5:$B$104)))-5+1))</f>
        <v/>
      </c>
      <c r="CT9" s="62">
        <f>IF(SUMPRODUCT(('حجز الإجازات'!$B$5:$B$104='الموظفون'!$B$7)*('حجز الإجازات'!$D$5:$D$104&lt;=CT$3)*(('حجز الإجازات'!$E$5:$E$104)&gt;=CT$3)*('حجز الإجازات'!$G$5:$G$104="معتمد")*ROW('حجز الإجازات'!$B$5:$B$104))=0,IF(CT$3&lt;'الموظفون'!$D$7,"",IF(ISNUMBER(MATCH(CT$3,Holidays,0)),"عطلة",IF(MOD(CT$3-'الموظفون'!$D$7,CycleWork+CycleRest)&lt;CycleWork,INDEX('الإعدادات والقوائم'!$H$2:$H$4,MOD(INT(MOD(CT$3-'الموظفون'!$D$7,CycleWork+CycleRest)*3/CycleWork)+MATCH(StartShift,'الإعدادات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الإجازات'!$D$5:$D$104&lt;=CT$3)*(('حجز الإجازات'!$E$5:$E$104)&gt;=CT$3)*('حجز الإجازات'!$G$5:$G$104="معتمد")*ROW('حجز الإجازات'!$B$5:$B$104)))-5+1))</f>
        <v/>
      </c>
      <c r="CU9" s="62">
        <f>IF(SUMPRODUCT(('حجز الإجازات'!$B$5:$B$104='الموظفون'!$B$7)*('حجز الإجازات'!$D$5:$D$104&lt;=CU$3)*(('حجز الإجازات'!$E$5:$E$104)&gt;=CU$3)*('حجز الإجازات'!$G$5:$G$104="معتمد")*ROW('حجز الإجازات'!$B$5:$B$104))=0,IF(CU$3&lt;'الموظفون'!$D$7,"",IF(ISNUMBER(MATCH(CU$3,Holidays,0)),"عطلة",IF(MOD(CU$3-'الموظفون'!$D$7,CycleWork+CycleRest)&lt;CycleWork,INDEX('الإعدادات والقوائم'!$H$2:$H$4,MOD(INT(MOD(CU$3-'الموظفون'!$D$7,CycleWork+CycleRest)*3/CycleWork)+MATCH(StartShift,'الإعدادات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الإجازات'!$D$5:$D$104&lt;=CU$3)*(('حجز الإجازات'!$E$5:$E$104)&gt;=CU$3)*('حجز الإجازات'!$G$5:$G$104="معتمد")*ROW('حجز الإجازات'!$B$5:$B$104)))-5+1))</f>
        <v/>
      </c>
      <c r="CV9" s="62">
        <f>IF(SUMPRODUCT(('حجز الإجازات'!$B$5:$B$104='الموظفون'!$B$7)*('حجز الإجازات'!$D$5:$D$104&lt;=CV$3)*(('حجز الإجازات'!$E$5:$E$104)&gt;=CV$3)*('حجز الإجازات'!$G$5:$G$104="معتمد")*ROW('حجز الإجازات'!$B$5:$B$104))=0,IF(CV$3&lt;'الموظفون'!$D$7,"",IF(ISNUMBER(MATCH(CV$3,Holidays,0)),"عطلة",IF(MOD(CV$3-'الموظفون'!$D$7,CycleWork+CycleRest)&lt;CycleWork,INDEX('الإعدادات والقوائم'!$H$2:$H$4,MOD(INT(MOD(CV$3-'الموظفون'!$D$7,CycleWork+CycleRest)*3/CycleWork)+MATCH(StartShift,'الإعدادات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الإجازات'!$D$5:$D$104&lt;=CV$3)*(('حجز الإجازات'!$E$5:$E$104)&gt;=CV$3)*('حجز الإجازات'!$G$5:$G$104="معتمد")*ROW('حجز الإجازات'!$B$5:$B$104)))-5+1))</f>
        <v/>
      </c>
      <c r="CW9" s="62">
        <f>IF(SUMPRODUCT(('حجز الإجازات'!$B$5:$B$104='الموظفون'!$B$7)*('حجز الإجازات'!$D$5:$D$104&lt;=CW$3)*(('حجز الإجازات'!$E$5:$E$104)&gt;=CW$3)*('حجز الإجازات'!$G$5:$G$104="معتمد")*ROW('حجز الإجازات'!$B$5:$B$104))=0,IF(CW$3&lt;'الموظفون'!$D$7,"",IF(ISNUMBER(MATCH(CW$3,Holidays,0)),"عطلة",IF(MOD(CW$3-'الموظفون'!$D$7,CycleWork+CycleRest)&lt;CycleWork,INDEX('الإعدادات والقوائم'!$H$2:$H$4,MOD(INT(MOD(CW$3-'الموظفون'!$D$7,CycleWork+CycleRest)*3/CycleWork)+MATCH(StartShift,'الإعدادات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الإجازات'!$D$5:$D$104&lt;=CW$3)*(('حجز الإجازات'!$E$5:$E$104)&gt;=CW$3)*('حجز الإجازات'!$G$5:$G$104="معتمد")*ROW('حجز الإجازات'!$B$5:$B$104)))-5+1))</f>
        <v/>
      </c>
      <c r="CX9" s="62">
        <f>IF(SUMPRODUCT(('حجز الإجازات'!$B$5:$B$104='الموظفون'!$B$7)*('حجز الإجازات'!$D$5:$D$104&lt;=CX$3)*(('حجز الإجازات'!$E$5:$E$104)&gt;=CX$3)*('حجز الإجازات'!$G$5:$G$104="معتمد")*ROW('حجز الإجازات'!$B$5:$B$104))=0,IF(CX$3&lt;'الموظفون'!$D$7,"",IF(ISNUMBER(MATCH(CX$3,Holidays,0)),"عطلة",IF(MOD(CX$3-'الموظفون'!$D$7,CycleWork+CycleRest)&lt;CycleWork,INDEX('الإعدادات والقوائم'!$H$2:$H$4,MOD(INT(MOD(CX$3-'الموظفون'!$D$7,CycleWork+CycleRest)*3/CycleWork)+MATCH(StartShift,'الإعدادات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الإجازات'!$D$5:$D$104&lt;=CX$3)*(('حجز الإجازات'!$E$5:$E$104)&gt;=CX$3)*('حجز الإجازات'!$G$5:$G$104="معتمد")*ROW('حجز الإجازات'!$B$5:$B$104)))-5+1))</f>
        <v/>
      </c>
      <c r="CY9" s="62">
        <f>IF(SUMPRODUCT(('حجز الإجازات'!$B$5:$B$104='الموظفون'!$B$7)*('حجز الإجازات'!$D$5:$D$104&lt;=CY$3)*(('حجز الإجازات'!$E$5:$E$104)&gt;=CY$3)*('حجز الإجازات'!$G$5:$G$104="معتمد")*ROW('حجز الإجازات'!$B$5:$B$104))=0,IF(CY$3&lt;'الموظفون'!$D$7,"",IF(ISNUMBER(MATCH(CY$3,Holidays,0)),"عطلة",IF(MOD(CY$3-'الموظفون'!$D$7,CycleWork+CycleRest)&lt;CycleWork,INDEX('الإعدادات والقوائم'!$H$2:$H$4,MOD(INT(MOD(CY$3-'الموظفون'!$D$7,CycleWork+CycleRest)*3/CycleWork)+MATCH(StartShift,'الإعدادات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الإجازات'!$D$5:$D$104&lt;=CY$3)*(('حجز الإجازات'!$E$5:$E$104)&gt;=CY$3)*('حجز الإجازات'!$G$5:$G$104="معتمد")*ROW('حجز الإجازات'!$B$5:$B$104)))-5+1))</f>
        <v/>
      </c>
      <c r="CZ9" s="62">
        <f>IF(SUMPRODUCT(('حجز الإجازات'!$B$5:$B$104='الموظفون'!$B$7)*('حجز الإجازات'!$D$5:$D$104&lt;=CZ$3)*(('حجز الإجازات'!$E$5:$E$104)&gt;=CZ$3)*('حجز الإجازات'!$G$5:$G$104="معتمد")*ROW('حجز الإجازات'!$B$5:$B$104))=0,IF(CZ$3&lt;'الموظفون'!$D$7,"",IF(ISNUMBER(MATCH(CZ$3,Holidays,0)),"عطلة",IF(MOD(CZ$3-'الموظفون'!$D$7,CycleWork+CycleRest)&lt;CycleWork,INDEX('الإعدادات والقوائم'!$H$2:$H$4,MOD(INT(MOD(CZ$3-'الموظفون'!$D$7,CycleWork+CycleRest)*3/CycleWork)+MATCH(StartShift,'الإعدادات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الإجازات'!$D$5:$D$104&lt;=CZ$3)*(('حجز الإجازات'!$E$5:$E$104)&gt;=CZ$3)*('حجز الإجازات'!$G$5:$G$104="معتمد")*ROW('حجز الإجازات'!$B$5:$B$104)))-5+1))</f>
        <v/>
      </c>
      <c r="DA9" s="62">
        <f>IF(SUMPRODUCT(('حجز الإجازات'!$B$5:$B$104='الموظفون'!$B$7)*('حجز الإجازات'!$D$5:$D$104&lt;=DA$3)*(('حجز الإجازات'!$E$5:$E$104)&gt;=DA$3)*('حجز الإجازات'!$G$5:$G$104="معتمد")*ROW('حجز الإجازات'!$B$5:$B$104))=0,IF(DA$3&lt;'الموظفون'!$D$7,"",IF(ISNUMBER(MATCH(DA$3,Holidays,0)),"عطلة",IF(MOD(DA$3-'الموظفون'!$D$7,CycleWork+CycleRest)&lt;CycleWork,INDEX('الإعدادات والقوائم'!$H$2:$H$4,MOD(INT(MOD(DA$3-'الموظفون'!$D$7,CycleWork+CycleRest)*3/CycleWork)+MATCH(StartShift,'الإعدادات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الإجازات'!$D$5:$D$104&lt;=DA$3)*(('حجز الإجازات'!$E$5:$E$104)&gt;=DA$3)*('حجز الإجازات'!$G$5:$G$104="معتمد")*ROW('حجز الإجازات'!$B$5:$B$104)))-5+1))</f>
        <v/>
      </c>
      <c r="DB9" s="62">
        <f>IF(SUMPRODUCT(('حجز الإجازات'!$B$5:$B$104='الموظفون'!$B$7)*('حجز الإجازات'!$D$5:$D$104&lt;=DB$3)*(('حجز الإجازات'!$E$5:$E$104)&gt;=DB$3)*('حجز الإجازات'!$G$5:$G$104="معتمد")*ROW('حجز الإجازات'!$B$5:$B$104))=0,IF(DB$3&lt;'الموظفون'!$D$7,"",IF(ISNUMBER(MATCH(DB$3,Holidays,0)),"عطلة",IF(MOD(DB$3-'الموظفون'!$D$7,CycleWork+CycleRest)&lt;CycleWork,INDEX('الإعدادات والقوائم'!$H$2:$H$4,MOD(INT(MOD(DB$3-'الموظفون'!$D$7,CycleWork+CycleRest)*3/CycleWork)+MATCH(StartShift,'الإعدادات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الإجازات'!$D$5:$D$104&lt;=DB$3)*(('حجز الإجازات'!$E$5:$E$104)&gt;=DB$3)*('حجز الإجازات'!$G$5:$G$104="معتمد")*ROW('حجز الإجازات'!$B$5:$B$104)))-5+1))</f>
        <v/>
      </c>
      <c r="DC9" s="62">
        <f>IF(SUMPRODUCT(('حجز الإجازات'!$B$5:$B$104='الموظفون'!$B$7)*('حجز الإجازات'!$D$5:$D$104&lt;=DC$3)*(('حجز الإجازات'!$E$5:$E$104)&gt;=DC$3)*('حجز الإجازات'!$G$5:$G$104="معتمد")*ROW('حجز الإجازات'!$B$5:$B$104))=0,IF(DC$3&lt;'الموظفون'!$D$7,"",IF(ISNUMBER(MATCH(DC$3,Holidays,0)),"عطلة",IF(MOD(DC$3-'الموظفون'!$D$7,CycleWork+CycleRest)&lt;CycleWork,INDEX('الإعدادات والقوائم'!$H$2:$H$4,MOD(INT(MOD(DC$3-'الموظفون'!$D$7,CycleWork+CycleRest)*3/CycleWork)+MATCH(StartShift,'الإعدادات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الإجازات'!$D$5:$D$104&lt;=DC$3)*(('حجز الإجازات'!$E$5:$E$104)&gt;=DC$3)*('حجز الإجازات'!$G$5:$G$104="معتمد")*ROW('حجز الإجازات'!$B$5:$B$104)))-5+1))</f>
        <v/>
      </c>
      <c r="DD9" s="62">
        <f>IF(SUMPRODUCT(('حجز الإجازات'!$B$5:$B$104='الموظفون'!$B$7)*('حجز الإجازات'!$D$5:$D$104&lt;=DD$3)*(('حجز الإجازات'!$E$5:$E$104)&gt;=DD$3)*('حجز الإجازات'!$G$5:$G$104="معتمد")*ROW('حجز الإجازات'!$B$5:$B$104))=0,IF(DD$3&lt;'الموظفون'!$D$7,"",IF(ISNUMBER(MATCH(DD$3,Holidays,0)),"عطلة",IF(MOD(DD$3-'الموظفون'!$D$7,CycleWork+CycleRest)&lt;CycleWork,INDEX('الإعدادات والقوائم'!$H$2:$H$4,MOD(INT(MOD(DD$3-'الموظفون'!$D$7,CycleWork+CycleRest)*3/CycleWork)+MATCH(StartShift,'الإعدادات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الإجازات'!$D$5:$D$104&lt;=DD$3)*(('حجز الإجازات'!$E$5:$E$104)&gt;=DD$3)*('حجز الإجازات'!$G$5:$G$104="معتمد")*ROW('حجز الإجازات'!$B$5:$B$104)))-5+1))</f>
        <v/>
      </c>
      <c r="DE9" s="62">
        <f>IF(SUMPRODUCT(('حجز الإجازات'!$B$5:$B$104='الموظفون'!$B$7)*('حجز الإجازات'!$D$5:$D$104&lt;=DE$3)*(('حجز الإجازات'!$E$5:$E$104)&gt;=DE$3)*('حجز الإجازات'!$G$5:$G$104="معتمد")*ROW('حجز الإجازات'!$B$5:$B$104))=0,IF(DE$3&lt;'الموظفون'!$D$7,"",IF(ISNUMBER(MATCH(DE$3,Holidays,0)),"عطلة",IF(MOD(DE$3-'الموظفون'!$D$7,CycleWork+CycleRest)&lt;CycleWork,INDEX('الإعدادات والقوائم'!$H$2:$H$4,MOD(INT(MOD(DE$3-'الموظفون'!$D$7,CycleWork+CycleRest)*3/CycleWork)+MATCH(StartShift,'الإعدادات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الإجازات'!$D$5:$D$104&lt;=DE$3)*(('حجز الإجازات'!$E$5:$E$104)&gt;=DE$3)*('حجز الإجازات'!$G$5:$G$104="معتمد")*ROW('حجز الإجازات'!$B$5:$B$104)))-5+1))</f>
        <v/>
      </c>
      <c r="DF9" s="62">
        <f>IF(SUMPRODUCT(('حجز الإجازات'!$B$5:$B$104='الموظفون'!$B$7)*('حجز الإجازات'!$D$5:$D$104&lt;=DF$3)*(('حجز الإجازات'!$E$5:$E$104)&gt;=DF$3)*('حجز الإجازات'!$G$5:$G$104="معتمد")*ROW('حجز الإجازات'!$B$5:$B$104))=0,IF(DF$3&lt;'الموظفون'!$D$7,"",IF(ISNUMBER(MATCH(DF$3,Holidays,0)),"عطلة",IF(MOD(DF$3-'الموظفون'!$D$7,CycleWork+CycleRest)&lt;CycleWork,INDEX('الإعدادات والقوائم'!$H$2:$H$4,MOD(INT(MOD(DF$3-'الموظفون'!$D$7,CycleWork+CycleRest)*3/CycleWork)+MATCH(StartShift,'الإعدادات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الإجازات'!$D$5:$D$104&lt;=DF$3)*(('حجز الإجازات'!$E$5:$E$104)&gt;=DF$3)*('حجز الإجازات'!$G$5:$G$104="معتمد")*ROW('حجز الإجازات'!$B$5:$B$104)))-5+1))</f>
        <v/>
      </c>
      <c r="DG9" s="62">
        <f>IF(SUMPRODUCT(('حجز الإجازات'!$B$5:$B$104='الموظفون'!$B$7)*('حجز الإجازات'!$D$5:$D$104&lt;=DG$3)*(('حجز الإجازات'!$E$5:$E$104)&gt;=DG$3)*('حجز الإجازات'!$G$5:$G$104="معتمد")*ROW('حجز الإجازات'!$B$5:$B$104))=0,IF(DG$3&lt;'الموظفون'!$D$7,"",IF(ISNUMBER(MATCH(DG$3,Holidays,0)),"عطلة",IF(MOD(DG$3-'الموظفون'!$D$7,CycleWork+CycleRest)&lt;CycleWork,INDEX('الإعدادات والقوائم'!$H$2:$H$4,MOD(INT(MOD(DG$3-'الموظفون'!$D$7,CycleWork+CycleRest)*3/CycleWork)+MATCH(StartShift,'الإعدادات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الإجازات'!$D$5:$D$104&lt;=DG$3)*(('حجز الإجازات'!$E$5:$E$104)&gt;=DG$3)*('حجز الإجازات'!$G$5:$G$104="معتمد")*ROW('حجز الإجازات'!$B$5:$B$104)))-5+1))</f>
        <v/>
      </c>
      <c r="DH9" s="62">
        <f>IF(SUMPRODUCT(('حجز الإجازات'!$B$5:$B$104='الموظفون'!$B$7)*('حجز الإجازات'!$D$5:$D$104&lt;=DH$3)*(('حجز الإجازات'!$E$5:$E$104)&gt;=DH$3)*('حجز الإجازات'!$G$5:$G$104="معتمد")*ROW('حجز الإجازات'!$B$5:$B$104))=0,IF(DH$3&lt;'الموظفون'!$D$7,"",IF(ISNUMBER(MATCH(DH$3,Holidays,0)),"عطلة",IF(MOD(DH$3-'الموظفون'!$D$7,CycleWork+CycleRest)&lt;CycleWork,INDEX('الإعدادات والقوائم'!$H$2:$H$4,MOD(INT(MOD(DH$3-'الموظفون'!$D$7,CycleWork+CycleRest)*3/CycleWork)+MATCH(StartShift,'الإعدادات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الإجازات'!$D$5:$D$104&lt;=DH$3)*(('حجز الإجازات'!$E$5:$E$104)&gt;=DH$3)*('حجز الإجازات'!$G$5:$G$104="معتمد")*ROW('حجز الإجازات'!$B$5:$B$104)))-5+1))</f>
        <v/>
      </c>
      <c r="DI9" s="62">
        <f>IF(SUMPRODUCT(('حجز الإجازات'!$B$5:$B$104='الموظفون'!$B$7)*('حجز الإجازات'!$D$5:$D$104&lt;=DI$3)*(('حجز الإجازات'!$E$5:$E$104)&gt;=DI$3)*('حجز الإجازات'!$G$5:$G$104="معتمد")*ROW('حجز الإجازات'!$B$5:$B$104))=0,IF(DI$3&lt;'الموظفون'!$D$7,"",IF(ISNUMBER(MATCH(DI$3,Holidays,0)),"عطلة",IF(MOD(DI$3-'الموظفون'!$D$7,CycleWork+CycleRest)&lt;CycleWork,INDEX('الإعدادات والقوائم'!$H$2:$H$4,MOD(INT(MOD(DI$3-'الموظفون'!$D$7,CycleWork+CycleRest)*3/CycleWork)+MATCH(StartShift,'الإعدادات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الإجازات'!$D$5:$D$104&lt;=DI$3)*(('حجز الإجازات'!$E$5:$E$104)&gt;=DI$3)*('حجز الإجازات'!$G$5:$G$104="معتمد")*ROW('حجز الإجازات'!$B$5:$B$104)))-5+1))</f>
        <v/>
      </c>
      <c r="DJ9" s="62">
        <f>IF(SUMPRODUCT(('حجز الإجازات'!$B$5:$B$104='الموظفون'!$B$7)*('حجز الإجازات'!$D$5:$D$104&lt;=DJ$3)*(('حجز الإجازات'!$E$5:$E$104)&gt;=DJ$3)*('حجز الإجازات'!$G$5:$G$104="معتمد")*ROW('حجز الإجازات'!$B$5:$B$104))=0,IF(DJ$3&lt;'الموظفون'!$D$7,"",IF(ISNUMBER(MATCH(DJ$3,Holidays,0)),"عطلة",IF(MOD(DJ$3-'الموظفون'!$D$7,CycleWork+CycleRest)&lt;CycleWork,INDEX('الإعدادات والقوائم'!$H$2:$H$4,MOD(INT(MOD(DJ$3-'الموظفون'!$D$7,CycleWork+CycleRest)*3/CycleWork)+MATCH(StartShift,'الإعدادات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الإجازات'!$D$5:$D$104&lt;=DJ$3)*(('حجز الإجازات'!$E$5:$E$104)&gt;=DJ$3)*('حجز الإجازات'!$G$5:$G$104="معتمد")*ROW('حجز الإجازات'!$B$5:$B$104)))-5+1))</f>
        <v/>
      </c>
      <c r="DK9" s="62">
        <f>IF(SUMPRODUCT(('حجز الإجازات'!$B$5:$B$104='الموظفون'!$B$7)*('حجز الإجازات'!$D$5:$D$104&lt;=DK$3)*(('حجز الإجازات'!$E$5:$E$104)&gt;=DK$3)*('حجز الإجازات'!$G$5:$G$104="معتمد")*ROW('حجز الإجازات'!$B$5:$B$104))=0,IF(DK$3&lt;'الموظفون'!$D$7,"",IF(ISNUMBER(MATCH(DK$3,Holidays,0)),"عطلة",IF(MOD(DK$3-'الموظفون'!$D$7,CycleWork+CycleRest)&lt;CycleWork,INDEX('الإعدادات والقوائم'!$H$2:$H$4,MOD(INT(MOD(DK$3-'الموظفون'!$D$7,CycleWork+CycleRest)*3/CycleWork)+MATCH(StartShift,'الإعدادات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الإجازات'!$D$5:$D$104&lt;=DK$3)*(('حجز الإجازات'!$E$5:$E$104)&gt;=DK$3)*('حجز الإجازات'!$G$5:$G$104="معتمد")*ROW('حجز الإجازات'!$B$5:$B$104)))-5+1))</f>
        <v/>
      </c>
      <c r="DL9" s="62">
        <f>IF(SUMPRODUCT(('حجز الإجازات'!$B$5:$B$104='الموظفون'!$B$7)*('حجز الإجازات'!$D$5:$D$104&lt;=DL$3)*(('حجز الإجازات'!$E$5:$E$104)&gt;=DL$3)*('حجز الإجازات'!$G$5:$G$104="معتمد")*ROW('حجز الإجازات'!$B$5:$B$104))=0,IF(DL$3&lt;'الموظفون'!$D$7,"",IF(ISNUMBER(MATCH(DL$3,Holidays,0)),"عطلة",IF(MOD(DL$3-'الموظفون'!$D$7,CycleWork+CycleRest)&lt;CycleWork,INDEX('الإعدادات والقوائم'!$H$2:$H$4,MOD(INT(MOD(DL$3-'الموظفون'!$D$7,CycleWork+CycleRest)*3/CycleWork)+MATCH(StartShift,'الإعدادات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الإجازات'!$D$5:$D$104&lt;=DL$3)*(('حجز الإجازات'!$E$5:$E$104)&gt;=DL$3)*('حجز الإجازات'!$G$5:$G$104="معتمد")*ROW('حجز الإجازات'!$B$5:$B$104)))-5+1))</f>
        <v/>
      </c>
      <c r="DM9" s="62">
        <f>IF(SUMPRODUCT(('حجز الإجازات'!$B$5:$B$104='الموظفون'!$B$7)*('حجز الإجازات'!$D$5:$D$104&lt;=DM$3)*(('حجز الإجازات'!$E$5:$E$104)&gt;=DM$3)*('حجز الإجازات'!$G$5:$G$104="معتمد")*ROW('حجز الإجازات'!$B$5:$B$104))=0,IF(DM$3&lt;'الموظفون'!$D$7,"",IF(ISNUMBER(MATCH(DM$3,Holidays,0)),"عطلة",IF(MOD(DM$3-'الموظفون'!$D$7,CycleWork+CycleRest)&lt;CycleWork,INDEX('الإعدادات والقوائم'!$H$2:$H$4,MOD(INT(MOD(DM$3-'الموظفون'!$D$7,CycleWork+CycleRest)*3/CycleWork)+MATCH(StartShift,'الإعدادات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الإجازات'!$D$5:$D$104&lt;=DM$3)*(('حجز الإجازات'!$E$5:$E$104)&gt;=DM$3)*('حجز الإجازات'!$G$5:$G$104="معتمد")*ROW('حجز الإجازات'!$B$5:$B$104)))-5+1))</f>
        <v/>
      </c>
      <c r="DN9" s="62">
        <f>IF(SUMPRODUCT(('حجز الإجازات'!$B$5:$B$104='الموظفون'!$B$7)*('حجز الإجازات'!$D$5:$D$104&lt;=DN$3)*(('حجز الإجازات'!$E$5:$E$104)&gt;=DN$3)*('حجز الإجازات'!$G$5:$G$104="معتمد")*ROW('حجز الإجازات'!$B$5:$B$104))=0,IF(DN$3&lt;'الموظفون'!$D$7,"",IF(ISNUMBER(MATCH(DN$3,Holidays,0)),"عطلة",IF(MOD(DN$3-'الموظفون'!$D$7,CycleWork+CycleRest)&lt;CycleWork,INDEX('الإعدادات والقوائم'!$H$2:$H$4,MOD(INT(MOD(DN$3-'الموظفون'!$D$7,CycleWork+CycleRest)*3/CycleWork)+MATCH(StartShift,'الإعدادات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الإجازات'!$D$5:$D$104&lt;=DN$3)*(('حجز الإجازات'!$E$5:$E$104)&gt;=DN$3)*('حجز الإجازات'!$G$5:$G$104="معتمد")*ROW('حجز الإجازات'!$B$5:$B$104)))-5+1))</f>
        <v/>
      </c>
      <c r="DO9" s="62">
        <f>IF(SUMPRODUCT(('حجز الإجازات'!$B$5:$B$104='الموظفون'!$B$7)*('حجز الإجازات'!$D$5:$D$104&lt;=DO$3)*(('حجز الإجازات'!$E$5:$E$104)&gt;=DO$3)*('حجز الإجازات'!$G$5:$G$104="معتمد")*ROW('حجز الإجازات'!$B$5:$B$104))=0,IF(DO$3&lt;'الموظفون'!$D$7,"",IF(ISNUMBER(MATCH(DO$3,Holidays,0)),"عطلة",IF(MOD(DO$3-'الموظفون'!$D$7,CycleWork+CycleRest)&lt;CycleWork,INDEX('الإعدادات والقوائم'!$H$2:$H$4,MOD(INT(MOD(DO$3-'الموظفون'!$D$7,CycleWork+CycleRest)*3/CycleWork)+MATCH(StartShift,'الإعدادات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الإجازات'!$D$5:$D$104&lt;=DO$3)*(('حجز الإجازات'!$E$5:$E$104)&gt;=DO$3)*('حجز الإجازات'!$G$5:$G$104="معتمد")*ROW('حجز الإجازات'!$B$5:$B$104)))-5+1))</f>
        <v/>
      </c>
      <c r="DP9" s="62">
        <f>IF(SUMPRODUCT(('حجز الإجازات'!$B$5:$B$104='الموظفون'!$B$7)*('حجز الإجازات'!$D$5:$D$104&lt;=DP$3)*(('حجز الإجازات'!$E$5:$E$104)&gt;=DP$3)*('حجز الإجازات'!$G$5:$G$104="معتمد")*ROW('حجز الإجازات'!$B$5:$B$104))=0,IF(DP$3&lt;'الموظفون'!$D$7,"",IF(ISNUMBER(MATCH(DP$3,Holidays,0)),"عطلة",IF(MOD(DP$3-'الموظفون'!$D$7,CycleWork+CycleRest)&lt;CycleWork,INDEX('الإعدادات والقوائم'!$H$2:$H$4,MOD(INT(MOD(DP$3-'الموظفون'!$D$7,CycleWork+CycleRest)*3/CycleWork)+MATCH(StartShift,'الإعدادات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الإجازات'!$D$5:$D$104&lt;=DP$3)*(('حجز الإجازات'!$E$5:$E$104)&gt;=DP$3)*('حجز الإجازات'!$G$5:$G$104="معتمد")*ROW('حجز الإجازات'!$B$5:$B$104)))-5+1))</f>
        <v/>
      </c>
      <c r="DQ9" s="62">
        <f>IF(SUMPRODUCT(('حجز الإجازات'!$B$5:$B$104='الموظفون'!$B$7)*('حجز الإجازات'!$D$5:$D$104&lt;=DQ$3)*(('حجز الإجازات'!$E$5:$E$104)&gt;=DQ$3)*('حجز الإجازات'!$G$5:$G$104="معتمد")*ROW('حجز الإجازات'!$B$5:$B$104))=0,IF(DQ$3&lt;'الموظفون'!$D$7,"",IF(ISNUMBER(MATCH(DQ$3,Holidays,0)),"عطلة",IF(MOD(DQ$3-'الموظفون'!$D$7,CycleWork+CycleRest)&lt;CycleWork,INDEX('الإعدادات والقوائم'!$H$2:$H$4,MOD(INT(MOD(DQ$3-'الموظفون'!$D$7,CycleWork+CycleRest)*3/CycleWork)+MATCH(StartShift,'الإعدادات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الإجازات'!$D$5:$D$104&lt;=DQ$3)*(('حجز الإجازات'!$E$5:$E$104)&gt;=DQ$3)*('حجز الإجازات'!$G$5:$G$104="معتمد")*ROW('حجز الإجازات'!$B$5:$B$104)))-5+1))</f>
        <v/>
      </c>
      <c r="DR9" s="62">
        <f>IF(SUMPRODUCT(('حجز الإجازات'!$B$5:$B$104='الموظفون'!$B$7)*('حجز الإجازات'!$D$5:$D$104&lt;=DR$3)*(('حجز الإجازات'!$E$5:$E$104)&gt;=DR$3)*('حجز الإجازات'!$G$5:$G$104="معتمد")*ROW('حجز الإجازات'!$B$5:$B$104))=0,IF(DR$3&lt;'الموظفون'!$D$7,"",IF(ISNUMBER(MATCH(DR$3,Holidays,0)),"عطلة",IF(MOD(DR$3-'الموظفون'!$D$7,CycleWork+CycleRest)&lt;CycleWork,INDEX('الإعدادات والقوائم'!$H$2:$H$4,MOD(INT(MOD(DR$3-'الموظفون'!$D$7,CycleWork+CycleRest)*3/CycleWork)+MATCH(StartShift,'الإعدادات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الإجازات'!$D$5:$D$104&lt;=DR$3)*(('حجز الإجازات'!$E$5:$E$104)&gt;=DR$3)*('حجز الإجازات'!$G$5:$G$104="معتمد")*ROW('حجز الإجازات'!$B$5:$B$104)))-5+1))</f>
        <v/>
      </c>
      <c r="DS9" s="62">
        <f>IF(SUMPRODUCT(('حجز الإجازات'!$B$5:$B$104='الموظفون'!$B$7)*('حجز الإجازات'!$D$5:$D$104&lt;=DS$3)*(('حجز الإجازات'!$E$5:$E$104)&gt;=DS$3)*('حجز الإجازات'!$G$5:$G$104="معتمد")*ROW('حجز الإجازات'!$B$5:$B$104))=0,IF(DS$3&lt;'الموظفون'!$D$7,"",IF(ISNUMBER(MATCH(DS$3,Holidays,0)),"عطلة",IF(MOD(DS$3-'الموظفون'!$D$7,CycleWork+CycleRest)&lt;CycleWork,INDEX('الإعدادات والقوائم'!$H$2:$H$4,MOD(INT(MOD(DS$3-'الموظفون'!$D$7,CycleWork+CycleRest)*3/CycleWork)+MATCH(StartShift,'الإعدادات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الإجازات'!$D$5:$D$104&lt;=DS$3)*(('حجز الإجازات'!$E$5:$E$104)&gt;=DS$3)*('حجز الإجازات'!$G$5:$G$104="معتمد")*ROW('حجز الإجازات'!$B$5:$B$104)))-5+1))</f>
        <v/>
      </c>
      <c r="DT9" s="62">
        <f>IF(SUMPRODUCT(('حجز الإجازات'!$B$5:$B$104='الموظفون'!$B$7)*('حجز الإجازات'!$D$5:$D$104&lt;=DT$3)*(('حجز الإجازات'!$E$5:$E$104)&gt;=DT$3)*('حجز الإجازات'!$G$5:$G$104="معتمد")*ROW('حجز الإجازات'!$B$5:$B$104))=0,IF(DT$3&lt;'الموظفون'!$D$7,"",IF(ISNUMBER(MATCH(DT$3,Holidays,0)),"عطلة",IF(MOD(DT$3-'الموظفون'!$D$7,CycleWork+CycleRest)&lt;CycleWork,INDEX('الإعدادات والقوائم'!$H$2:$H$4,MOD(INT(MOD(DT$3-'الموظفون'!$D$7,CycleWork+CycleRest)*3/CycleWork)+MATCH(StartShift,'الإعدادات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الإجازات'!$D$5:$D$104&lt;=DT$3)*(('حجز الإجازات'!$E$5:$E$104)&gt;=DT$3)*('حجز الإجازات'!$G$5:$G$104="معتمد")*ROW('حجز الإجازات'!$B$5:$B$104)))-5+1))</f>
        <v/>
      </c>
      <c r="DU9" s="62">
        <f>IF(SUMPRODUCT(('حجز الإجازات'!$B$5:$B$104='الموظفون'!$B$7)*('حجز الإجازات'!$D$5:$D$104&lt;=DU$3)*(('حجز الإجازات'!$E$5:$E$104)&gt;=DU$3)*('حجز الإجازات'!$G$5:$G$104="معتمد")*ROW('حجز الإجازات'!$B$5:$B$104))=0,IF(DU$3&lt;'الموظفون'!$D$7,"",IF(ISNUMBER(MATCH(DU$3,Holidays,0)),"عطلة",IF(MOD(DU$3-'الموظفون'!$D$7,CycleWork+CycleRest)&lt;CycleWork,INDEX('الإعدادات والقوائم'!$H$2:$H$4,MOD(INT(MOD(DU$3-'الموظفون'!$D$7,CycleWork+CycleRest)*3/CycleWork)+MATCH(StartShift,'الإعدادات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الإجازات'!$D$5:$D$104&lt;=DU$3)*(('حجز الإجازات'!$E$5:$E$104)&gt;=DU$3)*('حجز الإجازات'!$G$5:$G$104="معتمد")*ROW('حجز الإجازات'!$B$5:$B$104)))-5+1))</f>
        <v/>
      </c>
      <c r="DV9" s="62">
        <f>IF(SUMPRODUCT(('حجز الإجازات'!$B$5:$B$104='الموظفون'!$B$7)*('حجز الإجازات'!$D$5:$D$104&lt;=DV$3)*(('حجز الإجازات'!$E$5:$E$104)&gt;=DV$3)*('حجز الإجازات'!$G$5:$G$104="معتمد")*ROW('حجز الإجازات'!$B$5:$B$104))=0,IF(DV$3&lt;'الموظفون'!$D$7,"",IF(ISNUMBER(MATCH(DV$3,Holidays,0)),"عطلة",IF(MOD(DV$3-'الموظفون'!$D$7,CycleWork+CycleRest)&lt;CycleWork,INDEX('الإعدادات والقوائم'!$H$2:$H$4,MOD(INT(MOD(DV$3-'الموظفون'!$D$7,CycleWork+CycleRest)*3/CycleWork)+MATCH(StartShift,'الإعدادات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الإجازات'!$D$5:$D$104&lt;=DV$3)*(('حجز الإجازات'!$E$5:$E$104)&gt;=DV$3)*('حجز الإجازات'!$G$5:$G$104="معتمد")*ROW('حجز الإجازات'!$B$5:$B$104)))-5+1))</f>
        <v/>
      </c>
      <c r="DW9" s="62">
        <f>IF(SUMPRODUCT(('حجز الإجازات'!$B$5:$B$104='الموظفون'!$B$7)*('حجز الإجازات'!$D$5:$D$104&lt;=DW$3)*(('حجز الإجازات'!$E$5:$E$104)&gt;=DW$3)*('حجز الإجازات'!$G$5:$G$104="معتمد")*ROW('حجز الإجازات'!$B$5:$B$104))=0,IF(DW$3&lt;'الموظفون'!$D$7,"",IF(ISNUMBER(MATCH(DW$3,Holidays,0)),"عطلة",IF(MOD(DW$3-'الموظفون'!$D$7,CycleWork+CycleRest)&lt;CycleWork,INDEX('الإعدادات والقوائم'!$H$2:$H$4,MOD(INT(MOD(DW$3-'الموظفون'!$D$7,CycleWork+CycleRest)*3/CycleWork)+MATCH(StartShift,'الإعدادات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الإجازات'!$D$5:$D$104&lt;=DW$3)*(('حجز الإجازات'!$E$5:$E$104)&gt;=DW$3)*('حجز الإجازات'!$G$5:$G$104="معتمد")*ROW('حجز الإجازات'!$B$5:$B$104)))-5+1))</f>
        <v/>
      </c>
      <c r="DX9" s="62">
        <f>IF(SUMPRODUCT(('حجز الإجازات'!$B$5:$B$104='الموظفون'!$B$7)*('حجز الإجازات'!$D$5:$D$104&lt;=DX$3)*(('حجز الإجازات'!$E$5:$E$104)&gt;=DX$3)*('حجز الإجازات'!$G$5:$G$104="معتمد")*ROW('حجز الإجازات'!$B$5:$B$104))=0,IF(DX$3&lt;'الموظفون'!$D$7,"",IF(ISNUMBER(MATCH(DX$3,Holidays,0)),"عطلة",IF(MOD(DX$3-'الموظفون'!$D$7,CycleWork+CycleRest)&lt;CycleWork,INDEX('الإعدادات والقوائم'!$H$2:$H$4,MOD(INT(MOD(DX$3-'الموظفون'!$D$7,CycleWork+CycleRest)*3/CycleWork)+MATCH(StartShift,'الإعدادات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الإجازات'!$D$5:$D$104&lt;=DX$3)*(('حجز الإجازات'!$E$5:$E$104)&gt;=DX$3)*('حجز الإجازات'!$G$5:$G$104="معتمد")*ROW('حجز الإجازات'!$B$5:$B$104)))-5+1))</f>
        <v/>
      </c>
      <c r="DY9" s="62">
        <f>IF(SUMPRODUCT(('حجز الإجازات'!$B$5:$B$104='الموظفون'!$B$7)*('حجز الإجازات'!$D$5:$D$104&lt;=DY$3)*(('حجز الإجازات'!$E$5:$E$104)&gt;=DY$3)*('حجز الإجازات'!$G$5:$G$104="معتمد")*ROW('حجز الإجازات'!$B$5:$B$104))=0,IF(DY$3&lt;'الموظفون'!$D$7,"",IF(ISNUMBER(MATCH(DY$3,Holidays,0)),"عطلة",IF(MOD(DY$3-'الموظفون'!$D$7,CycleWork+CycleRest)&lt;CycleWork,INDEX('الإعدادات والقوائم'!$H$2:$H$4,MOD(INT(MOD(DY$3-'الموظفون'!$D$7,CycleWork+CycleRest)*3/CycleWork)+MATCH(StartShift,'الإعدادات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الإجازات'!$D$5:$D$104&lt;=DY$3)*(('حجز الإجازات'!$E$5:$E$104)&gt;=DY$3)*('حجز الإجازات'!$G$5:$G$104="معتمد")*ROW('حجز الإجازات'!$B$5:$B$104)))-5+1))</f>
        <v/>
      </c>
      <c r="DZ9" s="62">
        <f>IF(SUMPRODUCT(('حجز الإجازات'!$B$5:$B$104='الموظفون'!$B$7)*('حجز الإجازات'!$D$5:$D$104&lt;=DZ$3)*(('حجز الإجازات'!$E$5:$E$104)&gt;=DZ$3)*('حجز الإجازات'!$G$5:$G$104="معتمد")*ROW('حجز الإجازات'!$B$5:$B$104))=0,IF(DZ$3&lt;'الموظفون'!$D$7,"",IF(ISNUMBER(MATCH(DZ$3,Holidays,0)),"عطلة",IF(MOD(DZ$3-'الموظفون'!$D$7,CycleWork+CycleRest)&lt;CycleWork,INDEX('الإعدادات والقوائم'!$H$2:$H$4,MOD(INT(MOD(DZ$3-'الموظفون'!$D$7,CycleWork+CycleRest)*3/CycleWork)+MATCH(StartShift,'الإعدادات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الإجازات'!$D$5:$D$104&lt;=DZ$3)*(('حجز الإجازات'!$E$5:$E$104)&gt;=DZ$3)*('حجز الإجازات'!$G$5:$G$104="معتمد")*ROW('حجز الإجازات'!$B$5:$B$104)))-5+1))</f>
        <v/>
      </c>
      <c r="EA9" s="62">
        <f>IF(SUMPRODUCT(('حجز الإجازات'!$B$5:$B$104='الموظفون'!$B$7)*('حجز الإجازات'!$D$5:$D$104&lt;=EA$3)*(('حجز الإجازات'!$E$5:$E$104)&gt;=EA$3)*('حجز الإجازات'!$G$5:$G$104="معتمد")*ROW('حجز الإجازات'!$B$5:$B$104))=0,IF(EA$3&lt;'الموظفون'!$D$7,"",IF(ISNUMBER(MATCH(EA$3,Holidays,0)),"عطلة",IF(MOD(EA$3-'الموظفون'!$D$7,CycleWork+CycleRest)&lt;CycleWork,INDEX('الإعدادات والقوائم'!$H$2:$H$4,MOD(INT(MOD(EA$3-'الموظفون'!$D$7,CycleWork+CycleRest)*3/CycleWork)+MATCH(StartShift,'الإعدادات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الإجازات'!$D$5:$D$104&lt;=EA$3)*(('حجز الإجازات'!$E$5:$E$104)&gt;=EA$3)*('حجز الإجازات'!$G$5:$G$104="معتمد")*ROW('حجز الإجازات'!$B$5:$B$104)))-5+1))</f>
        <v/>
      </c>
      <c r="EB9" s="62">
        <f>IF(SUMPRODUCT(('حجز الإجازات'!$B$5:$B$104='الموظفون'!$B$7)*('حجز الإجازات'!$D$5:$D$104&lt;=EB$3)*(('حجز الإجازات'!$E$5:$E$104)&gt;=EB$3)*('حجز الإجازات'!$G$5:$G$104="معتمد")*ROW('حجز الإجازات'!$B$5:$B$104))=0,IF(EB$3&lt;'الموظفون'!$D$7,"",IF(ISNUMBER(MATCH(EB$3,Holidays,0)),"عطلة",IF(MOD(EB$3-'الموظفون'!$D$7,CycleWork+CycleRest)&lt;CycleWork,INDEX('الإعدادات والقوائم'!$H$2:$H$4,MOD(INT(MOD(EB$3-'الموظفون'!$D$7,CycleWork+CycleRest)*3/CycleWork)+MATCH(StartShift,'الإعدادات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الإجازات'!$D$5:$D$104&lt;=EB$3)*(('حجز الإجازات'!$E$5:$E$104)&gt;=EB$3)*('حجز الإجازات'!$G$5:$G$104="معتمد")*ROW('حجز الإجازات'!$B$5:$B$104)))-5+1))</f>
        <v/>
      </c>
      <c r="EC9" s="62">
        <f>IF(SUMPRODUCT(('حجز الإجازات'!$B$5:$B$104='الموظفون'!$B$7)*('حجز الإجازات'!$D$5:$D$104&lt;=EC$3)*(('حجز الإجازات'!$E$5:$E$104)&gt;=EC$3)*('حجز الإجازات'!$G$5:$G$104="معتمد")*ROW('حجز الإجازات'!$B$5:$B$104))=0,IF(EC$3&lt;'الموظفون'!$D$7,"",IF(ISNUMBER(MATCH(EC$3,Holidays,0)),"عطلة",IF(MOD(EC$3-'الموظفون'!$D$7,CycleWork+CycleRest)&lt;CycleWork,INDEX('الإعدادات والقوائم'!$H$2:$H$4,MOD(INT(MOD(EC$3-'الموظفون'!$D$7,CycleWork+CycleRest)*3/CycleWork)+MATCH(StartShift,'الإعدادات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الإجازات'!$D$5:$D$104&lt;=EC$3)*(('حجز الإجازات'!$E$5:$E$104)&gt;=EC$3)*('حجز الإجازات'!$G$5:$G$104="معتمد")*ROW('حجز الإجازات'!$B$5:$B$104)))-5+1))</f>
        <v/>
      </c>
      <c r="ED9" s="62">
        <f>IF(SUMPRODUCT(('حجز الإجازات'!$B$5:$B$104='الموظفون'!$B$7)*('حجز الإجازات'!$D$5:$D$104&lt;=ED$3)*(('حجز الإجازات'!$E$5:$E$104)&gt;=ED$3)*('حجز الإجازات'!$G$5:$G$104="معتمد")*ROW('حجز الإجازات'!$B$5:$B$104))=0,IF(ED$3&lt;'الموظفون'!$D$7,"",IF(ISNUMBER(MATCH(ED$3,Holidays,0)),"عطلة",IF(MOD(ED$3-'الموظفون'!$D$7,CycleWork+CycleRest)&lt;CycleWork,INDEX('الإعدادات والقوائم'!$H$2:$H$4,MOD(INT(MOD(ED$3-'الموظفون'!$D$7,CycleWork+CycleRest)*3/CycleWork)+MATCH(StartShift,'الإعدادات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الإجازات'!$D$5:$D$104&lt;=ED$3)*(('حجز الإجازات'!$E$5:$E$104)&gt;=ED$3)*('حجز الإجازات'!$G$5:$G$104="معتمد")*ROW('حجز الإجازات'!$B$5:$B$104)))-5+1))</f>
        <v/>
      </c>
      <c r="EE9" s="62">
        <f>IF(SUMPRODUCT(('حجز الإجازات'!$B$5:$B$104='الموظفون'!$B$7)*('حجز الإجازات'!$D$5:$D$104&lt;=EE$3)*(('حجز الإجازات'!$E$5:$E$104)&gt;=EE$3)*('حجز الإجازات'!$G$5:$G$104="معتمد")*ROW('حجز الإجازات'!$B$5:$B$104))=0,IF(EE$3&lt;'الموظفون'!$D$7,"",IF(ISNUMBER(MATCH(EE$3,Holidays,0)),"عطلة",IF(MOD(EE$3-'الموظفون'!$D$7,CycleWork+CycleRest)&lt;CycleWork,INDEX('الإعدادات والقوائم'!$H$2:$H$4,MOD(INT(MOD(EE$3-'الموظفون'!$D$7,CycleWork+CycleRest)*3/CycleWork)+MATCH(StartShift,'الإعدادات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الإجازات'!$D$5:$D$104&lt;=EE$3)*(('حجز الإجازات'!$E$5:$E$104)&gt;=EE$3)*('حجز الإجازات'!$G$5:$G$104="معتمد")*ROW('حجز الإجازات'!$B$5:$B$104)))-5+1))</f>
        <v/>
      </c>
      <c r="EF9" s="62">
        <f>IF(SUMPRODUCT(('حجز الإجازات'!$B$5:$B$104='الموظفون'!$B$7)*('حجز الإجازات'!$D$5:$D$104&lt;=EF$3)*(('حجز الإجازات'!$E$5:$E$104)&gt;=EF$3)*('حجز الإجازات'!$G$5:$G$104="معتمد")*ROW('حجز الإجازات'!$B$5:$B$104))=0,IF(EF$3&lt;'الموظفون'!$D$7,"",IF(ISNUMBER(MATCH(EF$3,Holidays,0)),"عطلة",IF(MOD(EF$3-'الموظفون'!$D$7,CycleWork+CycleRest)&lt;CycleWork,INDEX('الإعدادات والقوائم'!$H$2:$H$4,MOD(INT(MOD(EF$3-'الموظفون'!$D$7,CycleWork+CycleRest)*3/CycleWork)+MATCH(StartShift,'الإعدادات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الإجازات'!$D$5:$D$104&lt;=EF$3)*(('حجز الإجازات'!$E$5:$E$104)&gt;=EF$3)*('حجز الإجازات'!$G$5:$G$104="معتمد")*ROW('حجز الإجازات'!$B$5:$B$104)))-5+1))</f>
        <v/>
      </c>
      <c r="EG9" s="62">
        <f>IF(SUMPRODUCT(('حجز الإجازات'!$B$5:$B$104='الموظفون'!$B$7)*('حجز الإجازات'!$D$5:$D$104&lt;=EG$3)*(('حجز الإجازات'!$E$5:$E$104)&gt;=EG$3)*('حجز الإجازات'!$G$5:$G$104="معتمد")*ROW('حجز الإجازات'!$B$5:$B$104))=0,IF(EG$3&lt;'الموظفون'!$D$7,"",IF(ISNUMBER(MATCH(EG$3,Holidays,0)),"عطلة",IF(MOD(EG$3-'الموظفون'!$D$7,CycleWork+CycleRest)&lt;CycleWork,INDEX('الإعدادات والقوائم'!$H$2:$H$4,MOD(INT(MOD(EG$3-'الموظفون'!$D$7,CycleWork+CycleRest)*3/CycleWork)+MATCH(StartShift,'الإعدادات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الإجازات'!$D$5:$D$104&lt;=EG$3)*(('حجز الإجازات'!$E$5:$E$104)&gt;=EG$3)*('حجز الإجازات'!$G$5:$G$104="معتمد")*ROW('حجز الإجازات'!$B$5:$B$104)))-5+1))</f>
        <v/>
      </c>
      <c r="EH9" s="62">
        <f>IF(SUMPRODUCT(('حجز الإجازات'!$B$5:$B$104='الموظفون'!$B$7)*('حجز الإجازات'!$D$5:$D$104&lt;=EH$3)*(('حجز الإجازات'!$E$5:$E$104)&gt;=EH$3)*('حجز الإجازات'!$G$5:$G$104="معتمد")*ROW('حجز الإجازات'!$B$5:$B$104))=0,IF(EH$3&lt;'الموظفون'!$D$7,"",IF(ISNUMBER(MATCH(EH$3,Holidays,0)),"عطلة",IF(MOD(EH$3-'الموظفون'!$D$7,CycleWork+CycleRest)&lt;CycleWork,INDEX('الإعدادات والقوائم'!$H$2:$H$4,MOD(INT(MOD(EH$3-'الموظفون'!$D$7,CycleWork+CycleRest)*3/CycleWork)+MATCH(StartShift,'الإعدادات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الإجازات'!$D$5:$D$104&lt;=EH$3)*(('حجز الإجازات'!$E$5:$E$104)&gt;=EH$3)*('حجز الإجازات'!$G$5:$G$104="معتمد")*ROW('حجز الإجازات'!$B$5:$B$104)))-5+1))</f>
        <v/>
      </c>
      <c r="EI9" s="62">
        <f>IF(SUMPRODUCT(('حجز الإجازات'!$B$5:$B$104='الموظفون'!$B$7)*('حجز الإجازات'!$D$5:$D$104&lt;=EI$3)*(('حجز الإجازات'!$E$5:$E$104)&gt;=EI$3)*('حجز الإجازات'!$G$5:$G$104="معتمد")*ROW('حجز الإجازات'!$B$5:$B$104))=0,IF(EI$3&lt;'الموظفون'!$D$7,"",IF(ISNUMBER(MATCH(EI$3,Holidays,0)),"عطلة",IF(MOD(EI$3-'الموظفون'!$D$7,CycleWork+CycleRest)&lt;CycleWork,INDEX('الإعدادات والقوائم'!$H$2:$H$4,MOD(INT(MOD(EI$3-'الموظفون'!$D$7,CycleWork+CycleRest)*3/CycleWork)+MATCH(StartShift,'الإعدادات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الإجازات'!$D$5:$D$104&lt;=EI$3)*(('حجز الإجازات'!$E$5:$E$104)&gt;=EI$3)*('حجز الإجازات'!$G$5:$G$104="معتمد")*ROW('حجز الإجازات'!$B$5:$B$104)))-5+1))</f>
        <v/>
      </c>
      <c r="EJ9" s="62">
        <f>IF(SUMPRODUCT(('حجز الإجازات'!$B$5:$B$104='الموظفون'!$B$7)*('حجز الإجازات'!$D$5:$D$104&lt;=EJ$3)*(('حجز الإجازات'!$E$5:$E$104)&gt;=EJ$3)*('حجز الإجازات'!$G$5:$G$104="معتمد")*ROW('حجز الإجازات'!$B$5:$B$104))=0,IF(EJ$3&lt;'الموظفون'!$D$7,"",IF(ISNUMBER(MATCH(EJ$3,Holidays,0)),"عطلة",IF(MOD(EJ$3-'الموظفون'!$D$7,CycleWork+CycleRest)&lt;CycleWork,INDEX('الإعدادات والقوائم'!$H$2:$H$4,MOD(INT(MOD(EJ$3-'الموظفون'!$D$7,CycleWork+CycleRest)*3/CycleWork)+MATCH(StartShift,'الإعدادات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الإجازات'!$D$5:$D$104&lt;=EJ$3)*(('حجز الإجازات'!$E$5:$E$104)&gt;=EJ$3)*('حجز الإجازات'!$G$5:$G$104="معتمد")*ROW('حجز الإجازات'!$B$5:$B$104)))-5+1))</f>
        <v/>
      </c>
      <c r="EK9" s="62">
        <f>IF(SUMPRODUCT(('حجز الإجازات'!$B$5:$B$104='الموظفون'!$B$7)*('حجز الإجازات'!$D$5:$D$104&lt;=EK$3)*(('حجز الإجازات'!$E$5:$E$104)&gt;=EK$3)*('حجز الإجازات'!$G$5:$G$104="معتمد")*ROW('حجز الإجازات'!$B$5:$B$104))=0,IF(EK$3&lt;'الموظفون'!$D$7,"",IF(ISNUMBER(MATCH(EK$3,Holidays,0)),"عطلة",IF(MOD(EK$3-'الموظفون'!$D$7,CycleWork+CycleRest)&lt;CycleWork,INDEX('الإعدادات والقوائم'!$H$2:$H$4,MOD(INT(MOD(EK$3-'الموظفون'!$D$7,CycleWork+CycleRest)*3/CycleWork)+MATCH(StartShift,'الإعدادات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الإجازات'!$D$5:$D$104&lt;=EK$3)*(('حجز الإجازات'!$E$5:$E$104)&gt;=EK$3)*('حجز الإجازات'!$G$5:$G$104="معتمد")*ROW('حجز الإجازات'!$B$5:$B$104)))-5+1))</f>
        <v/>
      </c>
      <c r="EL9" s="62">
        <f>IF(SUMPRODUCT(('حجز الإجازات'!$B$5:$B$104='الموظفون'!$B$7)*('حجز الإجازات'!$D$5:$D$104&lt;=EL$3)*(('حجز الإجازات'!$E$5:$E$104)&gt;=EL$3)*('حجز الإجازات'!$G$5:$G$104="معتمد")*ROW('حجز الإجازات'!$B$5:$B$104))=0,IF(EL$3&lt;'الموظفون'!$D$7,"",IF(ISNUMBER(MATCH(EL$3,Holidays,0)),"عطلة",IF(MOD(EL$3-'الموظفون'!$D$7,CycleWork+CycleRest)&lt;CycleWork,INDEX('الإعدادات والقوائم'!$H$2:$H$4,MOD(INT(MOD(EL$3-'الموظفون'!$D$7,CycleWork+CycleRest)*3/CycleWork)+MATCH(StartShift,'الإعدادات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الإجازات'!$D$5:$D$104&lt;=EL$3)*(('حجز الإجازات'!$E$5:$E$104)&gt;=EL$3)*('حجز الإجازات'!$G$5:$G$104="معتمد")*ROW('حجز الإجازات'!$B$5:$B$104)))-5+1))</f>
        <v/>
      </c>
      <c r="EM9" s="62">
        <f>IF(SUMPRODUCT(('حجز الإجازات'!$B$5:$B$104='الموظفون'!$B$7)*('حجز الإجازات'!$D$5:$D$104&lt;=EM$3)*(('حجز الإجازات'!$E$5:$E$104)&gt;=EM$3)*('حجز الإجازات'!$G$5:$G$104="معتمد")*ROW('حجز الإجازات'!$B$5:$B$104))=0,IF(EM$3&lt;'الموظفون'!$D$7,"",IF(ISNUMBER(MATCH(EM$3,Holidays,0)),"عطلة",IF(MOD(EM$3-'الموظفون'!$D$7,CycleWork+CycleRest)&lt;CycleWork,INDEX('الإعدادات والقوائم'!$H$2:$H$4,MOD(INT(MOD(EM$3-'الموظفون'!$D$7,CycleWork+CycleRest)*3/CycleWork)+MATCH(StartShift,'الإعدادات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الإجازات'!$D$5:$D$104&lt;=EM$3)*(('حجز الإجازات'!$E$5:$E$104)&gt;=EM$3)*('حجز الإجازات'!$G$5:$G$104="معتمد")*ROW('حجز الإجازات'!$B$5:$B$104)))-5+1))</f>
        <v/>
      </c>
      <c r="EN9" s="62">
        <f>IF(SUMPRODUCT(('حجز الإجازات'!$B$5:$B$104='الموظفون'!$B$7)*('حجز الإجازات'!$D$5:$D$104&lt;=EN$3)*(('حجز الإجازات'!$E$5:$E$104)&gt;=EN$3)*('حجز الإجازات'!$G$5:$G$104="معتمد")*ROW('حجز الإجازات'!$B$5:$B$104))=0,IF(EN$3&lt;'الموظفون'!$D$7,"",IF(ISNUMBER(MATCH(EN$3,Holidays,0)),"عطلة",IF(MOD(EN$3-'الموظفون'!$D$7,CycleWork+CycleRest)&lt;CycleWork,INDEX('الإعدادات والقوائم'!$H$2:$H$4,MOD(INT(MOD(EN$3-'الموظفون'!$D$7,CycleWork+CycleRest)*3/CycleWork)+MATCH(StartShift,'الإعدادات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الإجازات'!$D$5:$D$104&lt;=EN$3)*(('حجز الإجازات'!$E$5:$E$104)&gt;=EN$3)*('حجز الإجازات'!$G$5:$G$104="معتمد")*ROW('حجز الإجازات'!$B$5:$B$104)))-5+1))</f>
        <v/>
      </c>
      <c r="EO9" s="62">
        <f>IF(SUMPRODUCT(('حجز الإجازات'!$B$5:$B$104='الموظفون'!$B$7)*('حجز الإجازات'!$D$5:$D$104&lt;=EO$3)*(('حجز الإجازات'!$E$5:$E$104)&gt;=EO$3)*('حجز الإجازات'!$G$5:$G$104="معتمد")*ROW('حجز الإجازات'!$B$5:$B$104))=0,IF(EO$3&lt;'الموظفون'!$D$7,"",IF(ISNUMBER(MATCH(EO$3,Holidays,0)),"عطلة",IF(MOD(EO$3-'الموظفون'!$D$7,CycleWork+CycleRest)&lt;CycleWork,INDEX('الإعدادات والقوائم'!$H$2:$H$4,MOD(INT(MOD(EO$3-'الموظفون'!$D$7,CycleWork+CycleRest)*3/CycleWork)+MATCH(StartShift,'الإعدادات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الإجازات'!$D$5:$D$104&lt;=EO$3)*(('حجز الإجازات'!$E$5:$E$104)&gt;=EO$3)*('حجز الإجازات'!$G$5:$G$104="معتمد")*ROW('حجز الإجازات'!$B$5:$B$104)))-5+1))</f>
        <v/>
      </c>
      <c r="EP9" s="62">
        <f>IF(SUMPRODUCT(('حجز الإجازات'!$B$5:$B$104='الموظفون'!$B$7)*('حجز الإجازات'!$D$5:$D$104&lt;=EP$3)*(('حجز الإجازات'!$E$5:$E$104)&gt;=EP$3)*('حجز الإجازات'!$G$5:$G$104="معتمد")*ROW('حجز الإجازات'!$B$5:$B$104))=0,IF(EP$3&lt;'الموظفون'!$D$7,"",IF(ISNUMBER(MATCH(EP$3,Holidays,0)),"عطلة",IF(MOD(EP$3-'الموظفون'!$D$7,CycleWork+CycleRest)&lt;CycleWork,INDEX('الإعدادات والقوائم'!$H$2:$H$4,MOD(INT(MOD(EP$3-'الموظفون'!$D$7,CycleWork+CycleRest)*3/CycleWork)+MATCH(StartShift,'الإعدادات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الإجازات'!$D$5:$D$104&lt;=EP$3)*(('حجز الإجازات'!$E$5:$E$104)&gt;=EP$3)*('حجز الإجازات'!$G$5:$G$104="معتمد")*ROW('حجز الإجازات'!$B$5:$B$104)))-5+1))</f>
        <v/>
      </c>
      <c r="EQ9" s="62">
        <f>IF(SUMPRODUCT(('حجز الإجازات'!$B$5:$B$104='الموظفون'!$B$7)*('حجز الإجازات'!$D$5:$D$104&lt;=EQ$3)*(('حجز الإجازات'!$E$5:$E$104)&gt;=EQ$3)*('حجز الإجازات'!$G$5:$G$104="معتمد")*ROW('حجز الإجازات'!$B$5:$B$104))=0,IF(EQ$3&lt;'الموظفون'!$D$7,"",IF(ISNUMBER(MATCH(EQ$3,Holidays,0)),"عطلة",IF(MOD(EQ$3-'الموظفون'!$D$7,CycleWork+CycleRest)&lt;CycleWork,INDEX('الإعدادات والقوائم'!$H$2:$H$4,MOD(INT(MOD(EQ$3-'الموظفون'!$D$7,CycleWork+CycleRest)*3/CycleWork)+MATCH(StartShift,'الإعدادات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الإجازات'!$D$5:$D$104&lt;=EQ$3)*(('حجز الإجازات'!$E$5:$E$104)&gt;=EQ$3)*('حجز الإجازات'!$G$5:$G$104="معتمد")*ROW('حجز الإجازات'!$B$5:$B$104)))-5+1))</f>
        <v/>
      </c>
      <c r="ER9" s="62">
        <f>IF(SUMPRODUCT(('حجز الإجازات'!$B$5:$B$104='الموظفون'!$B$7)*('حجز الإجازات'!$D$5:$D$104&lt;=ER$3)*(('حجز الإجازات'!$E$5:$E$104)&gt;=ER$3)*('حجز الإجازات'!$G$5:$G$104="معتمد")*ROW('حجز الإجازات'!$B$5:$B$104))=0,IF(ER$3&lt;'الموظفون'!$D$7,"",IF(ISNUMBER(MATCH(ER$3,Holidays,0)),"عطلة",IF(MOD(ER$3-'الموظفون'!$D$7,CycleWork+CycleRest)&lt;CycleWork,INDEX('الإعدادات والقوائم'!$H$2:$H$4,MOD(INT(MOD(ER$3-'الموظفون'!$D$7,CycleWork+CycleRest)*3/CycleWork)+MATCH(StartShift,'الإعدادات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الإجازات'!$D$5:$D$104&lt;=ER$3)*(('حجز الإجازات'!$E$5:$E$104)&gt;=ER$3)*('حجز الإجازات'!$G$5:$G$104="معتمد")*ROW('حجز الإجازات'!$B$5:$B$104)))-5+1))</f>
        <v/>
      </c>
      <c r="ES9" s="62">
        <f>IF(SUMPRODUCT(('حجز الإجازات'!$B$5:$B$104='الموظفون'!$B$7)*('حجز الإجازات'!$D$5:$D$104&lt;=ES$3)*(('حجز الإجازات'!$E$5:$E$104)&gt;=ES$3)*('حجز الإجازات'!$G$5:$G$104="معتمد")*ROW('حجز الإجازات'!$B$5:$B$104))=0,IF(ES$3&lt;'الموظفون'!$D$7,"",IF(ISNUMBER(MATCH(ES$3,Holidays,0)),"عطلة",IF(MOD(ES$3-'الموظفون'!$D$7,CycleWork+CycleRest)&lt;CycleWork,INDEX('الإعدادات والقوائم'!$H$2:$H$4,MOD(INT(MOD(ES$3-'الموظفون'!$D$7,CycleWork+CycleRest)*3/CycleWork)+MATCH(StartShift,'الإعدادات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الإجازات'!$D$5:$D$104&lt;=ES$3)*(('حجز الإجازات'!$E$5:$E$104)&gt;=ES$3)*('حجز الإجازات'!$G$5:$G$104="معتمد")*ROW('حجز الإجازات'!$B$5:$B$104)))-5+1))</f>
        <v/>
      </c>
      <c r="ET9" s="62">
        <f>IF(SUMPRODUCT(('حجز الإجازات'!$B$5:$B$104='الموظفون'!$B$7)*('حجز الإجازات'!$D$5:$D$104&lt;=ET$3)*(('حجز الإجازات'!$E$5:$E$104)&gt;=ET$3)*('حجز الإجازات'!$G$5:$G$104="معتمد")*ROW('حجز الإجازات'!$B$5:$B$104))=0,IF(ET$3&lt;'الموظفون'!$D$7,"",IF(ISNUMBER(MATCH(ET$3,Holidays,0)),"عطلة",IF(MOD(ET$3-'الموظفون'!$D$7,CycleWork+CycleRest)&lt;CycleWork,INDEX('الإعدادات والقوائم'!$H$2:$H$4,MOD(INT(MOD(ET$3-'الموظفون'!$D$7,CycleWork+CycleRest)*3/CycleWork)+MATCH(StartShift,'الإعدادات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الإجازات'!$D$5:$D$104&lt;=ET$3)*(('حجز الإجازات'!$E$5:$E$104)&gt;=ET$3)*('حجز الإجازات'!$G$5:$G$104="معتمد")*ROW('حجز الإجازات'!$B$5:$B$104)))-5+1))</f>
        <v/>
      </c>
      <c r="EU9" s="62">
        <f>IF(SUMPRODUCT(('حجز الإجازات'!$B$5:$B$104='الموظفون'!$B$7)*('حجز الإجازات'!$D$5:$D$104&lt;=EU$3)*(('حجز الإجازات'!$E$5:$E$104)&gt;=EU$3)*('حجز الإجازات'!$G$5:$G$104="معتمد")*ROW('حجز الإجازات'!$B$5:$B$104))=0,IF(EU$3&lt;'الموظفون'!$D$7,"",IF(ISNUMBER(MATCH(EU$3,Holidays,0)),"عطلة",IF(MOD(EU$3-'الموظفون'!$D$7,CycleWork+CycleRest)&lt;CycleWork,INDEX('الإعدادات والقوائم'!$H$2:$H$4,MOD(INT(MOD(EU$3-'الموظفون'!$D$7,CycleWork+CycleRest)*3/CycleWork)+MATCH(StartShift,'الإعدادات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الإجازات'!$D$5:$D$104&lt;=EU$3)*(('حجز الإجازات'!$E$5:$E$104)&gt;=EU$3)*('حجز الإجازات'!$G$5:$G$104="معتمد")*ROW('حجز الإجازات'!$B$5:$B$104)))-5+1))</f>
        <v/>
      </c>
      <c r="EV9" s="62">
        <f>IF(SUMPRODUCT(('حجز الإجازات'!$B$5:$B$104='الموظفون'!$B$7)*('حجز الإجازات'!$D$5:$D$104&lt;=EV$3)*(('حجز الإجازات'!$E$5:$E$104)&gt;=EV$3)*('حجز الإجازات'!$G$5:$G$104="معتمد")*ROW('حجز الإجازات'!$B$5:$B$104))=0,IF(EV$3&lt;'الموظفون'!$D$7,"",IF(ISNUMBER(MATCH(EV$3,Holidays,0)),"عطلة",IF(MOD(EV$3-'الموظفون'!$D$7,CycleWork+CycleRest)&lt;CycleWork,INDEX('الإعدادات والقوائم'!$H$2:$H$4,MOD(INT(MOD(EV$3-'الموظفون'!$D$7,CycleWork+CycleRest)*3/CycleWork)+MATCH(StartShift,'الإعدادات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الإجازات'!$D$5:$D$104&lt;=EV$3)*(('حجز الإجازات'!$E$5:$E$104)&gt;=EV$3)*('حجز الإجازات'!$G$5:$G$104="معتمد")*ROW('حجز الإجازات'!$B$5:$B$104)))-5+1))</f>
        <v/>
      </c>
      <c r="EW9" s="62">
        <f>IF(SUMPRODUCT(('حجز الإجازات'!$B$5:$B$104='الموظفون'!$B$7)*('حجز الإجازات'!$D$5:$D$104&lt;=EW$3)*(('حجز الإجازات'!$E$5:$E$104)&gt;=EW$3)*('حجز الإجازات'!$G$5:$G$104="معتمد")*ROW('حجز الإجازات'!$B$5:$B$104))=0,IF(EW$3&lt;'الموظفون'!$D$7,"",IF(ISNUMBER(MATCH(EW$3,Holidays,0)),"عطلة",IF(MOD(EW$3-'الموظفون'!$D$7,CycleWork+CycleRest)&lt;CycleWork,INDEX('الإعدادات والقوائم'!$H$2:$H$4,MOD(INT(MOD(EW$3-'الموظفون'!$D$7,CycleWork+CycleRest)*3/CycleWork)+MATCH(StartShift,'الإعدادات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الإجازات'!$D$5:$D$104&lt;=EW$3)*(('حجز الإجازات'!$E$5:$E$104)&gt;=EW$3)*('حجز الإجازات'!$G$5:$G$104="معتمد")*ROW('حجز الإجازات'!$B$5:$B$104)))-5+1))</f>
        <v/>
      </c>
      <c r="EX9" s="62">
        <f>IF(SUMPRODUCT(('حجز الإجازات'!$B$5:$B$104='الموظفون'!$B$7)*('حجز الإجازات'!$D$5:$D$104&lt;=EX$3)*(('حجز الإجازات'!$E$5:$E$104)&gt;=EX$3)*('حجز الإجازات'!$G$5:$G$104="معتمد")*ROW('حجز الإجازات'!$B$5:$B$104))=0,IF(EX$3&lt;'الموظفون'!$D$7,"",IF(ISNUMBER(MATCH(EX$3,Holidays,0)),"عطلة",IF(MOD(EX$3-'الموظفون'!$D$7,CycleWork+CycleRest)&lt;CycleWork,INDEX('الإعدادات والقوائم'!$H$2:$H$4,MOD(INT(MOD(EX$3-'الموظفون'!$D$7,CycleWork+CycleRest)*3/CycleWork)+MATCH(StartShift,'الإعدادات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الإجازات'!$D$5:$D$104&lt;=EX$3)*(('حجز الإجازات'!$E$5:$E$104)&gt;=EX$3)*('حجز الإجازات'!$G$5:$G$104="معتمد")*ROW('حجز الإجازات'!$B$5:$B$104)))-5+1))</f>
        <v/>
      </c>
      <c r="EY9" s="62">
        <f>IF(SUMPRODUCT(('حجز الإجازات'!$B$5:$B$104='الموظفون'!$B$7)*('حجز الإجازات'!$D$5:$D$104&lt;=EY$3)*(('حجز الإجازات'!$E$5:$E$104)&gt;=EY$3)*('حجز الإجازات'!$G$5:$G$104="معتمد")*ROW('حجز الإجازات'!$B$5:$B$104))=0,IF(EY$3&lt;'الموظفون'!$D$7,"",IF(ISNUMBER(MATCH(EY$3,Holidays,0)),"عطلة",IF(MOD(EY$3-'الموظفون'!$D$7,CycleWork+CycleRest)&lt;CycleWork,INDEX('الإعدادات والقوائم'!$H$2:$H$4,MOD(INT(MOD(EY$3-'الموظفون'!$D$7,CycleWork+CycleRest)*3/CycleWork)+MATCH(StartShift,'الإعدادات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الإجازات'!$D$5:$D$104&lt;=EY$3)*(('حجز الإجازات'!$E$5:$E$104)&gt;=EY$3)*('حجز الإجازات'!$G$5:$G$104="معتمد")*ROW('حجز الإجازات'!$B$5:$B$104)))-5+1))</f>
        <v/>
      </c>
      <c r="EZ9" s="62">
        <f>IF(SUMPRODUCT(('حجز الإجازات'!$B$5:$B$104='الموظفون'!$B$7)*('حجز الإجازات'!$D$5:$D$104&lt;=EZ$3)*(('حجز الإجازات'!$E$5:$E$104)&gt;=EZ$3)*('حجز الإجازات'!$G$5:$G$104="معتمد")*ROW('حجز الإجازات'!$B$5:$B$104))=0,IF(EZ$3&lt;'الموظفون'!$D$7,"",IF(ISNUMBER(MATCH(EZ$3,Holidays,0)),"عطلة",IF(MOD(EZ$3-'الموظفون'!$D$7,CycleWork+CycleRest)&lt;CycleWork,INDEX('الإعدادات والقوائم'!$H$2:$H$4,MOD(INT(MOD(EZ$3-'الموظفون'!$D$7,CycleWork+CycleRest)*3/CycleWork)+MATCH(StartShift,'الإعدادات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الإجازات'!$D$5:$D$104&lt;=EZ$3)*(('حجز الإجازات'!$E$5:$E$104)&gt;=EZ$3)*('حجز الإجازات'!$G$5:$G$104="معتمد")*ROW('حجز الإجازات'!$B$5:$B$104)))-5+1))</f>
        <v/>
      </c>
      <c r="FA9" s="62">
        <f>IF(SUMPRODUCT(('حجز الإجازات'!$B$5:$B$104='الموظفون'!$B$7)*('حجز الإجازات'!$D$5:$D$104&lt;=FA$3)*(('حجز الإجازات'!$E$5:$E$104)&gt;=FA$3)*('حجز الإجازات'!$G$5:$G$104="معتمد")*ROW('حجز الإجازات'!$B$5:$B$104))=0,IF(FA$3&lt;'الموظفون'!$D$7,"",IF(ISNUMBER(MATCH(FA$3,Holidays,0)),"عطلة",IF(MOD(FA$3-'الموظفون'!$D$7,CycleWork+CycleRest)&lt;CycleWork,INDEX('الإعدادات والقوائم'!$H$2:$H$4,MOD(INT(MOD(FA$3-'الموظفون'!$D$7,CycleWork+CycleRest)*3/CycleWork)+MATCH(StartShift,'الإعدادات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الإجازات'!$D$5:$D$104&lt;=FA$3)*(('حجز الإجازات'!$E$5:$E$104)&gt;=FA$3)*('حجز الإجازات'!$G$5:$G$104="معتمد")*ROW('حجز الإجازات'!$B$5:$B$104)))-5+1))</f>
        <v/>
      </c>
      <c r="FB9" s="62">
        <f>IF(SUMPRODUCT(('حجز الإجازات'!$B$5:$B$104='الموظفون'!$B$7)*('حجز الإجازات'!$D$5:$D$104&lt;=FB$3)*(('حجز الإجازات'!$E$5:$E$104)&gt;=FB$3)*('حجز الإجازات'!$G$5:$G$104="معتمد")*ROW('حجز الإجازات'!$B$5:$B$104))=0,IF(FB$3&lt;'الموظفون'!$D$7,"",IF(ISNUMBER(MATCH(FB$3,Holidays,0)),"عطلة",IF(MOD(FB$3-'الموظفون'!$D$7,CycleWork+CycleRest)&lt;CycleWork,INDEX('الإعدادات والقوائم'!$H$2:$H$4,MOD(INT(MOD(FB$3-'الموظفون'!$D$7,CycleWork+CycleRest)*3/CycleWork)+MATCH(StartShift,'الإعدادات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الإجازات'!$D$5:$D$104&lt;=FB$3)*(('حجز الإجازات'!$E$5:$E$104)&gt;=FB$3)*('حجز الإجازات'!$G$5:$G$104="معتمد")*ROW('حجز الإجازات'!$B$5:$B$104)))-5+1))</f>
        <v/>
      </c>
      <c r="FC9" s="62">
        <f>IF(SUMPRODUCT(('حجز الإجازات'!$B$5:$B$104='الموظفون'!$B$7)*('حجز الإجازات'!$D$5:$D$104&lt;=FC$3)*(('حجز الإجازات'!$E$5:$E$104)&gt;=FC$3)*('حجز الإجازات'!$G$5:$G$104="معتمد")*ROW('حجز الإجازات'!$B$5:$B$104))=0,IF(FC$3&lt;'الموظفون'!$D$7,"",IF(ISNUMBER(MATCH(FC$3,Holidays,0)),"عطلة",IF(MOD(FC$3-'الموظفون'!$D$7,CycleWork+CycleRest)&lt;CycleWork,INDEX('الإعدادات والقوائم'!$H$2:$H$4,MOD(INT(MOD(FC$3-'الموظفون'!$D$7,CycleWork+CycleRest)*3/CycleWork)+MATCH(StartShift,'الإعدادات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الإجازات'!$D$5:$D$104&lt;=FC$3)*(('حجز الإجازات'!$E$5:$E$104)&gt;=FC$3)*('حجز الإجازات'!$G$5:$G$104="معتمد")*ROW('حجز الإجازات'!$B$5:$B$104)))-5+1))</f>
        <v/>
      </c>
      <c r="FD9" s="62">
        <f>IF(SUMPRODUCT(('حجز الإجازات'!$B$5:$B$104='الموظفون'!$B$7)*('حجز الإجازات'!$D$5:$D$104&lt;=FD$3)*(('حجز الإجازات'!$E$5:$E$104)&gt;=FD$3)*('حجز الإجازات'!$G$5:$G$104="معتمد")*ROW('حجز الإجازات'!$B$5:$B$104))=0,IF(FD$3&lt;'الموظفون'!$D$7,"",IF(ISNUMBER(MATCH(FD$3,Holidays,0)),"عطلة",IF(MOD(FD$3-'الموظفون'!$D$7,CycleWork+CycleRest)&lt;CycleWork,INDEX('الإعدادات والقوائم'!$H$2:$H$4,MOD(INT(MOD(FD$3-'الموظفون'!$D$7,CycleWork+CycleRest)*3/CycleWork)+MATCH(StartShift,'الإعدادات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الإجازات'!$D$5:$D$104&lt;=FD$3)*(('حجز الإجازات'!$E$5:$E$104)&gt;=FD$3)*('حجز الإجازات'!$G$5:$G$104="معتمد")*ROW('حجز الإجازات'!$B$5:$B$104)))-5+1))</f>
        <v/>
      </c>
      <c r="FE9" s="62">
        <f>IF(SUMPRODUCT(('حجز الإجازات'!$B$5:$B$104='الموظفون'!$B$7)*('حجز الإجازات'!$D$5:$D$104&lt;=FE$3)*(('حجز الإجازات'!$E$5:$E$104)&gt;=FE$3)*('حجز الإجازات'!$G$5:$G$104="معتمد")*ROW('حجز الإجازات'!$B$5:$B$104))=0,IF(FE$3&lt;'الموظفون'!$D$7,"",IF(ISNUMBER(MATCH(FE$3,Holidays,0)),"عطلة",IF(MOD(FE$3-'الموظفون'!$D$7,CycleWork+CycleRest)&lt;CycleWork,INDEX('الإعدادات والقوائم'!$H$2:$H$4,MOD(INT(MOD(FE$3-'الموظفون'!$D$7,CycleWork+CycleRest)*3/CycleWork)+MATCH(StartShift,'الإعدادات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الإجازات'!$D$5:$D$104&lt;=FE$3)*(('حجز الإجازات'!$E$5:$E$104)&gt;=FE$3)*('حجز الإجازات'!$G$5:$G$104="معتمد")*ROW('حجز الإجازات'!$B$5:$B$104)))-5+1))</f>
        <v/>
      </c>
      <c r="FF9" s="62">
        <f>IF(SUMPRODUCT(('حجز الإجازات'!$B$5:$B$104='الموظفون'!$B$7)*('حجز الإجازات'!$D$5:$D$104&lt;=FF$3)*(('حجز الإجازات'!$E$5:$E$104)&gt;=FF$3)*('حجز الإجازات'!$G$5:$G$104="معتمد")*ROW('حجز الإجازات'!$B$5:$B$104))=0,IF(FF$3&lt;'الموظفون'!$D$7,"",IF(ISNUMBER(MATCH(FF$3,Holidays,0)),"عطلة",IF(MOD(FF$3-'الموظفون'!$D$7,CycleWork+CycleRest)&lt;CycleWork,INDEX('الإعدادات والقوائم'!$H$2:$H$4,MOD(INT(MOD(FF$3-'الموظفون'!$D$7,CycleWork+CycleRest)*3/CycleWork)+MATCH(StartShift,'الإعدادات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الإجازات'!$D$5:$D$104&lt;=FF$3)*(('حجز الإجازات'!$E$5:$E$104)&gt;=FF$3)*('حجز الإجازات'!$G$5:$G$104="معتمد")*ROW('حجز الإجازات'!$B$5:$B$104)))-5+1))</f>
        <v/>
      </c>
      <c r="FG9" s="62">
        <f>IF(SUMPRODUCT(('حجز الإجازات'!$B$5:$B$104='الموظفون'!$B$7)*('حجز الإجازات'!$D$5:$D$104&lt;=FG$3)*(('حجز الإجازات'!$E$5:$E$104)&gt;=FG$3)*('حجز الإجازات'!$G$5:$G$104="معتمد")*ROW('حجز الإجازات'!$B$5:$B$104))=0,IF(FG$3&lt;'الموظفون'!$D$7,"",IF(ISNUMBER(MATCH(FG$3,Holidays,0)),"عطلة",IF(MOD(FG$3-'الموظفون'!$D$7,CycleWork+CycleRest)&lt;CycleWork,INDEX('الإعدادات والقوائم'!$H$2:$H$4,MOD(INT(MOD(FG$3-'الموظفون'!$D$7,CycleWork+CycleRest)*3/CycleWork)+MATCH(StartShift,'الإعدادات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الإجازات'!$D$5:$D$104&lt;=FG$3)*(('حجز الإجازات'!$E$5:$E$104)&gt;=FG$3)*('حجز الإجازات'!$G$5:$G$104="معتمد")*ROW('حجز الإجازات'!$B$5:$B$104)))-5+1))</f>
        <v/>
      </c>
      <c r="FH9" s="62">
        <f>IF(SUMPRODUCT(('حجز الإجازات'!$B$5:$B$104='الموظفون'!$B$7)*('حجز الإجازات'!$D$5:$D$104&lt;=FH$3)*(('حجز الإجازات'!$E$5:$E$104)&gt;=FH$3)*('حجز الإجازات'!$G$5:$G$104="معتمد")*ROW('حجز الإجازات'!$B$5:$B$104))=0,IF(FH$3&lt;'الموظفون'!$D$7,"",IF(ISNUMBER(MATCH(FH$3,Holidays,0)),"عطلة",IF(MOD(FH$3-'الموظفون'!$D$7,CycleWork+CycleRest)&lt;CycleWork,INDEX('الإعدادات والقوائم'!$H$2:$H$4,MOD(INT(MOD(FH$3-'الموظفون'!$D$7,CycleWork+CycleRest)*3/CycleWork)+MATCH(StartShift,'الإعدادات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الإجازات'!$D$5:$D$104&lt;=FH$3)*(('حجز الإجازات'!$E$5:$E$104)&gt;=FH$3)*('حجز الإجازات'!$G$5:$G$104="معتمد")*ROW('حجز الإجازات'!$B$5:$B$104)))-5+1))</f>
        <v/>
      </c>
      <c r="FI9" s="62">
        <f>IF(SUMPRODUCT(('حجز الإجازات'!$B$5:$B$104='الموظفون'!$B$7)*('حجز الإجازات'!$D$5:$D$104&lt;=FI$3)*(('حجز الإجازات'!$E$5:$E$104)&gt;=FI$3)*('حجز الإجازات'!$G$5:$G$104="معتمد")*ROW('حجز الإجازات'!$B$5:$B$104))=0,IF(FI$3&lt;'الموظفون'!$D$7,"",IF(ISNUMBER(MATCH(FI$3,Holidays,0)),"عطلة",IF(MOD(FI$3-'الموظفون'!$D$7,CycleWork+CycleRest)&lt;CycleWork,INDEX('الإعدادات والقوائم'!$H$2:$H$4,MOD(INT(MOD(FI$3-'الموظفون'!$D$7,CycleWork+CycleRest)*3/CycleWork)+MATCH(StartShift,'الإعدادات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الإجازات'!$D$5:$D$104&lt;=FI$3)*(('حجز الإجازات'!$E$5:$E$104)&gt;=FI$3)*('حجز الإجازات'!$G$5:$G$104="معتمد")*ROW('حجز الإجازات'!$B$5:$B$104)))-5+1))</f>
        <v/>
      </c>
      <c r="FJ9" s="62">
        <f>IF(SUMPRODUCT(('حجز الإجازات'!$B$5:$B$104='الموظفون'!$B$7)*('حجز الإجازات'!$D$5:$D$104&lt;=FJ$3)*(('حجز الإجازات'!$E$5:$E$104)&gt;=FJ$3)*('حجز الإجازات'!$G$5:$G$104="معتمد")*ROW('حجز الإجازات'!$B$5:$B$104))=0,IF(FJ$3&lt;'الموظفون'!$D$7,"",IF(ISNUMBER(MATCH(FJ$3,Holidays,0)),"عطلة",IF(MOD(FJ$3-'الموظفون'!$D$7,CycleWork+CycleRest)&lt;CycleWork,INDEX('الإعدادات والقوائم'!$H$2:$H$4,MOD(INT(MOD(FJ$3-'الموظفون'!$D$7,CycleWork+CycleRest)*3/CycleWork)+MATCH(StartShift,'الإعدادات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الإجازات'!$D$5:$D$104&lt;=FJ$3)*(('حجز الإجازات'!$E$5:$E$104)&gt;=FJ$3)*('حجز الإجازات'!$G$5:$G$104="معتمد")*ROW('حجز الإجازات'!$B$5:$B$104)))-5+1))</f>
        <v/>
      </c>
      <c r="FK9" s="62">
        <f>IF(SUMPRODUCT(('حجز الإجازات'!$B$5:$B$104='الموظفون'!$B$7)*('حجز الإجازات'!$D$5:$D$104&lt;=FK$3)*(('حجز الإجازات'!$E$5:$E$104)&gt;=FK$3)*('حجز الإجازات'!$G$5:$G$104="معتمد")*ROW('حجز الإجازات'!$B$5:$B$104))=0,IF(FK$3&lt;'الموظفون'!$D$7,"",IF(ISNUMBER(MATCH(FK$3,Holidays,0)),"عطلة",IF(MOD(FK$3-'الموظفون'!$D$7,CycleWork+CycleRest)&lt;CycleWork,INDEX('الإعدادات والقوائم'!$H$2:$H$4,MOD(INT(MOD(FK$3-'الموظفون'!$D$7,CycleWork+CycleRest)*3/CycleWork)+MATCH(StartShift,'الإعدادات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الإجازات'!$D$5:$D$104&lt;=FK$3)*(('حجز الإجازات'!$E$5:$E$104)&gt;=FK$3)*('حجز الإجازات'!$G$5:$G$104="معتمد")*ROW('حجز الإجازات'!$B$5:$B$104)))-5+1))</f>
        <v/>
      </c>
      <c r="FL9" s="62">
        <f>IF(SUMPRODUCT(('حجز الإجازات'!$B$5:$B$104='الموظفون'!$B$7)*('حجز الإجازات'!$D$5:$D$104&lt;=FL$3)*(('حجز الإجازات'!$E$5:$E$104)&gt;=FL$3)*('حجز الإجازات'!$G$5:$G$104="معتمد")*ROW('حجز الإجازات'!$B$5:$B$104))=0,IF(FL$3&lt;'الموظفون'!$D$7,"",IF(ISNUMBER(MATCH(FL$3,Holidays,0)),"عطلة",IF(MOD(FL$3-'الموظفون'!$D$7,CycleWork+CycleRest)&lt;CycleWork,INDEX('الإعدادات والقوائم'!$H$2:$H$4,MOD(INT(MOD(FL$3-'الموظفون'!$D$7,CycleWork+CycleRest)*3/CycleWork)+MATCH(StartShift,'الإعدادات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الإجازات'!$D$5:$D$104&lt;=FL$3)*(('حجز الإجازات'!$E$5:$E$104)&gt;=FL$3)*('حجز الإجازات'!$G$5:$G$104="معتمد")*ROW('حجز الإجازات'!$B$5:$B$104)))-5+1))</f>
        <v/>
      </c>
      <c r="FM9" s="62">
        <f>IF(SUMPRODUCT(('حجز الإجازات'!$B$5:$B$104='الموظفون'!$B$7)*('حجز الإجازات'!$D$5:$D$104&lt;=FM$3)*(('حجز الإجازات'!$E$5:$E$104)&gt;=FM$3)*('حجز الإجازات'!$G$5:$G$104="معتمد")*ROW('حجز الإجازات'!$B$5:$B$104))=0,IF(FM$3&lt;'الموظفون'!$D$7,"",IF(ISNUMBER(MATCH(FM$3,Holidays,0)),"عطلة",IF(MOD(FM$3-'الموظفون'!$D$7,CycleWork+CycleRest)&lt;CycleWork,INDEX('الإعدادات والقوائم'!$H$2:$H$4,MOD(INT(MOD(FM$3-'الموظفون'!$D$7,CycleWork+CycleRest)*3/CycleWork)+MATCH(StartShift,'الإعدادات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الإجازات'!$D$5:$D$104&lt;=FM$3)*(('حجز الإجازات'!$E$5:$E$104)&gt;=FM$3)*('حجز الإجازات'!$G$5:$G$104="معتمد")*ROW('حجز الإجازات'!$B$5:$B$104)))-5+1))</f>
        <v/>
      </c>
      <c r="FN9" s="62">
        <f>IF(SUMPRODUCT(('حجز الإجازات'!$B$5:$B$104='الموظفون'!$B$7)*('حجز الإجازات'!$D$5:$D$104&lt;=FN$3)*(('حجز الإجازات'!$E$5:$E$104)&gt;=FN$3)*('حجز الإجازات'!$G$5:$G$104="معتمد")*ROW('حجز الإجازات'!$B$5:$B$104))=0,IF(FN$3&lt;'الموظفون'!$D$7,"",IF(ISNUMBER(MATCH(FN$3,Holidays,0)),"عطلة",IF(MOD(FN$3-'الموظفون'!$D$7,CycleWork+CycleRest)&lt;CycleWork,INDEX('الإعدادات والقوائم'!$H$2:$H$4,MOD(INT(MOD(FN$3-'الموظفون'!$D$7,CycleWork+CycleRest)*3/CycleWork)+MATCH(StartShift,'الإعدادات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الإجازات'!$D$5:$D$104&lt;=FN$3)*(('حجز الإجازات'!$E$5:$E$104)&gt;=FN$3)*('حجز الإجازات'!$G$5:$G$104="معتمد")*ROW('حجز الإجازات'!$B$5:$B$104)))-5+1))</f>
        <v/>
      </c>
      <c r="FO9" s="62">
        <f>IF(SUMPRODUCT(('حجز الإجازات'!$B$5:$B$104='الموظفون'!$B$7)*('حجز الإجازات'!$D$5:$D$104&lt;=FO$3)*(('حجز الإجازات'!$E$5:$E$104)&gt;=FO$3)*('حجز الإجازات'!$G$5:$G$104="معتمد")*ROW('حجز الإجازات'!$B$5:$B$104))=0,IF(FO$3&lt;'الموظفون'!$D$7,"",IF(ISNUMBER(MATCH(FO$3,Holidays,0)),"عطلة",IF(MOD(FO$3-'الموظفون'!$D$7,CycleWork+CycleRest)&lt;CycleWork,INDEX('الإعدادات والقوائم'!$H$2:$H$4,MOD(INT(MOD(FO$3-'الموظفون'!$D$7,CycleWork+CycleRest)*3/CycleWork)+MATCH(StartShift,'الإعدادات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الإجازات'!$D$5:$D$104&lt;=FO$3)*(('حجز الإجازات'!$E$5:$E$104)&gt;=FO$3)*('حجز الإجازات'!$G$5:$G$104="معتمد")*ROW('حجز الإجازات'!$B$5:$B$104)))-5+1))</f>
        <v/>
      </c>
      <c r="FP9" s="62">
        <f>IF(SUMPRODUCT(('حجز الإجازات'!$B$5:$B$104='الموظفون'!$B$7)*('حجز الإجازات'!$D$5:$D$104&lt;=FP$3)*(('حجز الإجازات'!$E$5:$E$104)&gt;=FP$3)*('حجز الإجازات'!$G$5:$G$104="معتمد")*ROW('حجز الإجازات'!$B$5:$B$104))=0,IF(FP$3&lt;'الموظفون'!$D$7,"",IF(ISNUMBER(MATCH(FP$3,Holidays,0)),"عطلة",IF(MOD(FP$3-'الموظفون'!$D$7,CycleWork+CycleRest)&lt;CycleWork,INDEX('الإعدادات والقوائم'!$H$2:$H$4,MOD(INT(MOD(FP$3-'الموظفون'!$D$7,CycleWork+CycleRest)*3/CycleWork)+MATCH(StartShift,'الإعدادات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الإجازات'!$D$5:$D$104&lt;=FP$3)*(('حجز الإجازات'!$E$5:$E$104)&gt;=FP$3)*('حجز الإجازات'!$G$5:$G$104="معتمد")*ROW('حجز الإجازات'!$B$5:$B$104)))-5+1))</f>
        <v/>
      </c>
      <c r="FQ9" s="62">
        <f>IF(SUMPRODUCT(('حجز الإجازات'!$B$5:$B$104='الموظفون'!$B$7)*('حجز الإجازات'!$D$5:$D$104&lt;=FQ$3)*(('حجز الإجازات'!$E$5:$E$104)&gt;=FQ$3)*('حجز الإجازات'!$G$5:$G$104="معتمد")*ROW('حجز الإجازات'!$B$5:$B$104))=0,IF(FQ$3&lt;'الموظفون'!$D$7,"",IF(ISNUMBER(MATCH(FQ$3,Holidays,0)),"عطلة",IF(MOD(FQ$3-'الموظفون'!$D$7,CycleWork+CycleRest)&lt;CycleWork,INDEX('الإعدادات والقوائم'!$H$2:$H$4,MOD(INT(MOD(FQ$3-'الموظفون'!$D$7,CycleWork+CycleRest)*3/CycleWork)+MATCH(StartShift,'الإعدادات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الإجازات'!$D$5:$D$104&lt;=FQ$3)*(('حجز الإجازات'!$E$5:$E$104)&gt;=FQ$3)*('حجز الإجازات'!$G$5:$G$104="معتمد")*ROW('حجز الإجازات'!$B$5:$B$104)))-5+1))</f>
        <v/>
      </c>
      <c r="FR9" s="62">
        <f>IF(SUMPRODUCT(('حجز الإجازات'!$B$5:$B$104='الموظفون'!$B$7)*('حجز الإجازات'!$D$5:$D$104&lt;=FR$3)*(('حجز الإجازات'!$E$5:$E$104)&gt;=FR$3)*('حجز الإجازات'!$G$5:$G$104="معتمد")*ROW('حجز الإجازات'!$B$5:$B$104))=0,IF(FR$3&lt;'الموظفون'!$D$7,"",IF(ISNUMBER(MATCH(FR$3,Holidays,0)),"عطلة",IF(MOD(FR$3-'الموظفون'!$D$7,CycleWork+CycleRest)&lt;CycleWork,INDEX('الإعدادات والقوائم'!$H$2:$H$4,MOD(INT(MOD(FR$3-'الموظفون'!$D$7,CycleWork+CycleRest)*3/CycleWork)+MATCH(StartShift,'الإعدادات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الإجازات'!$D$5:$D$104&lt;=FR$3)*(('حجز الإجازات'!$E$5:$E$104)&gt;=FR$3)*('حجز الإجازات'!$G$5:$G$104="معتمد")*ROW('حجز الإجازات'!$B$5:$B$104)))-5+1))</f>
        <v/>
      </c>
      <c r="FS9" s="62">
        <f>IF(SUMPRODUCT(('حجز الإجازات'!$B$5:$B$104='الموظفون'!$B$7)*('حجز الإجازات'!$D$5:$D$104&lt;=FS$3)*(('حجز الإجازات'!$E$5:$E$104)&gt;=FS$3)*('حجز الإجازات'!$G$5:$G$104="معتمد")*ROW('حجز الإجازات'!$B$5:$B$104))=0,IF(FS$3&lt;'الموظفون'!$D$7,"",IF(ISNUMBER(MATCH(FS$3,Holidays,0)),"عطلة",IF(MOD(FS$3-'الموظفون'!$D$7,CycleWork+CycleRest)&lt;CycleWork,INDEX('الإعدادات والقوائم'!$H$2:$H$4,MOD(INT(MOD(FS$3-'الموظفون'!$D$7,CycleWork+CycleRest)*3/CycleWork)+MATCH(StartShift,'الإعدادات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الإجازات'!$D$5:$D$104&lt;=FS$3)*(('حجز الإجازات'!$E$5:$E$104)&gt;=FS$3)*('حجز الإجازات'!$G$5:$G$104="معتمد")*ROW('حجز الإجازات'!$B$5:$B$104)))-5+1))</f>
        <v/>
      </c>
      <c r="FT9" s="62">
        <f>IF(SUMPRODUCT(('حجز الإجازات'!$B$5:$B$104='الموظفون'!$B$7)*('حجز الإجازات'!$D$5:$D$104&lt;=FT$3)*(('حجز الإجازات'!$E$5:$E$104)&gt;=FT$3)*('حجز الإجازات'!$G$5:$G$104="معتمد")*ROW('حجز الإجازات'!$B$5:$B$104))=0,IF(FT$3&lt;'الموظفون'!$D$7,"",IF(ISNUMBER(MATCH(FT$3,Holidays,0)),"عطلة",IF(MOD(FT$3-'الموظفون'!$D$7,CycleWork+CycleRest)&lt;CycleWork,INDEX('الإعدادات والقوائم'!$H$2:$H$4,MOD(INT(MOD(FT$3-'الموظفون'!$D$7,CycleWork+CycleRest)*3/CycleWork)+MATCH(StartShift,'الإعدادات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الإجازات'!$D$5:$D$104&lt;=FT$3)*(('حجز الإجازات'!$E$5:$E$104)&gt;=FT$3)*('حجز الإجازات'!$G$5:$G$104="معتمد")*ROW('حجز الإجازات'!$B$5:$B$104)))-5+1))</f>
        <v/>
      </c>
      <c r="FU9" s="62">
        <f>IF(SUMPRODUCT(('حجز الإجازات'!$B$5:$B$104='الموظفون'!$B$7)*('حجز الإجازات'!$D$5:$D$104&lt;=FU$3)*(('حجز الإجازات'!$E$5:$E$104)&gt;=FU$3)*('حجز الإجازات'!$G$5:$G$104="معتمد")*ROW('حجز الإجازات'!$B$5:$B$104))=0,IF(FU$3&lt;'الموظفون'!$D$7,"",IF(ISNUMBER(MATCH(FU$3,Holidays,0)),"عطلة",IF(MOD(FU$3-'الموظفون'!$D$7,CycleWork+CycleRest)&lt;CycleWork,INDEX('الإعدادات والقوائم'!$H$2:$H$4,MOD(INT(MOD(FU$3-'الموظفون'!$D$7,CycleWork+CycleRest)*3/CycleWork)+MATCH(StartShift,'الإعدادات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الإجازات'!$D$5:$D$104&lt;=FU$3)*(('حجز الإجازات'!$E$5:$E$104)&gt;=FU$3)*('حجز الإجازات'!$G$5:$G$104="معتمد")*ROW('حجز الإجازات'!$B$5:$B$104)))-5+1))</f>
        <v/>
      </c>
      <c r="FV9" s="62">
        <f>IF(SUMPRODUCT(('حجز الإجازات'!$B$5:$B$104='الموظفون'!$B$7)*('حجز الإجازات'!$D$5:$D$104&lt;=FV$3)*(('حجز الإجازات'!$E$5:$E$104)&gt;=FV$3)*('حجز الإجازات'!$G$5:$G$104="معتمد")*ROW('حجز الإجازات'!$B$5:$B$104))=0,IF(FV$3&lt;'الموظفون'!$D$7,"",IF(ISNUMBER(MATCH(FV$3,Holidays,0)),"عطلة",IF(MOD(FV$3-'الموظفون'!$D$7,CycleWork+CycleRest)&lt;CycleWork,INDEX('الإعدادات والقوائم'!$H$2:$H$4,MOD(INT(MOD(FV$3-'الموظفون'!$D$7,CycleWork+CycleRest)*3/CycleWork)+MATCH(StartShift,'الإعدادات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الإجازات'!$D$5:$D$104&lt;=FV$3)*(('حجز الإجازات'!$E$5:$E$104)&gt;=FV$3)*('حجز الإجازات'!$G$5:$G$104="معتمد")*ROW('حجز الإجازات'!$B$5:$B$104)))-5+1))</f>
        <v/>
      </c>
      <c r="FW9" s="62">
        <f>IF(SUMPRODUCT(('حجز الإجازات'!$B$5:$B$104='الموظفون'!$B$7)*('حجز الإجازات'!$D$5:$D$104&lt;=FW$3)*(('حجز الإجازات'!$E$5:$E$104)&gt;=FW$3)*('حجز الإجازات'!$G$5:$G$104="معتمد")*ROW('حجز الإجازات'!$B$5:$B$104))=0,IF(FW$3&lt;'الموظفون'!$D$7,"",IF(ISNUMBER(MATCH(FW$3,Holidays,0)),"عطلة",IF(MOD(FW$3-'الموظفون'!$D$7,CycleWork+CycleRest)&lt;CycleWork,INDEX('الإعدادات والقوائم'!$H$2:$H$4,MOD(INT(MOD(FW$3-'الموظفون'!$D$7,CycleWork+CycleRest)*3/CycleWork)+MATCH(StartShift,'الإعدادات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الإجازات'!$D$5:$D$104&lt;=FW$3)*(('حجز الإجازات'!$E$5:$E$104)&gt;=FW$3)*('حجز الإجازات'!$G$5:$G$104="معتمد")*ROW('حجز الإجازات'!$B$5:$B$104)))-5+1))</f>
        <v/>
      </c>
      <c r="FX9" s="62">
        <f>IF(SUMPRODUCT(('حجز الإجازات'!$B$5:$B$104='الموظفون'!$B$7)*('حجز الإجازات'!$D$5:$D$104&lt;=FX$3)*(('حجز الإجازات'!$E$5:$E$104)&gt;=FX$3)*('حجز الإجازات'!$G$5:$G$104="معتمد")*ROW('حجز الإجازات'!$B$5:$B$104))=0,IF(FX$3&lt;'الموظفون'!$D$7,"",IF(ISNUMBER(MATCH(FX$3,Holidays,0)),"عطلة",IF(MOD(FX$3-'الموظفون'!$D$7,CycleWork+CycleRest)&lt;CycleWork,INDEX('الإعدادات والقوائم'!$H$2:$H$4,MOD(INT(MOD(FX$3-'الموظفون'!$D$7,CycleWork+CycleRest)*3/CycleWork)+MATCH(StartShift,'الإعدادات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الإجازات'!$D$5:$D$104&lt;=FX$3)*(('حجز الإجازات'!$E$5:$E$104)&gt;=FX$3)*('حجز الإجازات'!$G$5:$G$104="معتمد")*ROW('حجز الإجازات'!$B$5:$B$104)))-5+1))</f>
        <v/>
      </c>
      <c r="FY9" s="62">
        <f>IF(SUMPRODUCT(('حجز الإجازات'!$B$5:$B$104='الموظفون'!$B$7)*('حجز الإجازات'!$D$5:$D$104&lt;=FY$3)*(('حجز الإجازات'!$E$5:$E$104)&gt;=FY$3)*('حجز الإجازات'!$G$5:$G$104="معتمد")*ROW('حجز الإجازات'!$B$5:$B$104))=0,IF(FY$3&lt;'الموظفون'!$D$7,"",IF(ISNUMBER(MATCH(FY$3,Holidays,0)),"عطلة",IF(MOD(FY$3-'الموظفون'!$D$7,CycleWork+CycleRest)&lt;CycleWork,INDEX('الإعدادات والقوائم'!$H$2:$H$4,MOD(INT(MOD(FY$3-'الموظفون'!$D$7,CycleWork+CycleRest)*3/CycleWork)+MATCH(StartShift,'الإعدادات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الإجازات'!$D$5:$D$104&lt;=FY$3)*(('حجز الإجازات'!$E$5:$E$104)&gt;=FY$3)*('حجز الإجازات'!$G$5:$G$104="معتمد")*ROW('حجز الإجازات'!$B$5:$B$104)))-5+1))</f>
        <v/>
      </c>
      <c r="FZ9" s="62">
        <f>IF(SUMPRODUCT(('حجز الإجازات'!$B$5:$B$104='الموظفون'!$B$7)*('حجز الإجازات'!$D$5:$D$104&lt;=FZ$3)*(('حجز الإجازات'!$E$5:$E$104)&gt;=FZ$3)*('حجز الإجازات'!$G$5:$G$104="معتمد")*ROW('حجز الإجازات'!$B$5:$B$104))=0,IF(FZ$3&lt;'الموظفون'!$D$7,"",IF(ISNUMBER(MATCH(FZ$3,Holidays,0)),"عطلة",IF(MOD(FZ$3-'الموظفون'!$D$7,CycleWork+CycleRest)&lt;CycleWork,INDEX('الإعدادات والقوائم'!$H$2:$H$4,MOD(INT(MOD(FZ$3-'الموظفون'!$D$7,CycleWork+CycleRest)*3/CycleWork)+MATCH(StartShift,'الإعدادات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الإجازات'!$D$5:$D$104&lt;=FZ$3)*(('حجز الإجازات'!$E$5:$E$104)&gt;=FZ$3)*('حجز الإجازات'!$G$5:$G$104="معتمد")*ROW('حجز الإجازات'!$B$5:$B$104)))-5+1))</f>
        <v/>
      </c>
      <c r="GA9" s="62">
        <f>IF(SUMPRODUCT(('حجز الإجازات'!$B$5:$B$104='الموظفون'!$B$7)*('حجز الإجازات'!$D$5:$D$104&lt;=GA$3)*(('حجز الإجازات'!$E$5:$E$104)&gt;=GA$3)*('حجز الإجازات'!$G$5:$G$104="معتمد")*ROW('حجز الإجازات'!$B$5:$B$104))=0,IF(GA$3&lt;'الموظفون'!$D$7,"",IF(ISNUMBER(MATCH(GA$3,Holidays,0)),"عطلة",IF(MOD(GA$3-'الموظفون'!$D$7,CycleWork+CycleRest)&lt;CycleWork,INDEX('الإعدادات والقوائم'!$H$2:$H$4,MOD(INT(MOD(GA$3-'الموظفون'!$D$7,CycleWork+CycleRest)*3/CycleWork)+MATCH(StartShift,'الإعدادات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الإجازات'!$D$5:$D$104&lt;=GA$3)*(('حجز الإجازات'!$E$5:$E$104)&gt;=GA$3)*('حجز الإجازات'!$G$5:$G$104="معتمد")*ROW('حجز الإجازات'!$B$5:$B$104)))-5+1))</f>
        <v/>
      </c>
      <c r="GB9" s="62">
        <f>IF(SUMPRODUCT(('حجز الإجازات'!$B$5:$B$104='الموظفون'!$B$7)*('حجز الإجازات'!$D$5:$D$104&lt;=GB$3)*(('حجز الإجازات'!$E$5:$E$104)&gt;=GB$3)*('حجز الإجازات'!$G$5:$G$104="معتمد")*ROW('حجز الإجازات'!$B$5:$B$104))=0,IF(GB$3&lt;'الموظفون'!$D$7,"",IF(ISNUMBER(MATCH(GB$3,Holidays,0)),"عطلة",IF(MOD(GB$3-'الموظفون'!$D$7,CycleWork+CycleRest)&lt;CycleWork,INDEX('الإعدادات والقوائم'!$H$2:$H$4,MOD(INT(MOD(GB$3-'الموظفون'!$D$7,CycleWork+CycleRest)*3/CycleWork)+MATCH(StartShift,'الإعدادات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الإجازات'!$D$5:$D$104&lt;=GB$3)*(('حجز الإجازات'!$E$5:$E$104)&gt;=GB$3)*('حجز الإجازات'!$G$5:$G$104="معتمد")*ROW('حجز الإجازات'!$B$5:$B$104)))-5+1))</f>
        <v/>
      </c>
      <c r="GC9" s="62">
        <f>IF(SUMPRODUCT(('حجز الإجازات'!$B$5:$B$104='الموظفون'!$B$7)*('حجز الإجازات'!$D$5:$D$104&lt;=GC$3)*(('حجز الإجازات'!$E$5:$E$104)&gt;=GC$3)*('حجز الإجازات'!$G$5:$G$104="معتمد")*ROW('حجز الإجازات'!$B$5:$B$104))=0,IF(GC$3&lt;'الموظفون'!$D$7,"",IF(ISNUMBER(MATCH(GC$3,Holidays,0)),"عطلة",IF(MOD(GC$3-'الموظفون'!$D$7,CycleWork+CycleRest)&lt;CycleWork,INDEX('الإعدادات والقوائم'!$H$2:$H$4,MOD(INT(MOD(GC$3-'الموظفون'!$D$7,CycleWork+CycleRest)*3/CycleWork)+MATCH(StartShift,'الإعدادات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الإجازات'!$D$5:$D$104&lt;=GC$3)*(('حجز الإجازات'!$E$5:$E$104)&gt;=GC$3)*('حجز الإجازات'!$G$5:$G$104="معتمد")*ROW('حجز الإجازات'!$B$5:$B$104)))-5+1))</f>
        <v/>
      </c>
      <c r="GD9" s="62">
        <f>IF(SUMPRODUCT(('حجز الإجازات'!$B$5:$B$104='الموظفون'!$B$7)*('حجز الإجازات'!$D$5:$D$104&lt;=GD$3)*(('حجز الإجازات'!$E$5:$E$104)&gt;=GD$3)*('حجز الإجازات'!$G$5:$G$104="معتمد")*ROW('حجز الإجازات'!$B$5:$B$104))=0,IF(GD$3&lt;'الموظفون'!$D$7,"",IF(ISNUMBER(MATCH(GD$3,Holidays,0)),"عطلة",IF(MOD(GD$3-'الموظفون'!$D$7,CycleWork+CycleRest)&lt;CycleWork,INDEX('الإعدادات والقوائم'!$H$2:$H$4,MOD(INT(MOD(GD$3-'الموظفون'!$D$7,CycleWork+CycleRest)*3/CycleWork)+MATCH(StartShift,'الإعدادات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الإجازات'!$D$5:$D$104&lt;=GD$3)*(('حجز الإجازات'!$E$5:$E$104)&gt;=GD$3)*('حجز الإجازات'!$G$5:$G$104="معتمد")*ROW('حجز الإجازات'!$B$5:$B$104)))-5+1))</f>
        <v/>
      </c>
      <c r="GE9" s="62">
        <f>IF(SUMPRODUCT(('حجز الإجازات'!$B$5:$B$104='الموظفون'!$B$7)*('حجز الإجازات'!$D$5:$D$104&lt;=GE$3)*(('حجز الإجازات'!$E$5:$E$104)&gt;=GE$3)*('حجز الإجازات'!$G$5:$G$104="معتمد")*ROW('حجز الإجازات'!$B$5:$B$104))=0,IF(GE$3&lt;'الموظفون'!$D$7,"",IF(ISNUMBER(MATCH(GE$3,Holidays,0)),"عطلة",IF(MOD(GE$3-'الموظفون'!$D$7,CycleWork+CycleRest)&lt;CycleWork,INDEX('الإعدادات والقوائم'!$H$2:$H$4,MOD(INT(MOD(GE$3-'الموظفون'!$D$7,CycleWork+CycleRest)*3/CycleWork)+MATCH(StartShift,'الإعدادات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الإجازات'!$D$5:$D$104&lt;=GE$3)*(('حجز الإجازات'!$E$5:$E$104)&gt;=GE$3)*('حجز الإجازات'!$G$5:$G$104="معتمد")*ROW('حجز الإجازات'!$B$5:$B$104)))-5+1))</f>
        <v/>
      </c>
      <c r="GF9" s="62">
        <f>IF(SUMPRODUCT(('حجز الإجازات'!$B$5:$B$104='الموظفون'!$B$7)*('حجز الإجازات'!$D$5:$D$104&lt;=GF$3)*(('حجز الإجازات'!$E$5:$E$104)&gt;=GF$3)*('حجز الإجازات'!$G$5:$G$104="معتمد")*ROW('حجز الإجازات'!$B$5:$B$104))=0,IF(GF$3&lt;'الموظفون'!$D$7,"",IF(ISNUMBER(MATCH(GF$3,Holidays,0)),"عطلة",IF(MOD(GF$3-'الموظفون'!$D$7,CycleWork+CycleRest)&lt;CycleWork,INDEX('الإعدادات والقوائم'!$H$2:$H$4,MOD(INT(MOD(GF$3-'الموظفون'!$D$7,CycleWork+CycleRest)*3/CycleWork)+MATCH(StartShift,'الإعدادات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الإجازات'!$D$5:$D$104&lt;=GF$3)*(('حجز الإجازات'!$E$5:$E$104)&gt;=GF$3)*('حجز الإجازات'!$G$5:$G$104="معتمد")*ROW('حجز الإجازات'!$B$5:$B$104)))-5+1))</f>
        <v/>
      </c>
      <c r="GG9" s="62">
        <f>IF(SUMPRODUCT(('حجز الإجازات'!$B$5:$B$104='الموظفون'!$B$7)*('حجز الإجازات'!$D$5:$D$104&lt;=GG$3)*(('حجز الإجازات'!$E$5:$E$104)&gt;=GG$3)*('حجز الإجازات'!$G$5:$G$104="معتمد")*ROW('حجز الإجازات'!$B$5:$B$104))=0,IF(GG$3&lt;'الموظفون'!$D$7,"",IF(ISNUMBER(MATCH(GG$3,Holidays,0)),"عطلة",IF(MOD(GG$3-'الموظفون'!$D$7,CycleWork+CycleRest)&lt;CycleWork,INDEX('الإعدادات والقوائم'!$H$2:$H$4,MOD(INT(MOD(GG$3-'الموظفون'!$D$7,CycleWork+CycleRest)*3/CycleWork)+MATCH(StartShift,'الإعدادات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الإجازات'!$D$5:$D$104&lt;=GG$3)*(('حجز الإجازات'!$E$5:$E$104)&gt;=GG$3)*('حجز الإجازات'!$G$5:$G$104="معتمد")*ROW('حجز الإجازات'!$B$5:$B$104)))-5+1))</f>
        <v/>
      </c>
      <c r="GH9" s="62">
        <f>IF(SUMPRODUCT(('حجز الإجازات'!$B$5:$B$104='الموظفون'!$B$7)*('حجز الإجازات'!$D$5:$D$104&lt;=GH$3)*(('حجز الإجازات'!$E$5:$E$104)&gt;=GH$3)*('حجز الإجازات'!$G$5:$G$104="معتمد")*ROW('حجز الإجازات'!$B$5:$B$104))=0,IF(GH$3&lt;'الموظفون'!$D$7,"",IF(ISNUMBER(MATCH(GH$3,Holidays,0)),"عطلة",IF(MOD(GH$3-'الموظفون'!$D$7,CycleWork+CycleRest)&lt;CycleWork,INDEX('الإعدادات والقوائم'!$H$2:$H$4,MOD(INT(MOD(GH$3-'الموظفون'!$D$7,CycleWork+CycleRest)*3/CycleWork)+MATCH(StartShift,'الإعدادات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الإجازات'!$D$5:$D$104&lt;=GH$3)*(('حجز الإجازات'!$E$5:$E$104)&gt;=GH$3)*('حجز الإجازات'!$G$5:$G$104="معتمد")*ROW('حجز الإجازات'!$B$5:$B$104)))-5+1))</f>
        <v/>
      </c>
      <c r="GI9" s="62">
        <f>IF(SUMPRODUCT(('حجز الإجازات'!$B$5:$B$104='الموظفون'!$B$7)*('حجز الإجازات'!$D$5:$D$104&lt;=GI$3)*(('حجز الإجازات'!$E$5:$E$104)&gt;=GI$3)*('حجز الإجازات'!$G$5:$G$104="معتمد")*ROW('حجز الإجازات'!$B$5:$B$104))=0,IF(GI$3&lt;'الموظفون'!$D$7,"",IF(ISNUMBER(MATCH(GI$3,Holidays,0)),"عطلة",IF(MOD(GI$3-'الموظفون'!$D$7,CycleWork+CycleRest)&lt;CycleWork,INDEX('الإعدادات والقوائم'!$H$2:$H$4,MOD(INT(MOD(GI$3-'الموظفون'!$D$7,CycleWork+CycleRest)*3/CycleWork)+MATCH(StartShift,'الإعدادات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الإجازات'!$D$5:$D$104&lt;=GI$3)*(('حجز الإجازات'!$E$5:$E$104)&gt;=GI$3)*('حجز الإجازات'!$G$5:$G$104="معتمد")*ROW('حجز الإجازات'!$B$5:$B$104)))-5+1))</f>
        <v/>
      </c>
      <c r="GJ9" s="62">
        <f>IF(SUMPRODUCT(('حجز الإجازات'!$B$5:$B$104='الموظفون'!$B$7)*('حجز الإجازات'!$D$5:$D$104&lt;=GJ$3)*(('حجز الإجازات'!$E$5:$E$104)&gt;=GJ$3)*('حجز الإجازات'!$G$5:$G$104="معتمد")*ROW('حجز الإجازات'!$B$5:$B$104))=0,IF(GJ$3&lt;'الموظفون'!$D$7,"",IF(ISNUMBER(MATCH(GJ$3,Holidays,0)),"عطلة",IF(MOD(GJ$3-'الموظفون'!$D$7,CycleWork+CycleRest)&lt;CycleWork,INDEX('الإعدادات والقوائم'!$H$2:$H$4,MOD(INT(MOD(GJ$3-'الموظفون'!$D$7,CycleWork+CycleRest)*3/CycleWork)+MATCH(StartShift,'الإعدادات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الإجازات'!$D$5:$D$104&lt;=GJ$3)*(('حجز الإجازات'!$E$5:$E$104)&gt;=GJ$3)*('حجز الإجازات'!$G$5:$G$104="معتمد")*ROW('حجز الإجازات'!$B$5:$B$104)))-5+1))</f>
        <v/>
      </c>
      <c r="GK9" s="62">
        <f>IF(SUMPRODUCT(('حجز الإجازات'!$B$5:$B$104='الموظفون'!$B$7)*('حجز الإجازات'!$D$5:$D$104&lt;=GK$3)*(('حجز الإجازات'!$E$5:$E$104)&gt;=GK$3)*('حجز الإجازات'!$G$5:$G$104="معتمد")*ROW('حجز الإجازات'!$B$5:$B$104))=0,IF(GK$3&lt;'الموظفون'!$D$7,"",IF(ISNUMBER(MATCH(GK$3,Holidays,0)),"عطلة",IF(MOD(GK$3-'الموظفون'!$D$7,CycleWork+CycleRest)&lt;CycleWork,INDEX('الإعدادات والقوائم'!$H$2:$H$4,MOD(INT(MOD(GK$3-'الموظفون'!$D$7,CycleWork+CycleRest)*3/CycleWork)+MATCH(StartShift,'الإعدادات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الإجازات'!$D$5:$D$104&lt;=GK$3)*(('حجز الإجازات'!$E$5:$E$104)&gt;=GK$3)*('حجز الإجازات'!$G$5:$G$104="معتمد")*ROW('حجز الإجازات'!$B$5:$B$104)))-5+1))</f>
        <v/>
      </c>
      <c r="GL9" s="62">
        <f>IF(SUMPRODUCT(('حجز الإجازات'!$B$5:$B$104='الموظفون'!$B$7)*('حجز الإجازات'!$D$5:$D$104&lt;=GL$3)*(('حجز الإجازات'!$E$5:$E$104)&gt;=GL$3)*('حجز الإجازات'!$G$5:$G$104="معتمد")*ROW('حجز الإجازات'!$B$5:$B$104))=0,IF(GL$3&lt;'الموظفون'!$D$7,"",IF(ISNUMBER(MATCH(GL$3,Holidays,0)),"عطلة",IF(MOD(GL$3-'الموظفون'!$D$7,CycleWork+CycleRest)&lt;CycleWork,INDEX('الإعدادات والقوائم'!$H$2:$H$4,MOD(INT(MOD(GL$3-'الموظفون'!$D$7,CycleWork+CycleRest)*3/CycleWork)+MATCH(StartShift,'الإعدادات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الإجازات'!$D$5:$D$104&lt;=GL$3)*(('حجز الإجازات'!$E$5:$E$104)&gt;=GL$3)*('حجز الإجازات'!$G$5:$G$104="معتمد")*ROW('حجز الإجازات'!$B$5:$B$104)))-5+1))</f>
        <v/>
      </c>
      <c r="GM9" s="62">
        <f>IF(SUMPRODUCT(('حجز الإجازات'!$B$5:$B$104='الموظفون'!$B$7)*('حجز الإجازات'!$D$5:$D$104&lt;=GM$3)*(('حجز الإجازات'!$E$5:$E$104)&gt;=GM$3)*('حجز الإجازات'!$G$5:$G$104="معتمد")*ROW('حجز الإجازات'!$B$5:$B$104))=0,IF(GM$3&lt;'الموظفون'!$D$7,"",IF(ISNUMBER(MATCH(GM$3,Holidays,0)),"عطلة",IF(MOD(GM$3-'الموظفون'!$D$7,CycleWork+CycleRest)&lt;CycleWork,INDEX('الإعدادات والقوائم'!$H$2:$H$4,MOD(INT(MOD(GM$3-'الموظفون'!$D$7,CycleWork+CycleRest)*3/CycleWork)+MATCH(StartShift,'الإعدادات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الإجازات'!$D$5:$D$104&lt;=GM$3)*(('حجز الإجازات'!$E$5:$E$104)&gt;=GM$3)*('حجز الإجازات'!$G$5:$G$104="معتمد")*ROW('حجز الإجازات'!$B$5:$B$104)))-5+1))</f>
        <v/>
      </c>
      <c r="GN9" s="62">
        <f>IF(SUMPRODUCT(('حجز الإجازات'!$B$5:$B$104='الموظفون'!$B$7)*('حجز الإجازات'!$D$5:$D$104&lt;=GN$3)*(('حجز الإجازات'!$E$5:$E$104)&gt;=GN$3)*('حجز الإجازات'!$G$5:$G$104="معتمد")*ROW('حجز الإجازات'!$B$5:$B$104))=0,IF(GN$3&lt;'الموظفون'!$D$7,"",IF(ISNUMBER(MATCH(GN$3,Holidays,0)),"عطلة",IF(MOD(GN$3-'الموظفون'!$D$7,CycleWork+CycleRest)&lt;CycleWork,INDEX('الإعدادات والقوائم'!$H$2:$H$4,MOD(INT(MOD(GN$3-'الموظفون'!$D$7,CycleWork+CycleRest)*3/CycleWork)+MATCH(StartShift,'الإعدادات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الإجازات'!$D$5:$D$104&lt;=GN$3)*(('حجز الإجازات'!$E$5:$E$104)&gt;=GN$3)*('حجز الإجازات'!$G$5:$G$104="معتمد")*ROW('حجز الإجازات'!$B$5:$B$104)))-5+1))</f>
        <v/>
      </c>
      <c r="GO9" s="62">
        <f>IF(SUMPRODUCT(('حجز الإجازات'!$B$5:$B$104='الموظفون'!$B$7)*('حجز الإجازات'!$D$5:$D$104&lt;=GO$3)*(('حجز الإجازات'!$E$5:$E$104)&gt;=GO$3)*('حجز الإجازات'!$G$5:$G$104="معتمد")*ROW('حجز الإجازات'!$B$5:$B$104))=0,IF(GO$3&lt;'الموظفون'!$D$7,"",IF(ISNUMBER(MATCH(GO$3,Holidays,0)),"عطلة",IF(MOD(GO$3-'الموظفون'!$D$7,CycleWork+CycleRest)&lt;CycleWork,INDEX('الإعدادات والقوائم'!$H$2:$H$4,MOD(INT(MOD(GO$3-'الموظفون'!$D$7,CycleWork+CycleRest)*3/CycleWork)+MATCH(StartShift,'الإعدادات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الإجازات'!$D$5:$D$104&lt;=GO$3)*(('حجز الإجازات'!$E$5:$E$104)&gt;=GO$3)*('حجز الإجازات'!$G$5:$G$104="معتمد")*ROW('حجز الإجازات'!$B$5:$B$104)))-5+1))</f>
        <v/>
      </c>
      <c r="GP9" s="62">
        <f>IF(SUMPRODUCT(('حجز الإجازات'!$B$5:$B$104='الموظفون'!$B$7)*('حجز الإجازات'!$D$5:$D$104&lt;=GP$3)*(('حجز الإجازات'!$E$5:$E$104)&gt;=GP$3)*('حجز الإجازات'!$G$5:$G$104="معتمد")*ROW('حجز الإجازات'!$B$5:$B$104))=0,IF(GP$3&lt;'الموظفون'!$D$7,"",IF(ISNUMBER(MATCH(GP$3,Holidays,0)),"عطلة",IF(MOD(GP$3-'الموظفون'!$D$7,CycleWork+CycleRest)&lt;CycleWork,INDEX('الإعدادات والقوائم'!$H$2:$H$4,MOD(INT(MOD(GP$3-'الموظفون'!$D$7,CycleWork+CycleRest)*3/CycleWork)+MATCH(StartShift,'الإعدادات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الإجازات'!$D$5:$D$104&lt;=GP$3)*(('حجز الإجازات'!$E$5:$E$104)&gt;=GP$3)*('حجز الإجازات'!$G$5:$G$104="معتمد")*ROW('حجز الإجازات'!$B$5:$B$104)))-5+1))</f>
        <v/>
      </c>
      <c r="GQ9" s="62">
        <f>IF(SUMPRODUCT(('حجز الإجازات'!$B$5:$B$104='الموظفون'!$B$7)*('حجز الإجازات'!$D$5:$D$104&lt;=GQ$3)*(('حجز الإجازات'!$E$5:$E$104)&gt;=GQ$3)*('حجز الإجازات'!$G$5:$G$104="معتمد")*ROW('حجز الإجازات'!$B$5:$B$104))=0,IF(GQ$3&lt;'الموظفون'!$D$7,"",IF(ISNUMBER(MATCH(GQ$3,Holidays,0)),"عطلة",IF(MOD(GQ$3-'الموظفون'!$D$7,CycleWork+CycleRest)&lt;CycleWork,INDEX('الإعدادات والقوائم'!$H$2:$H$4,MOD(INT(MOD(GQ$3-'الموظفون'!$D$7,CycleWork+CycleRest)*3/CycleWork)+MATCH(StartShift,'الإعدادات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الإجازات'!$D$5:$D$104&lt;=GQ$3)*(('حجز الإجازات'!$E$5:$E$104)&gt;=GQ$3)*('حجز الإجازات'!$G$5:$G$104="معتمد")*ROW('حجز الإجازات'!$B$5:$B$104)))-5+1))</f>
        <v/>
      </c>
      <c r="GR9" s="62">
        <f>IF(SUMPRODUCT(('حجز الإجازات'!$B$5:$B$104='الموظفون'!$B$7)*('حجز الإجازات'!$D$5:$D$104&lt;=GR$3)*(('حجز الإجازات'!$E$5:$E$104)&gt;=GR$3)*('حجز الإجازات'!$G$5:$G$104="معتمد")*ROW('حجز الإجازات'!$B$5:$B$104))=0,IF(GR$3&lt;'الموظفون'!$D$7,"",IF(ISNUMBER(MATCH(GR$3,Holidays,0)),"عطلة",IF(MOD(GR$3-'الموظفون'!$D$7,CycleWork+CycleRest)&lt;CycleWork,INDEX('الإعدادات والقوائم'!$H$2:$H$4,MOD(INT(MOD(GR$3-'الموظفون'!$D$7,CycleWork+CycleRest)*3/CycleWork)+MATCH(StartShift,'الإعدادات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الإجازات'!$D$5:$D$104&lt;=GR$3)*(('حجز الإجازات'!$E$5:$E$104)&gt;=GR$3)*('حجز الإجازات'!$G$5:$G$104="معتمد")*ROW('حجز الإجازات'!$B$5:$B$104)))-5+1))</f>
        <v/>
      </c>
      <c r="GS9" s="62">
        <f>IF(SUMPRODUCT(('حجز الإجازات'!$B$5:$B$104='الموظفون'!$B$7)*('حجز الإجازات'!$D$5:$D$104&lt;=GS$3)*(('حجز الإجازات'!$E$5:$E$104)&gt;=GS$3)*('حجز الإجازات'!$G$5:$G$104="معتمد")*ROW('حجز الإجازات'!$B$5:$B$104))=0,IF(GS$3&lt;'الموظفون'!$D$7,"",IF(ISNUMBER(MATCH(GS$3,Holidays,0)),"عطلة",IF(MOD(GS$3-'الموظفون'!$D$7,CycleWork+CycleRest)&lt;CycleWork,INDEX('الإعدادات والقوائم'!$H$2:$H$4,MOD(INT(MOD(GS$3-'الموظفون'!$D$7,CycleWork+CycleRest)*3/CycleWork)+MATCH(StartShift,'الإعدادات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الإجازات'!$D$5:$D$104&lt;=GS$3)*(('حجز الإجازات'!$E$5:$E$104)&gt;=GS$3)*('حجز الإجازات'!$G$5:$G$104="معتمد")*ROW('حجز الإجازات'!$B$5:$B$104)))-5+1))</f>
        <v/>
      </c>
      <c r="GT9" s="62">
        <f>IF(SUMPRODUCT(('حجز الإجازات'!$B$5:$B$104='الموظفون'!$B$7)*('حجز الإجازات'!$D$5:$D$104&lt;=GT$3)*(('حجز الإجازات'!$E$5:$E$104)&gt;=GT$3)*('حجز الإجازات'!$G$5:$G$104="معتمد")*ROW('حجز الإجازات'!$B$5:$B$104))=0,IF(GT$3&lt;'الموظفون'!$D$7,"",IF(ISNUMBER(MATCH(GT$3,Holidays,0)),"عطلة",IF(MOD(GT$3-'الموظفون'!$D$7,CycleWork+CycleRest)&lt;CycleWork,INDEX('الإعدادات والقوائم'!$H$2:$H$4,MOD(INT(MOD(GT$3-'الموظفون'!$D$7,CycleWork+CycleRest)*3/CycleWork)+MATCH(StartShift,'الإعدادات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الإجازات'!$D$5:$D$104&lt;=GT$3)*(('حجز الإجازات'!$E$5:$E$104)&gt;=GT$3)*('حجز الإجازات'!$G$5:$G$104="معتمد")*ROW('حجز الإجازات'!$B$5:$B$104)))-5+1))</f>
        <v/>
      </c>
      <c r="GU9" s="62">
        <f>IF(SUMPRODUCT(('حجز الإجازات'!$B$5:$B$104='الموظفون'!$B$7)*('حجز الإجازات'!$D$5:$D$104&lt;=GU$3)*(('حجز الإجازات'!$E$5:$E$104)&gt;=GU$3)*('حجز الإجازات'!$G$5:$G$104="معتمد")*ROW('حجز الإجازات'!$B$5:$B$104))=0,IF(GU$3&lt;'الموظفون'!$D$7,"",IF(ISNUMBER(MATCH(GU$3,Holidays,0)),"عطلة",IF(MOD(GU$3-'الموظفون'!$D$7,CycleWork+CycleRest)&lt;CycleWork,INDEX('الإعدادات والقوائم'!$H$2:$H$4,MOD(INT(MOD(GU$3-'الموظفون'!$D$7,CycleWork+CycleRest)*3/CycleWork)+MATCH(StartShift,'الإعدادات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الإجازات'!$D$5:$D$104&lt;=GU$3)*(('حجز الإجازات'!$E$5:$E$104)&gt;=GU$3)*('حجز الإجازات'!$G$5:$G$104="معتمد")*ROW('حجز الإجازات'!$B$5:$B$104)))-5+1))</f>
        <v/>
      </c>
      <c r="GV9" s="62">
        <f>IF(SUMPRODUCT(('حجز الإجازات'!$B$5:$B$104='الموظفون'!$B$7)*('حجز الإجازات'!$D$5:$D$104&lt;=GV$3)*(('حجز الإجازات'!$E$5:$E$104)&gt;=GV$3)*('حجز الإجازات'!$G$5:$G$104="معتمد")*ROW('حجز الإجازات'!$B$5:$B$104))=0,IF(GV$3&lt;'الموظفون'!$D$7,"",IF(ISNUMBER(MATCH(GV$3,Holidays,0)),"عطلة",IF(MOD(GV$3-'الموظفون'!$D$7,CycleWork+CycleRest)&lt;CycleWork,INDEX('الإعدادات والقوائم'!$H$2:$H$4,MOD(INT(MOD(GV$3-'الموظفون'!$D$7,CycleWork+CycleRest)*3/CycleWork)+MATCH(StartShift,'الإعدادات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الإجازات'!$D$5:$D$104&lt;=GV$3)*(('حجز الإجازات'!$E$5:$E$104)&gt;=GV$3)*('حجز الإجازات'!$G$5:$G$104="معتمد")*ROW('حجز الإجازات'!$B$5:$B$104)))-5+1))</f>
        <v/>
      </c>
      <c r="GW9" s="62">
        <f>IF(SUMPRODUCT(('حجز الإجازات'!$B$5:$B$104='الموظفون'!$B$7)*('حجز الإجازات'!$D$5:$D$104&lt;=GW$3)*(('حجز الإجازات'!$E$5:$E$104)&gt;=GW$3)*('حجز الإجازات'!$G$5:$G$104="معتمد")*ROW('حجز الإجازات'!$B$5:$B$104))=0,IF(GW$3&lt;'الموظفون'!$D$7,"",IF(ISNUMBER(MATCH(GW$3,Holidays,0)),"عطلة",IF(MOD(GW$3-'الموظفون'!$D$7,CycleWork+CycleRest)&lt;CycleWork,INDEX('الإعدادات والقوائم'!$H$2:$H$4,MOD(INT(MOD(GW$3-'الموظفون'!$D$7,CycleWork+CycleRest)*3/CycleWork)+MATCH(StartShift,'الإعدادات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الإجازات'!$D$5:$D$104&lt;=GW$3)*(('حجز الإجازات'!$E$5:$E$104)&gt;=GW$3)*('حجز الإجازات'!$G$5:$G$104="معتمد")*ROW('حجز الإجازات'!$B$5:$B$104)))-5+1))</f>
        <v/>
      </c>
      <c r="GX9" s="62">
        <f>IF(SUMPRODUCT(('حجز الإجازات'!$B$5:$B$104='الموظفون'!$B$7)*('حجز الإجازات'!$D$5:$D$104&lt;=GX$3)*(('حجز الإجازات'!$E$5:$E$104)&gt;=GX$3)*('حجز الإجازات'!$G$5:$G$104="معتمد")*ROW('حجز الإجازات'!$B$5:$B$104))=0,IF(GX$3&lt;'الموظفون'!$D$7,"",IF(ISNUMBER(MATCH(GX$3,Holidays,0)),"عطلة",IF(MOD(GX$3-'الموظفون'!$D$7,CycleWork+CycleRest)&lt;CycleWork,INDEX('الإعدادات والقوائم'!$H$2:$H$4,MOD(INT(MOD(GX$3-'الموظفون'!$D$7,CycleWork+CycleRest)*3/CycleWork)+MATCH(StartShift,'الإعدادات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الإجازات'!$D$5:$D$104&lt;=GX$3)*(('حجز الإجازات'!$E$5:$E$104)&gt;=GX$3)*('حجز الإجازات'!$G$5:$G$104="معتمد")*ROW('حجز الإجازات'!$B$5:$B$104)))-5+1))</f>
        <v/>
      </c>
      <c r="GY9" s="62">
        <f>IF(SUMPRODUCT(('حجز الإجازات'!$B$5:$B$104='الموظفون'!$B$7)*('حجز الإجازات'!$D$5:$D$104&lt;=GY$3)*(('حجز الإجازات'!$E$5:$E$104)&gt;=GY$3)*('حجز الإجازات'!$G$5:$G$104="معتمد")*ROW('حجز الإجازات'!$B$5:$B$104))=0,IF(GY$3&lt;'الموظفون'!$D$7,"",IF(ISNUMBER(MATCH(GY$3,Holidays,0)),"عطلة",IF(MOD(GY$3-'الموظفون'!$D$7,CycleWork+CycleRest)&lt;CycleWork,INDEX('الإعدادات والقوائم'!$H$2:$H$4,MOD(INT(MOD(GY$3-'الموظفون'!$D$7,CycleWork+CycleRest)*3/CycleWork)+MATCH(StartShift,'الإعدادات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الإجازات'!$D$5:$D$104&lt;=GY$3)*(('حجز الإجازات'!$E$5:$E$104)&gt;=GY$3)*('حجز الإجازات'!$G$5:$G$104="معتمد")*ROW('حجز الإجازات'!$B$5:$B$104)))-5+1))</f>
        <v/>
      </c>
      <c r="GZ9" s="62">
        <f>IF(SUMPRODUCT(('حجز الإجازات'!$B$5:$B$104='الموظفون'!$B$7)*('حجز الإجازات'!$D$5:$D$104&lt;=GZ$3)*(('حجز الإجازات'!$E$5:$E$104)&gt;=GZ$3)*('حجز الإجازات'!$G$5:$G$104="معتمد")*ROW('حجز الإجازات'!$B$5:$B$104))=0,IF(GZ$3&lt;'الموظفون'!$D$7,"",IF(ISNUMBER(MATCH(GZ$3,Holidays,0)),"عطلة",IF(MOD(GZ$3-'الموظفون'!$D$7,CycleWork+CycleRest)&lt;CycleWork,INDEX('الإعدادات والقوائم'!$H$2:$H$4,MOD(INT(MOD(GZ$3-'الموظفون'!$D$7,CycleWork+CycleRest)*3/CycleWork)+MATCH(StartShift,'الإعدادات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الإجازات'!$D$5:$D$104&lt;=GZ$3)*(('حجز الإجازات'!$E$5:$E$104)&gt;=GZ$3)*('حجز الإجازات'!$G$5:$G$104="معتمد")*ROW('حجز الإجازات'!$B$5:$B$104)))-5+1))</f>
        <v/>
      </c>
      <c r="HA9" s="62">
        <f>IF(SUMPRODUCT(('حجز الإجازات'!$B$5:$B$104='الموظفون'!$B$7)*('حجز الإجازات'!$D$5:$D$104&lt;=HA$3)*(('حجز الإجازات'!$E$5:$E$104)&gt;=HA$3)*('حجز الإجازات'!$G$5:$G$104="معتمد")*ROW('حجز الإجازات'!$B$5:$B$104))=0,IF(HA$3&lt;'الموظفون'!$D$7,"",IF(ISNUMBER(MATCH(HA$3,Holidays,0)),"عطلة",IF(MOD(HA$3-'الموظفون'!$D$7,CycleWork+CycleRest)&lt;CycleWork,INDEX('الإعدادات والقوائم'!$H$2:$H$4,MOD(INT(MOD(HA$3-'الموظفون'!$D$7,CycleWork+CycleRest)*3/CycleWork)+MATCH(StartShift,'الإعدادات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الإجازات'!$D$5:$D$104&lt;=HA$3)*(('حجز الإجازات'!$E$5:$E$104)&gt;=HA$3)*('حجز الإجازات'!$G$5:$G$104="معتمد")*ROW('حجز الإجازات'!$B$5:$B$104)))-5+1))</f>
        <v/>
      </c>
      <c r="HB9" s="62">
        <f>IF(SUMPRODUCT(('حجز الإجازات'!$B$5:$B$104='الموظفون'!$B$7)*('حجز الإجازات'!$D$5:$D$104&lt;=HB$3)*(('حجز الإجازات'!$E$5:$E$104)&gt;=HB$3)*('حجز الإجازات'!$G$5:$G$104="معتمد")*ROW('حجز الإجازات'!$B$5:$B$104))=0,IF(HB$3&lt;'الموظفون'!$D$7,"",IF(ISNUMBER(MATCH(HB$3,Holidays,0)),"عطلة",IF(MOD(HB$3-'الموظفون'!$D$7,CycleWork+CycleRest)&lt;CycleWork,INDEX('الإعدادات والقوائم'!$H$2:$H$4,MOD(INT(MOD(HB$3-'الموظفون'!$D$7,CycleWork+CycleRest)*3/CycleWork)+MATCH(StartShift,'الإعدادات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الإجازات'!$D$5:$D$104&lt;=HB$3)*(('حجز الإجازات'!$E$5:$E$104)&gt;=HB$3)*('حجز الإجازات'!$G$5:$G$104="معتمد")*ROW('حجز الإجازات'!$B$5:$B$104)))-5+1))</f>
        <v/>
      </c>
      <c r="HC9" s="62">
        <f>IF(SUMPRODUCT(('حجز الإجازات'!$B$5:$B$104='الموظفون'!$B$7)*('حجز الإجازات'!$D$5:$D$104&lt;=HC$3)*(('حجز الإجازات'!$E$5:$E$104)&gt;=HC$3)*('حجز الإجازات'!$G$5:$G$104="معتمد")*ROW('حجز الإجازات'!$B$5:$B$104))=0,IF(HC$3&lt;'الموظفون'!$D$7,"",IF(ISNUMBER(MATCH(HC$3,Holidays,0)),"عطلة",IF(MOD(HC$3-'الموظفون'!$D$7,CycleWork+CycleRest)&lt;CycleWork,INDEX('الإعدادات والقوائم'!$H$2:$H$4,MOD(INT(MOD(HC$3-'الموظفون'!$D$7,CycleWork+CycleRest)*3/CycleWork)+MATCH(StartShift,'الإعدادات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الإجازات'!$D$5:$D$104&lt;=HC$3)*(('حجز الإجازات'!$E$5:$E$104)&gt;=HC$3)*('حجز الإجازات'!$G$5:$G$104="معتمد")*ROW('حجز الإجازات'!$B$5:$B$104)))-5+1))</f>
        <v/>
      </c>
      <c r="HD9" s="62">
        <f>IF(SUMPRODUCT(('حجز الإجازات'!$B$5:$B$104='الموظفون'!$B$7)*('حجز الإجازات'!$D$5:$D$104&lt;=HD$3)*(('حجز الإجازات'!$E$5:$E$104)&gt;=HD$3)*('حجز الإجازات'!$G$5:$G$104="معتمد")*ROW('حجز الإجازات'!$B$5:$B$104))=0,IF(HD$3&lt;'الموظفون'!$D$7,"",IF(ISNUMBER(MATCH(HD$3,Holidays,0)),"عطلة",IF(MOD(HD$3-'الموظفون'!$D$7,CycleWork+CycleRest)&lt;CycleWork,INDEX('الإعدادات والقوائم'!$H$2:$H$4,MOD(INT(MOD(HD$3-'الموظفون'!$D$7,CycleWork+CycleRest)*3/CycleWork)+MATCH(StartShift,'الإعدادات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الإجازات'!$D$5:$D$104&lt;=HD$3)*(('حجز الإجازات'!$E$5:$E$104)&gt;=HD$3)*('حجز الإجازات'!$G$5:$G$104="معتمد")*ROW('حجز الإجازات'!$B$5:$B$104)))-5+1))</f>
        <v/>
      </c>
      <c r="HE9" s="62">
        <f>IF(SUMPRODUCT(('حجز الإجازات'!$B$5:$B$104='الموظفون'!$B$7)*('حجز الإجازات'!$D$5:$D$104&lt;=HE$3)*(('حجز الإجازات'!$E$5:$E$104)&gt;=HE$3)*('حجز الإجازات'!$G$5:$G$104="معتمد")*ROW('حجز الإجازات'!$B$5:$B$104))=0,IF(HE$3&lt;'الموظفون'!$D$7,"",IF(ISNUMBER(MATCH(HE$3,Holidays,0)),"عطلة",IF(MOD(HE$3-'الموظفون'!$D$7,CycleWork+CycleRest)&lt;CycleWork,INDEX('الإعدادات والقوائم'!$H$2:$H$4,MOD(INT(MOD(HE$3-'الموظفون'!$D$7,CycleWork+CycleRest)*3/CycleWork)+MATCH(StartShift,'الإعدادات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الإجازات'!$D$5:$D$104&lt;=HE$3)*(('حجز الإجازات'!$E$5:$E$104)&gt;=HE$3)*('حجز الإجازات'!$G$5:$G$104="معتمد")*ROW('حجز الإجازات'!$B$5:$B$104)))-5+1))</f>
        <v/>
      </c>
      <c r="HF9" s="62">
        <f>IF(SUMPRODUCT(('حجز الإجازات'!$B$5:$B$104='الموظفون'!$B$7)*('حجز الإجازات'!$D$5:$D$104&lt;=HF$3)*(('حجز الإجازات'!$E$5:$E$104)&gt;=HF$3)*('حجز الإجازات'!$G$5:$G$104="معتمد")*ROW('حجز الإجازات'!$B$5:$B$104))=0,IF(HF$3&lt;'الموظفون'!$D$7,"",IF(ISNUMBER(MATCH(HF$3,Holidays,0)),"عطلة",IF(MOD(HF$3-'الموظفون'!$D$7,CycleWork+CycleRest)&lt;CycleWork,INDEX('الإعدادات والقوائم'!$H$2:$H$4,MOD(INT(MOD(HF$3-'الموظفون'!$D$7,CycleWork+CycleRest)*3/CycleWork)+MATCH(StartShift,'الإعدادات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الإجازات'!$D$5:$D$104&lt;=HF$3)*(('حجز الإجازات'!$E$5:$E$104)&gt;=HF$3)*('حجز الإجازات'!$G$5:$G$104="معتمد")*ROW('حجز الإجازات'!$B$5:$B$104)))-5+1))</f>
        <v/>
      </c>
      <c r="HG9" s="62">
        <f>IF(SUMPRODUCT(('حجز الإجازات'!$B$5:$B$104='الموظفون'!$B$7)*('حجز الإجازات'!$D$5:$D$104&lt;=HG$3)*(('حجز الإجازات'!$E$5:$E$104)&gt;=HG$3)*('حجز الإجازات'!$G$5:$G$104="معتمد")*ROW('حجز الإجازات'!$B$5:$B$104))=0,IF(HG$3&lt;'الموظفون'!$D$7,"",IF(ISNUMBER(MATCH(HG$3,Holidays,0)),"عطلة",IF(MOD(HG$3-'الموظفون'!$D$7,CycleWork+CycleRest)&lt;CycleWork,INDEX('الإعدادات والقوائم'!$H$2:$H$4,MOD(INT(MOD(HG$3-'الموظفون'!$D$7,CycleWork+CycleRest)*3/CycleWork)+MATCH(StartShift,'الإعدادات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الإجازات'!$D$5:$D$104&lt;=HG$3)*(('حجز الإجازات'!$E$5:$E$104)&gt;=HG$3)*('حجز الإجازات'!$G$5:$G$104="معتمد")*ROW('حجز الإجازات'!$B$5:$B$104)))-5+1))</f>
        <v/>
      </c>
      <c r="HH9" s="62">
        <f>IF(SUMPRODUCT(('حجز الإجازات'!$B$5:$B$104='الموظفون'!$B$7)*('حجز الإجازات'!$D$5:$D$104&lt;=HH$3)*(('حجز الإجازات'!$E$5:$E$104)&gt;=HH$3)*('حجز الإجازات'!$G$5:$G$104="معتمد")*ROW('حجز الإجازات'!$B$5:$B$104))=0,IF(HH$3&lt;'الموظفون'!$D$7,"",IF(ISNUMBER(MATCH(HH$3,Holidays,0)),"عطلة",IF(MOD(HH$3-'الموظفون'!$D$7,CycleWork+CycleRest)&lt;CycleWork,INDEX('الإعدادات والقوائم'!$H$2:$H$4,MOD(INT(MOD(HH$3-'الموظفون'!$D$7,CycleWork+CycleRest)*3/CycleWork)+MATCH(StartShift,'الإعدادات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الإجازات'!$D$5:$D$104&lt;=HH$3)*(('حجز الإجازات'!$E$5:$E$104)&gt;=HH$3)*('حجز الإجازات'!$G$5:$G$104="معتمد")*ROW('حجز الإجازات'!$B$5:$B$104)))-5+1))</f>
        <v/>
      </c>
      <c r="HI9" s="62">
        <f>IF(SUMPRODUCT(('حجز الإجازات'!$B$5:$B$104='الموظفون'!$B$7)*('حجز الإجازات'!$D$5:$D$104&lt;=HI$3)*(('حجز الإجازات'!$E$5:$E$104)&gt;=HI$3)*('حجز الإجازات'!$G$5:$G$104="معتمد")*ROW('حجز الإجازات'!$B$5:$B$104))=0,IF(HI$3&lt;'الموظفون'!$D$7,"",IF(ISNUMBER(MATCH(HI$3,Holidays,0)),"عطلة",IF(MOD(HI$3-'الموظفون'!$D$7,CycleWork+CycleRest)&lt;CycleWork,INDEX('الإعدادات والقوائم'!$H$2:$H$4,MOD(INT(MOD(HI$3-'الموظفون'!$D$7,CycleWork+CycleRest)*3/CycleWork)+MATCH(StartShift,'الإعدادات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الإجازات'!$D$5:$D$104&lt;=HI$3)*(('حجز الإجازات'!$E$5:$E$104)&gt;=HI$3)*('حجز الإجازات'!$G$5:$G$104="معتمد")*ROW('حجز الإجازات'!$B$5:$B$104)))-5+1))</f>
        <v/>
      </c>
      <c r="HJ9" s="62">
        <f>IF(SUMPRODUCT(('حجز الإجازات'!$B$5:$B$104='الموظفون'!$B$7)*('حجز الإجازات'!$D$5:$D$104&lt;=HJ$3)*(('حجز الإجازات'!$E$5:$E$104)&gt;=HJ$3)*('حجز الإجازات'!$G$5:$G$104="معتمد")*ROW('حجز الإجازات'!$B$5:$B$104))=0,IF(HJ$3&lt;'الموظفون'!$D$7,"",IF(ISNUMBER(MATCH(HJ$3,Holidays,0)),"عطلة",IF(MOD(HJ$3-'الموظفون'!$D$7,CycleWork+CycleRest)&lt;CycleWork,INDEX('الإعدادات والقوائم'!$H$2:$H$4,MOD(INT(MOD(HJ$3-'الموظفون'!$D$7,CycleWork+CycleRest)*3/CycleWork)+MATCH(StartShift,'الإعدادات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الإجازات'!$D$5:$D$104&lt;=HJ$3)*(('حجز الإجازات'!$E$5:$E$104)&gt;=HJ$3)*('حجز الإجازات'!$G$5:$G$104="معتمد")*ROW('حجز الإجازات'!$B$5:$B$104)))-5+1))</f>
        <v/>
      </c>
      <c r="HK9" s="62">
        <f>IF(SUMPRODUCT(('حجز الإجازات'!$B$5:$B$104='الموظفون'!$B$7)*('حجز الإجازات'!$D$5:$D$104&lt;=HK$3)*(('حجز الإجازات'!$E$5:$E$104)&gt;=HK$3)*('حجز الإجازات'!$G$5:$G$104="معتمد")*ROW('حجز الإجازات'!$B$5:$B$104))=0,IF(HK$3&lt;'الموظفون'!$D$7,"",IF(ISNUMBER(MATCH(HK$3,Holidays,0)),"عطلة",IF(MOD(HK$3-'الموظفون'!$D$7,CycleWork+CycleRest)&lt;CycleWork,INDEX('الإعدادات والقوائم'!$H$2:$H$4,MOD(INT(MOD(HK$3-'الموظفون'!$D$7,CycleWork+CycleRest)*3/CycleWork)+MATCH(StartShift,'الإعدادات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الإجازات'!$D$5:$D$104&lt;=HK$3)*(('حجز الإجازات'!$E$5:$E$104)&gt;=HK$3)*('حجز الإجازات'!$G$5:$G$104="معتمد")*ROW('حجز الإجازات'!$B$5:$B$104)))-5+1))</f>
        <v/>
      </c>
      <c r="HL9" s="62">
        <f>IF(SUMPRODUCT(('حجز الإجازات'!$B$5:$B$104='الموظفون'!$B$7)*('حجز الإجازات'!$D$5:$D$104&lt;=HL$3)*(('حجز الإجازات'!$E$5:$E$104)&gt;=HL$3)*('حجز الإجازات'!$G$5:$G$104="معتمد")*ROW('حجز الإجازات'!$B$5:$B$104))=0,IF(HL$3&lt;'الموظفون'!$D$7,"",IF(ISNUMBER(MATCH(HL$3,Holidays,0)),"عطلة",IF(MOD(HL$3-'الموظفون'!$D$7,CycleWork+CycleRest)&lt;CycleWork,INDEX('الإعدادات والقوائم'!$H$2:$H$4,MOD(INT(MOD(HL$3-'الموظفون'!$D$7,CycleWork+CycleRest)*3/CycleWork)+MATCH(StartShift,'الإعدادات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الإجازات'!$D$5:$D$104&lt;=HL$3)*(('حجز الإجازات'!$E$5:$E$104)&gt;=HL$3)*('حجز الإجازات'!$G$5:$G$104="معتمد")*ROW('حجز الإجازات'!$B$5:$B$104)))-5+1))</f>
        <v/>
      </c>
      <c r="HM9" s="62">
        <f>IF(SUMPRODUCT(('حجز الإجازات'!$B$5:$B$104='الموظفون'!$B$7)*('حجز الإجازات'!$D$5:$D$104&lt;=HM$3)*(('حجز الإجازات'!$E$5:$E$104)&gt;=HM$3)*('حجز الإجازات'!$G$5:$G$104="معتمد")*ROW('حجز الإجازات'!$B$5:$B$104))=0,IF(HM$3&lt;'الموظفون'!$D$7,"",IF(ISNUMBER(MATCH(HM$3,Holidays,0)),"عطلة",IF(MOD(HM$3-'الموظفون'!$D$7,CycleWork+CycleRest)&lt;CycleWork,INDEX('الإعدادات والقوائم'!$H$2:$H$4,MOD(INT(MOD(HM$3-'الموظفون'!$D$7,CycleWork+CycleRest)*3/CycleWork)+MATCH(StartShift,'الإعدادات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الإجازات'!$D$5:$D$104&lt;=HM$3)*(('حجز الإجازات'!$E$5:$E$104)&gt;=HM$3)*('حجز الإجازات'!$G$5:$G$104="معتمد")*ROW('حجز الإجازات'!$B$5:$B$104)))-5+1))</f>
        <v/>
      </c>
      <c r="HN9" s="62">
        <f>IF(SUMPRODUCT(('حجز الإجازات'!$B$5:$B$104='الموظفون'!$B$7)*('حجز الإجازات'!$D$5:$D$104&lt;=HN$3)*(('حجز الإجازات'!$E$5:$E$104)&gt;=HN$3)*('حجز الإجازات'!$G$5:$G$104="معتمد")*ROW('حجز الإجازات'!$B$5:$B$104))=0,IF(HN$3&lt;'الموظفون'!$D$7,"",IF(ISNUMBER(MATCH(HN$3,Holidays,0)),"عطلة",IF(MOD(HN$3-'الموظفون'!$D$7,CycleWork+CycleRest)&lt;CycleWork,INDEX('الإعدادات والقوائم'!$H$2:$H$4,MOD(INT(MOD(HN$3-'الموظفون'!$D$7,CycleWork+CycleRest)*3/CycleWork)+MATCH(StartShift,'الإعدادات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الإجازات'!$D$5:$D$104&lt;=HN$3)*(('حجز الإجازات'!$E$5:$E$104)&gt;=HN$3)*('حجز الإجازات'!$G$5:$G$104="معتمد")*ROW('حجز الإجازات'!$B$5:$B$104)))-5+1))</f>
        <v/>
      </c>
      <c r="HO9" s="62">
        <f>IF(SUMPRODUCT(('حجز الإجازات'!$B$5:$B$104='الموظفون'!$B$7)*('حجز الإجازات'!$D$5:$D$104&lt;=HO$3)*(('حجز الإجازات'!$E$5:$E$104)&gt;=HO$3)*('حجز الإجازات'!$G$5:$G$104="معتمد")*ROW('حجز الإجازات'!$B$5:$B$104))=0,IF(HO$3&lt;'الموظفون'!$D$7,"",IF(ISNUMBER(MATCH(HO$3,Holidays,0)),"عطلة",IF(MOD(HO$3-'الموظفون'!$D$7,CycleWork+CycleRest)&lt;CycleWork,INDEX('الإعدادات والقوائم'!$H$2:$H$4,MOD(INT(MOD(HO$3-'الموظفون'!$D$7,CycleWork+CycleRest)*3/CycleWork)+MATCH(StartShift,'الإعدادات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الإجازات'!$D$5:$D$104&lt;=HO$3)*(('حجز الإجازات'!$E$5:$E$104)&gt;=HO$3)*('حجز الإجازات'!$G$5:$G$104="معتمد")*ROW('حجز الإجازات'!$B$5:$B$104)))-5+1))</f>
        <v/>
      </c>
      <c r="HP9" s="62">
        <f>IF(SUMPRODUCT(('حجز الإجازات'!$B$5:$B$104='الموظفون'!$B$7)*('حجز الإجازات'!$D$5:$D$104&lt;=HP$3)*(('حجز الإجازات'!$E$5:$E$104)&gt;=HP$3)*('حجز الإجازات'!$G$5:$G$104="معتمد")*ROW('حجز الإجازات'!$B$5:$B$104))=0,IF(HP$3&lt;'الموظفون'!$D$7,"",IF(ISNUMBER(MATCH(HP$3,Holidays,0)),"عطلة",IF(MOD(HP$3-'الموظفون'!$D$7,CycleWork+CycleRest)&lt;CycleWork,INDEX('الإعدادات والقوائم'!$H$2:$H$4,MOD(INT(MOD(HP$3-'الموظفون'!$D$7,CycleWork+CycleRest)*3/CycleWork)+MATCH(StartShift,'الإعدادات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الإجازات'!$D$5:$D$104&lt;=HP$3)*(('حجز الإجازات'!$E$5:$E$104)&gt;=HP$3)*('حجز الإجازات'!$G$5:$G$104="معتمد")*ROW('حجز الإجازات'!$B$5:$B$104)))-5+1))</f>
        <v/>
      </c>
      <c r="HQ9" s="62">
        <f>IF(SUMPRODUCT(('حجز الإجازات'!$B$5:$B$104='الموظفون'!$B$7)*('حجز الإجازات'!$D$5:$D$104&lt;=HQ$3)*(('حجز الإجازات'!$E$5:$E$104)&gt;=HQ$3)*('حجز الإجازات'!$G$5:$G$104="معتمد")*ROW('حجز الإجازات'!$B$5:$B$104))=0,IF(HQ$3&lt;'الموظفون'!$D$7,"",IF(ISNUMBER(MATCH(HQ$3,Holidays,0)),"عطلة",IF(MOD(HQ$3-'الموظفون'!$D$7,CycleWork+CycleRest)&lt;CycleWork,INDEX('الإعدادات والقوائم'!$H$2:$H$4,MOD(INT(MOD(HQ$3-'الموظفون'!$D$7,CycleWork+CycleRest)*3/CycleWork)+MATCH(StartShift,'الإعدادات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الإجازات'!$D$5:$D$104&lt;=HQ$3)*(('حجز الإجازات'!$E$5:$E$104)&gt;=HQ$3)*('حجز الإجازات'!$G$5:$G$104="معتمد")*ROW('حجز الإجازات'!$B$5:$B$104)))-5+1))</f>
        <v/>
      </c>
      <c r="HR9" s="62">
        <f>IF(SUMPRODUCT(('حجز الإجازات'!$B$5:$B$104='الموظفون'!$B$7)*('حجز الإجازات'!$D$5:$D$104&lt;=HR$3)*(('حجز الإجازات'!$E$5:$E$104)&gt;=HR$3)*('حجز الإجازات'!$G$5:$G$104="معتمد")*ROW('حجز الإجازات'!$B$5:$B$104))=0,IF(HR$3&lt;'الموظفون'!$D$7,"",IF(ISNUMBER(MATCH(HR$3,Holidays,0)),"عطلة",IF(MOD(HR$3-'الموظفون'!$D$7,CycleWork+CycleRest)&lt;CycleWork,INDEX('الإعدادات والقوائم'!$H$2:$H$4,MOD(INT(MOD(HR$3-'الموظفون'!$D$7,CycleWork+CycleRest)*3/CycleWork)+MATCH(StartShift,'الإعدادات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الإجازات'!$D$5:$D$104&lt;=HR$3)*(('حجز الإجازات'!$E$5:$E$104)&gt;=HR$3)*('حجز الإجازات'!$G$5:$G$104="معتمد")*ROW('حجز الإجازات'!$B$5:$B$104)))-5+1))</f>
        <v/>
      </c>
      <c r="HS9" s="62">
        <f>IF(SUMPRODUCT(('حجز الإجازات'!$B$5:$B$104='الموظفون'!$B$7)*('حجز الإجازات'!$D$5:$D$104&lt;=HS$3)*(('حجز الإجازات'!$E$5:$E$104)&gt;=HS$3)*('حجز الإجازات'!$G$5:$G$104="معتمد")*ROW('حجز الإجازات'!$B$5:$B$104))=0,IF(HS$3&lt;'الموظفون'!$D$7,"",IF(ISNUMBER(MATCH(HS$3,Holidays,0)),"عطلة",IF(MOD(HS$3-'الموظفون'!$D$7,CycleWork+CycleRest)&lt;CycleWork,INDEX('الإعدادات والقوائم'!$H$2:$H$4,MOD(INT(MOD(HS$3-'الموظفون'!$D$7,CycleWork+CycleRest)*3/CycleWork)+MATCH(StartShift,'الإعدادات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الإجازات'!$D$5:$D$104&lt;=HS$3)*(('حجز الإجازات'!$E$5:$E$104)&gt;=HS$3)*('حجز الإجازات'!$G$5:$G$104="معتمد")*ROW('حجز الإجازات'!$B$5:$B$104)))-5+1))</f>
        <v/>
      </c>
      <c r="HT9" s="62">
        <f>IF(SUMPRODUCT(('حجز الإجازات'!$B$5:$B$104='الموظفون'!$B$7)*('حجز الإجازات'!$D$5:$D$104&lt;=HT$3)*(('حجز الإجازات'!$E$5:$E$104)&gt;=HT$3)*('حجز الإجازات'!$G$5:$G$104="معتمد")*ROW('حجز الإجازات'!$B$5:$B$104))=0,IF(HT$3&lt;'الموظفون'!$D$7,"",IF(ISNUMBER(MATCH(HT$3,Holidays,0)),"عطلة",IF(MOD(HT$3-'الموظفون'!$D$7,CycleWork+CycleRest)&lt;CycleWork,INDEX('الإعدادات والقوائم'!$H$2:$H$4,MOD(INT(MOD(HT$3-'الموظفون'!$D$7,CycleWork+CycleRest)*3/CycleWork)+MATCH(StartShift,'الإعدادات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الإجازات'!$D$5:$D$104&lt;=HT$3)*(('حجز الإجازات'!$E$5:$E$104)&gt;=HT$3)*('حجز الإجازات'!$G$5:$G$104="معتمد")*ROW('حجز الإجازات'!$B$5:$B$104)))-5+1))</f>
        <v/>
      </c>
      <c r="HU9" s="62">
        <f>IF(SUMPRODUCT(('حجز الإجازات'!$B$5:$B$104='الموظفون'!$B$7)*('حجز الإجازات'!$D$5:$D$104&lt;=HU$3)*(('حجز الإجازات'!$E$5:$E$104)&gt;=HU$3)*('حجز الإجازات'!$G$5:$G$104="معتمد")*ROW('حجز الإجازات'!$B$5:$B$104))=0,IF(HU$3&lt;'الموظفون'!$D$7,"",IF(ISNUMBER(MATCH(HU$3,Holidays,0)),"عطلة",IF(MOD(HU$3-'الموظفون'!$D$7,CycleWork+CycleRest)&lt;CycleWork,INDEX('الإعدادات والقوائم'!$H$2:$H$4,MOD(INT(MOD(HU$3-'الموظفون'!$D$7,CycleWork+CycleRest)*3/CycleWork)+MATCH(StartShift,'الإعدادات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الإجازات'!$D$5:$D$104&lt;=HU$3)*(('حجز الإجازات'!$E$5:$E$104)&gt;=HU$3)*('حجز الإجازات'!$G$5:$G$104="معتمد")*ROW('حجز الإجازات'!$B$5:$B$104)))-5+1))</f>
        <v/>
      </c>
      <c r="HV9" s="62">
        <f>IF(SUMPRODUCT(('حجز الإجازات'!$B$5:$B$104='الموظفون'!$B$7)*('حجز الإجازات'!$D$5:$D$104&lt;=HV$3)*(('حجز الإجازات'!$E$5:$E$104)&gt;=HV$3)*('حجز الإجازات'!$G$5:$G$104="معتمد")*ROW('حجز الإجازات'!$B$5:$B$104))=0,IF(HV$3&lt;'الموظفون'!$D$7,"",IF(ISNUMBER(MATCH(HV$3,Holidays,0)),"عطلة",IF(MOD(HV$3-'الموظفون'!$D$7,CycleWork+CycleRest)&lt;CycleWork,INDEX('الإعدادات والقوائم'!$H$2:$H$4,MOD(INT(MOD(HV$3-'الموظفون'!$D$7,CycleWork+CycleRest)*3/CycleWork)+MATCH(StartShift,'الإعدادات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الإجازات'!$D$5:$D$104&lt;=HV$3)*(('حجز الإجازات'!$E$5:$E$104)&gt;=HV$3)*('حجز الإجازات'!$G$5:$G$104="معتمد")*ROW('حجز الإجازات'!$B$5:$B$104)))-5+1))</f>
        <v/>
      </c>
      <c r="HW9" s="62">
        <f>IF(SUMPRODUCT(('حجز الإجازات'!$B$5:$B$104='الموظفون'!$B$7)*('حجز الإجازات'!$D$5:$D$104&lt;=HW$3)*(('حجز الإجازات'!$E$5:$E$104)&gt;=HW$3)*('حجز الإجازات'!$G$5:$G$104="معتمد")*ROW('حجز الإجازات'!$B$5:$B$104))=0,IF(HW$3&lt;'الموظفون'!$D$7,"",IF(ISNUMBER(MATCH(HW$3,Holidays,0)),"عطلة",IF(MOD(HW$3-'الموظفون'!$D$7,CycleWork+CycleRest)&lt;CycleWork,INDEX('الإعدادات والقوائم'!$H$2:$H$4,MOD(INT(MOD(HW$3-'الموظفون'!$D$7,CycleWork+CycleRest)*3/CycleWork)+MATCH(StartShift,'الإعدادات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الإجازات'!$D$5:$D$104&lt;=HW$3)*(('حجز الإجازات'!$E$5:$E$104)&gt;=HW$3)*('حجز الإجازات'!$G$5:$G$104="معتمد")*ROW('حجز الإجازات'!$B$5:$B$104)))-5+1))</f>
        <v/>
      </c>
      <c r="HX9" s="62">
        <f>IF(SUMPRODUCT(('حجز الإجازات'!$B$5:$B$104='الموظفون'!$B$7)*('حجز الإجازات'!$D$5:$D$104&lt;=HX$3)*(('حجز الإجازات'!$E$5:$E$104)&gt;=HX$3)*('حجز الإجازات'!$G$5:$G$104="معتمد")*ROW('حجز الإجازات'!$B$5:$B$104))=0,IF(HX$3&lt;'الموظفون'!$D$7,"",IF(ISNUMBER(MATCH(HX$3,Holidays,0)),"عطلة",IF(MOD(HX$3-'الموظفون'!$D$7,CycleWork+CycleRest)&lt;CycleWork,INDEX('الإعدادات والقوائم'!$H$2:$H$4,MOD(INT(MOD(HX$3-'الموظفون'!$D$7,CycleWork+CycleRest)*3/CycleWork)+MATCH(StartShift,'الإعدادات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الإجازات'!$D$5:$D$104&lt;=HX$3)*(('حجز الإجازات'!$E$5:$E$104)&gt;=HX$3)*('حجز الإجازات'!$G$5:$G$104="معتمد")*ROW('حجز الإجازات'!$B$5:$B$104)))-5+1))</f>
        <v/>
      </c>
      <c r="HY9" s="62">
        <f>IF(SUMPRODUCT(('حجز الإجازات'!$B$5:$B$104='الموظفون'!$B$7)*('حجز الإجازات'!$D$5:$D$104&lt;=HY$3)*(('حجز الإجازات'!$E$5:$E$104)&gt;=HY$3)*('حجز الإجازات'!$G$5:$G$104="معتمد")*ROW('حجز الإجازات'!$B$5:$B$104))=0,IF(HY$3&lt;'الموظفون'!$D$7,"",IF(ISNUMBER(MATCH(HY$3,Holidays,0)),"عطلة",IF(MOD(HY$3-'الموظفون'!$D$7,CycleWork+CycleRest)&lt;CycleWork,INDEX('الإعدادات والقوائم'!$H$2:$H$4,MOD(INT(MOD(HY$3-'الموظفون'!$D$7,CycleWork+CycleRest)*3/CycleWork)+MATCH(StartShift,'الإعدادات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الإجازات'!$D$5:$D$104&lt;=HY$3)*(('حجز الإجازات'!$E$5:$E$104)&gt;=HY$3)*('حجز الإجازات'!$G$5:$G$104="معتمد")*ROW('حجز الإجازات'!$B$5:$B$104)))-5+1))</f>
        <v/>
      </c>
      <c r="HZ9" s="62">
        <f>IF(SUMPRODUCT(('حجز الإجازات'!$B$5:$B$104='الموظفون'!$B$7)*('حجز الإجازات'!$D$5:$D$104&lt;=HZ$3)*(('حجز الإجازات'!$E$5:$E$104)&gt;=HZ$3)*('حجز الإجازات'!$G$5:$G$104="معتمد")*ROW('حجز الإجازات'!$B$5:$B$104))=0,IF(HZ$3&lt;'الموظفون'!$D$7,"",IF(ISNUMBER(MATCH(HZ$3,Holidays,0)),"عطلة",IF(MOD(HZ$3-'الموظفون'!$D$7,CycleWork+CycleRest)&lt;CycleWork,INDEX('الإعدادات والقوائم'!$H$2:$H$4,MOD(INT(MOD(HZ$3-'الموظفون'!$D$7,CycleWork+CycleRest)*3/CycleWork)+MATCH(StartShift,'الإعدادات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الإجازات'!$D$5:$D$104&lt;=HZ$3)*(('حجز الإجازات'!$E$5:$E$104)&gt;=HZ$3)*('حجز الإجازات'!$G$5:$G$104="معتمد")*ROW('حجز الإجازات'!$B$5:$B$104)))-5+1))</f>
        <v/>
      </c>
      <c r="IA9" s="62">
        <f>IF(SUMPRODUCT(('حجز الإجازات'!$B$5:$B$104='الموظفون'!$B$7)*('حجز الإجازات'!$D$5:$D$104&lt;=IA$3)*(('حجز الإجازات'!$E$5:$E$104)&gt;=IA$3)*('حجز الإجازات'!$G$5:$G$104="معتمد")*ROW('حجز الإجازات'!$B$5:$B$104))=0,IF(IA$3&lt;'الموظفون'!$D$7,"",IF(ISNUMBER(MATCH(IA$3,Holidays,0)),"عطلة",IF(MOD(IA$3-'الموظفون'!$D$7,CycleWork+CycleRest)&lt;CycleWork,INDEX('الإعدادات والقوائم'!$H$2:$H$4,MOD(INT(MOD(IA$3-'الموظفون'!$D$7,CycleWork+CycleRest)*3/CycleWork)+MATCH(StartShift,'الإعدادات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الإجازات'!$D$5:$D$104&lt;=IA$3)*(('حجز الإجازات'!$E$5:$E$104)&gt;=IA$3)*('حجز الإجازات'!$G$5:$G$104="معتمد")*ROW('حجز الإجازات'!$B$5:$B$104)))-5+1))</f>
        <v/>
      </c>
      <c r="IB9" s="62">
        <f>IF(SUMPRODUCT(('حجز الإجازات'!$B$5:$B$104='الموظفون'!$B$7)*('حجز الإجازات'!$D$5:$D$104&lt;=IB$3)*(('حجز الإجازات'!$E$5:$E$104)&gt;=IB$3)*('حجز الإجازات'!$G$5:$G$104="معتمد")*ROW('حجز الإجازات'!$B$5:$B$104))=0,IF(IB$3&lt;'الموظفون'!$D$7,"",IF(ISNUMBER(MATCH(IB$3,Holidays,0)),"عطلة",IF(MOD(IB$3-'الموظفون'!$D$7,CycleWork+CycleRest)&lt;CycleWork,INDEX('الإعدادات والقوائم'!$H$2:$H$4,MOD(INT(MOD(IB$3-'الموظفون'!$D$7,CycleWork+CycleRest)*3/CycleWork)+MATCH(StartShift,'الإعدادات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الإجازات'!$D$5:$D$104&lt;=IB$3)*(('حجز الإجازات'!$E$5:$E$104)&gt;=IB$3)*('حجز الإجازات'!$G$5:$G$104="معتمد")*ROW('حجز الإجازات'!$B$5:$B$104)))-5+1))</f>
        <v/>
      </c>
      <c r="IC9" s="62">
        <f>IF(SUMPRODUCT(('حجز الإجازات'!$B$5:$B$104='الموظفون'!$B$7)*('حجز الإجازات'!$D$5:$D$104&lt;=IC$3)*(('حجز الإجازات'!$E$5:$E$104)&gt;=IC$3)*('حجز الإجازات'!$G$5:$G$104="معتمد")*ROW('حجز الإجازات'!$B$5:$B$104))=0,IF(IC$3&lt;'الموظفون'!$D$7,"",IF(ISNUMBER(MATCH(IC$3,Holidays,0)),"عطلة",IF(MOD(IC$3-'الموظفون'!$D$7,CycleWork+CycleRest)&lt;CycleWork,INDEX('الإعدادات والقوائم'!$H$2:$H$4,MOD(INT(MOD(IC$3-'الموظفون'!$D$7,CycleWork+CycleRest)*3/CycleWork)+MATCH(StartShift,'الإعدادات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الإجازات'!$D$5:$D$104&lt;=IC$3)*(('حجز الإجازات'!$E$5:$E$104)&gt;=IC$3)*('حجز الإجازات'!$G$5:$G$104="معتمد")*ROW('حجز الإجازات'!$B$5:$B$104)))-5+1))</f>
        <v/>
      </c>
      <c r="ID9" s="62">
        <f>IF(SUMPRODUCT(('حجز الإجازات'!$B$5:$B$104='الموظفون'!$B$7)*('حجز الإجازات'!$D$5:$D$104&lt;=ID$3)*(('حجز الإجازات'!$E$5:$E$104)&gt;=ID$3)*('حجز الإجازات'!$G$5:$G$104="معتمد")*ROW('حجز الإجازات'!$B$5:$B$104))=0,IF(ID$3&lt;'الموظفون'!$D$7,"",IF(ISNUMBER(MATCH(ID$3,Holidays,0)),"عطلة",IF(MOD(ID$3-'الموظفون'!$D$7,CycleWork+CycleRest)&lt;CycleWork,INDEX('الإعدادات والقوائم'!$H$2:$H$4,MOD(INT(MOD(ID$3-'الموظفون'!$D$7,CycleWork+CycleRest)*3/CycleWork)+MATCH(StartShift,'الإعدادات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الإجازات'!$D$5:$D$104&lt;=ID$3)*(('حجز الإجازات'!$E$5:$E$104)&gt;=ID$3)*('حجز الإجازات'!$G$5:$G$104="معتمد")*ROW('حجز الإجازات'!$B$5:$B$104)))-5+1))</f>
        <v/>
      </c>
      <c r="IE9" s="62">
        <f>IF(SUMPRODUCT(('حجز الإجازات'!$B$5:$B$104='الموظفون'!$B$7)*('حجز الإجازات'!$D$5:$D$104&lt;=IE$3)*(('حجز الإجازات'!$E$5:$E$104)&gt;=IE$3)*('حجز الإجازات'!$G$5:$G$104="معتمد")*ROW('حجز الإجازات'!$B$5:$B$104))=0,IF(IE$3&lt;'الموظفون'!$D$7,"",IF(ISNUMBER(MATCH(IE$3,Holidays,0)),"عطلة",IF(MOD(IE$3-'الموظفون'!$D$7,CycleWork+CycleRest)&lt;CycleWork,INDEX('الإعدادات والقوائم'!$H$2:$H$4,MOD(INT(MOD(IE$3-'الموظفون'!$D$7,CycleWork+CycleRest)*3/CycleWork)+MATCH(StartShift,'الإعدادات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الإجازات'!$D$5:$D$104&lt;=IE$3)*(('حجز الإجازات'!$E$5:$E$104)&gt;=IE$3)*('حجز الإجازات'!$G$5:$G$104="معتمد")*ROW('حجز الإجازات'!$B$5:$B$104)))-5+1))</f>
        <v/>
      </c>
      <c r="IF9" s="62">
        <f>IF(SUMPRODUCT(('حجز الإجازات'!$B$5:$B$104='الموظفون'!$B$7)*('حجز الإجازات'!$D$5:$D$104&lt;=IF$3)*(('حجز الإجازات'!$E$5:$E$104)&gt;=IF$3)*('حجز الإجازات'!$G$5:$G$104="معتمد")*ROW('حجز الإجازات'!$B$5:$B$104))=0,IF(IF$3&lt;'الموظفون'!$D$7,"",IF(ISNUMBER(MATCH(IF$3,Holidays,0)),"عطلة",IF(MOD(IF$3-'الموظفون'!$D$7,CycleWork+CycleRest)&lt;CycleWork,INDEX('الإعدادات والقوائم'!$H$2:$H$4,MOD(INT(MOD(IF$3-'الموظفون'!$D$7,CycleWork+CycleRest)*3/CycleWork)+MATCH(StartShift,'الإعدادات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الإجازات'!$D$5:$D$104&lt;=IF$3)*(('حجز الإجازات'!$E$5:$E$104)&gt;=IF$3)*('حجز الإجازات'!$G$5:$G$104="معتمد")*ROW('حجز الإجازات'!$B$5:$B$104)))-5+1))</f>
        <v/>
      </c>
      <c r="IG9" s="62">
        <f>IF(SUMPRODUCT(('حجز الإجازات'!$B$5:$B$104='الموظفون'!$B$7)*('حجز الإجازات'!$D$5:$D$104&lt;=IG$3)*(('حجز الإجازات'!$E$5:$E$104)&gt;=IG$3)*('حجز الإجازات'!$G$5:$G$104="معتمد")*ROW('حجز الإجازات'!$B$5:$B$104))=0,IF(IG$3&lt;'الموظفون'!$D$7,"",IF(ISNUMBER(MATCH(IG$3,Holidays,0)),"عطلة",IF(MOD(IG$3-'الموظفون'!$D$7,CycleWork+CycleRest)&lt;CycleWork,INDEX('الإعدادات والقوائم'!$H$2:$H$4,MOD(INT(MOD(IG$3-'الموظفون'!$D$7,CycleWork+CycleRest)*3/CycleWork)+MATCH(StartShift,'الإعدادات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الإجازات'!$D$5:$D$104&lt;=IG$3)*(('حجز الإجازات'!$E$5:$E$104)&gt;=IG$3)*('حجز الإجازات'!$G$5:$G$104="معتمد")*ROW('حجز الإجازات'!$B$5:$B$104)))-5+1))</f>
        <v/>
      </c>
      <c r="IH9" s="62">
        <f>IF(SUMPRODUCT(('حجز الإجازات'!$B$5:$B$104='الموظفون'!$B$7)*('حجز الإجازات'!$D$5:$D$104&lt;=IH$3)*(('حجز الإجازات'!$E$5:$E$104)&gt;=IH$3)*('حجز الإجازات'!$G$5:$G$104="معتمد")*ROW('حجز الإجازات'!$B$5:$B$104))=0,IF(IH$3&lt;'الموظفون'!$D$7,"",IF(ISNUMBER(MATCH(IH$3,Holidays,0)),"عطلة",IF(MOD(IH$3-'الموظفون'!$D$7,CycleWork+CycleRest)&lt;CycleWork,INDEX('الإعدادات والقوائم'!$H$2:$H$4,MOD(INT(MOD(IH$3-'الموظفون'!$D$7,CycleWork+CycleRest)*3/CycleWork)+MATCH(StartShift,'الإعدادات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الإجازات'!$D$5:$D$104&lt;=IH$3)*(('حجز الإجازات'!$E$5:$E$104)&gt;=IH$3)*('حجز الإجازات'!$G$5:$G$104="معتمد")*ROW('حجز الإجازات'!$B$5:$B$104)))-5+1))</f>
        <v/>
      </c>
      <c r="II9" s="62">
        <f>IF(SUMPRODUCT(('حجز الإجازات'!$B$5:$B$104='الموظفون'!$B$7)*('حجز الإجازات'!$D$5:$D$104&lt;=II$3)*(('حجز الإجازات'!$E$5:$E$104)&gt;=II$3)*('حجز الإجازات'!$G$5:$G$104="معتمد")*ROW('حجز الإجازات'!$B$5:$B$104))=0,IF(II$3&lt;'الموظفون'!$D$7,"",IF(ISNUMBER(MATCH(II$3,Holidays,0)),"عطلة",IF(MOD(II$3-'الموظفون'!$D$7,CycleWork+CycleRest)&lt;CycleWork,INDEX('الإعدادات والقوائم'!$H$2:$H$4,MOD(INT(MOD(II$3-'الموظفون'!$D$7,CycleWork+CycleRest)*3/CycleWork)+MATCH(StartShift,'الإعدادات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الإجازات'!$D$5:$D$104&lt;=II$3)*(('حجز الإجازات'!$E$5:$E$104)&gt;=II$3)*('حجز الإجازات'!$G$5:$G$104="معتمد")*ROW('حجز الإجازات'!$B$5:$B$104)))-5+1))</f>
        <v/>
      </c>
      <c r="IJ9" s="62">
        <f>IF(SUMPRODUCT(('حجز الإجازات'!$B$5:$B$104='الموظفون'!$B$7)*('حجز الإجازات'!$D$5:$D$104&lt;=IJ$3)*(('حجز الإجازات'!$E$5:$E$104)&gt;=IJ$3)*('حجز الإجازات'!$G$5:$G$104="معتمد")*ROW('حجز الإجازات'!$B$5:$B$104))=0,IF(IJ$3&lt;'الموظفون'!$D$7,"",IF(ISNUMBER(MATCH(IJ$3,Holidays,0)),"عطلة",IF(MOD(IJ$3-'الموظفون'!$D$7,CycleWork+CycleRest)&lt;CycleWork,INDEX('الإعدادات والقوائم'!$H$2:$H$4,MOD(INT(MOD(IJ$3-'الموظفون'!$D$7,CycleWork+CycleRest)*3/CycleWork)+MATCH(StartShift,'الإعدادات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الإجازات'!$D$5:$D$104&lt;=IJ$3)*(('حجز الإجازات'!$E$5:$E$104)&gt;=IJ$3)*('حجز الإجازات'!$G$5:$G$104="معتمد")*ROW('حجز الإجازات'!$B$5:$B$104)))-5+1))</f>
        <v/>
      </c>
      <c r="IK9" s="62">
        <f>IF(SUMPRODUCT(('حجز الإجازات'!$B$5:$B$104='الموظفون'!$B$7)*('حجز الإجازات'!$D$5:$D$104&lt;=IK$3)*(('حجز الإجازات'!$E$5:$E$104)&gt;=IK$3)*('حجز الإجازات'!$G$5:$G$104="معتمد")*ROW('حجز الإجازات'!$B$5:$B$104))=0,IF(IK$3&lt;'الموظفون'!$D$7,"",IF(ISNUMBER(MATCH(IK$3,Holidays,0)),"عطلة",IF(MOD(IK$3-'الموظفون'!$D$7,CycleWork+CycleRest)&lt;CycleWork,INDEX('الإعدادات والقوائم'!$H$2:$H$4,MOD(INT(MOD(IK$3-'الموظفون'!$D$7,CycleWork+CycleRest)*3/CycleWork)+MATCH(StartShift,'الإعدادات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الإجازات'!$D$5:$D$104&lt;=IK$3)*(('حجز الإجازات'!$E$5:$E$104)&gt;=IK$3)*('حجز الإجازات'!$G$5:$G$104="معتمد")*ROW('حجز الإجازات'!$B$5:$B$104)))-5+1))</f>
        <v/>
      </c>
      <c r="IL9" s="62">
        <f>IF(SUMPRODUCT(('حجز الإجازات'!$B$5:$B$104='الموظفون'!$B$7)*('حجز الإجازات'!$D$5:$D$104&lt;=IL$3)*(('حجز الإجازات'!$E$5:$E$104)&gt;=IL$3)*('حجز الإجازات'!$G$5:$G$104="معتمد")*ROW('حجز الإجازات'!$B$5:$B$104))=0,IF(IL$3&lt;'الموظفون'!$D$7,"",IF(ISNUMBER(MATCH(IL$3,Holidays,0)),"عطلة",IF(MOD(IL$3-'الموظفون'!$D$7,CycleWork+CycleRest)&lt;CycleWork,INDEX('الإعدادات والقوائم'!$H$2:$H$4,MOD(INT(MOD(IL$3-'الموظفون'!$D$7,CycleWork+CycleRest)*3/CycleWork)+MATCH(StartShift,'الإعدادات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الإجازات'!$D$5:$D$104&lt;=IL$3)*(('حجز الإجازات'!$E$5:$E$104)&gt;=IL$3)*('حجز الإجازات'!$G$5:$G$104="معتمد")*ROW('حجز الإجازات'!$B$5:$B$104)))-5+1))</f>
        <v/>
      </c>
      <c r="IM9" s="62">
        <f>IF(SUMPRODUCT(('حجز الإجازات'!$B$5:$B$104='الموظفون'!$B$7)*('حجز الإجازات'!$D$5:$D$104&lt;=IM$3)*(('حجز الإجازات'!$E$5:$E$104)&gt;=IM$3)*('حجز الإجازات'!$G$5:$G$104="معتمد")*ROW('حجز الإجازات'!$B$5:$B$104))=0,IF(IM$3&lt;'الموظفون'!$D$7,"",IF(ISNUMBER(MATCH(IM$3,Holidays,0)),"عطلة",IF(MOD(IM$3-'الموظفون'!$D$7,CycleWork+CycleRest)&lt;CycleWork,INDEX('الإعدادات والقوائم'!$H$2:$H$4,MOD(INT(MOD(IM$3-'الموظفون'!$D$7,CycleWork+CycleRest)*3/CycleWork)+MATCH(StartShift,'الإعدادات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الإجازات'!$D$5:$D$104&lt;=IM$3)*(('حجز الإجازات'!$E$5:$E$104)&gt;=IM$3)*('حجز الإجازات'!$G$5:$G$104="معتمد")*ROW('حجز الإجازات'!$B$5:$B$104)))-5+1))</f>
        <v/>
      </c>
      <c r="IN9" s="62">
        <f>IF(SUMPRODUCT(('حجز الإجازات'!$B$5:$B$104='الموظفون'!$B$7)*('حجز الإجازات'!$D$5:$D$104&lt;=IN$3)*(('حجز الإجازات'!$E$5:$E$104)&gt;=IN$3)*('حجز الإجازات'!$G$5:$G$104="معتمد")*ROW('حجز الإجازات'!$B$5:$B$104))=0,IF(IN$3&lt;'الموظفون'!$D$7,"",IF(ISNUMBER(MATCH(IN$3,Holidays,0)),"عطلة",IF(MOD(IN$3-'الموظفون'!$D$7,CycleWork+CycleRest)&lt;CycleWork,INDEX('الإعدادات والقوائم'!$H$2:$H$4,MOD(INT(MOD(IN$3-'الموظفون'!$D$7,CycleWork+CycleRest)*3/CycleWork)+MATCH(StartShift,'الإعدادات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الإجازات'!$D$5:$D$104&lt;=IN$3)*(('حجز الإجازات'!$E$5:$E$104)&gt;=IN$3)*('حجز الإجازات'!$G$5:$G$104="معتمد")*ROW('حجز الإجازات'!$B$5:$B$104)))-5+1))</f>
        <v/>
      </c>
      <c r="IO9" s="62">
        <f>IF(SUMPRODUCT(('حجز الإجازات'!$B$5:$B$104='الموظفون'!$B$7)*('حجز الإجازات'!$D$5:$D$104&lt;=IO$3)*(('حجز الإجازات'!$E$5:$E$104)&gt;=IO$3)*('حجز الإجازات'!$G$5:$G$104="معتمد")*ROW('حجز الإجازات'!$B$5:$B$104))=0,IF(IO$3&lt;'الموظفون'!$D$7,"",IF(ISNUMBER(MATCH(IO$3,Holidays,0)),"عطلة",IF(MOD(IO$3-'الموظفون'!$D$7,CycleWork+CycleRest)&lt;CycleWork,INDEX('الإعدادات والقوائم'!$H$2:$H$4,MOD(INT(MOD(IO$3-'الموظفون'!$D$7,CycleWork+CycleRest)*3/CycleWork)+MATCH(StartShift,'الإعدادات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الإجازات'!$D$5:$D$104&lt;=IO$3)*(('حجز الإجازات'!$E$5:$E$104)&gt;=IO$3)*('حجز الإجازات'!$G$5:$G$104="معتمد")*ROW('حجز الإجازات'!$B$5:$B$104)))-5+1))</f>
        <v/>
      </c>
      <c r="IP9" s="62">
        <f>IF(SUMPRODUCT(('حجز الإجازات'!$B$5:$B$104='الموظفون'!$B$7)*('حجز الإجازات'!$D$5:$D$104&lt;=IP$3)*(('حجز الإجازات'!$E$5:$E$104)&gt;=IP$3)*('حجز الإجازات'!$G$5:$G$104="معتمد")*ROW('حجز الإجازات'!$B$5:$B$104))=0,IF(IP$3&lt;'الموظفون'!$D$7,"",IF(ISNUMBER(MATCH(IP$3,Holidays,0)),"عطلة",IF(MOD(IP$3-'الموظفون'!$D$7,CycleWork+CycleRest)&lt;CycleWork,INDEX('الإعدادات والقوائم'!$H$2:$H$4,MOD(INT(MOD(IP$3-'الموظفون'!$D$7,CycleWork+CycleRest)*3/CycleWork)+MATCH(StartShift,'الإعدادات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الإجازات'!$D$5:$D$104&lt;=IP$3)*(('حجز الإجازات'!$E$5:$E$104)&gt;=IP$3)*('حجز الإجازات'!$G$5:$G$104="معتمد")*ROW('حجز الإجازات'!$B$5:$B$104)))-5+1))</f>
        <v/>
      </c>
      <c r="IQ9" s="62">
        <f>IF(SUMPRODUCT(('حجز الإجازات'!$B$5:$B$104='الموظفون'!$B$7)*('حجز الإجازات'!$D$5:$D$104&lt;=IQ$3)*(('حجز الإجازات'!$E$5:$E$104)&gt;=IQ$3)*('حجز الإجازات'!$G$5:$G$104="معتمد")*ROW('حجز الإجازات'!$B$5:$B$104))=0,IF(IQ$3&lt;'الموظفون'!$D$7,"",IF(ISNUMBER(MATCH(IQ$3,Holidays,0)),"عطلة",IF(MOD(IQ$3-'الموظفون'!$D$7,CycleWork+CycleRest)&lt;CycleWork,INDEX('الإعدادات والقوائم'!$H$2:$H$4,MOD(INT(MOD(IQ$3-'الموظفون'!$D$7,CycleWork+CycleRest)*3/CycleWork)+MATCH(StartShift,'الإعدادات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الإجازات'!$D$5:$D$104&lt;=IQ$3)*(('حجز الإجازات'!$E$5:$E$104)&gt;=IQ$3)*('حجز الإجازات'!$G$5:$G$104="معتمد")*ROW('حجز الإجازات'!$B$5:$B$104)))-5+1))</f>
        <v/>
      </c>
      <c r="IR9" s="62">
        <f>IF(SUMPRODUCT(('حجز الإجازات'!$B$5:$B$104='الموظفون'!$B$7)*('حجز الإجازات'!$D$5:$D$104&lt;=IR$3)*(('حجز الإجازات'!$E$5:$E$104)&gt;=IR$3)*('حجز الإجازات'!$G$5:$G$104="معتمد")*ROW('حجز الإجازات'!$B$5:$B$104))=0,IF(IR$3&lt;'الموظفون'!$D$7,"",IF(ISNUMBER(MATCH(IR$3,Holidays,0)),"عطلة",IF(MOD(IR$3-'الموظفون'!$D$7,CycleWork+CycleRest)&lt;CycleWork,INDEX('الإعدادات والقوائم'!$H$2:$H$4,MOD(INT(MOD(IR$3-'الموظفون'!$D$7,CycleWork+CycleRest)*3/CycleWork)+MATCH(StartShift,'الإعدادات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الإجازات'!$D$5:$D$104&lt;=IR$3)*(('حجز الإجازات'!$E$5:$E$104)&gt;=IR$3)*('حجز الإجازات'!$G$5:$G$104="معتمد")*ROW('حجز الإجازات'!$B$5:$B$104)))-5+1))</f>
        <v/>
      </c>
      <c r="IS9" s="62">
        <f>IF(SUMPRODUCT(('حجز الإجازات'!$B$5:$B$104='الموظفون'!$B$7)*('حجز الإجازات'!$D$5:$D$104&lt;=IS$3)*(('حجز الإجازات'!$E$5:$E$104)&gt;=IS$3)*('حجز الإجازات'!$G$5:$G$104="معتمد")*ROW('حجز الإجازات'!$B$5:$B$104))=0,IF(IS$3&lt;'الموظفون'!$D$7,"",IF(ISNUMBER(MATCH(IS$3,Holidays,0)),"عطلة",IF(MOD(IS$3-'الموظفون'!$D$7,CycleWork+CycleRest)&lt;CycleWork,INDEX('الإعدادات والقوائم'!$H$2:$H$4,MOD(INT(MOD(IS$3-'الموظفون'!$D$7,CycleWork+CycleRest)*3/CycleWork)+MATCH(StartShift,'الإعدادات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الإجازات'!$D$5:$D$104&lt;=IS$3)*(('حجز الإجازات'!$E$5:$E$104)&gt;=IS$3)*('حجز الإجازات'!$G$5:$G$104="معتمد")*ROW('حجز الإجازات'!$B$5:$B$104)))-5+1))</f>
        <v/>
      </c>
      <c r="IT9" s="62">
        <f>IF(SUMPRODUCT(('حجز الإجازات'!$B$5:$B$104='الموظفون'!$B$7)*('حجز الإجازات'!$D$5:$D$104&lt;=IT$3)*(('حجز الإجازات'!$E$5:$E$104)&gt;=IT$3)*('حجز الإجازات'!$G$5:$G$104="معتمد")*ROW('حجز الإجازات'!$B$5:$B$104))=0,IF(IT$3&lt;'الموظفون'!$D$7,"",IF(ISNUMBER(MATCH(IT$3,Holidays,0)),"عطلة",IF(MOD(IT$3-'الموظفون'!$D$7,CycleWork+CycleRest)&lt;CycleWork,INDEX('الإعدادات والقوائم'!$H$2:$H$4,MOD(INT(MOD(IT$3-'الموظفون'!$D$7,CycleWork+CycleRest)*3/CycleWork)+MATCH(StartShift,'الإعدادات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الإجازات'!$D$5:$D$104&lt;=IT$3)*(('حجز الإجازات'!$E$5:$E$104)&gt;=IT$3)*('حجز الإجازات'!$G$5:$G$104="معتمد")*ROW('حجز الإجازات'!$B$5:$B$104)))-5+1))</f>
        <v/>
      </c>
      <c r="IU9" s="62">
        <f>IF(SUMPRODUCT(('حجز الإجازات'!$B$5:$B$104='الموظفون'!$B$7)*('حجز الإجازات'!$D$5:$D$104&lt;=IU$3)*(('حجز الإجازات'!$E$5:$E$104)&gt;=IU$3)*('حجز الإجازات'!$G$5:$G$104="معتمد")*ROW('حجز الإجازات'!$B$5:$B$104))=0,IF(IU$3&lt;'الموظفون'!$D$7,"",IF(ISNUMBER(MATCH(IU$3,Holidays,0)),"عطلة",IF(MOD(IU$3-'الموظفون'!$D$7,CycleWork+CycleRest)&lt;CycleWork,INDEX('الإعدادات والقوائم'!$H$2:$H$4,MOD(INT(MOD(IU$3-'الموظفون'!$D$7,CycleWork+CycleRest)*3/CycleWork)+MATCH(StartShift,'الإعدادات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الإجازات'!$D$5:$D$104&lt;=IU$3)*(('حجز الإجازات'!$E$5:$E$104)&gt;=IU$3)*('حجز الإجازات'!$G$5:$G$104="معتمد")*ROW('حجز الإجازات'!$B$5:$B$104)))-5+1))</f>
        <v/>
      </c>
      <c r="IV9" s="62">
        <f>IF(SUMPRODUCT(('حجز الإجازات'!$B$5:$B$104='الموظفون'!$B$7)*('حجز الإجازات'!$D$5:$D$104&lt;=IV$3)*(('حجز الإجازات'!$E$5:$E$104)&gt;=IV$3)*('حجز الإجازات'!$G$5:$G$104="معتمد")*ROW('حجز الإجازات'!$B$5:$B$104))=0,IF(IV$3&lt;'الموظفون'!$D$7,"",IF(ISNUMBER(MATCH(IV$3,Holidays,0)),"عطلة",IF(MOD(IV$3-'الموظفون'!$D$7,CycleWork+CycleRest)&lt;CycleWork,INDEX('الإعدادات والقوائم'!$H$2:$H$4,MOD(INT(MOD(IV$3-'الموظفون'!$D$7,CycleWork+CycleRest)*3/CycleWork)+MATCH(StartShift,'الإعدادات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الإجازات'!$D$5:$D$104&lt;=IV$3)*(('حجز الإجازات'!$E$5:$E$104)&gt;=IV$3)*('حجز الإجازات'!$G$5:$G$104="معتمد")*ROW('حجز الإجازات'!$B$5:$B$104)))-5+1))</f>
        <v/>
      </c>
      <c r="IW9" s="62">
        <f>IF(SUMPRODUCT(('حجز الإجازات'!$B$5:$B$104='الموظفون'!$B$7)*('حجز الإجازات'!$D$5:$D$104&lt;=IW$3)*(('حجز الإجازات'!$E$5:$E$104)&gt;=IW$3)*('حجز الإجازات'!$G$5:$G$104="معتمد")*ROW('حجز الإجازات'!$B$5:$B$104))=0,IF(IW$3&lt;'الموظفون'!$D$7,"",IF(ISNUMBER(MATCH(IW$3,Holidays,0)),"عطلة",IF(MOD(IW$3-'الموظفون'!$D$7,CycleWork+CycleRest)&lt;CycleWork,INDEX('الإعدادات والقوائم'!$H$2:$H$4,MOD(INT(MOD(IW$3-'الموظفون'!$D$7,CycleWork+CycleRest)*3/CycleWork)+MATCH(StartShift,'الإعدادات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الإجازات'!$D$5:$D$104&lt;=IW$3)*(('حجز الإجازات'!$E$5:$E$104)&gt;=IW$3)*('حجز الإجازات'!$G$5:$G$104="معتمد")*ROW('حجز الإجازات'!$B$5:$B$104)))-5+1))</f>
        <v/>
      </c>
      <c r="IX9" s="62">
        <f>IF(SUMPRODUCT(('حجز الإجازات'!$B$5:$B$104='الموظفون'!$B$7)*('حجز الإجازات'!$D$5:$D$104&lt;=IX$3)*(('حجز الإجازات'!$E$5:$E$104)&gt;=IX$3)*('حجز الإجازات'!$G$5:$G$104="معتمد")*ROW('حجز الإجازات'!$B$5:$B$104))=0,IF(IX$3&lt;'الموظفون'!$D$7,"",IF(ISNUMBER(MATCH(IX$3,Holidays,0)),"عطلة",IF(MOD(IX$3-'الموظفون'!$D$7,CycleWork+CycleRest)&lt;CycleWork,INDEX('الإعدادات والقوائم'!$H$2:$H$4,MOD(INT(MOD(IX$3-'الموظفون'!$D$7,CycleWork+CycleRest)*3/CycleWork)+MATCH(StartShift,'الإعدادات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الإجازات'!$D$5:$D$104&lt;=IX$3)*(('حجز الإجازات'!$E$5:$E$104)&gt;=IX$3)*('حجز الإجازات'!$G$5:$G$104="معتمد")*ROW('حجز الإجازات'!$B$5:$B$104)))-5+1))</f>
        <v/>
      </c>
      <c r="IY9" s="62">
        <f>IF(SUMPRODUCT(('حجز الإجازات'!$B$5:$B$104='الموظفون'!$B$7)*('حجز الإجازات'!$D$5:$D$104&lt;=IY$3)*(('حجز الإجازات'!$E$5:$E$104)&gt;=IY$3)*('حجز الإجازات'!$G$5:$G$104="معتمد")*ROW('حجز الإجازات'!$B$5:$B$104))=0,IF(IY$3&lt;'الموظفون'!$D$7,"",IF(ISNUMBER(MATCH(IY$3,Holidays,0)),"عطلة",IF(MOD(IY$3-'الموظفون'!$D$7,CycleWork+CycleRest)&lt;CycleWork,INDEX('الإعدادات والقوائم'!$H$2:$H$4,MOD(INT(MOD(IY$3-'الموظفون'!$D$7,CycleWork+CycleRest)*3/CycleWork)+MATCH(StartShift,'الإعدادات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الإجازات'!$D$5:$D$104&lt;=IY$3)*(('حجز الإجازات'!$E$5:$E$104)&gt;=IY$3)*('حجز الإجازات'!$G$5:$G$104="معتمد")*ROW('حجز الإجازات'!$B$5:$B$104)))-5+1))</f>
        <v/>
      </c>
      <c r="IZ9" s="62">
        <f>IF(SUMPRODUCT(('حجز الإجازات'!$B$5:$B$104='الموظفون'!$B$7)*('حجز الإجازات'!$D$5:$D$104&lt;=IZ$3)*(('حجز الإجازات'!$E$5:$E$104)&gt;=IZ$3)*('حجز الإجازات'!$G$5:$G$104="معتمد")*ROW('حجز الإجازات'!$B$5:$B$104))=0,IF(IZ$3&lt;'الموظفون'!$D$7,"",IF(ISNUMBER(MATCH(IZ$3,Holidays,0)),"عطلة",IF(MOD(IZ$3-'الموظفون'!$D$7,CycleWork+CycleRest)&lt;CycleWork,INDEX('الإعدادات والقوائم'!$H$2:$H$4,MOD(INT(MOD(IZ$3-'الموظفون'!$D$7,CycleWork+CycleRest)*3/CycleWork)+MATCH(StartShift,'الإعدادات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الإجازات'!$D$5:$D$104&lt;=IZ$3)*(('حجز الإجازات'!$E$5:$E$104)&gt;=IZ$3)*('حجز الإجازات'!$G$5:$G$104="معتمد")*ROW('حجز الإجازات'!$B$5:$B$104)))-5+1))</f>
        <v/>
      </c>
      <c r="JA9" s="62">
        <f>IF(SUMPRODUCT(('حجز الإجازات'!$B$5:$B$104='الموظفون'!$B$7)*('حجز الإجازات'!$D$5:$D$104&lt;=JA$3)*(('حجز الإجازات'!$E$5:$E$104)&gt;=JA$3)*('حجز الإجازات'!$G$5:$G$104="معتمد")*ROW('حجز الإجازات'!$B$5:$B$104))=0,IF(JA$3&lt;'الموظفون'!$D$7,"",IF(ISNUMBER(MATCH(JA$3,Holidays,0)),"عطلة",IF(MOD(JA$3-'الموظفون'!$D$7,CycleWork+CycleRest)&lt;CycleWork,INDEX('الإعدادات والقوائم'!$H$2:$H$4,MOD(INT(MOD(JA$3-'الموظفون'!$D$7,CycleWork+CycleRest)*3/CycleWork)+MATCH(StartShift,'الإعدادات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الإجازات'!$D$5:$D$104&lt;=JA$3)*(('حجز الإجازات'!$E$5:$E$104)&gt;=JA$3)*('حجز الإجازات'!$G$5:$G$104="معتمد")*ROW('حجز الإجازات'!$B$5:$B$104)))-5+1))</f>
        <v/>
      </c>
      <c r="JB9" s="62">
        <f>IF(SUMPRODUCT(('حجز الإجازات'!$B$5:$B$104='الموظفون'!$B$7)*('حجز الإجازات'!$D$5:$D$104&lt;=JB$3)*(('حجز الإجازات'!$E$5:$E$104)&gt;=JB$3)*('حجز الإجازات'!$G$5:$G$104="معتمد")*ROW('حجز الإجازات'!$B$5:$B$104))=0,IF(JB$3&lt;'الموظفون'!$D$7,"",IF(ISNUMBER(MATCH(JB$3,Holidays,0)),"عطلة",IF(MOD(JB$3-'الموظفون'!$D$7,CycleWork+CycleRest)&lt;CycleWork,INDEX('الإعدادات والقوائم'!$H$2:$H$4,MOD(INT(MOD(JB$3-'الموظفون'!$D$7,CycleWork+CycleRest)*3/CycleWork)+MATCH(StartShift,'الإعدادات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الإجازات'!$D$5:$D$104&lt;=JB$3)*(('حجز الإجازات'!$E$5:$E$104)&gt;=JB$3)*('حجز الإجازات'!$G$5:$G$104="معتمد")*ROW('حجز الإجازات'!$B$5:$B$104)))-5+1))</f>
        <v/>
      </c>
      <c r="JC9" s="62">
        <f>IF(SUMPRODUCT(('حجز الإجازات'!$B$5:$B$104='الموظفون'!$B$7)*('حجز الإجازات'!$D$5:$D$104&lt;=JC$3)*(('حجز الإجازات'!$E$5:$E$104)&gt;=JC$3)*('حجز الإجازات'!$G$5:$G$104="معتمد")*ROW('حجز الإجازات'!$B$5:$B$104))=0,IF(JC$3&lt;'الموظفون'!$D$7,"",IF(ISNUMBER(MATCH(JC$3,Holidays,0)),"عطلة",IF(MOD(JC$3-'الموظفون'!$D$7,CycleWork+CycleRest)&lt;CycleWork,INDEX('الإعدادات والقوائم'!$H$2:$H$4,MOD(INT(MOD(JC$3-'الموظفون'!$D$7,CycleWork+CycleRest)*3/CycleWork)+MATCH(StartShift,'الإعدادات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الإجازات'!$D$5:$D$104&lt;=JC$3)*(('حجز الإجازات'!$E$5:$E$104)&gt;=JC$3)*('حجز الإجازات'!$G$5:$G$104="معتمد")*ROW('حجز الإجازات'!$B$5:$B$104)))-5+1))</f>
        <v/>
      </c>
      <c r="JD9" s="62">
        <f>IF(SUMPRODUCT(('حجز الإجازات'!$B$5:$B$104='الموظفون'!$B$7)*('حجز الإجازات'!$D$5:$D$104&lt;=JD$3)*(('حجز الإجازات'!$E$5:$E$104)&gt;=JD$3)*('حجز الإجازات'!$G$5:$G$104="معتمد")*ROW('حجز الإجازات'!$B$5:$B$104))=0,IF(JD$3&lt;'الموظفون'!$D$7,"",IF(ISNUMBER(MATCH(JD$3,Holidays,0)),"عطلة",IF(MOD(JD$3-'الموظفون'!$D$7,CycleWork+CycleRest)&lt;CycleWork,INDEX('الإعدادات والقوائم'!$H$2:$H$4,MOD(INT(MOD(JD$3-'الموظفون'!$D$7,CycleWork+CycleRest)*3/CycleWork)+MATCH(StartShift,'الإعدادات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الإجازات'!$D$5:$D$104&lt;=JD$3)*(('حجز الإجازات'!$E$5:$E$104)&gt;=JD$3)*('حجز الإجازات'!$G$5:$G$104="معتمد")*ROW('حجز الإجازات'!$B$5:$B$104)))-5+1))</f>
        <v/>
      </c>
      <c r="JE9" s="62">
        <f>IF(SUMPRODUCT(('حجز الإجازات'!$B$5:$B$104='الموظفون'!$B$7)*('حجز الإجازات'!$D$5:$D$104&lt;=JE$3)*(('حجز الإجازات'!$E$5:$E$104)&gt;=JE$3)*('حجز الإجازات'!$G$5:$G$104="معتمد")*ROW('حجز الإجازات'!$B$5:$B$104))=0,IF(JE$3&lt;'الموظفون'!$D$7,"",IF(ISNUMBER(MATCH(JE$3,Holidays,0)),"عطلة",IF(MOD(JE$3-'الموظفون'!$D$7,CycleWork+CycleRest)&lt;CycleWork,INDEX('الإعدادات والقوائم'!$H$2:$H$4,MOD(INT(MOD(JE$3-'الموظفون'!$D$7,CycleWork+CycleRest)*3/CycleWork)+MATCH(StartShift,'الإعدادات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الإجازات'!$D$5:$D$104&lt;=JE$3)*(('حجز الإجازات'!$E$5:$E$104)&gt;=JE$3)*('حجز الإجازات'!$G$5:$G$104="معتمد")*ROW('حجز الإجازات'!$B$5:$B$104)))-5+1))</f>
        <v/>
      </c>
      <c r="JF9" s="62">
        <f>IF(SUMPRODUCT(('حجز الإجازات'!$B$5:$B$104='الموظفون'!$B$7)*('حجز الإجازات'!$D$5:$D$104&lt;=JF$3)*(('حجز الإجازات'!$E$5:$E$104)&gt;=JF$3)*('حجز الإجازات'!$G$5:$G$104="معتمد")*ROW('حجز الإجازات'!$B$5:$B$104))=0,IF(JF$3&lt;'الموظفون'!$D$7,"",IF(ISNUMBER(MATCH(JF$3,Holidays,0)),"عطلة",IF(MOD(JF$3-'الموظفون'!$D$7,CycleWork+CycleRest)&lt;CycleWork,INDEX('الإعدادات والقوائم'!$H$2:$H$4,MOD(INT(MOD(JF$3-'الموظفون'!$D$7,CycleWork+CycleRest)*3/CycleWork)+MATCH(StartShift,'الإعدادات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الإجازات'!$D$5:$D$104&lt;=JF$3)*(('حجز الإجازات'!$E$5:$E$104)&gt;=JF$3)*('حجز الإجازات'!$G$5:$G$104="معتمد")*ROW('حجز الإجازات'!$B$5:$B$104)))-5+1))</f>
        <v/>
      </c>
      <c r="JG9" s="62">
        <f>IF(SUMPRODUCT(('حجز الإجازات'!$B$5:$B$104='الموظفون'!$B$7)*('حجز الإجازات'!$D$5:$D$104&lt;=JG$3)*(('حجز الإجازات'!$E$5:$E$104)&gt;=JG$3)*('حجز الإجازات'!$G$5:$G$104="معتمد")*ROW('حجز الإجازات'!$B$5:$B$104))=0,IF(JG$3&lt;'الموظفون'!$D$7,"",IF(ISNUMBER(MATCH(JG$3,Holidays,0)),"عطلة",IF(MOD(JG$3-'الموظفون'!$D$7,CycleWork+CycleRest)&lt;CycleWork,INDEX('الإعدادات والقوائم'!$H$2:$H$4,MOD(INT(MOD(JG$3-'الموظفون'!$D$7,CycleWork+CycleRest)*3/CycleWork)+MATCH(StartShift,'الإعدادات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الإجازات'!$D$5:$D$104&lt;=JG$3)*(('حجز الإجازات'!$E$5:$E$104)&gt;=JG$3)*('حجز الإجازات'!$G$5:$G$104="معتمد")*ROW('حجز الإجازات'!$B$5:$B$104)))-5+1))</f>
        <v/>
      </c>
      <c r="JH9" s="62">
        <f>IF(SUMPRODUCT(('حجز الإجازات'!$B$5:$B$104='الموظفون'!$B$7)*('حجز الإجازات'!$D$5:$D$104&lt;=JH$3)*(('حجز الإجازات'!$E$5:$E$104)&gt;=JH$3)*('حجز الإجازات'!$G$5:$G$104="معتمد")*ROW('حجز الإجازات'!$B$5:$B$104))=0,IF(JH$3&lt;'الموظفون'!$D$7,"",IF(ISNUMBER(MATCH(JH$3,Holidays,0)),"عطلة",IF(MOD(JH$3-'الموظفون'!$D$7,CycleWork+CycleRest)&lt;CycleWork,INDEX('الإعدادات والقوائم'!$H$2:$H$4,MOD(INT(MOD(JH$3-'الموظفون'!$D$7,CycleWork+CycleRest)*3/CycleWork)+MATCH(StartShift,'الإعدادات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الإجازات'!$D$5:$D$104&lt;=JH$3)*(('حجز الإجازات'!$E$5:$E$104)&gt;=JH$3)*('حجز الإجازات'!$G$5:$G$104="معتمد")*ROW('حجز الإجازات'!$B$5:$B$104)))-5+1))</f>
        <v/>
      </c>
      <c r="JI9" s="62">
        <f>IF(SUMPRODUCT(('حجز الإجازات'!$B$5:$B$104='الموظفون'!$B$7)*('حجز الإجازات'!$D$5:$D$104&lt;=JI$3)*(('حجز الإجازات'!$E$5:$E$104)&gt;=JI$3)*('حجز الإجازات'!$G$5:$G$104="معتمد")*ROW('حجز الإجازات'!$B$5:$B$104))=0,IF(JI$3&lt;'الموظفون'!$D$7,"",IF(ISNUMBER(MATCH(JI$3,Holidays,0)),"عطلة",IF(MOD(JI$3-'الموظفون'!$D$7,CycleWork+CycleRest)&lt;CycleWork,INDEX('الإعدادات والقوائم'!$H$2:$H$4,MOD(INT(MOD(JI$3-'الموظفون'!$D$7,CycleWork+CycleRest)*3/CycleWork)+MATCH(StartShift,'الإعدادات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الإجازات'!$D$5:$D$104&lt;=JI$3)*(('حجز الإجازات'!$E$5:$E$104)&gt;=JI$3)*('حجز الإجازات'!$G$5:$G$104="معتمد")*ROW('حجز الإجازات'!$B$5:$B$104)))-5+1))</f>
        <v/>
      </c>
      <c r="JJ9" s="62">
        <f>IF(SUMPRODUCT(('حجز الإجازات'!$B$5:$B$104='الموظفون'!$B$7)*('حجز الإجازات'!$D$5:$D$104&lt;=JJ$3)*(('حجز الإجازات'!$E$5:$E$104)&gt;=JJ$3)*('حجز الإجازات'!$G$5:$G$104="معتمد")*ROW('حجز الإجازات'!$B$5:$B$104))=0,IF(JJ$3&lt;'الموظفون'!$D$7,"",IF(ISNUMBER(MATCH(JJ$3,Holidays,0)),"عطلة",IF(MOD(JJ$3-'الموظفون'!$D$7,CycleWork+CycleRest)&lt;CycleWork,INDEX('الإعدادات والقوائم'!$H$2:$H$4,MOD(INT(MOD(JJ$3-'الموظفون'!$D$7,CycleWork+CycleRest)*3/CycleWork)+MATCH(StartShift,'الإعدادات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الإجازات'!$D$5:$D$104&lt;=JJ$3)*(('حجز الإجازات'!$E$5:$E$104)&gt;=JJ$3)*('حجز الإجازات'!$G$5:$G$104="معتمد")*ROW('حجز الإجازات'!$B$5:$B$104)))-5+1))</f>
        <v/>
      </c>
      <c r="JK9" s="62">
        <f>IF(SUMPRODUCT(('حجز الإجازات'!$B$5:$B$104='الموظفون'!$B$7)*('حجز الإجازات'!$D$5:$D$104&lt;=JK$3)*(('حجز الإجازات'!$E$5:$E$104)&gt;=JK$3)*('حجز الإجازات'!$G$5:$G$104="معتمد")*ROW('حجز الإجازات'!$B$5:$B$104))=0,IF(JK$3&lt;'الموظفون'!$D$7,"",IF(ISNUMBER(MATCH(JK$3,Holidays,0)),"عطلة",IF(MOD(JK$3-'الموظفون'!$D$7,CycleWork+CycleRest)&lt;CycleWork,INDEX('الإعدادات والقوائم'!$H$2:$H$4,MOD(INT(MOD(JK$3-'الموظفون'!$D$7,CycleWork+CycleRest)*3/CycleWork)+MATCH(StartShift,'الإعدادات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الإجازات'!$D$5:$D$104&lt;=JK$3)*(('حجز الإجازات'!$E$5:$E$104)&gt;=JK$3)*('حجز الإجازات'!$G$5:$G$104="معتمد")*ROW('حجز الإجازات'!$B$5:$B$104)))-5+1))</f>
        <v/>
      </c>
      <c r="JL9" s="62">
        <f>IF(SUMPRODUCT(('حجز الإجازات'!$B$5:$B$104='الموظفون'!$B$7)*('حجز الإجازات'!$D$5:$D$104&lt;=JL$3)*(('حجز الإجازات'!$E$5:$E$104)&gt;=JL$3)*('حجز الإجازات'!$G$5:$G$104="معتمد")*ROW('حجز الإجازات'!$B$5:$B$104))=0,IF(JL$3&lt;'الموظفون'!$D$7,"",IF(ISNUMBER(MATCH(JL$3,Holidays,0)),"عطلة",IF(MOD(JL$3-'الموظفون'!$D$7,CycleWork+CycleRest)&lt;CycleWork,INDEX('الإعدادات والقوائم'!$H$2:$H$4,MOD(INT(MOD(JL$3-'الموظفون'!$D$7,CycleWork+CycleRest)*3/CycleWork)+MATCH(StartShift,'الإعدادات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الإجازات'!$D$5:$D$104&lt;=JL$3)*(('حجز الإجازات'!$E$5:$E$104)&gt;=JL$3)*('حجز الإجازات'!$G$5:$G$104="معتمد")*ROW('حجز الإجازات'!$B$5:$B$104)))-5+1))</f>
        <v/>
      </c>
      <c r="JM9" s="62">
        <f>IF(SUMPRODUCT(('حجز الإجازات'!$B$5:$B$104='الموظفون'!$B$7)*('حجز الإجازات'!$D$5:$D$104&lt;=JM$3)*(('حجز الإجازات'!$E$5:$E$104)&gt;=JM$3)*('حجز الإجازات'!$G$5:$G$104="معتمد")*ROW('حجز الإجازات'!$B$5:$B$104))=0,IF(JM$3&lt;'الموظفون'!$D$7,"",IF(ISNUMBER(MATCH(JM$3,Holidays,0)),"عطلة",IF(MOD(JM$3-'الموظفون'!$D$7,CycleWork+CycleRest)&lt;CycleWork,INDEX('الإعدادات والقوائم'!$H$2:$H$4,MOD(INT(MOD(JM$3-'الموظفون'!$D$7,CycleWork+CycleRest)*3/CycleWork)+MATCH(StartShift,'الإعدادات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الإجازات'!$D$5:$D$104&lt;=JM$3)*(('حجز الإجازات'!$E$5:$E$104)&gt;=JM$3)*('حجز الإجازات'!$G$5:$G$104="معتمد")*ROW('حجز الإجازات'!$B$5:$B$104)))-5+1))</f>
        <v/>
      </c>
      <c r="JN9" s="62">
        <f>IF(SUMPRODUCT(('حجز الإجازات'!$B$5:$B$104='الموظفون'!$B$7)*('حجز الإجازات'!$D$5:$D$104&lt;=JN$3)*(('حجز الإجازات'!$E$5:$E$104)&gt;=JN$3)*('حجز الإجازات'!$G$5:$G$104="معتمد")*ROW('حجز الإجازات'!$B$5:$B$104))=0,IF(JN$3&lt;'الموظفون'!$D$7,"",IF(ISNUMBER(MATCH(JN$3,Holidays,0)),"عطلة",IF(MOD(JN$3-'الموظفون'!$D$7,CycleWork+CycleRest)&lt;CycleWork,INDEX('الإعدادات والقوائم'!$H$2:$H$4,MOD(INT(MOD(JN$3-'الموظفون'!$D$7,CycleWork+CycleRest)*3/CycleWork)+MATCH(StartShift,'الإعدادات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الإجازات'!$D$5:$D$104&lt;=JN$3)*(('حجز الإجازات'!$E$5:$E$104)&gt;=JN$3)*('حجز الإجازات'!$G$5:$G$104="معتمد")*ROW('حجز الإجازات'!$B$5:$B$104)))-5+1))</f>
        <v/>
      </c>
      <c r="JO9" s="62">
        <f>IF(SUMPRODUCT(('حجز الإجازات'!$B$5:$B$104='الموظفون'!$B$7)*('حجز الإجازات'!$D$5:$D$104&lt;=JO$3)*(('حجز الإجازات'!$E$5:$E$104)&gt;=JO$3)*('حجز الإجازات'!$G$5:$G$104="معتمد")*ROW('حجز الإجازات'!$B$5:$B$104))=0,IF(JO$3&lt;'الموظفون'!$D$7,"",IF(ISNUMBER(MATCH(JO$3,Holidays,0)),"عطلة",IF(MOD(JO$3-'الموظفون'!$D$7,CycleWork+CycleRest)&lt;CycleWork,INDEX('الإعدادات والقوائم'!$H$2:$H$4,MOD(INT(MOD(JO$3-'الموظفون'!$D$7,CycleWork+CycleRest)*3/CycleWork)+MATCH(StartShift,'الإعدادات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الإجازات'!$D$5:$D$104&lt;=JO$3)*(('حجز الإجازات'!$E$5:$E$104)&gt;=JO$3)*('حجز الإجازات'!$G$5:$G$104="معتمد")*ROW('حجز الإجازات'!$B$5:$B$104)))-5+1))</f>
        <v/>
      </c>
      <c r="JP9" s="62">
        <f>IF(SUMPRODUCT(('حجز الإجازات'!$B$5:$B$104='الموظفون'!$B$7)*('حجز الإجازات'!$D$5:$D$104&lt;=JP$3)*(('حجز الإجازات'!$E$5:$E$104)&gt;=JP$3)*('حجز الإجازات'!$G$5:$G$104="معتمد")*ROW('حجز الإجازات'!$B$5:$B$104))=0,IF(JP$3&lt;'الموظفون'!$D$7,"",IF(ISNUMBER(MATCH(JP$3,Holidays,0)),"عطلة",IF(MOD(JP$3-'الموظفون'!$D$7,CycleWork+CycleRest)&lt;CycleWork,INDEX('الإعدادات والقوائم'!$H$2:$H$4,MOD(INT(MOD(JP$3-'الموظفون'!$D$7,CycleWork+CycleRest)*3/CycleWork)+MATCH(StartShift,'الإعدادات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الإجازات'!$D$5:$D$104&lt;=JP$3)*(('حجز الإجازات'!$E$5:$E$104)&gt;=JP$3)*('حجز الإجازات'!$G$5:$G$104="معتمد")*ROW('حجز الإجازات'!$B$5:$B$104)))-5+1))</f>
        <v/>
      </c>
      <c r="JQ9" s="62">
        <f>IF(SUMPRODUCT(('حجز الإجازات'!$B$5:$B$104='الموظفون'!$B$7)*('حجز الإجازات'!$D$5:$D$104&lt;=JQ$3)*(('حجز الإجازات'!$E$5:$E$104)&gt;=JQ$3)*('حجز الإجازات'!$G$5:$G$104="معتمد")*ROW('حجز الإجازات'!$B$5:$B$104))=0,IF(JQ$3&lt;'الموظفون'!$D$7,"",IF(ISNUMBER(MATCH(JQ$3,Holidays,0)),"عطلة",IF(MOD(JQ$3-'الموظفون'!$D$7,CycleWork+CycleRest)&lt;CycleWork,INDEX('الإعدادات والقوائم'!$H$2:$H$4,MOD(INT(MOD(JQ$3-'الموظفون'!$D$7,CycleWork+CycleRest)*3/CycleWork)+MATCH(StartShift,'الإعدادات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الإجازات'!$D$5:$D$104&lt;=JQ$3)*(('حجز الإجازات'!$E$5:$E$104)&gt;=JQ$3)*('حجز الإجازات'!$G$5:$G$104="معتمد")*ROW('حجز الإجازات'!$B$5:$B$104)))-5+1))</f>
        <v/>
      </c>
      <c r="JR9" s="62">
        <f>IF(SUMPRODUCT(('حجز الإجازات'!$B$5:$B$104='الموظفون'!$B$7)*('حجز الإجازات'!$D$5:$D$104&lt;=JR$3)*(('حجز الإجازات'!$E$5:$E$104)&gt;=JR$3)*('حجز الإجازات'!$G$5:$G$104="معتمد")*ROW('حجز الإجازات'!$B$5:$B$104))=0,IF(JR$3&lt;'الموظفون'!$D$7,"",IF(ISNUMBER(MATCH(JR$3,Holidays,0)),"عطلة",IF(MOD(JR$3-'الموظفون'!$D$7,CycleWork+CycleRest)&lt;CycleWork,INDEX('الإعدادات والقوائم'!$H$2:$H$4,MOD(INT(MOD(JR$3-'الموظفون'!$D$7,CycleWork+CycleRest)*3/CycleWork)+MATCH(StartShift,'الإعدادات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الإجازات'!$D$5:$D$104&lt;=JR$3)*(('حجز الإجازات'!$E$5:$E$104)&gt;=JR$3)*('حجز الإجازات'!$G$5:$G$104="معتمد")*ROW('حجز الإجازات'!$B$5:$B$104)))-5+1))</f>
        <v/>
      </c>
      <c r="JS9" s="62">
        <f>IF(SUMPRODUCT(('حجز الإجازات'!$B$5:$B$104='الموظفون'!$B$7)*('حجز الإجازات'!$D$5:$D$104&lt;=JS$3)*(('حجز الإجازات'!$E$5:$E$104)&gt;=JS$3)*('حجز الإجازات'!$G$5:$G$104="معتمد")*ROW('حجز الإجازات'!$B$5:$B$104))=0,IF(JS$3&lt;'الموظفون'!$D$7,"",IF(ISNUMBER(MATCH(JS$3,Holidays,0)),"عطلة",IF(MOD(JS$3-'الموظفون'!$D$7,CycleWork+CycleRest)&lt;CycleWork,INDEX('الإعدادات والقوائم'!$H$2:$H$4,MOD(INT(MOD(JS$3-'الموظفون'!$D$7,CycleWork+CycleRest)*3/CycleWork)+MATCH(StartShift,'الإعدادات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الإجازات'!$D$5:$D$104&lt;=JS$3)*(('حجز الإجازات'!$E$5:$E$104)&gt;=JS$3)*('حجز الإجازات'!$G$5:$G$104="معتمد")*ROW('حجز الإجازات'!$B$5:$B$104)))-5+1))</f>
        <v/>
      </c>
      <c r="JT9" s="62">
        <f>IF(SUMPRODUCT(('حجز الإجازات'!$B$5:$B$104='الموظفون'!$B$7)*('حجز الإجازات'!$D$5:$D$104&lt;=JT$3)*(('حجز الإجازات'!$E$5:$E$104)&gt;=JT$3)*('حجز الإجازات'!$G$5:$G$104="معتمد")*ROW('حجز الإجازات'!$B$5:$B$104))=0,IF(JT$3&lt;'الموظفون'!$D$7,"",IF(ISNUMBER(MATCH(JT$3,Holidays,0)),"عطلة",IF(MOD(JT$3-'الموظفون'!$D$7,CycleWork+CycleRest)&lt;CycleWork,INDEX('الإعدادات والقوائم'!$H$2:$H$4,MOD(INT(MOD(JT$3-'الموظفون'!$D$7,CycleWork+CycleRest)*3/CycleWork)+MATCH(StartShift,'الإعدادات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الإجازات'!$D$5:$D$104&lt;=JT$3)*(('حجز الإجازات'!$E$5:$E$104)&gt;=JT$3)*('حجز الإجازات'!$G$5:$G$104="معتمد")*ROW('حجز الإجازات'!$B$5:$B$104)))-5+1))</f>
        <v/>
      </c>
      <c r="JU9" s="62">
        <f>IF(SUMPRODUCT(('حجز الإجازات'!$B$5:$B$104='الموظفون'!$B$7)*('حجز الإجازات'!$D$5:$D$104&lt;=JU$3)*(('حجز الإجازات'!$E$5:$E$104)&gt;=JU$3)*('حجز الإجازات'!$G$5:$G$104="معتمد")*ROW('حجز الإجازات'!$B$5:$B$104))=0,IF(JU$3&lt;'الموظفون'!$D$7,"",IF(ISNUMBER(MATCH(JU$3,Holidays,0)),"عطلة",IF(MOD(JU$3-'الموظفون'!$D$7,CycleWork+CycleRest)&lt;CycleWork,INDEX('الإعدادات والقوائم'!$H$2:$H$4,MOD(INT(MOD(JU$3-'الموظفون'!$D$7,CycleWork+CycleRest)*3/CycleWork)+MATCH(StartShift,'الإعدادات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الإجازات'!$D$5:$D$104&lt;=JU$3)*(('حجز الإجازات'!$E$5:$E$104)&gt;=JU$3)*('حجز الإجازات'!$G$5:$G$104="معتمد")*ROW('حجز الإجازات'!$B$5:$B$104)))-5+1))</f>
        <v/>
      </c>
      <c r="JV9" s="62">
        <f>IF(SUMPRODUCT(('حجز الإجازات'!$B$5:$B$104='الموظفون'!$B$7)*('حجز الإجازات'!$D$5:$D$104&lt;=JV$3)*(('حجز الإجازات'!$E$5:$E$104)&gt;=JV$3)*('حجز الإجازات'!$G$5:$G$104="معتمد")*ROW('حجز الإجازات'!$B$5:$B$104))=0,IF(JV$3&lt;'الموظفون'!$D$7,"",IF(ISNUMBER(MATCH(JV$3,Holidays,0)),"عطلة",IF(MOD(JV$3-'الموظفون'!$D$7,CycleWork+CycleRest)&lt;CycleWork,INDEX('الإعدادات والقوائم'!$H$2:$H$4,MOD(INT(MOD(JV$3-'الموظفون'!$D$7,CycleWork+CycleRest)*3/CycleWork)+MATCH(StartShift,'الإعدادات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الإجازات'!$D$5:$D$104&lt;=JV$3)*(('حجز الإجازات'!$E$5:$E$104)&gt;=JV$3)*('حجز الإجازات'!$G$5:$G$104="معتمد")*ROW('حجز الإجازات'!$B$5:$B$104)))-5+1))</f>
        <v/>
      </c>
      <c r="JW9" s="62">
        <f>IF(SUMPRODUCT(('حجز الإجازات'!$B$5:$B$104='الموظفون'!$B$7)*('حجز الإجازات'!$D$5:$D$104&lt;=JW$3)*(('حجز الإجازات'!$E$5:$E$104)&gt;=JW$3)*('حجز الإجازات'!$G$5:$G$104="معتمد")*ROW('حجز الإجازات'!$B$5:$B$104))=0,IF(JW$3&lt;'الموظفون'!$D$7,"",IF(ISNUMBER(MATCH(JW$3,Holidays,0)),"عطلة",IF(MOD(JW$3-'الموظفون'!$D$7,CycleWork+CycleRest)&lt;CycleWork,INDEX('الإعدادات والقوائم'!$H$2:$H$4,MOD(INT(MOD(JW$3-'الموظفون'!$D$7,CycleWork+CycleRest)*3/CycleWork)+MATCH(StartShift,'الإعدادات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الإجازات'!$D$5:$D$104&lt;=JW$3)*(('حجز الإجازات'!$E$5:$E$104)&gt;=JW$3)*('حجز الإجازات'!$G$5:$G$104="معتمد")*ROW('حجز الإجازات'!$B$5:$B$104)))-5+1))</f>
        <v/>
      </c>
      <c r="JX9" s="62">
        <f>IF(SUMPRODUCT(('حجز الإجازات'!$B$5:$B$104='الموظفون'!$B$7)*('حجز الإجازات'!$D$5:$D$104&lt;=JX$3)*(('حجز الإجازات'!$E$5:$E$104)&gt;=JX$3)*('حجز الإجازات'!$G$5:$G$104="معتمد")*ROW('حجز الإجازات'!$B$5:$B$104))=0,IF(JX$3&lt;'الموظفون'!$D$7,"",IF(ISNUMBER(MATCH(JX$3,Holidays,0)),"عطلة",IF(MOD(JX$3-'الموظفون'!$D$7,CycleWork+CycleRest)&lt;CycleWork,INDEX('الإعدادات والقوائم'!$H$2:$H$4,MOD(INT(MOD(JX$3-'الموظفون'!$D$7,CycleWork+CycleRest)*3/CycleWork)+MATCH(StartShift,'الإعدادات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الإجازات'!$D$5:$D$104&lt;=JX$3)*(('حجز الإجازات'!$E$5:$E$104)&gt;=JX$3)*('حجز الإجازات'!$G$5:$G$104="معتمد")*ROW('حجز الإجازات'!$B$5:$B$104)))-5+1))</f>
        <v/>
      </c>
      <c r="JY9" s="62">
        <f>IF(SUMPRODUCT(('حجز الإجازات'!$B$5:$B$104='الموظفون'!$B$7)*('حجز الإجازات'!$D$5:$D$104&lt;=JY$3)*(('حجز الإجازات'!$E$5:$E$104)&gt;=JY$3)*('حجز الإجازات'!$G$5:$G$104="معتمد")*ROW('حجز الإجازات'!$B$5:$B$104))=0,IF(JY$3&lt;'الموظفون'!$D$7,"",IF(ISNUMBER(MATCH(JY$3,Holidays,0)),"عطلة",IF(MOD(JY$3-'الموظفون'!$D$7,CycleWork+CycleRest)&lt;CycleWork,INDEX('الإعدادات والقوائم'!$H$2:$H$4,MOD(INT(MOD(JY$3-'الموظفون'!$D$7,CycleWork+CycleRest)*3/CycleWork)+MATCH(StartShift,'الإعدادات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الإجازات'!$D$5:$D$104&lt;=JY$3)*(('حجز الإجازات'!$E$5:$E$104)&gt;=JY$3)*('حجز الإجازات'!$G$5:$G$104="معتمد")*ROW('حجز الإجازات'!$B$5:$B$104)))-5+1))</f>
        <v/>
      </c>
      <c r="JZ9" s="62">
        <f>IF(SUMPRODUCT(('حجز الإجازات'!$B$5:$B$104='الموظفون'!$B$7)*('حجز الإجازات'!$D$5:$D$104&lt;=JZ$3)*(('حجز الإجازات'!$E$5:$E$104)&gt;=JZ$3)*('حجز الإجازات'!$G$5:$G$104="معتمد")*ROW('حجز الإجازات'!$B$5:$B$104))=0,IF(JZ$3&lt;'الموظفون'!$D$7,"",IF(ISNUMBER(MATCH(JZ$3,Holidays,0)),"عطلة",IF(MOD(JZ$3-'الموظفون'!$D$7,CycleWork+CycleRest)&lt;CycleWork,INDEX('الإعدادات والقوائم'!$H$2:$H$4,MOD(INT(MOD(JZ$3-'الموظفون'!$D$7,CycleWork+CycleRest)*3/CycleWork)+MATCH(StartShift,'الإعدادات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الإجازات'!$D$5:$D$104&lt;=JZ$3)*(('حجز الإجازات'!$E$5:$E$104)&gt;=JZ$3)*('حجز الإجازات'!$G$5:$G$104="معتمد")*ROW('حجز الإجازات'!$B$5:$B$104)))-5+1))</f>
        <v/>
      </c>
      <c r="KA9" s="62">
        <f>IF(SUMPRODUCT(('حجز الإجازات'!$B$5:$B$104='الموظفون'!$B$7)*('حجز الإجازات'!$D$5:$D$104&lt;=KA$3)*(('حجز الإجازات'!$E$5:$E$104)&gt;=KA$3)*('حجز الإجازات'!$G$5:$G$104="معتمد")*ROW('حجز الإجازات'!$B$5:$B$104))=0,IF(KA$3&lt;'الموظفون'!$D$7,"",IF(ISNUMBER(MATCH(KA$3,Holidays,0)),"عطلة",IF(MOD(KA$3-'الموظفون'!$D$7,CycleWork+CycleRest)&lt;CycleWork,INDEX('الإعدادات والقوائم'!$H$2:$H$4,MOD(INT(MOD(KA$3-'الموظفون'!$D$7,CycleWork+CycleRest)*3/CycleWork)+MATCH(StartShift,'الإعدادات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الإجازات'!$D$5:$D$104&lt;=KA$3)*(('حجز الإجازات'!$E$5:$E$104)&gt;=KA$3)*('حجز الإجازات'!$G$5:$G$104="معتمد")*ROW('حجز الإجازات'!$B$5:$B$104)))-5+1))</f>
        <v/>
      </c>
      <c r="KB9" s="62">
        <f>IF(SUMPRODUCT(('حجز الإجازات'!$B$5:$B$104='الموظفون'!$B$7)*('حجز الإجازات'!$D$5:$D$104&lt;=KB$3)*(('حجز الإجازات'!$E$5:$E$104)&gt;=KB$3)*('حجز الإجازات'!$G$5:$G$104="معتمد")*ROW('حجز الإجازات'!$B$5:$B$104))=0,IF(KB$3&lt;'الموظفون'!$D$7,"",IF(ISNUMBER(MATCH(KB$3,Holidays,0)),"عطلة",IF(MOD(KB$3-'الموظفون'!$D$7,CycleWork+CycleRest)&lt;CycleWork,INDEX('الإعدادات والقوائم'!$H$2:$H$4,MOD(INT(MOD(KB$3-'الموظفون'!$D$7,CycleWork+CycleRest)*3/CycleWork)+MATCH(StartShift,'الإعدادات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الإجازات'!$D$5:$D$104&lt;=KB$3)*(('حجز الإجازات'!$E$5:$E$104)&gt;=KB$3)*('حجز الإجازات'!$G$5:$G$104="معتمد")*ROW('حجز الإجازات'!$B$5:$B$104)))-5+1))</f>
        <v/>
      </c>
      <c r="KC9" s="62">
        <f>IF(SUMPRODUCT(('حجز الإجازات'!$B$5:$B$104='الموظفون'!$B$7)*('حجز الإجازات'!$D$5:$D$104&lt;=KC$3)*(('حجز الإجازات'!$E$5:$E$104)&gt;=KC$3)*('حجز الإجازات'!$G$5:$G$104="معتمد")*ROW('حجز الإجازات'!$B$5:$B$104))=0,IF(KC$3&lt;'الموظفون'!$D$7,"",IF(ISNUMBER(MATCH(KC$3,Holidays,0)),"عطلة",IF(MOD(KC$3-'الموظفون'!$D$7,CycleWork+CycleRest)&lt;CycleWork,INDEX('الإعدادات والقوائم'!$H$2:$H$4,MOD(INT(MOD(KC$3-'الموظفون'!$D$7,CycleWork+CycleRest)*3/CycleWork)+MATCH(StartShift,'الإعدادات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الإجازات'!$D$5:$D$104&lt;=KC$3)*(('حجز الإجازات'!$E$5:$E$104)&gt;=KC$3)*('حجز الإجازات'!$G$5:$G$104="معتمد")*ROW('حجز الإجازات'!$B$5:$B$104)))-5+1))</f>
        <v/>
      </c>
      <c r="KD9" s="62">
        <f>IF(SUMPRODUCT(('حجز الإجازات'!$B$5:$B$104='الموظفون'!$B$7)*('حجز الإجازات'!$D$5:$D$104&lt;=KD$3)*(('حجز الإجازات'!$E$5:$E$104)&gt;=KD$3)*('حجز الإجازات'!$G$5:$G$104="معتمد")*ROW('حجز الإجازات'!$B$5:$B$104))=0,IF(KD$3&lt;'الموظفون'!$D$7,"",IF(ISNUMBER(MATCH(KD$3,Holidays,0)),"عطلة",IF(MOD(KD$3-'الموظفون'!$D$7,CycleWork+CycleRest)&lt;CycleWork,INDEX('الإعدادات والقوائم'!$H$2:$H$4,MOD(INT(MOD(KD$3-'الموظفون'!$D$7,CycleWork+CycleRest)*3/CycleWork)+MATCH(StartShift,'الإعدادات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الإجازات'!$D$5:$D$104&lt;=KD$3)*(('حجز الإجازات'!$E$5:$E$104)&gt;=KD$3)*('حجز الإجازات'!$G$5:$G$104="معتمد")*ROW('حجز الإجازات'!$B$5:$B$104)))-5+1))</f>
        <v/>
      </c>
      <c r="KE9" s="62">
        <f>IF(SUMPRODUCT(('حجز الإجازات'!$B$5:$B$104='الموظفون'!$B$7)*('حجز الإجازات'!$D$5:$D$104&lt;=KE$3)*(('حجز الإجازات'!$E$5:$E$104)&gt;=KE$3)*('حجز الإجازات'!$G$5:$G$104="معتمد")*ROW('حجز الإجازات'!$B$5:$B$104))=0,IF(KE$3&lt;'الموظفون'!$D$7,"",IF(ISNUMBER(MATCH(KE$3,Holidays,0)),"عطلة",IF(MOD(KE$3-'الموظفون'!$D$7,CycleWork+CycleRest)&lt;CycleWork,INDEX('الإعدادات والقوائم'!$H$2:$H$4,MOD(INT(MOD(KE$3-'الموظفون'!$D$7,CycleWork+CycleRest)*3/CycleWork)+MATCH(StartShift,'الإعدادات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الإجازات'!$D$5:$D$104&lt;=KE$3)*(('حجز الإجازات'!$E$5:$E$104)&gt;=KE$3)*('حجز الإجازات'!$G$5:$G$104="معتمد")*ROW('حجز الإجازات'!$B$5:$B$104)))-5+1))</f>
        <v/>
      </c>
      <c r="KF9" s="62">
        <f>IF(SUMPRODUCT(('حجز الإجازات'!$B$5:$B$104='الموظفون'!$B$7)*('حجز الإجازات'!$D$5:$D$104&lt;=KF$3)*(('حجز الإجازات'!$E$5:$E$104)&gt;=KF$3)*('حجز الإجازات'!$G$5:$G$104="معتمد")*ROW('حجز الإجازات'!$B$5:$B$104))=0,IF(KF$3&lt;'الموظفون'!$D$7,"",IF(ISNUMBER(MATCH(KF$3,Holidays,0)),"عطلة",IF(MOD(KF$3-'الموظفون'!$D$7,CycleWork+CycleRest)&lt;CycleWork,INDEX('الإعدادات والقوائم'!$H$2:$H$4,MOD(INT(MOD(KF$3-'الموظفون'!$D$7,CycleWork+CycleRest)*3/CycleWork)+MATCH(StartShift,'الإعدادات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الإجازات'!$D$5:$D$104&lt;=KF$3)*(('حجز الإجازات'!$E$5:$E$104)&gt;=KF$3)*('حجز الإجازات'!$G$5:$G$104="معتمد")*ROW('حجز الإجازات'!$B$5:$B$104)))-5+1))</f>
        <v/>
      </c>
      <c r="KG9" s="62">
        <f>IF(SUMPRODUCT(('حجز الإجازات'!$B$5:$B$104='الموظفون'!$B$7)*('حجز الإجازات'!$D$5:$D$104&lt;=KG$3)*(('حجز الإجازات'!$E$5:$E$104)&gt;=KG$3)*('حجز الإجازات'!$G$5:$G$104="معتمد")*ROW('حجز الإجازات'!$B$5:$B$104))=0,IF(KG$3&lt;'الموظفون'!$D$7,"",IF(ISNUMBER(MATCH(KG$3,Holidays,0)),"عطلة",IF(MOD(KG$3-'الموظفون'!$D$7,CycleWork+CycleRest)&lt;CycleWork,INDEX('الإعدادات والقوائم'!$H$2:$H$4,MOD(INT(MOD(KG$3-'الموظفون'!$D$7,CycleWork+CycleRest)*3/CycleWork)+MATCH(StartShift,'الإعدادات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الإجازات'!$D$5:$D$104&lt;=KG$3)*(('حجز الإجازات'!$E$5:$E$104)&gt;=KG$3)*('حجز الإجازات'!$G$5:$G$104="معتمد")*ROW('حجز الإجازات'!$B$5:$B$104)))-5+1))</f>
        <v/>
      </c>
      <c r="KH9" s="62">
        <f>IF(SUMPRODUCT(('حجز الإجازات'!$B$5:$B$104='الموظفون'!$B$7)*('حجز الإجازات'!$D$5:$D$104&lt;=KH$3)*(('حجز الإجازات'!$E$5:$E$104)&gt;=KH$3)*('حجز الإجازات'!$G$5:$G$104="معتمد")*ROW('حجز الإجازات'!$B$5:$B$104))=0,IF(KH$3&lt;'الموظفون'!$D$7,"",IF(ISNUMBER(MATCH(KH$3,Holidays,0)),"عطلة",IF(MOD(KH$3-'الموظفون'!$D$7,CycleWork+CycleRest)&lt;CycleWork,INDEX('الإعدادات والقوائم'!$H$2:$H$4,MOD(INT(MOD(KH$3-'الموظفون'!$D$7,CycleWork+CycleRest)*3/CycleWork)+MATCH(StartShift,'الإعدادات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الإجازات'!$D$5:$D$104&lt;=KH$3)*(('حجز الإجازات'!$E$5:$E$104)&gt;=KH$3)*('حجز الإجازات'!$G$5:$G$104="معتمد")*ROW('حجز الإجازات'!$B$5:$B$104)))-5+1))</f>
        <v/>
      </c>
      <c r="KI9" s="62">
        <f>IF(SUMPRODUCT(('حجز الإجازات'!$B$5:$B$104='الموظفون'!$B$7)*('حجز الإجازات'!$D$5:$D$104&lt;=KI$3)*(('حجز الإجازات'!$E$5:$E$104)&gt;=KI$3)*('حجز الإجازات'!$G$5:$G$104="معتمد")*ROW('حجز الإجازات'!$B$5:$B$104))=0,IF(KI$3&lt;'الموظفون'!$D$7,"",IF(ISNUMBER(MATCH(KI$3,Holidays,0)),"عطلة",IF(MOD(KI$3-'الموظفون'!$D$7,CycleWork+CycleRest)&lt;CycleWork,INDEX('الإعدادات والقوائم'!$H$2:$H$4,MOD(INT(MOD(KI$3-'الموظفون'!$D$7,CycleWork+CycleRest)*3/CycleWork)+MATCH(StartShift,'الإعدادات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الإجازات'!$D$5:$D$104&lt;=KI$3)*(('حجز الإجازات'!$E$5:$E$104)&gt;=KI$3)*('حجز الإجازات'!$G$5:$G$104="معتمد")*ROW('حجز الإجازات'!$B$5:$B$104)))-5+1))</f>
        <v/>
      </c>
      <c r="KJ9" s="62">
        <f>IF(SUMPRODUCT(('حجز الإجازات'!$B$5:$B$104='الموظفون'!$B$7)*('حجز الإجازات'!$D$5:$D$104&lt;=KJ$3)*(('حجز الإجازات'!$E$5:$E$104)&gt;=KJ$3)*('حجز الإجازات'!$G$5:$G$104="معتمد")*ROW('حجز الإجازات'!$B$5:$B$104))=0,IF(KJ$3&lt;'الموظفون'!$D$7,"",IF(ISNUMBER(MATCH(KJ$3,Holidays,0)),"عطلة",IF(MOD(KJ$3-'الموظفون'!$D$7,CycleWork+CycleRest)&lt;CycleWork,INDEX('الإعدادات والقوائم'!$H$2:$H$4,MOD(INT(MOD(KJ$3-'الموظفون'!$D$7,CycleWork+CycleRest)*3/CycleWork)+MATCH(StartShift,'الإعدادات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الإجازات'!$D$5:$D$104&lt;=KJ$3)*(('حجز الإجازات'!$E$5:$E$104)&gt;=KJ$3)*('حجز الإجازات'!$G$5:$G$104="معتمد")*ROW('حجز الإجازات'!$B$5:$B$104)))-5+1))</f>
        <v/>
      </c>
      <c r="KK9" s="62">
        <f>IF(SUMPRODUCT(('حجز الإجازات'!$B$5:$B$104='الموظفون'!$B$7)*('حجز الإجازات'!$D$5:$D$104&lt;=KK$3)*(('حجز الإجازات'!$E$5:$E$104)&gt;=KK$3)*('حجز الإجازات'!$G$5:$G$104="معتمد")*ROW('حجز الإجازات'!$B$5:$B$104))=0,IF(KK$3&lt;'الموظفون'!$D$7,"",IF(ISNUMBER(MATCH(KK$3,Holidays,0)),"عطلة",IF(MOD(KK$3-'الموظفون'!$D$7,CycleWork+CycleRest)&lt;CycleWork,INDEX('الإعدادات والقوائم'!$H$2:$H$4,MOD(INT(MOD(KK$3-'الموظفون'!$D$7,CycleWork+CycleRest)*3/CycleWork)+MATCH(StartShift,'الإعدادات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الإجازات'!$D$5:$D$104&lt;=KK$3)*(('حجز الإجازات'!$E$5:$E$104)&gt;=KK$3)*('حجز الإجازات'!$G$5:$G$104="معتمد")*ROW('حجز الإجازات'!$B$5:$B$104)))-5+1))</f>
        <v/>
      </c>
      <c r="KL9" s="62">
        <f>IF(SUMPRODUCT(('حجز الإجازات'!$B$5:$B$104='الموظفون'!$B$7)*('حجز الإجازات'!$D$5:$D$104&lt;=KL$3)*(('حجز الإجازات'!$E$5:$E$104)&gt;=KL$3)*('حجز الإجازات'!$G$5:$G$104="معتمد")*ROW('حجز الإجازات'!$B$5:$B$104))=0,IF(KL$3&lt;'الموظفون'!$D$7,"",IF(ISNUMBER(MATCH(KL$3,Holidays,0)),"عطلة",IF(MOD(KL$3-'الموظفون'!$D$7,CycleWork+CycleRest)&lt;CycleWork,INDEX('الإعدادات والقوائم'!$H$2:$H$4,MOD(INT(MOD(KL$3-'الموظفون'!$D$7,CycleWork+CycleRest)*3/CycleWork)+MATCH(StartShift,'الإعدادات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الإجازات'!$D$5:$D$104&lt;=KL$3)*(('حجز الإجازات'!$E$5:$E$104)&gt;=KL$3)*('حجز الإجازات'!$G$5:$G$104="معتمد")*ROW('حجز الإجازات'!$B$5:$B$104)))-5+1))</f>
        <v/>
      </c>
      <c r="KM9" s="62">
        <f>IF(SUMPRODUCT(('حجز الإجازات'!$B$5:$B$104='الموظفون'!$B$7)*('حجز الإجازات'!$D$5:$D$104&lt;=KM$3)*(('حجز الإجازات'!$E$5:$E$104)&gt;=KM$3)*('حجز الإجازات'!$G$5:$G$104="معتمد")*ROW('حجز الإجازات'!$B$5:$B$104))=0,IF(KM$3&lt;'الموظفون'!$D$7,"",IF(ISNUMBER(MATCH(KM$3,Holidays,0)),"عطلة",IF(MOD(KM$3-'الموظفون'!$D$7,CycleWork+CycleRest)&lt;CycleWork,INDEX('الإعدادات والقوائم'!$H$2:$H$4,MOD(INT(MOD(KM$3-'الموظفون'!$D$7,CycleWork+CycleRest)*3/CycleWork)+MATCH(StartShift,'الإعدادات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الإجازات'!$D$5:$D$104&lt;=KM$3)*(('حجز الإجازات'!$E$5:$E$104)&gt;=KM$3)*('حجز الإجازات'!$G$5:$G$104="معتمد")*ROW('حجز الإجازات'!$B$5:$B$104)))-5+1))</f>
        <v/>
      </c>
      <c r="KN9" s="62">
        <f>IF(SUMPRODUCT(('حجز الإجازات'!$B$5:$B$104='الموظفون'!$B$7)*('حجز الإجازات'!$D$5:$D$104&lt;=KN$3)*(('حجز الإجازات'!$E$5:$E$104)&gt;=KN$3)*('حجز الإجازات'!$G$5:$G$104="معتمد")*ROW('حجز الإجازات'!$B$5:$B$104))=0,IF(KN$3&lt;'الموظفون'!$D$7,"",IF(ISNUMBER(MATCH(KN$3,Holidays,0)),"عطلة",IF(MOD(KN$3-'الموظفون'!$D$7,CycleWork+CycleRest)&lt;CycleWork,INDEX('الإعدادات والقوائم'!$H$2:$H$4,MOD(INT(MOD(KN$3-'الموظفون'!$D$7,CycleWork+CycleRest)*3/CycleWork)+MATCH(StartShift,'الإعدادات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الإجازات'!$D$5:$D$104&lt;=KN$3)*(('حجز الإجازات'!$E$5:$E$104)&gt;=KN$3)*('حجز الإجازات'!$G$5:$G$104="معتمد")*ROW('حجز الإجازات'!$B$5:$B$104)))-5+1))</f>
        <v/>
      </c>
      <c r="KO9" s="62">
        <f>IF(SUMPRODUCT(('حجز الإجازات'!$B$5:$B$104='الموظفون'!$B$7)*('حجز الإجازات'!$D$5:$D$104&lt;=KO$3)*(('حجز الإجازات'!$E$5:$E$104)&gt;=KO$3)*('حجز الإجازات'!$G$5:$G$104="معتمد")*ROW('حجز الإجازات'!$B$5:$B$104))=0,IF(KO$3&lt;'الموظفون'!$D$7,"",IF(ISNUMBER(MATCH(KO$3,Holidays,0)),"عطلة",IF(MOD(KO$3-'الموظفون'!$D$7,CycleWork+CycleRest)&lt;CycleWork,INDEX('الإعدادات والقوائم'!$H$2:$H$4,MOD(INT(MOD(KO$3-'الموظفون'!$D$7,CycleWork+CycleRest)*3/CycleWork)+MATCH(StartShift,'الإعدادات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الإجازات'!$D$5:$D$104&lt;=KO$3)*(('حجز الإجازات'!$E$5:$E$104)&gt;=KO$3)*('حجز الإجازات'!$G$5:$G$104="معتمد")*ROW('حجز الإجازات'!$B$5:$B$104)))-5+1))</f>
        <v/>
      </c>
      <c r="KP9" s="62">
        <f>IF(SUMPRODUCT(('حجز الإجازات'!$B$5:$B$104='الموظفون'!$B$7)*('حجز الإجازات'!$D$5:$D$104&lt;=KP$3)*(('حجز الإجازات'!$E$5:$E$104)&gt;=KP$3)*('حجز الإجازات'!$G$5:$G$104="معتمد")*ROW('حجز الإجازات'!$B$5:$B$104))=0,IF(KP$3&lt;'الموظفون'!$D$7,"",IF(ISNUMBER(MATCH(KP$3,Holidays,0)),"عطلة",IF(MOD(KP$3-'الموظفون'!$D$7,CycleWork+CycleRest)&lt;CycleWork,INDEX('الإعدادات والقوائم'!$H$2:$H$4,MOD(INT(MOD(KP$3-'الموظفون'!$D$7,CycleWork+CycleRest)*3/CycleWork)+MATCH(StartShift,'الإعدادات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الإجازات'!$D$5:$D$104&lt;=KP$3)*(('حجز الإجازات'!$E$5:$E$104)&gt;=KP$3)*('حجز الإجازات'!$G$5:$G$104="معتمد")*ROW('حجز الإجازات'!$B$5:$B$104)))-5+1))</f>
        <v/>
      </c>
      <c r="KQ9" s="62">
        <f>IF(SUMPRODUCT(('حجز الإجازات'!$B$5:$B$104='الموظفون'!$B$7)*('حجز الإجازات'!$D$5:$D$104&lt;=KQ$3)*(('حجز الإجازات'!$E$5:$E$104)&gt;=KQ$3)*('حجز الإجازات'!$G$5:$G$104="معتمد")*ROW('حجز الإجازات'!$B$5:$B$104))=0,IF(KQ$3&lt;'الموظفون'!$D$7,"",IF(ISNUMBER(MATCH(KQ$3,Holidays,0)),"عطلة",IF(MOD(KQ$3-'الموظفون'!$D$7,CycleWork+CycleRest)&lt;CycleWork,INDEX('الإعدادات والقوائم'!$H$2:$H$4,MOD(INT(MOD(KQ$3-'الموظفون'!$D$7,CycleWork+CycleRest)*3/CycleWork)+MATCH(StartShift,'الإعدادات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الإجازات'!$D$5:$D$104&lt;=KQ$3)*(('حجز الإجازات'!$E$5:$E$104)&gt;=KQ$3)*('حجز الإجازات'!$G$5:$G$104="معتمد")*ROW('حجز الإجازات'!$B$5:$B$104)))-5+1))</f>
        <v/>
      </c>
      <c r="KR9" s="62">
        <f>IF(SUMPRODUCT(('حجز الإجازات'!$B$5:$B$104='الموظفون'!$B$7)*('حجز الإجازات'!$D$5:$D$104&lt;=KR$3)*(('حجز الإجازات'!$E$5:$E$104)&gt;=KR$3)*('حجز الإجازات'!$G$5:$G$104="معتمد")*ROW('حجز الإجازات'!$B$5:$B$104))=0,IF(KR$3&lt;'الموظفون'!$D$7,"",IF(ISNUMBER(MATCH(KR$3,Holidays,0)),"عطلة",IF(MOD(KR$3-'الموظفون'!$D$7,CycleWork+CycleRest)&lt;CycleWork,INDEX('الإعدادات والقوائم'!$H$2:$H$4,MOD(INT(MOD(KR$3-'الموظفون'!$D$7,CycleWork+CycleRest)*3/CycleWork)+MATCH(StartShift,'الإعدادات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الإجازات'!$D$5:$D$104&lt;=KR$3)*(('حجز الإجازات'!$E$5:$E$104)&gt;=KR$3)*('حجز الإجازات'!$G$5:$G$104="معتمد")*ROW('حجز الإجازات'!$B$5:$B$104)))-5+1))</f>
        <v/>
      </c>
      <c r="KS9" s="62">
        <f>IF(SUMPRODUCT(('حجز الإجازات'!$B$5:$B$104='الموظفون'!$B$7)*('حجز الإجازات'!$D$5:$D$104&lt;=KS$3)*(('حجز الإجازات'!$E$5:$E$104)&gt;=KS$3)*('حجز الإجازات'!$G$5:$G$104="معتمد")*ROW('حجز الإجازات'!$B$5:$B$104))=0,IF(KS$3&lt;'الموظفون'!$D$7,"",IF(ISNUMBER(MATCH(KS$3,Holidays,0)),"عطلة",IF(MOD(KS$3-'الموظفون'!$D$7,CycleWork+CycleRest)&lt;CycleWork,INDEX('الإعدادات والقوائم'!$H$2:$H$4,MOD(INT(MOD(KS$3-'الموظفون'!$D$7,CycleWork+CycleRest)*3/CycleWork)+MATCH(StartShift,'الإعدادات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الإجازات'!$D$5:$D$104&lt;=KS$3)*(('حجز الإجازات'!$E$5:$E$104)&gt;=KS$3)*('حجز الإجازات'!$G$5:$G$104="معتمد")*ROW('حجز الإجازات'!$B$5:$B$104)))-5+1))</f>
        <v/>
      </c>
      <c r="KT9" s="62">
        <f>IF(SUMPRODUCT(('حجز الإجازات'!$B$5:$B$104='الموظفون'!$B$7)*('حجز الإجازات'!$D$5:$D$104&lt;=KT$3)*(('حجز الإجازات'!$E$5:$E$104)&gt;=KT$3)*('حجز الإجازات'!$G$5:$G$104="معتمد")*ROW('حجز الإجازات'!$B$5:$B$104))=0,IF(KT$3&lt;'الموظفون'!$D$7,"",IF(ISNUMBER(MATCH(KT$3,Holidays,0)),"عطلة",IF(MOD(KT$3-'الموظفون'!$D$7,CycleWork+CycleRest)&lt;CycleWork,INDEX('الإعدادات والقوائم'!$H$2:$H$4,MOD(INT(MOD(KT$3-'الموظفون'!$D$7,CycleWork+CycleRest)*3/CycleWork)+MATCH(StartShift,'الإعدادات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الإجازات'!$D$5:$D$104&lt;=KT$3)*(('حجز الإجازات'!$E$5:$E$104)&gt;=KT$3)*('حجز الإجازات'!$G$5:$G$104="معتمد")*ROW('حجز الإجازات'!$B$5:$B$104)))-5+1))</f>
        <v/>
      </c>
      <c r="KU9" s="62">
        <f>IF(SUMPRODUCT(('حجز الإجازات'!$B$5:$B$104='الموظفون'!$B$7)*('حجز الإجازات'!$D$5:$D$104&lt;=KU$3)*(('حجز الإجازات'!$E$5:$E$104)&gt;=KU$3)*('حجز الإجازات'!$G$5:$G$104="معتمد")*ROW('حجز الإجازات'!$B$5:$B$104))=0,IF(KU$3&lt;'الموظفون'!$D$7,"",IF(ISNUMBER(MATCH(KU$3,Holidays,0)),"عطلة",IF(MOD(KU$3-'الموظفون'!$D$7,CycleWork+CycleRest)&lt;CycleWork,INDEX('الإعدادات والقوائم'!$H$2:$H$4,MOD(INT(MOD(KU$3-'الموظفون'!$D$7,CycleWork+CycleRest)*3/CycleWork)+MATCH(StartShift,'الإعدادات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الإجازات'!$D$5:$D$104&lt;=KU$3)*(('حجز الإجازات'!$E$5:$E$104)&gt;=KU$3)*('حجز الإجازات'!$G$5:$G$104="معتمد")*ROW('حجز الإجازات'!$B$5:$B$104)))-5+1))</f>
        <v/>
      </c>
      <c r="KV9" s="62">
        <f>IF(SUMPRODUCT(('حجز الإجازات'!$B$5:$B$104='الموظفون'!$B$7)*('حجز الإجازات'!$D$5:$D$104&lt;=KV$3)*(('حجز الإجازات'!$E$5:$E$104)&gt;=KV$3)*('حجز الإجازات'!$G$5:$G$104="معتمد")*ROW('حجز الإجازات'!$B$5:$B$104))=0,IF(KV$3&lt;'الموظفون'!$D$7,"",IF(ISNUMBER(MATCH(KV$3,Holidays,0)),"عطلة",IF(MOD(KV$3-'الموظفون'!$D$7,CycleWork+CycleRest)&lt;CycleWork,INDEX('الإعدادات والقوائم'!$H$2:$H$4,MOD(INT(MOD(KV$3-'الموظفون'!$D$7,CycleWork+CycleRest)*3/CycleWork)+MATCH(StartShift,'الإعدادات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الإجازات'!$D$5:$D$104&lt;=KV$3)*(('حجز الإجازات'!$E$5:$E$104)&gt;=KV$3)*('حجز الإجازات'!$G$5:$G$104="معتمد")*ROW('حجز الإجازات'!$B$5:$B$104)))-5+1))</f>
        <v/>
      </c>
      <c r="KW9" s="62">
        <f>IF(SUMPRODUCT(('حجز الإجازات'!$B$5:$B$104='الموظفون'!$B$7)*('حجز الإجازات'!$D$5:$D$104&lt;=KW$3)*(('حجز الإجازات'!$E$5:$E$104)&gt;=KW$3)*('حجز الإجازات'!$G$5:$G$104="معتمد")*ROW('حجز الإجازات'!$B$5:$B$104))=0,IF(KW$3&lt;'الموظفون'!$D$7,"",IF(ISNUMBER(MATCH(KW$3,Holidays,0)),"عطلة",IF(MOD(KW$3-'الموظفون'!$D$7,CycleWork+CycleRest)&lt;CycleWork,INDEX('الإعدادات والقوائم'!$H$2:$H$4,MOD(INT(MOD(KW$3-'الموظفون'!$D$7,CycleWork+CycleRest)*3/CycleWork)+MATCH(StartShift,'الإعدادات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الإجازات'!$D$5:$D$104&lt;=KW$3)*(('حجز الإجازات'!$E$5:$E$104)&gt;=KW$3)*('حجز الإجازات'!$G$5:$G$104="معتمد")*ROW('حجز الإجازات'!$B$5:$B$104)))-5+1))</f>
        <v/>
      </c>
      <c r="KX9" s="62">
        <f>IF(SUMPRODUCT(('حجز الإجازات'!$B$5:$B$104='الموظفون'!$B$7)*('حجز الإجازات'!$D$5:$D$104&lt;=KX$3)*(('حجز الإجازات'!$E$5:$E$104)&gt;=KX$3)*('حجز الإجازات'!$G$5:$G$104="معتمد")*ROW('حجز الإجازات'!$B$5:$B$104))=0,IF(KX$3&lt;'الموظفون'!$D$7,"",IF(ISNUMBER(MATCH(KX$3,Holidays,0)),"عطلة",IF(MOD(KX$3-'الموظفون'!$D$7,CycleWork+CycleRest)&lt;CycleWork,INDEX('الإعدادات والقوائم'!$H$2:$H$4,MOD(INT(MOD(KX$3-'الموظفون'!$D$7,CycleWork+CycleRest)*3/CycleWork)+MATCH(StartShift,'الإعدادات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الإجازات'!$D$5:$D$104&lt;=KX$3)*(('حجز الإجازات'!$E$5:$E$104)&gt;=KX$3)*('حجز الإجازات'!$G$5:$G$104="معتمد")*ROW('حجز الإجازات'!$B$5:$B$104)))-5+1))</f>
        <v/>
      </c>
      <c r="KY9" s="62">
        <f>IF(SUMPRODUCT(('حجز الإجازات'!$B$5:$B$104='الموظفون'!$B$7)*('حجز الإجازات'!$D$5:$D$104&lt;=KY$3)*(('حجز الإجازات'!$E$5:$E$104)&gt;=KY$3)*('حجز الإجازات'!$G$5:$G$104="معتمد")*ROW('حجز الإجازات'!$B$5:$B$104))=0,IF(KY$3&lt;'الموظفون'!$D$7,"",IF(ISNUMBER(MATCH(KY$3,Holidays,0)),"عطلة",IF(MOD(KY$3-'الموظفون'!$D$7,CycleWork+CycleRest)&lt;CycleWork,INDEX('الإعدادات والقوائم'!$H$2:$H$4,MOD(INT(MOD(KY$3-'الموظفون'!$D$7,CycleWork+CycleRest)*3/CycleWork)+MATCH(StartShift,'الإعدادات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الإجازات'!$D$5:$D$104&lt;=KY$3)*(('حجز الإجازات'!$E$5:$E$104)&gt;=KY$3)*('حجز الإجازات'!$G$5:$G$104="معتمد")*ROW('حجز الإجازات'!$B$5:$B$104)))-5+1))</f>
        <v/>
      </c>
      <c r="KZ9" s="62">
        <f>IF(SUMPRODUCT(('حجز الإجازات'!$B$5:$B$104='الموظفون'!$B$7)*('حجز الإجازات'!$D$5:$D$104&lt;=KZ$3)*(('حجز الإجازات'!$E$5:$E$104)&gt;=KZ$3)*('حجز الإجازات'!$G$5:$G$104="معتمد")*ROW('حجز الإجازات'!$B$5:$B$104))=0,IF(KZ$3&lt;'الموظفون'!$D$7,"",IF(ISNUMBER(MATCH(KZ$3,Holidays,0)),"عطلة",IF(MOD(KZ$3-'الموظفون'!$D$7,CycleWork+CycleRest)&lt;CycleWork,INDEX('الإعدادات والقوائم'!$H$2:$H$4,MOD(INT(MOD(KZ$3-'الموظفون'!$D$7,CycleWork+CycleRest)*3/CycleWork)+MATCH(StartShift,'الإعدادات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الإجازات'!$D$5:$D$104&lt;=KZ$3)*(('حجز الإجازات'!$E$5:$E$104)&gt;=KZ$3)*('حجز الإجازات'!$G$5:$G$104="معتمد")*ROW('حجز الإجازات'!$B$5:$B$104)))-5+1))</f>
        <v/>
      </c>
      <c r="LA9" s="62">
        <f>IF(SUMPRODUCT(('حجز الإجازات'!$B$5:$B$104='الموظفون'!$B$7)*('حجز الإجازات'!$D$5:$D$104&lt;=LA$3)*(('حجز الإجازات'!$E$5:$E$104)&gt;=LA$3)*('حجز الإجازات'!$G$5:$G$104="معتمد")*ROW('حجز الإجازات'!$B$5:$B$104))=0,IF(LA$3&lt;'الموظفون'!$D$7,"",IF(ISNUMBER(MATCH(LA$3,Holidays,0)),"عطلة",IF(MOD(LA$3-'الموظفون'!$D$7,CycleWork+CycleRest)&lt;CycleWork,INDEX('الإعدادات والقوائم'!$H$2:$H$4,MOD(INT(MOD(LA$3-'الموظفون'!$D$7,CycleWork+CycleRest)*3/CycleWork)+MATCH(StartShift,'الإعدادات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الإجازات'!$D$5:$D$104&lt;=LA$3)*(('حجز الإجازات'!$E$5:$E$104)&gt;=LA$3)*('حجز الإجازات'!$G$5:$G$104="معتمد")*ROW('حجز الإجازات'!$B$5:$B$104)))-5+1))</f>
        <v/>
      </c>
      <c r="LB9" s="62">
        <f>IF(SUMPRODUCT(('حجز الإجازات'!$B$5:$B$104='الموظفون'!$B$7)*('حجز الإجازات'!$D$5:$D$104&lt;=LB$3)*(('حجز الإجازات'!$E$5:$E$104)&gt;=LB$3)*('حجز الإجازات'!$G$5:$G$104="معتمد")*ROW('حجز الإجازات'!$B$5:$B$104))=0,IF(LB$3&lt;'الموظفون'!$D$7,"",IF(ISNUMBER(MATCH(LB$3,Holidays,0)),"عطلة",IF(MOD(LB$3-'الموظفون'!$D$7,CycleWork+CycleRest)&lt;CycleWork,INDEX('الإعدادات والقوائم'!$H$2:$H$4,MOD(INT(MOD(LB$3-'الموظفون'!$D$7,CycleWork+CycleRest)*3/CycleWork)+MATCH(StartShift,'الإعدادات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الإجازات'!$D$5:$D$104&lt;=LB$3)*(('حجز الإجازات'!$E$5:$E$104)&gt;=LB$3)*('حجز الإجازات'!$G$5:$G$104="معتمد")*ROW('حجز الإجازات'!$B$5:$B$104)))-5+1))</f>
        <v/>
      </c>
      <c r="LC9" s="62">
        <f>IF(SUMPRODUCT(('حجز الإجازات'!$B$5:$B$104='الموظفون'!$B$7)*('حجز الإجازات'!$D$5:$D$104&lt;=LC$3)*(('حجز الإجازات'!$E$5:$E$104)&gt;=LC$3)*('حجز الإجازات'!$G$5:$G$104="معتمد")*ROW('حجز الإجازات'!$B$5:$B$104))=0,IF(LC$3&lt;'الموظفون'!$D$7,"",IF(ISNUMBER(MATCH(LC$3,Holidays,0)),"عطلة",IF(MOD(LC$3-'الموظفون'!$D$7,CycleWork+CycleRest)&lt;CycleWork,INDEX('الإعدادات والقوائم'!$H$2:$H$4,MOD(INT(MOD(LC$3-'الموظفون'!$D$7,CycleWork+CycleRest)*3/CycleWork)+MATCH(StartShift,'الإعدادات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الإجازات'!$D$5:$D$104&lt;=LC$3)*(('حجز الإجازات'!$E$5:$E$104)&gt;=LC$3)*('حجز الإجازات'!$G$5:$G$104="معتمد")*ROW('حجز الإجازات'!$B$5:$B$104)))-5+1))</f>
        <v/>
      </c>
      <c r="LD9" s="62">
        <f>IF(SUMPRODUCT(('حجز الإجازات'!$B$5:$B$104='الموظفون'!$B$7)*('حجز الإجازات'!$D$5:$D$104&lt;=LD$3)*(('حجز الإجازات'!$E$5:$E$104)&gt;=LD$3)*('حجز الإجازات'!$G$5:$G$104="معتمد")*ROW('حجز الإجازات'!$B$5:$B$104))=0,IF(LD$3&lt;'الموظفون'!$D$7,"",IF(ISNUMBER(MATCH(LD$3,Holidays,0)),"عطلة",IF(MOD(LD$3-'الموظفون'!$D$7,CycleWork+CycleRest)&lt;CycleWork,INDEX('الإعدادات والقوائم'!$H$2:$H$4,MOD(INT(MOD(LD$3-'الموظفون'!$D$7,CycleWork+CycleRest)*3/CycleWork)+MATCH(StartShift,'الإعدادات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الإجازات'!$D$5:$D$104&lt;=LD$3)*(('حجز الإجازات'!$E$5:$E$104)&gt;=LD$3)*('حجز الإجازات'!$G$5:$G$104="معتمد")*ROW('حجز الإجازات'!$B$5:$B$104)))-5+1))</f>
        <v/>
      </c>
      <c r="LE9" s="62">
        <f>IF(SUMPRODUCT(('حجز الإجازات'!$B$5:$B$104='الموظفون'!$B$7)*('حجز الإجازات'!$D$5:$D$104&lt;=LE$3)*(('حجز الإجازات'!$E$5:$E$104)&gt;=LE$3)*('حجز الإجازات'!$G$5:$G$104="معتمد")*ROW('حجز الإجازات'!$B$5:$B$104))=0,IF(LE$3&lt;'الموظفون'!$D$7,"",IF(ISNUMBER(MATCH(LE$3,Holidays,0)),"عطلة",IF(MOD(LE$3-'الموظفون'!$D$7,CycleWork+CycleRest)&lt;CycleWork,INDEX('الإعدادات والقوائم'!$H$2:$H$4,MOD(INT(MOD(LE$3-'الموظفون'!$D$7,CycleWork+CycleRest)*3/CycleWork)+MATCH(StartShift,'الإعدادات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الإجازات'!$D$5:$D$104&lt;=LE$3)*(('حجز الإجازات'!$E$5:$E$104)&gt;=LE$3)*('حجز الإجازات'!$G$5:$G$104="معتمد")*ROW('حجز الإجازات'!$B$5:$B$104)))-5+1))</f>
        <v/>
      </c>
      <c r="LF9" s="62">
        <f>IF(SUMPRODUCT(('حجز الإجازات'!$B$5:$B$104='الموظفون'!$B$7)*('حجز الإجازات'!$D$5:$D$104&lt;=LF$3)*(('حجز الإجازات'!$E$5:$E$104)&gt;=LF$3)*('حجز الإجازات'!$G$5:$G$104="معتمد")*ROW('حجز الإجازات'!$B$5:$B$104))=0,IF(LF$3&lt;'الموظفون'!$D$7,"",IF(ISNUMBER(MATCH(LF$3,Holidays,0)),"عطلة",IF(MOD(LF$3-'الموظفون'!$D$7,CycleWork+CycleRest)&lt;CycleWork,INDEX('الإعدادات والقوائم'!$H$2:$H$4,MOD(INT(MOD(LF$3-'الموظفون'!$D$7,CycleWork+CycleRest)*3/CycleWork)+MATCH(StartShift,'الإعدادات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الإجازات'!$D$5:$D$104&lt;=LF$3)*(('حجز الإجازات'!$E$5:$E$104)&gt;=LF$3)*('حجز الإجازات'!$G$5:$G$104="معتمد")*ROW('حجز الإجازات'!$B$5:$B$104)))-5+1))</f>
        <v/>
      </c>
      <c r="LG9" s="62">
        <f>IF(SUMPRODUCT(('حجز الإجازات'!$B$5:$B$104='الموظفون'!$B$7)*('حجز الإجازات'!$D$5:$D$104&lt;=LG$3)*(('حجز الإجازات'!$E$5:$E$104)&gt;=LG$3)*('حجز الإجازات'!$G$5:$G$104="معتمد")*ROW('حجز الإجازات'!$B$5:$B$104))=0,IF(LG$3&lt;'الموظفون'!$D$7,"",IF(ISNUMBER(MATCH(LG$3,Holidays,0)),"عطلة",IF(MOD(LG$3-'الموظفون'!$D$7,CycleWork+CycleRest)&lt;CycleWork,INDEX('الإعدادات والقوائم'!$H$2:$H$4,MOD(INT(MOD(LG$3-'الموظفون'!$D$7,CycleWork+CycleRest)*3/CycleWork)+MATCH(StartShift,'الإعدادات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الإجازات'!$D$5:$D$104&lt;=LG$3)*(('حجز الإجازات'!$E$5:$E$104)&gt;=LG$3)*('حجز الإجازات'!$G$5:$G$104="معتمد")*ROW('حجز الإجازات'!$B$5:$B$104)))-5+1))</f>
        <v/>
      </c>
      <c r="LH9" s="62">
        <f>IF(SUMPRODUCT(('حجز الإجازات'!$B$5:$B$104='الموظفون'!$B$7)*('حجز الإجازات'!$D$5:$D$104&lt;=LH$3)*(('حجز الإجازات'!$E$5:$E$104)&gt;=LH$3)*('حجز الإجازات'!$G$5:$G$104="معتمد")*ROW('حجز الإجازات'!$B$5:$B$104))=0,IF(LH$3&lt;'الموظفون'!$D$7,"",IF(ISNUMBER(MATCH(LH$3,Holidays,0)),"عطلة",IF(MOD(LH$3-'الموظفون'!$D$7,CycleWork+CycleRest)&lt;CycleWork,INDEX('الإعدادات والقوائم'!$H$2:$H$4,MOD(INT(MOD(LH$3-'الموظفون'!$D$7,CycleWork+CycleRest)*3/CycleWork)+MATCH(StartShift,'الإعدادات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الإجازات'!$D$5:$D$104&lt;=LH$3)*(('حجز الإجازات'!$E$5:$E$104)&gt;=LH$3)*('حجز الإجازات'!$G$5:$G$104="معتمد")*ROW('حجز الإجازات'!$B$5:$B$104)))-5+1))</f>
        <v/>
      </c>
      <c r="LI9" s="62">
        <f>IF(SUMPRODUCT(('حجز الإجازات'!$B$5:$B$104='الموظفون'!$B$7)*('حجز الإجازات'!$D$5:$D$104&lt;=LI$3)*(('حجز الإجازات'!$E$5:$E$104)&gt;=LI$3)*('حجز الإجازات'!$G$5:$G$104="معتمد")*ROW('حجز الإجازات'!$B$5:$B$104))=0,IF(LI$3&lt;'الموظفون'!$D$7,"",IF(ISNUMBER(MATCH(LI$3,Holidays,0)),"عطلة",IF(MOD(LI$3-'الموظفون'!$D$7,CycleWork+CycleRest)&lt;CycleWork,INDEX('الإعدادات والقوائم'!$H$2:$H$4,MOD(INT(MOD(LI$3-'الموظفون'!$D$7,CycleWork+CycleRest)*3/CycleWork)+MATCH(StartShift,'الإعدادات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الإجازات'!$D$5:$D$104&lt;=LI$3)*(('حجز الإجازات'!$E$5:$E$104)&gt;=LI$3)*('حجز الإجازات'!$G$5:$G$104="معتمد")*ROW('حجز الإجازات'!$B$5:$B$104)))-5+1))</f>
        <v/>
      </c>
      <c r="LJ9" s="62">
        <f>IF(SUMPRODUCT(('حجز الإجازات'!$B$5:$B$104='الموظفون'!$B$7)*('حجز الإجازات'!$D$5:$D$104&lt;=LJ$3)*(('حجز الإجازات'!$E$5:$E$104)&gt;=LJ$3)*('حجز الإجازات'!$G$5:$G$104="معتمد")*ROW('حجز الإجازات'!$B$5:$B$104))=0,IF(LJ$3&lt;'الموظفون'!$D$7,"",IF(ISNUMBER(MATCH(LJ$3,Holidays,0)),"عطلة",IF(MOD(LJ$3-'الموظفون'!$D$7,CycleWork+CycleRest)&lt;CycleWork,INDEX('الإعدادات والقوائم'!$H$2:$H$4,MOD(INT(MOD(LJ$3-'الموظفون'!$D$7,CycleWork+CycleRest)*3/CycleWork)+MATCH(StartShift,'الإعدادات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الإجازات'!$D$5:$D$104&lt;=LJ$3)*(('حجز الإجازات'!$E$5:$E$104)&gt;=LJ$3)*('حجز الإجازات'!$G$5:$G$104="معتمد")*ROW('حجز الإجازات'!$B$5:$B$104)))-5+1))</f>
        <v/>
      </c>
      <c r="LK9" s="62">
        <f>IF(SUMPRODUCT(('حجز الإجازات'!$B$5:$B$104='الموظفون'!$B$7)*('حجز الإجازات'!$D$5:$D$104&lt;=LK$3)*(('حجز الإجازات'!$E$5:$E$104)&gt;=LK$3)*('حجز الإجازات'!$G$5:$G$104="معتمد")*ROW('حجز الإجازات'!$B$5:$B$104))=0,IF(LK$3&lt;'الموظفون'!$D$7,"",IF(ISNUMBER(MATCH(LK$3,Holidays,0)),"عطلة",IF(MOD(LK$3-'الموظفون'!$D$7,CycleWork+CycleRest)&lt;CycleWork,INDEX('الإعدادات والقوائم'!$H$2:$H$4,MOD(INT(MOD(LK$3-'الموظفون'!$D$7,CycleWork+CycleRest)*3/CycleWork)+MATCH(StartShift,'الإعدادات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الإجازات'!$D$5:$D$104&lt;=LK$3)*(('حجز الإجازات'!$E$5:$E$104)&gt;=LK$3)*('حجز الإجازات'!$G$5:$G$104="معتمد")*ROW('حجز الإجازات'!$B$5:$B$104)))-5+1))</f>
        <v/>
      </c>
      <c r="LL9" s="62">
        <f>IF(SUMPRODUCT(('حجز الإجازات'!$B$5:$B$104='الموظفون'!$B$7)*('حجز الإجازات'!$D$5:$D$104&lt;=LL$3)*(('حجز الإجازات'!$E$5:$E$104)&gt;=LL$3)*('حجز الإجازات'!$G$5:$G$104="معتمد")*ROW('حجز الإجازات'!$B$5:$B$104))=0,IF(LL$3&lt;'الموظفون'!$D$7,"",IF(ISNUMBER(MATCH(LL$3,Holidays,0)),"عطلة",IF(MOD(LL$3-'الموظفون'!$D$7,CycleWork+CycleRest)&lt;CycleWork,INDEX('الإعدادات والقوائم'!$H$2:$H$4,MOD(INT(MOD(LL$3-'الموظفون'!$D$7,CycleWork+CycleRest)*3/CycleWork)+MATCH(StartShift,'الإعدادات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الإجازات'!$D$5:$D$104&lt;=LL$3)*(('حجز الإجازات'!$E$5:$E$104)&gt;=LL$3)*('حجز الإجازات'!$G$5:$G$104="معتمد")*ROW('حجز الإجازات'!$B$5:$B$104)))-5+1))</f>
        <v/>
      </c>
      <c r="LM9" s="62">
        <f>IF(SUMPRODUCT(('حجز الإجازات'!$B$5:$B$104='الموظفون'!$B$7)*('حجز الإجازات'!$D$5:$D$104&lt;=LM$3)*(('حجز الإجازات'!$E$5:$E$104)&gt;=LM$3)*('حجز الإجازات'!$G$5:$G$104="معتمد")*ROW('حجز الإجازات'!$B$5:$B$104))=0,IF(LM$3&lt;'الموظفون'!$D$7,"",IF(ISNUMBER(MATCH(LM$3,Holidays,0)),"عطلة",IF(MOD(LM$3-'الموظفون'!$D$7,CycleWork+CycleRest)&lt;CycleWork,INDEX('الإعدادات والقوائم'!$H$2:$H$4,MOD(INT(MOD(LM$3-'الموظفون'!$D$7,CycleWork+CycleRest)*3/CycleWork)+MATCH(StartShift,'الإعدادات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الإجازات'!$D$5:$D$104&lt;=LM$3)*(('حجز الإجازات'!$E$5:$E$104)&gt;=LM$3)*('حجز الإجازات'!$G$5:$G$104="معتمد")*ROW('حجز الإجازات'!$B$5:$B$104)))-5+1))</f>
        <v/>
      </c>
      <c r="LN9" s="62">
        <f>IF(SUMPRODUCT(('حجز الإجازات'!$B$5:$B$104='الموظفون'!$B$7)*('حجز الإجازات'!$D$5:$D$104&lt;=LN$3)*(('حجز الإجازات'!$E$5:$E$104)&gt;=LN$3)*('حجز الإجازات'!$G$5:$G$104="معتمد")*ROW('حجز الإجازات'!$B$5:$B$104))=0,IF(LN$3&lt;'الموظفون'!$D$7,"",IF(ISNUMBER(MATCH(LN$3,Holidays,0)),"عطلة",IF(MOD(LN$3-'الموظفون'!$D$7,CycleWork+CycleRest)&lt;CycleWork,INDEX('الإعدادات والقوائم'!$H$2:$H$4,MOD(INT(MOD(LN$3-'الموظفون'!$D$7,CycleWork+CycleRest)*3/CycleWork)+MATCH(StartShift,'الإعدادات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الإجازات'!$D$5:$D$104&lt;=LN$3)*(('حجز الإجازات'!$E$5:$E$104)&gt;=LN$3)*('حجز الإجازات'!$G$5:$G$104="معتمد")*ROW('حجز الإجازات'!$B$5:$B$104)))-5+1))</f>
        <v/>
      </c>
      <c r="LO9" s="62">
        <f>IF(SUMPRODUCT(('حجز الإجازات'!$B$5:$B$104='الموظفون'!$B$7)*('حجز الإجازات'!$D$5:$D$104&lt;=LO$3)*(('حجز الإجازات'!$E$5:$E$104)&gt;=LO$3)*('حجز الإجازات'!$G$5:$G$104="معتمد")*ROW('حجز الإجازات'!$B$5:$B$104))=0,IF(LO$3&lt;'الموظفون'!$D$7,"",IF(ISNUMBER(MATCH(LO$3,Holidays,0)),"عطلة",IF(MOD(LO$3-'الموظفون'!$D$7,CycleWork+CycleRest)&lt;CycleWork,INDEX('الإعدادات والقوائم'!$H$2:$H$4,MOD(INT(MOD(LO$3-'الموظفون'!$D$7,CycleWork+CycleRest)*3/CycleWork)+MATCH(StartShift,'الإعدادات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الإجازات'!$D$5:$D$104&lt;=LO$3)*(('حجز الإجازات'!$E$5:$E$104)&gt;=LO$3)*('حجز الإجازات'!$G$5:$G$104="معتمد")*ROW('حجز الإجازات'!$B$5:$B$104)))-5+1))</f>
        <v/>
      </c>
      <c r="LP9" s="62">
        <f>IF(SUMPRODUCT(('حجز الإجازات'!$B$5:$B$104='الموظفون'!$B$7)*('حجز الإجازات'!$D$5:$D$104&lt;=LP$3)*(('حجز الإجازات'!$E$5:$E$104)&gt;=LP$3)*('حجز الإجازات'!$G$5:$G$104="معتمد")*ROW('حجز الإجازات'!$B$5:$B$104))=0,IF(LP$3&lt;'الموظفون'!$D$7,"",IF(ISNUMBER(MATCH(LP$3,Holidays,0)),"عطلة",IF(MOD(LP$3-'الموظفون'!$D$7,CycleWork+CycleRest)&lt;CycleWork,INDEX('الإعدادات والقوائم'!$H$2:$H$4,MOD(INT(MOD(LP$3-'الموظفون'!$D$7,CycleWork+CycleRest)*3/CycleWork)+MATCH(StartShift,'الإعدادات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الإجازات'!$D$5:$D$104&lt;=LP$3)*(('حجز الإجازات'!$E$5:$E$104)&gt;=LP$3)*('حجز الإجازات'!$G$5:$G$104="معتمد")*ROW('حجز الإجازات'!$B$5:$B$104)))-5+1))</f>
        <v/>
      </c>
      <c r="LQ9" s="62">
        <f>IF(SUMPRODUCT(('حجز الإجازات'!$B$5:$B$104='الموظفون'!$B$7)*('حجز الإجازات'!$D$5:$D$104&lt;=LQ$3)*(('حجز الإجازات'!$E$5:$E$104)&gt;=LQ$3)*('حجز الإجازات'!$G$5:$G$104="معتمد")*ROW('حجز الإجازات'!$B$5:$B$104))=0,IF(LQ$3&lt;'الموظفون'!$D$7,"",IF(ISNUMBER(MATCH(LQ$3,Holidays,0)),"عطلة",IF(MOD(LQ$3-'الموظفون'!$D$7,CycleWork+CycleRest)&lt;CycleWork,INDEX('الإعدادات والقوائم'!$H$2:$H$4,MOD(INT(MOD(LQ$3-'الموظفون'!$D$7,CycleWork+CycleRest)*3/CycleWork)+MATCH(StartShift,'الإعدادات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الإجازات'!$D$5:$D$104&lt;=LQ$3)*(('حجز الإجازات'!$E$5:$E$104)&gt;=LQ$3)*('حجز الإجازات'!$G$5:$G$104="معتمد")*ROW('حجز الإجازات'!$B$5:$B$104)))-5+1))</f>
        <v/>
      </c>
      <c r="LR9" s="62">
        <f>IF(SUMPRODUCT(('حجز الإجازات'!$B$5:$B$104='الموظفون'!$B$7)*('حجز الإجازات'!$D$5:$D$104&lt;=LR$3)*(('حجز الإجازات'!$E$5:$E$104)&gt;=LR$3)*('حجز الإجازات'!$G$5:$G$104="معتمد")*ROW('حجز الإجازات'!$B$5:$B$104))=0,IF(LR$3&lt;'الموظفون'!$D$7,"",IF(ISNUMBER(MATCH(LR$3,Holidays,0)),"عطلة",IF(MOD(LR$3-'الموظفون'!$D$7,CycleWork+CycleRest)&lt;CycleWork,INDEX('الإعدادات والقوائم'!$H$2:$H$4,MOD(INT(MOD(LR$3-'الموظفون'!$D$7,CycleWork+CycleRest)*3/CycleWork)+MATCH(StartShift,'الإعدادات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الإجازات'!$D$5:$D$104&lt;=LR$3)*(('حجز الإجازات'!$E$5:$E$104)&gt;=LR$3)*('حجز الإجازات'!$G$5:$G$104="معتمد")*ROW('حجز الإجازات'!$B$5:$B$104)))-5+1))</f>
        <v/>
      </c>
      <c r="LS9" s="62">
        <f>IF(SUMPRODUCT(('حجز الإجازات'!$B$5:$B$104='الموظفون'!$B$7)*('حجز الإجازات'!$D$5:$D$104&lt;=LS$3)*(('حجز الإجازات'!$E$5:$E$104)&gt;=LS$3)*('حجز الإجازات'!$G$5:$G$104="معتمد")*ROW('حجز الإجازات'!$B$5:$B$104))=0,IF(LS$3&lt;'الموظفون'!$D$7,"",IF(ISNUMBER(MATCH(LS$3,Holidays,0)),"عطلة",IF(MOD(LS$3-'الموظفون'!$D$7,CycleWork+CycleRest)&lt;CycleWork,INDEX('الإعدادات والقوائم'!$H$2:$H$4,MOD(INT(MOD(LS$3-'الموظفون'!$D$7,CycleWork+CycleRest)*3/CycleWork)+MATCH(StartShift,'الإعدادات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الإجازات'!$D$5:$D$104&lt;=LS$3)*(('حجز الإجازات'!$E$5:$E$104)&gt;=LS$3)*('حجز الإجازات'!$G$5:$G$104="معتمد")*ROW('حجز الإجازات'!$B$5:$B$104)))-5+1))</f>
        <v/>
      </c>
      <c r="LT9" s="62">
        <f>IF(SUMPRODUCT(('حجز الإجازات'!$B$5:$B$104='الموظفون'!$B$7)*('حجز الإجازات'!$D$5:$D$104&lt;=LT$3)*(('حجز الإجازات'!$E$5:$E$104)&gt;=LT$3)*('حجز الإجازات'!$G$5:$G$104="معتمد")*ROW('حجز الإجازات'!$B$5:$B$104))=0,IF(LT$3&lt;'الموظفون'!$D$7,"",IF(ISNUMBER(MATCH(LT$3,Holidays,0)),"عطلة",IF(MOD(LT$3-'الموظفون'!$D$7,CycleWork+CycleRest)&lt;CycleWork,INDEX('الإعدادات والقوائم'!$H$2:$H$4,MOD(INT(MOD(LT$3-'الموظفون'!$D$7,CycleWork+CycleRest)*3/CycleWork)+MATCH(StartShift,'الإعدادات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الإجازات'!$D$5:$D$104&lt;=LT$3)*(('حجز الإجازات'!$E$5:$E$104)&gt;=LT$3)*('حجز الإجازات'!$G$5:$G$104="معتمد")*ROW('حجز الإجازات'!$B$5:$B$104)))-5+1))</f>
        <v/>
      </c>
      <c r="LU9" s="62">
        <f>IF(SUMPRODUCT(('حجز الإجازات'!$B$5:$B$104='الموظفون'!$B$7)*('حجز الإجازات'!$D$5:$D$104&lt;=LU$3)*(('حجز الإجازات'!$E$5:$E$104)&gt;=LU$3)*('حجز الإجازات'!$G$5:$G$104="معتمد")*ROW('حجز الإجازات'!$B$5:$B$104))=0,IF(LU$3&lt;'الموظفون'!$D$7,"",IF(ISNUMBER(MATCH(LU$3,Holidays,0)),"عطلة",IF(MOD(LU$3-'الموظفون'!$D$7,CycleWork+CycleRest)&lt;CycleWork,INDEX('الإعدادات والقوائم'!$H$2:$H$4,MOD(INT(MOD(LU$3-'الموظفون'!$D$7,CycleWork+CycleRest)*3/CycleWork)+MATCH(StartShift,'الإعدادات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الإجازات'!$D$5:$D$104&lt;=LU$3)*(('حجز الإجازات'!$E$5:$E$104)&gt;=LU$3)*('حجز الإجازات'!$G$5:$G$104="معتمد")*ROW('حجز الإجازات'!$B$5:$B$104)))-5+1))</f>
        <v/>
      </c>
      <c r="LV9" s="62">
        <f>IF(SUMPRODUCT(('حجز الإجازات'!$B$5:$B$104='الموظفون'!$B$7)*('حجز الإجازات'!$D$5:$D$104&lt;=LV$3)*(('حجز الإجازات'!$E$5:$E$104)&gt;=LV$3)*('حجز الإجازات'!$G$5:$G$104="معتمد")*ROW('حجز الإجازات'!$B$5:$B$104))=0,IF(LV$3&lt;'الموظفون'!$D$7,"",IF(ISNUMBER(MATCH(LV$3,Holidays,0)),"عطلة",IF(MOD(LV$3-'الموظفون'!$D$7,CycleWork+CycleRest)&lt;CycleWork,INDEX('الإعدادات والقوائم'!$H$2:$H$4,MOD(INT(MOD(LV$3-'الموظفون'!$D$7,CycleWork+CycleRest)*3/CycleWork)+MATCH(StartShift,'الإعدادات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الإجازات'!$D$5:$D$104&lt;=LV$3)*(('حجز الإجازات'!$E$5:$E$104)&gt;=LV$3)*('حجز الإجازات'!$G$5:$G$104="معتمد")*ROW('حجز الإجازات'!$B$5:$B$104)))-5+1))</f>
        <v/>
      </c>
      <c r="LW9" s="62">
        <f>IF(SUMPRODUCT(('حجز الإجازات'!$B$5:$B$104='الموظفون'!$B$7)*('حجز الإجازات'!$D$5:$D$104&lt;=LW$3)*(('حجز الإجازات'!$E$5:$E$104)&gt;=LW$3)*('حجز الإجازات'!$G$5:$G$104="معتمد")*ROW('حجز الإجازات'!$B$5:$B$104))=0,IF(LW$3&lt;'الموظفون'!$D$7,"",IF(ISNUMBER(MATCH(LW$3,Holidays,0)),"عطلة",IF(MOD(LW$3-'الموظفون'!$D$7,CycleWork+CycleRest)&lt;CycleWork,INDEX('الإعدادات والقوائم'!$H$2:$H$4,MOD(INT(MOD(LW$3-'الموظفون'!$D$7,CycleWork+CycleRest)*3/CycleWork)+MATCH(StartShift,'الإعدادات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الإجازات'!$D$5:$D$104&lt;=LW$3)*(('حجز الإجازات'!$E$5:$E$104)&gt;=LW$3)*('حجز الإجازات'!$G$5:$G$104="معتمد")*ROW('حجز الإجازات'!$B$5:$B$104)))-5+1))</f>
        <v/>
      </c>
      <c r="LX9" s="62">
        <f>IF(SUMPRODUCT(('حجز الإجازات'!$B$5:$B$104='الموظفون'!$B$7)*('حجز الإجازات'!$D$5:$D$104&lt;=LX$3)*(('حجز الإجازات'!$E$5:$E$104)&gt;=LX$3)*('حجز الإجازات'!$G$5:$G$104="معتمد")*ROW('حجز الإجازات'!$B$5:$B$104))=0,IF(LX$3&lt;'الموظفون'!$D$7,"",IF(ISNUMBER(MATCH(LX$3,Holidays,0)),"عطلة",IF(MOD(LX$3-'الموظفون'!$D$7,CycleWork+CycleRest)&lt;CycleWork,INDEX('الإعدادات والقوائم'!$H$2:$H$4,MOD(INT(MOD(LX$3-'الموظفون'!$D$7,CycleWork+CycleRest)*3/CycleWork)+MATCH(StartShift,'الإعدادات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الإجازات'!$D$5:$D$104&lt;=LX$3)*(('حجز الإجازات'!$E$5:$E$104)&gt;=LX$3)*('حجز الإجازات'!$G$5:$G$104="معتمد")*ROW('حجز الإجازات'!$B$5:$B$104)))-5+1))</f>
        <v/>
      </c>
      <c r="LY9" s="62">
        <f>IF(SUMPRODUCT(('حجز الإجازات'!$B$5:$B$104='الموظفون'!$B$7)*('حجز الإجازات'!$D$5:$D$104&lt;=LY$3)*(('حجز الإجازات'!$E$5:$E$104)&gt;=LY$3)*('حجز الإجازات'!$G$5:$G$104="معتمد")*ROW('حجز الإجازات'!$B$5:$B$104))=0,IF(LY$3&lt;'الموظفون'!$D$7,"",IF(ISNUMBER(MATCH(LY$3,Holidays,0)),"عطلة",IF(MOD(LY$3-'الموظفون'!$D$7,CycleWork+CycleRest)&lt;CycleWork,INDEX('الإعدادات والقوائم'!$H$2:$H$4,MOD(INT(MOD(LY$3-'الموظفون'!$D$7,CycleWork+CycleRest)*3/CycleWork)+MATCH(StartShift,'الإعدادات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الإجازات'!$D$5:$D$104&lt;=LY$3)*(('حجز الإجازات'!$E$5:$E$104)&gt;=LY$3)*('حجز الإجازات'!$G$5:$G$104="معتمد")*ROW('حجز الإجازات'!$B$5:$B$104)))-5+1))</f>
        <v/>
      </c>
      <c r="LZ9" s="62">
        <f>IF(SUMPRODUCT(('حجز الإجازات'!$B$5:$B$104='الموظفون'!$B$7)*('حجز الإجازات'!$D$5:$D$104&lt;=LZ$3)*(('حجز الإجازات'!$E$5:$E$104)&gt;=LZ$3)*('حجز الإجازات'!$G$5:$G$104="معتمد")*ROW('حجز الإجازات'!$B$5:$B$104))=0,IF(LZ$3&lt;'الموظفون'!$D$7,"",IF(ISNUMBER(MATCH(LZ$3,Holidays,0)),"عطلة",IF(MOD(LZ$3-'الموظفون'!$D$7,CycleWork+CycleRest)&lt;CycleWork,INDEX('الإعدادات والقوائم'!$H$2:$H$4,MOD(INT(MOD(LZ$3-'الموظفون'!$D$7,CycleWork+CycleRest)*3/CycleWork)+MATCH(StartShift,'الإعدادات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الإجازات'!$D$5:$D$104&lt;=LZ$3)*(('حجز الإجازات'!$E$5:$E$104)&gt;=LZ$3)*('حجز الإجازات'!$G$5:$G$104="معتمد")*ROW('حجز الإجازات'!$B$5:$B$104)))-5+1))</f>
        <v/>
      </c>
      <c r="MA9" s="62">
        <f>IF(SUMPRODUCT(('حجز الإجازات'!$B$5:$B$104='الموظفون'!$B$7)*('حجز الإجازات'!$D$5:$D$104&lt;=MA$3)*(('حجز الإجازات'!$E$5:$E$104)&gt;=MA$3)*('حجز الإجازات'!$G$5:$G$104="معتمد")*ROW('حجز الإجازات'!$B$5:$B$104))=0,IF(MA$3&lt;'الموظفون'!$D$7,"",IF(ISNUMBER(MATCH(MA$3,Holidays,0)),"عطلة",IF(MOD(MA$3-'الموظفون'!$D$7,CycleWork+CycleRest)&lt;CycleWork,INDEX('الإعدادات والقوائم'!$H$2:$H$4,MOD(INT(MOD(MA$3-'الموظفون'!$D$7,CycleWork+CycleRest)*3/CycleWork)+MATCH(StartShift,'الإعدادات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الإجازات'!$D$5:$D$104&lt;=MA$3)*(('حجز الإجازات'!$E$5:$E$104)&gt;=MA$3)*('حجز الإجازات'!$G$5:$G$104="معتمد")*ROW('حجز الإجازات'!$B$5:$B$104)))-5+1))</f>
        <v/>
      </c>
      <c r="MB9" s="62">
        <f>IF(SUMPRODUCT(('حجز الإجازات'!$B$5:$B$104='الموظفون'!$B$7)*('حجز الإجازات'!$D$5:$D$104&lt;=MB$3)*(('حجز الإجازات'!$E$5:$E$104)&gt;=MB$3)*('حجز الإجازات'!$G$5:$G$104="معتمد")*ROW('حجز الإجازات'!$B$5:$B$104))=0,IF(MB$3&lt;'الموظفون'!$D$7,"",IF(ISNUMBER(MATCH(MB$3,Holidays,0)),"عطلة",IF(MOD(MB$3-'الموظفون'!$D$7,CycleWork+CycleRest)&lt;CycleWork,INDEX('الإعدادات والقوائم'!$H$2:$H$4,MOD(INT(MOD(MB$3-'الموظفون'!$D$7,CycleWork+CycleRest)*3/CycleWork)+MATCH(StartShift,'الإعدادات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الإجازات'!$D$5:$D$104&lt;=MB$3)*(('حجز الإجازات'!$E$5:$E$104)&gt;=MB$3)*('حجز الإجازات'!$G$5:$G$104="معتمد")*ROW('حجز الإجازات'!$B$5:$B$104)))-5+1))</f>
        <v/>
      </c>
      <c r="MC9" s="62">
        <f>IF(SUMPRODUCT(('حجز الإجازات'!$B$5:$B$104='الموظفون'!$B$7)*('حجز الإجازات'!$D$5:$D$104&lt;=MC$3)*(('حجز الإجازات'!$E$5:$E$104)&gt;=MC$3)*('حجز الإجازات'!$G$5:$G$104="معتمد")*ROW('حجز الإجازات'!$B$5:$B$104))=0,IF(MC$3&lt;'الموظفون'!$D$7,"",IF(ISNUMBER(MATCH(MC$3,Holidays,0)),"عطلة",IF(MOD(MC$3-'الموظفون'!$D$7,CycleWork+CycleRest)&lt;CycleWork,INDEX('الإعدادات والقوائم'!$H$2:$H$4,MOD(INT(MOD(MC$3-'الموظفون'!$D$7,CycleWork+CycleRest)*3/CycleWork)+MATCH(StartShift,'الإعدادات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الإجازات'!$D$5:$D$104&lt;=MC$3)*(('حجز الإجازات'!$E$5:$E$104)&gt;=MC$3)*('حجز الإجازات'!$G$5:$G$104="معتمد")*ROW('حجز الإجازات'!$B$5:$B$104)))-5+1))</f>
        <v/>
      </c>
      <c r="MD9" s="62">
        <f>IF(SUMPRODUCT(('حجز الإجازات'!$B$5:$B$104='الموظفون'!$B$7)*('حجز الإجازات'!$D$5:$D$104&lt;=MD$3)*(('حجز الإجازات'!$E$5:$E$104)&gt;=MD$3)*('حجز الإجازات'!$G$5:$G$104="معتمد")*ROW('حجز الإجازات'!$B$5:$B$104))=0,IF(MD$3&lt;'الموظفون'!$D$7,"",IF(ISNUMBER(MATCH(MD$3,Holidays,0)),"عطلة",IF(MOD(MD$3-'الموظفون'!$D$7,CycleWork+CycleRest)&lt;CycleWork,INDEX('الإعدادات والقوائم'!$H$2:$H$4,MOD(INT(MOD(MD$3-'الموظفون'!$D$7,CycleWork+CycleRest)*3/CycleWork)+MATCH(StartShift,'الإعدادات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الإجازات'!$D$5:$D$104&lt;=MD$3)*(('حجز الإجازات'!$E$5:$E$104)&gt;=MD$3)*('حجز الإجازات'!$G$5:$G$104="معتمد")*ROW('حجز الإجازات'!$B$5:$B$104)))-5+1))</f>
        <v/>
      </c>
      <c r="ME9" s="62">
        <f>IF(SUMPRODUCT(('حجز الإجازات'!$B$5:$B$104='الموظفون'!$B$7)*('حجز الإجازات'!$D$5:$D$104&lt;=ME$3)*(('حجز الإجازات'!$E$5:$E$104)&gt;=ME$3)*('حجز الإجازات'!$G$5:$G$104="معتمد")*ROW('حجز الإجازات'!$B$5:$B$104))=0,IF(ME$3&lt;'الموظفون'!$D$7,"",IF(ISNUMBER(MATCH(ME$3,Holidays,0)),"عطلة",IF(MOD(ME$3-'الموظفون'!$D$7,CycleWork+CycleRest)&lt;CycleWork,INDEX('الإعدادات والقوائم'!$H$2:$H$4,MOD(INT(MOD(ME$3-'الموظفون'!$D$7,CycleWork+CycleRest)*3/CycleWork)+MATCH(StartShift,'الإعدادات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الإجازات'!$D$5:$D$104&lt;=ME$3)*(('حجز الإجازات'!$E$5:$E$104)&gt;=ME$3)*('حجز الإجازات'!$G$5:$G$104="معتمد")*ROW('حجز الإجازات'!$B$5:$B$104)))-5+1))</f>
        <v/>
      </c>
      <c r="MF9" s="62">
        <f>IF(SUMPRODUCT(('حجز الإجازات'!$B$5:$B$104='الموظفون'!$B$7)*('حجز الإجازات'!$D$5:$D$104&lt;=MF$3)*(('حجز الإجازات'!$E$5:$E$104)&gt;=MF$3)*('حجز الإجازات'!$G$5:$G$104="معتمد")*ROW('حجز الإجازات'!$B$5:$B$104))=0,IF(MF$3&lt;'الموظفون'!$D$7,"",IF(ISNUMBER(MATCH(MF$3,Holidays,0)),"عطلة",IF(MOD(MF$3-'الموظفون'!$D$7,CycleWork+CycleRest)&lt;CycleWork,INDEX('الإعدادات والقوائم'!$H$2:$H$4,MOD(INT(MOD(MF$3-'الموظفون'!$D$7,CycleWork+CycleRest)*3/CycleWork)+MATCH(StartShift,'الإعدادات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الإجازات'!$D$5:$D$104&lt;=MF$3)*(('حجز الإجازات'!$E$5:$E$104)&gt;=MF$3)*('حجز الإجازات'!$G$5:$G$104="معتمد")*ROW('حجز الإجازات'!$B$5:$B$104)))-5+1))</f>
        <v/>
      </c>
      <c r="MG9" s="62">
        <f>IF(SUMPRODUCT(('حجز الإجازات'!$B$5:$B$104='الموظفون'!$B$7)*('حجز الإجازات'!$D$5:$D$104&lt;=MG$3)*(('حجز الإجازات'!$E$5:$E$104)&gt;=MG$3)*('حجز الإجازات'!$G$5:$G$104="معتمد")*ROW('حجز الإجازات'!$B$5:$B$104))=0,IF(MG$3&lt;'الموظفون'!$D$7,"",IF(ISNUMBER(MATCH(MG$3,Holidays,0)),"عطلة",IF(MOD(MG$3-'الموظفون'!$D$7,CycleWork+CycleRest)&lt;CycleWork,INDEX('الإعدادات والقوائم'!$H$2:$H$4,MOD(INT(MOD(MG$3-'الموظفون'!$D$7,CycleWork+CycleRest)*3/CycleWork)+MATCH(StartShift,'الإعدادات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الإجازات'!$D$5:$D$104&lt;=MG$3)*(('حجز الإجازات'!$E$5:$E$104)&gt;=MG$3)*('حجز الإجازات'!$G$5:$G$104="معتمد")*ROW('حجز الإجازات'!$B$5:$B$104)))-5+1))</f>
        <v/>
      </c>
      <c r="MH9" s="62">
        <f>IF(SUMPRODUCT(('حجز الإجازات'!$B$5:$B$104='الموظفون'!$B$7)*('حجز الإجازات'!$D$5:$D$104&lt;=MH$3)*(('حجز الإجازات'!$E$5:$E$104)&gt;=MH$3)*('حجز الإجازات'!$G$5:$G$104="معتمد")*ROW('حجز الإجازات'!$B$5:$B$104))=0,IF(MH$3&lt;'الموظفون'!$D$7,"",IF(ISNUMBER(MATCH(MH$3,Holidays,0)),"عطلة",IF(MOD(MH$3-'الموظفون'!$D$7,CycleWork+CycleRest)&lt;CycleWork,INDEX('الإعدادات والقوائم'!$H$2:$H$4,MOD(INT(MOD(MH$3-'الموظفون'!$D$7,CycleWork+CycleRest)*3/CycleWork)+MATCH(StartShift,'الإعدادات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الإجازات'!$D$5:$D$104&lt;=MH$3)*(('حجز الإجازات'!$E$5:$E$104)&gt;=MH$3)*('حجز الإجازات'!$G$5:$G$104="معتمد")*ROW('حجز الإجازات'!$B$5:$B$104)))-5+1))</f>
        <v/>
      </c>
      <c r="MI9" s="62">
        <f>IF(SUMPRODUCT(('حجز الإجازات'!$B$5:$B$104='الموظفون'!$B$7)*('حجز الإجازات'!$D$5:$D$104&lt;=MI$3)*(('حجز الإجازات'!$E$5:$E$104)&gt;=MI$3)*('حجز الإجازات'!$G$5:$G$104="معتمد")*ROW('حجز الإجازات'!$B$5:$B$104))=0,IF(MI$3&lt;'الموظفون'!$D$7,"",IF(ISNUMBER(MATCH(MI$3,Holidays,0)),"عطلة",IF(MOD(MI$3-'الموظفون'!$D$7,CycleWork+CycleRest)&lt;CycleWork,INDEX('الإعدادات والقوائم'!$H$2:$H$4,MOD(INT(MOD(MI$3-'الموظفون'!$D$7,CycleWork+CycleRest)*3/CycleWork)+MATCH(StartShift,'الإعدادات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الإجازات'!$D$5:$D$104&lt;=MI$3)*(('حجز الإجازات'!$E$5:$E$104)&gt;=MI$3)*('حجز الإجازات'!$G$5:$G$104="معتمد")*ROW('حجز الإجازات'!$B$5:$B$104)))-5+1))</f>
        <v/>
      </c>
      <c r="MJ9" s="62">
        <f>IF(SUMPRODUCT(('حجز الإجازات'!$B$5:$B$104='الموظفون'!$B$7)*('حجز الإجازات'!$D$5:$D$104&lt;=MJ$3)*(('حجز الإجازات'!$E$5:$E$104)&gt;=MJ$3)*('حجز الإجازات'!$G$5:$G$104="معتمد")*ROW('حجز الإجازات'!$B$5:$B$104))=0,IF(MJ$3&lt;'الموظفون'!$D$7,"",IF(ISNUMBER(MATCH(MJ$3,Holidays,0)),"عطلة",IF(MOD(MJ$3-'الموظفون'!$D$7,CycleWork+CycleRest)&lt;CycleWork,INDEX('الإعدادات والقوائم'!$H$2:$H$4,MOD(INT(MOD(MJ$3-'الموظفون'!$D$7,CycleWork+CycleRest)*3/CycleWork)+MATCH(StartShift,'الإعدادات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الإجازات'!$D$5:$D$104&lt;=MJ$3)*(('حجز الإجازات'!$E$5:$E$104)&gt;=MJ$3)*('حجز الإجازات'!$G$5:$G$104="معتمد")*ROW('حجز الإجازات'!$B$5:$B$104)))-5+1))</f>
        <v/>
      </c>
      <c r="MK9" s="62">
        <f>IF(SUMPRODUCT(('حجز الإجازات'!$B$5:$B$104='الموظفون'!$B$7)*('حجز الإجازات'!$D$5:$D$104&lt;=MK$3)*(('حجز الإجازات'!$E$5:$E$104)&gt;=MK$3)*('حجز الإجازات'!$G$5:$G$104="معتمد")*ROW('حجز الإجازات'!$B$5:$B$104))=0,IF(MK$3&lt;'الموظفون'!$D$7,"",IF(ISNUMBER(MATCH(MK$3,Holidays,0)),"عطلة",IF(MOD(MK$3-'الموظفون'!$D$7,CycleWork+CycleRest)&lt;CycleWork,INDEX('الإعدادات والقوائم'!$H$2:$H$4,MOD(INT(MOD(MK$3-'الموظفون'!$D$7,CycleWork+CycleRest)*3/CycleWork)+MATCH(StartShift,'الإعدادات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الإجازات'!$D$5:$D$104&lt;=MK$3)*(('حجز الإجازات'!$E$5:$E$104)&gt;=MK$3)*('حجز الإجازات'!$G$5:$G$104="معتمد")*ROW('حجز الإجازات'!$B$5:$B$104)))-5+1))</f>
        <v/>
      </c>
      <c r="ML9" s="62">
        <f>IF(SUMPRODUCT(('حجز الإجازات'!$B$5:$B$104='الموظفون'!$B$7)*('حجز الإجازات'!$D$5:$D$104&lt;=ML$3)*(('حجز الإجازات'!$E$5:$E$104)&gt;=ML$3)*('حجز الإجازات'!$G$5:$G$104="معتمد")*ROW('حجز الإجازات'!$B$5:$B$104))=0,IF(ML$3&lt;'الموظفون'!$D$7,"",IF(ISNUMBER(MATCH(ML$3,Holidays,0)),"عطلة",IF(MOD(ML$3-'الموظفون'!$D$7,CycleWork+CycleRest)&lt;CycleWork,INDEX('الإعدادات والقوائم'!$H$2:$H$4,MOD(INT(MOD(ML$3-'الموظفون'!$D$7,CycleWork+CycleRest)*3/CycleWork)+MATCH(StartShift,'الإعدادات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الإجازات'!$D$5:$D$104&lt;=ML$3)*(('حجز الإجازات'!$E$5:$E$104)&gt;=ML$3)*('حجز الإجازات'!$G$5:$G$104="معتمد")*ROW('حجز الإجازات'!$B$5:$B$104)))-5+1))</f>
        <v/>
      </c>
      <c r="MM9" s="62">
        <f>IF(SUMPRODUCT(('حجز الإجازات'!$B$5:$B$104='الموظفون'!$B$7)*('حجز الإجازات'!$D$5:$D$104&lt;=MM$3)*(('حجز الإجازات'!$E$5:$E$104)&gt;=MM$3)*('حجز الإجازات'!$G$5:$G$104="معتمد")*ROW('حجز الإجازات'!$B$5:$B$104))=0,IF(MM$3&lt;'الموظفون'!$D$7,"",IF(ISNUMBER(MATCH(MM$3,Holidays,0)),"عطلة",IF(MOD(MM$3-'الموظفون'!$D$7,CycleWork+CycleRest)&lt;CycleWork,INDEX('الإعدادات والقوائم'!$H$2:$H$4,MOD(INT(MOD(MM$3-'الموظفون'!$D$7,CycleWork+CycleRest)*3/CycleWork)+MATCH(StartShift,'الإعدادات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الإجازات'!$D$5:$D$104&lt;=MM$3)*(('حجز الإجازات'!$E$5:$E$104)&gt;=MM$3)*('حجز الإجازات'!$G$5:$G$104="معتمد")*ROW('حجز الإجازات'!$B$5:$B$104)))-5+1))</f>
        <v/>
      </c>
      <c r="MN9" s="62">
        <f>IF(SUMPRODUCT(('حجز الإجازات'!$B$5:$B$104='الموظفون'!$B$7)*('حجز الإجازات'!$D$5:$D$104&lt;=MN$3)*(('حجز الإجازات'!$E$5:$E$104)&gt;=MN$3)*('حجز الإجازات'!$G$5:$G$104="معتمد")*ROW('حجز الإجازات'!$B$5:$B$104))=0,IF(MN$3&lt;'الموظفون'!$D$7,"",IF(ISNUMBER(MATCH(MN$3,Holidays,0)),"عطلة",IF(MOD(MN$3-'الموظفون'!$D$7,CycleWork+CycleRest)&lt;CycleWork,INDEX('الإعدادات والقوائم'!$H$2:$H$4,MOD(INT(MOD(MN$3-'الموظفون'!$D$7,CycleWork+CycleRest)*3/CycleWork)+MATCH(StartShift,'الإعدادات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الإجازات'!$D$5:$D$104&lt;=MN$3)*(('حجز الإجازات'!$E$5:$E$104)&gt;=MN$3)*('حجز الإجازات'!$G$5:$G$104="معتمد")*ROW('حجز الإجازات'!$B$5:$B$104)))-5+1))</f>
        <v/>
      </c>
      <c r="MO9" s="62">
        <f>IF(SUMPRODUCT(('حجز الإجازات'!$B$5:$B$104='الموظفون'!$B$7)*('حجز الإجازات'!$D$5:$D$104&lt;=MO$3)*(('حجز الإجازات'!$E$5:$E$104)&gt;=MO$3)*('حجز الإجازات'!$G$5:$G$104="معتمد")*ROW('حجز الإجازات'!$B$5:$B$104))=0,IF(MO$3&lt;'الموظفون'!$D$7,"",IF(ISNUMBER(MATCH(MO$3,Holidays,0)),"عطلة",IF(MOD(MO$3-'الموظفون'!$D$7,CycleWork+CycleRest)&lt;CycleWork,INDEX('الإعدادات والقوائم'!$H$2:$H$4,MOD(INT(MOD(MO$3-'الموظفون'!$D$7,CycleWork+CycleRest)*3/CycleWork)+MATCH(StartShift,'الإعدادات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الإجازات'!$D$5:$D$104&lt;=MO$3)*(('حجز الإجازات'!$E$5:$E$104)&gt;=MO$3)*('حجز الإجازات'!$G$5:$G$104="معتمد")*ROW('حجز الإجازات'!$B$5:$B$104)))-5+1))</f>
        <v/>
      </c>
      <c r="MP9" s="62">
        <f>IF(SUMPRODUCT(('حجز الإجازات'!$B$5:$B$104='الموظفون'!$B$7)*('حجز الإجازات'!$D$5:$D$104&lt;=MP$3)*(('حجز الإجازات'!$E$5:$E$104)&gt;=MP$3)*('حجز الإجازات'!$G$5:$G$104="معتمد")*ROW('حجز الإجازات'!$B$5:$B$104))=0,IF(MP$3&lt;'الموظفون'!$D$7,"",IF(ISNUMBER(MATCH(MP$3,Holidays,0)),"عطلة",IF(MOD(MP$3-'الموظفون'!$D$7,CycleWork+CycleRest)&lt;CycleWork,INDEX('الإعدادات والقوائم'!$H$2:$H$4,MOD(INT(MOD(MP$3-'الموظفون'!$D$7,CycleWork+CycleRest)*3/CycleWork)+MATCH(StartShift,'الإعدادات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الإجازات'!$D$5:$D$104&lt;=MP$3)*(('حجز الإجازات'!$E$5:$E$104)&gt;=MP$3)*('حجز الإجازات'!$G$5:$G$104="معتمد")*ROW('حجز الإجازات'!$B$5:$B$104)))-5+1))</f>
        <v/>
      </c>
      <c r="MQ9" s="62">
        <f>IF(SUMPRODUCT(('حجز الإجازات'!$B$5:$B$104='الموظفون'!$B$7)*('حجز الإجازات'!$D$5:$D$104&lt;=MQ$3)*(('حجز الإجازات'!$E$5:$E$104)&gt;=MQ$3)*('حجز الإجازات'!$G$5:$G$104="معتمد")*ROW('حجز الإجازات'!$B$5:$B$104))=0,IF(MQ$3&lt;'الموظفون'!$D$7,"",IF(ISNUMBER(MATCH(MQ$3,Holidays,0)),"عطلة",IF(MOD(MQ$3-'الموظفون'!$D$7,CycleWork+CycleRest)&lt;CycleWork,INDEX('الإعدادات والقوائم'!$H$2:$H$4,MOD(INT(MOD(MQ$3-'الموظفون'!$D$7,CycleWork+CycleRest)*3/CycleWork)+MATCH(StartShift,'الإعدادات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الإجازات'!$D$5:$D$104&lt;=MQ$3)*(('حجز الإجازات'!$E$5:$E$104)&gt;=MQ$3)*('حجز الإجازات'!$G$5:$G$104="معتمد")*ROW('حجز الإجازات'!$B$5:$B$104)))-5+1))</f>
        <v/>
      </c>
      <c r="MR9" s="62">
        <f>IF(SUMPRODUCT(('حجز الإجازات'!$B$5:$B$104='الموظفون'!$B$7)*('حجز الإجازات'!$D$5:$D$104&lt;=MR$3)*(('حجز الإجازات'!$E$5:$E$104)&gt;=MR$3)*('حجز الإجازات'!$G$5:$G$104="معتمد")*ROW('حجز الإجازات'!$B$5:$B$104))=0,IF(MR$3&lt;'الموظفون'!$D$7,"",IF(ISNUMBER(MATCH(MR$3,Holidays,0)),"عطلة",IF(MOD(MR$3-'الموظفون'!$D$7,CycleWork+CycleRest)&lt;CycleWork,INDEX('الإعدادات والقوائم'!$H$2:$H$4,MOD(INT(MOD(MR$3-'الموظفون'!$D$7,CycleWork+CycleRest)*3/CycleWork)+MATCH(StartShift,'الإعدادات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الإجازات'!$D$5:$D$104&lt;=MR$3)*(('حجز الإجازات'!$E$5:$E$104)&gt;=MR$3)*('حجز الإجازات'!$G$5:$G$104="معتمد")*ROW('حجز الإجازات'!$B$5:$B$104)))-5+1))</f>
        <v/>
      </c>
      <c r="MS9" s="62">
        <f>IF(SUMPRODUCT(('حجز الإجازات'!$B$5:$B$104='الموظفون'!$B$7)*('حجز الإجازات'!$D$5:$D$104&lt;=MS$3)*(('حجز الإجازات'!$E$5:$E$104)&gt;=MS$3)*('حجز الإجازات'!$G$5:$G$104="معتمد")*ROW('حجز الإجازات'!$B$5:$B$104))=0,IF(MS$3&lt;'الموظفون'!$D$7,"",IF(ISNUMBER(MATCH(MS$3,Holidays,0)),"عطلة",IF(MOD(MS$3-'الموظفون'!$D$7,CycleWork+CycleRest)&lt;CycleWork,INDEX('الإعدادات والقوائم'!$H$2:$H$4,MOD(INT(MOD(MS$3-'الموظفون'!$D$7,CycleWork+CycleRest)*3/CycleWork)+MATCH(StartShift,'الإعدادات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الإجازات'!$D$5:$D$104&lt;=MS$3)*(('حجز الإجازات'!$E$5:$E$104)&gt;=MS$3)*('حجز الإجازات'!$G$5:$G$104="معتمد")*ROW('حجز الإجازات'!$B$5:$B$104)))-5+1))</f>
        <v/>
      </c>
      <c r="MT9" s="62">
        <f>IF(SUMPRODUCT(('حجز الإجازات'!$B$5:$B$104='الموظفون'!$B$7)*('حجز الإجازات'!$D$5:$D$104&lt;=MT$3)*(('حجز الإجازات'!$E$5:$E$104)&gt;=MT$3)*('حجز الإجازات'!$G$5:$G$104="معتمد")*ROW('حجز الإجازات'!$B$5:$B$104))=0,IF(MT$3&lt;'الموظفون'!$D$7,"",IF(ISNUMBER(MATCH(MT$3,Holidays,0)),"عطلة",IF(MOD(MT$3-'الموظفون'!$D$7,CycleWork+CycleRest)&lt;CycleWork,INDEX('الإعدادات والقوائم'!$H$2:$H$4,MOD(INT(MOD(MT$3-'الموظفون'!$D$7,CycleWork+CycleRest)*3/CycleWork)+MATCH(StartShift,'الإعدادات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الإجازات'!$D$5:$D$104&lt;=MT$3)*(('حجز الإجازات'!$E$5:$E$104)&gt;=MT$3)*('حجز الإجازات'!$G$5:$G$104="معتمد")*ROW('حجز الإجازات'!$B$5:$B$104)))-5+1))</f>
        <v/>
      </c>
      <c r="MU9" s="62">
        <f>IF(SUMPRODUCT(('حجز الإجازات'!$B$5:$B$104='الموظفون'!$B$7)*('حجز الإجازات'!$D$5:$D$104&lt;=MU$3)*(('حجز الإجازات'!$E$5:$E$104)&gt;=MU$3)*('حجز الإجازات'!$G$5:$G$104="معتمد")*ROW('حجز الإجازات'!$B$5:$B$104))=0,IF(MU$3&lt;'الموظفون'!$D$7,"",IF(ISNUMBER(MATCH(MU$3,Holidays,0)),"عطلة",IF(MOD(MU$3-'الموظفون'!$D$7,CycleWork+CycleRest)&lt;CycleWork,INDEX('الإعدادات والقوائم'!$H$2:$H$4,MOD(INT(MOD(MU$3-'الموظفون'!$D$7,CycleWork+CycleRest)*3/CycleWork)+MATCH(StartShift,'الإعدادات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الإجازات'!$D$5:$D$104&lt;=MU$3)*(('حجز الإجازات'!$E$5:$E$104)&gt;=MU$3)*('حجز الإجازات'!$G$5:$G$104="معتمد")*ROW('حجز الإجازات'!$B$5:$B$104)))-5+1))</f>
        <v/>
      </c>
      <c r="MV9" s="62">
        <f>IF(SUMPRODUCT(('حجز الإجازات'!$B$5:$B$104='الموظفون'!$B$7)*('حجز الإجازات'!$D$5:$D$104&lt;=MV$3)*(('حجز الإجازات'!$E$5:$E$104)&gt;=MV$3)*('حجز الإجازات'!$G$5:$G$104="معتمد")*ROW('حجز الإجازات'!$B$5:$B$104))=0,IF(MV$3&lt;'الموظفون'!$D$7,"",IF(ISNUMBER(MATCH(MV$3,Holidays,0)),"عطلة",IF(MOD(MV$3-'الموظفون'!$D$7,CycleWork+CycleRest)&lt;CycleWork,INDEX('الإعدادات والقوائم'!$H$2:$H$4,MOD(INT(MOD(MV$3-'الموظفون'!$D$7,CycleWork+CycleRest)*3/CycleWork)+MATCH(StartShift,'الإعدادات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الإجازات'!$D$5:$D$104&lt;=MV$3)*(('حجز الإجازات'!$E$5:$E$104)&gt;=MV$3)*('حجز الإجازات'!$G$5:$G$104="معتمد")*ROW('حجز الإجازات'!$B$5:$B$104)))-5+1))</f>
        <v/>
      </c>
      <c r="MW9" s="62">
        <f>IF(SUMPRODUCT(('حجز الإجازات'!$B$5:$B$104='الموظفون'!$B$7)*('حجز الإجازات'!$D$5:$D$104&lt;=MW$3)*(('حجز الإجازات'!$E$5:$E$104)&gt;=MW$3)*('حجز الإجازات'!$G$5:$G$104="معتمد")*ROW('حجز الإجازات'!$B$5:$B$104))=0,IF(MW$3&lt;'الموظفون'!$D$7,"",IF(ISNUMBER(MATCH(MW$3,Holidays,0)),"عطلة",IF(MOD(MW$3-'الموظفون'!$D$7,CycleWork+CycleRest)&lt;CycleWork,INDEX('الإعدادات والقوائم'!$H$2:$H$4,MOD(INT(MOD(MW$3-'الموظفون'!$D$7,CycleWork+CycleRest)*3/CycleWork)+MATCH(StartShift,'الإعدادات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الإجازات'!$D$5:$D$104&lt;=MW$3)*(('حجز الإجازات'!$E$5:$E$104)&gt;=MW$3)*('حجز الإجازات'!$G$5:$G$104="معتمد")*ROW('حجز الإجازات'!$B$5:$B$104)))-5+1))</f>
        <v/>
      </c>
      <c r="MX9" s="62">
        <f>IF(SUMPRODUCT(('حجز الإجازات'!$B$5:$B$104='الموظفون'!$B$7)*('حجز الإجازات'!$D$5:$D$104&lt;=MX$3)*(('حجز الإجازات'!$E$5:$E$104)&gt;=MX$3)*('حجز الإجازات'!$G$5:$G$104="معتمد")*ROW('حجز الإجازات'!$B$5:$B$104))=0,IF(MX$3&lt;'الموظفون'!$D$7,"",IF(ISNUMBER(MATCH(MX$3,Holidays,0)),"عطلة",IF(MOD(MX$3-'الموظفون'!$D$7,CycleWork+CycleRest)&lt;CycleWork,INDEX('الإعدادات والقوائم'!$H$2:$H$4,MOD(INT(MOD(MX$3-'الموظفون'!$D$7,CycleWork+CycleRest)*3/CycleWork)+MATCH(StartShift,'الإعدادات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الإجازات'!$D$5:$D$104&lt;=MX$3)*(('حجز الإجازات'!$E$5:$E$104)&gt;=MX$3)*('حجز الإجازات'!$G$5:$G$104="معتمد")*ROW('حجز الإجازات'!$B$5:$B$104)))-5+1))</f>
        <v/>
      </c>
      <c r="MY9" s="62">
        <f>IF(SUMPRODUCT(('حجز الإجازات'!$B$5:$B$104='الموظفون'!$B$7)*('حجز الإجازات'!$D$5:$D$104&lt;=MY$3)*(('حجز الإجازات'!$E$5:$E$104)&gt;=MY$3)*('حجز الإجازات'!$G$5:$G$104="معتمد")*ROW('حجز الإجازات'!$B$5:$B$104))=0,IF(MY$3&lt;'الموظفون'!$D$7,"",IF(ISNUMBER(MATCH(MY$3,Holidays,0)),"عطلة",IF(MOD(MY$3-'الموظفون'!$D$7,CycleWork+CycleRest)&lt;CycleWork,INDEX('الإعدادات والقوائم'!$H$2:$H$4,MOD(INT(MOD(MY$3-'الموظفون'!$D$7,CycleWork+CycleRest)*3/CycleWork)+MATCH(StartShift,'الإعدادات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الإجازات'!$D$5:$D$104&lt;=MY$3)*(('حجز الإجازات'!$E$5:$E$104)&gt;=MY$3)*('حجز الإجازات'!$G$5:$G$104="معتمد")*ROW('حجز الإجازات'!$B$5:$B$104)))-5+1))</f>
        <v/>
      </c>
      <c r="MZ9" s="62">
        <f>IF(SUMPRODUCT(('حجز الإجازات'!$B$5:$B$104='الموظفون'!$B$7)*('حجز الإجازات'!$D$5:$D$104&lt;=MZ$3)*(('حجز الإجازات'!$E$5:$E$104)&gt;=MZ$3)*('حجز الإجازات'!$G$5:$G$104="معتمد")*ROW('حجز الإجازات'!$B$5:$B$104))=0,IF(MZ$3&lt;'الموظفون'!$D$7,"",IF(ISNUMBER(MATCH(MZ$3,Holidays,0)),"عطلة",IF(MOD(MZ$3-'الموظفون'!$D$7,CycleWork+CycleRest)&lt;CycleWork,INDEX('الإعدادات والقوائم'!$H$2:$H$4,MOD(INT(MOD(MZ$3-'الموظفون'!$D$7,CycleWork+CycleRest)*3/CycleWork)+MATCH(StartShift,'الإعدادات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الإجازات'!$D$5:$D$104&lt;=MZ$3)*(('حجز الإجازات'!$E$5:$E$104)&gt;=MZ$3)*('حجز الإجازات'!$G$5:$G$104="معتمد")*ROW('حجز الإجازات'!$B$5:$B$104)))-5+1))</f>
        <v/>
      </c>
      <c r="NA9" s="62">
        <f>IF(SUMPRODUCT(('حجز الإجازات'!$B$5:$B$104='الموظفون'!$B$7)*('حجز الإجازات'!$D$5:$D$104&lt;=NA$3)*(('حجز الإجازات'!$E$5:$E$104)&gt;=NA$3)*('حجز الإجازات'!$G$5:$G$104="معتمد")*ROW('حجز الإجازات'!$B$5:$B$104))=0,IF(NA$3&lt;'الموظفون'!$D$7,"",IF(ISNUMBER(MATCH(NA$3,Holidays,0)),"عطلة",IF(MOD(NA$3-'الموظفون'!$D$7,CycleWork+CycleRest)&lt;CycleWork,INDEX('الإعدادات والقوائم'!$H$2:$H$4,MOD(INT(MOD(NA$3-'الموظفون'!$D$7,CycleWork+CycleRest)*3/CycleWork)+MATCH(StartShift,'الإعدادات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الإجازات'!$D$5:$D$104&lt;=NA$3)*(('حجز الإجازات'!$E$5:$E$104)&gt;=NA$3)*('حجز الإجازات'!$G$5:$G$104="معتمد")*ROW('حجز الإجازات'!$B$5:$B$104)))-5+1))</f>
        <v/>
      </c>
      <c r="NB9" s="62">
        <f>IF(SUMPRODUCT(('حجز الإجازات'!$B$5:$B$104='الموظفون'!$B$7)*('حجز الإجازات'!$D$5:$D$104&lt;=NB$3)*(('حجز الإجازات'!$E$5:$E$104)&gt;=NB$3)*('حجز الإجازات'!$G$5:$G$104="معتمد")*ROW('حجز الإجازات'!$B$5:$B$104))=0,IF(NB$3&lt;'الموظفون'!$D$7,"",IF(ISNUMBER(MATCH(NB$3,Holidays,0)),"عطلة",IF(MOD(NB$3-'الموظفون'!$D$7,CycleWork+CycleRest)&lt;CycleWork,INDEX('الإعدادات والقوائم'!$H$2:$H$4,MOD(INT(MOD(NB$3-'الموظفون'!$D$7,CycleWork+CycleRest)*3/CycleWork)+MATCH(StartShift,'الإعدادات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الإجازات'!$D$5:$D$104&lt;=NB$3)*(('حجز الإجازات'!$E$5:$E$104)&gt;=NB$3)*('حجز الإجازات'!$G$5:$G$104="معتمد")*ROW('حجز الإجازات'!$B$5:$B$104)))-5+1))</f>
        <v/>
      </c>
      <c r="NC9" s="62">
        <f>IF(SUMPRODUCT(('حجز الإجازات'!$B$5:$B$104='الموظفون'!$B$7)*('حجز الإجازات'!$D$5:$D$104&lt;=NC$3)*(('حجز الإجازات'!$E$5:$E$104)&gt;=NC$3)*('حجز الإجازات'!$G$5:$G$104="معتمد")*ROW('حجز الإجازات'!$B$5:$B$104))=0,IF(NC$3&lt;'الموظفون'!$D$7,"",IF(ISNUMBER(MATCH(NC$3,Holidays,0)),"عطلة",IF(MOD(NC$3-'الموظفون'!$D$7,CycleWork+CycleRest)&lt;CycleWork,INDEX('الإعدادات والقوائم'!$H$2:$H$4,MOD(INT(MOD(NC$3-'الموظفون'!$D$7,CycleWork+CycleRest)*3/CycleWork)+MATCH(StartShift,'الإعدادات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الإجازات'!$D$5:$D$104&lt;=NC$3)*(('حجز الإجازات'!$E$5:$E$104)&gt;=NC$3)*('حجز الإجازات'!$G$5:$G$104="معتمد")*ROW('حجز الإجازات'!$B$5:$B$104)))-5+1))</f>
        <v/>
      </c>
      <c r="ND9" s="62">
        <f>IF(SUMPRODUCT(('حجز الإجازات'!$B$5:$B$104='الموظفون'!$B$7)*('حجز الإجازات'!$D$5:$D$104&lt;=ND$3)*(('حجز الإجازات'!$E$5:$E$104)&gt;=ND$3)*('حجز الإجازات'!$G$5:$G$104="معتمد")*ROW('حجز الإجازات'!$B$5:$B$104))=0,IF(ND$3&lt;'الموظفون'!$D$7,"",IF(ISNUMBER(MATCH(ND$3,Holidays,0)),"عطلة",IF(MOD(ND$3-'الموظفون'!$D$7,CycleWork+CycleRest)&lt;CycleWork,INDEX('الإعدادات والقوائم'!$H$2:$H$4,MOD(INT(MOD(ND$3-'الموظفون'!$D$7,CycleWork+CycleRest)*3/CycleWork)+MATCH(StartShift,'الإعدادات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الإجازات'!$D$5:$D$104&lt;=ND$3)*(('حجز الإجازات'!$E$5:$E$104)&gt;=ND$3)*('حجز الإجازات'!$G$5:$G$104="معتمد")*ROW('حجز الإجازات'!$B$5:$B$104)))-5+1))</f>
        <v/>
      </c>
    </row>
    <row r="10">
      <c r="A10" s="16" t="n">
        <v>7</v>
      </c>
      <c r="B10" s="22">
        <f>'الموظفون'!B8</f>
        <v/>
      </c>
      <c r="C10" s="16">
        <f>'الموظفون'!C8</f>
        <v/>
      </c>
      <c r="D10" s="62">
        <f>IF(SUMPRODUCT(('حجز الإجازات'!$B$5:$B$104='الموظفون'!$B$8)*('حجز الإجازات'!$D$5:$D$104&lt;=D$3)*(('حجز الإجازات'!$E$5:$E$104)&gt;=D$3)*('حجز الإجازات'!$G$5:$G$104="معتمد")*ROW('حجز الإجازات'!$B$5:$B$104))=0,IF(D$3&lt;'الموظفون'!$D$8,"",IF(ISNUMBER(MATCH(D$3,Holidays,0)),"عطلة",IF(MOD(D$3-'الموظفون'!$D$8,CycleWork+CycleRest)&lt;CycleWork,INDEX('الإعدادات والقوائم'!$H$2:$H$4,MOD(INT(MOD(D$3-'الموظفون'!$D$8,CycleWork+CycleRest)*3/CycleWork)+MATCH(StartShift,'الإعدادات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الإجازات'!$D$5:$D$104&lt;=D$3)*(('حجز الإجازات'!$E$5:$E$104)&gt;=D$3)*('حجز الإجازات'!$G$5:$G$104="معتمد")*ROW('حجز الإجازات'!$B$5:$B$104)))-5+1))</f>
        <v/>
      </c>
      <c r="E10" s="62">
        <f>IF(SUMPRODUCT(('حجز الإجازات'!$B$5:$B$104='الموظفون'!$B$8)*('حجز الإجازات'!$D$5:$D$104&lt;=E$3)*(('حجز الإجازات'!$E$5:$E$104)&gt;=E$3)*('حجز الإجازات'!$G$5:$G$104="معتمد")*ROW('حجز الإجازات'!$B$5:$B$104))=0,IF(E$3&lt;'الموظفون'!$D$8,"",IF(ISNUMBER(MATCH(E$3,Holidays,0)),"عطلة",IF(MOD(E$3-'الموظفون'!$D$8,CycleWork+CycleRest)&lt;CycleWork,INDEX('الإعدادات والقوائم'!$H$2:$H$4,MOD(INT(MOD(E$3-'الموظفون'!$D$8,CycleWork+CycleRest)*3/CycleWork)+MATCH(StartShift,'الإعدادات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الإجازات'!$D$5:$D$104&lt;=E$3)*(('حجز الإجازات'!$E$5:$E$104)&gt;=E$3)*('حجز الإجازات'!$G$5:$G$104="معتمد")*ROW('حجز الإجازات'!$B$5:$B$104)))-5+1))</f>
        <v/>
      </c>
      <c r="F10" s="62">
        <f>IF(SUMPRODUCT(('حجز الإجازات'!$B$5:$B$104='الموظفون'!$B$8)*('حجز الإجازات'!$D$5:$D$104&lt;=F$3)*(('حجز الإجازات'!$E$5:$E$104)&gt;=F$3)*('حجز الإجازات'!$G$5:$G$104="معتمد")*ROW('حجز الإجازات'!$B$5:$B$104))=0,IF(F$3&lt;'الموظفون'!$D$8,"",IF(ISNUMBER(MATCH(F$3,Holidays,0)),"عطلة",IF(MOD(F$3-'الموظفون'!$D$8,CycleWork+CycleRest)&lt;CycleWork,INDEX('الإعدادات والقوائم'!$H$2:$H$4,MOD(INT(MOD(F$3-'الموظفون'!$D$8,CycleWork+CycleRest)*3/CycleWork)+MATCH(StartShift,'الإعدادات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الإجازات'!$D$5:$D$104&lt;=F$3)*(('حجز الإجازات'!$E$5:$E$104)&gt;=F$3)*('حجز الإجازات'!$G$5:$G$104="معتمد")*ROW('حجز الإجازات'!$B$5:$B$104)))-5+1))</f>
        <v/>
      </c>
      <c r="G10" s="62">
        <f>IF(SUMPRODUCT(('حجز الإجازات'!$B$5:$B$104='الموظفون'!$B$8)*('حجز الإجازات'!$D$5:$D$104&lt;=G$3)*(('حجز الإجازات'!$E$5:$E$104)&gt;=G$3)*('حجز الإجازات'!$G$5:$G$104="معتمد")*ROW('حجز الإجازات'!$B$5:$B$104))=0,IF(G$3&lt;'الموظفون'!$D$8,"",IF(ISNUMBER(MATCH(G$3,Holidays,0)),"عطلة",IF(MOD(G$3-'الموظفون'!$D$8,CycleWork+CycleRest)&lt;CycleWork,INDEX('الإعدادات والقوائم'!$H$2:$H$4,MOD(INT(MOD(G$3-'الموظفون'!$D$8,CycleWork+CycleRest)*3/CycleWork)+MATCH(StartShift,'الإعدادات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الإجازات'!$D$5:$D$104&lt;=G$3)*(('حجز الإجازات'!$E$5:$E$104)&gt;=G$3)*('حجز الإجازات'!$G$5:$G$104="معتمد")*ROW('حجز الإجازات'!$B$5:$B$104)))-5+1))</f>
        <v/>
      </c>
      <c r="H10" s="62">
        <f>IF(SUMPRODUCT(('حجز الإجازات'!$B$5:$B$104='الموظفون'!$B$8)*('حجز الإجازات'!$D$5:$D$104&lt;=H$3)*(('حجز الإجازات'!$E$5:$E$104)&gt;=H$3)*('حجز الإجازات'!$G$5:$G$104="معتمد")*ROW('حجز الإجازات'!$B$5:$B$104))=0,IF(H$3&lt;'الموظفون'!$D$8,"",IF(ISNUMBER(MATCH(H$3,Holidays,0)),"عطلة",IF(MOD(H$3-'الموظفون'!$D$8,CycleWork+CycleRest)&lt;CycleWork,INDEX('الإعدادات والقوائم'!$H$2:$H$4,MOD(INT(MOD(H$3-'الموظفون'!$D$8,CycleWork+CycleRest)*3/CycleWork)+MATCH(StartShift,'الإعدادات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الإجازات'!$D$5:$D$104&lt;=H$3)*(('حجز الإجازات'!$E$5:$E$104)&gt;=H$3)*('حجز الإجازات'!$G$5:$G$104="معتمد")*ROW('حجز الإجازات'!$B$5:$B$104)))-5+1))</f>
        <v/>
      </c>
      <c r="I10" s="62">
        <f>IF(SUMPRODUCT(('حجز الإجازات'!$B$5:$B$104='الموظفون'!$B$8)*('حجز الإجازات'!$D$5:$D$104&lt;=I$3)*(('حجز الإجازات'!$E$5:$E$104)&gt;=I$3)*('حجز الإجازات'!$G$5:$G$104="معتمد")*ROW('حجز الإجازات'!$B$5:$B$104))=0,IF(I$3&lt;'الموظفون'!$D$8,"",IF(ISNUMBER(MATCH(I$3,Holidays,0)),"عطلة",IF(MOD(I$3-'الموظفون'!$D$8,CycleWork+CycleRest)&lt;CycleWork,INDEX('الإعدادات والقوائم'!$H$2:$H$4,MOD(INT(MOD(I$3-'الموظفون'!$D$8,CycleWork+CycleRest)*3/CycleWork)+MATCH(StartShift,'الإعدادات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الإجازات'!$D$5:$D$104&lt;=I$3)*(('حجز الإجازات'!$E$5:$E$104)&gt;=I$3)*('حجز الإجازات'!$G$5:$G$104="معتمد")*ROW('حجز الإجازات'!$B$5:$B$104)))-5+1))</f>
        <v/>
      </c>
      <c r="J10" s="62">
        <f>IF(SUMPRODUCT(('حجز الإجازات'!$B$5:$B$104='الموظفون'!$B$8)*('حجز الإجازات'!$D$5:$D$104&lt;=J$3)*(('حجز الإجازات'!$E$5:$E$104)&gt;=J$3)*('حجز الإجازات'!$G$5:$G$104="معتمد")*ROW('حجز الإجازات'!$B$5:$B$104))=0,IF(J$3&lt;'الموظفون'!$D$8,"",IF(ISNUMBER(MATCH(J$3,Holidays,0)),"عطلة",IF(MOD(J$3-'الموظفون'!$D$8,CycleWork+CycleRest)&lt;CycleWork,INDEX('الإعدادات والقوائم'!$H$2:$H$4,MOD(INT(MOD(J$3-'الموظفون'!$D$8,CycleWork+CycleRest)*3/CycleWork)+MATCH(StartShift,'الإعدادات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الإجازات'!$D$5:$D$104&lt;=J$3)*(('حجز الإجازات'!$E$5:$E$104)&gt;=J$3)*('حجز الإجازات'!$G$5:$G$104="معتمد")*ROW('حجز الإجازات'!$B$5:$B$104)))-5+1))</f>
        <v/>
      </c>
      <c r="K10" s="62">
        <f>IF(SUMPRODUCT(('حجز الإجازات'!$B$5:$B$104='الموظفون'!$B$8)*('حجز الإجازات'!$D$5:$D$104&lt;=K$3)*(('حجز الإجازات'!$E$5:$E$104)&gt;=K$3)*('حجز الإجازات'!$G$5:$G$104="معتمد")*ROW('حجز الإجازات'!$B$5:$B$104))=0,IF(K$3&lt;'الموظفون'!$D$8,"",IF(ISNUMBER(MATCH(K$3,Holidays,0)),"عطلة",IF(MOD(K$3-'الموظفون'!$D$8,CycleWork+CycleRest)&lt;CycleWork,INDEX('الإعدادات والقوائم'!$H$2:$H$4,MOD(INT(MOD(K$3-'الموظفون'!$D$8,CycleWork+CycleRest)*3/CycleWork)+MATCH(StartShift,'الإعدادات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الإجازات'!$D$5:$D$104&lt;=K$3)*(('حجز الإجازات'!$E$5:$E$104)&gt;=K$3)*('حجز الإجازات'!$G$5:$G$104="معتمد")*ROW('حجز الإجازات'!$B$5:$B$104)))-5+1))</f>
        <v/>
      </c>
      <c r="L10" s="62">
        <f>IF(SUMPRODUCT(('حجز الإجازات'!$B$5:$B$104='الموظفون'!$B$8)*('حجز الإجازات'!$D$5:$D$104&lt;=L$3)*(('حجز الإجازات'!$E$5:$E$104)&gt;=L$3)*('حجز الإجازات'!$G$5:$G$104="معتمد")*ROW('حجز الإجازات'!$B$5:$B$104))=0,IF(L$3&lt;'الموظفون'!$D$8,"",IF(ISNUMBER(MATCH(L$3,Holidays,0)),"عطلة",IF(MOD(L$3-'الموظفون'!$D$8,CycleWork+CycleRest)&lt;CycleWork,INDEX('الإعدادات والقوائم'!$H$2:$H$4,MOD(INT(MOD(L$3-'الموظفون'!$D$8,CycleWork+CycleRest)*3/CycleWork)+MATCH(StartShift,'الإعدادات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الإجازات'!$D$5:$D$104&lt;=L$3)*(('حجز الإجازات'!$E$5:$E$104)&gt;=L$3)*('حجز الإجازات'!$G$5:$G$104="معتمد")*ROW('حجز الإجازات'!$B$5:$B$104)))-5+1))</f>
        <v/>
      </c>
      <c r="M10" s="62">
        <f>IF(SUMPRODUCT(('حجز الإجازات'!$B$5:$B$104='الموظفون'!$B$8)*('حجز الإجازات'!$D$5:$D$104&lt;=M$3)*(('حجز الإجازات'!$E$5:$E$104)&gt;=M$3)*('حجز الإجازات'!$G$5:$G$104="معتمد")*ROW('حجز الإجازات'!$B$5:$B$104))=0,IF(M$3&lt;'الموظفون'!$D$8,"",IF(ISNUMBER(MATCH(M$3,Holidays,0)),"عطلة",IF(MOD(M$3-'الموظفون'!$D$8,CycleWork+CycleRest)&lt;CycleWork,INDEX('الإعدادات والقوائم'!$H$2:$H$4,MOD(INT(MOD(M$3-'الموظفون'!$D$8,CycleWork+CycleRest)*3/CycleWork)+MATCH(StartShift,'الإعدادات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الإجازات'!$D$5:$D$104&lt;=M$3)*(('حجز الإجازات'!$E$5:$E$104)&gt;=M$3)*('حجز الإجازات'!$G$5:$G$104="معتمد")*ROW('حجز الإجازات'!$B$5:$B$104)))-5+1))</f>
        <v/>
      </c>
      <c r="N10" s="62">
        <f>IF(SUMPRODUCT(('حجز الإجازات'!$B$5:$B$104='الموظفون'!$B$8)*('حجز الإجازات'!$D$5:$D$104&lt;=N$3)*(('حجز الإجازات'!$E$5:$E$104)&gt;=N$3)*('حجز الإجازات'!$G$5:$G$104="معتمد")*ROW('حجز الإجازات'!$B$5:$B$104))=0,IF(N$3&lt;'الموظفون'!$D$8,"",IF(ISNUMBER(MATCH(N$3,Holidays,0)),"عطلة",IF(MOD(N$3-'الموظفون'!$D$8,CycleWork+CycleRest)&lt;CycleWork,INDEX('الإعدادات والقوائم'!$H$2:$H$4,MOD(INT(MOD(N$3-'الموظفون'!$D$8,CycleWork+CycleRest)*3/CycleWork)+MATCH(StartShift,'الإعدادات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الإجازات'!$D$5:$D$104&lt;=N$3)*(('حجز الإجازات'!$E$5:$E$104)&gt;=N$3)*('حجز الإجازات'!$G$5:$G$104="معتمد")*ROW('حجز الإجازات'!$B$5:$B$104)))-5+1))</f>
        <v/>
      </c>
      <c r="O10" s="62">
        <f>IF(SUMPRODUCT(('حجز الإجازات'!$B$5:$B$104='الموظفون'!$B$8)*('حجز الإجازات'!$D$5:$D$104&lt;=O$3)*(('حجز الإجازات'!$E$5:$E$104)&gt;=O$3)*('حجز الإجازات'!$G$5:$G$104="معتمد")*ROW('حجز الإجازات'!$B$5:$B$104))=0,IF(O$3&lt;'الموظفون'!$D$8,"",IF(ISNUMBER(MATCH(O$3,Holidays,0)),"عطلة",IF(MOD(O$3-'الموظفون'!$D$8,CycleWork+CycleRest)&lt;CycleWork,INDEX('الإعدادات والقوائم'!$H$2:$H$4,MOD(INT(MOD(O$3-'الموظفون'!$D$8,CycleWork+CycleRest)*3/CycleWork)+MATCH(StartShift,'الإعدادات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الإجازات'!$D$5:$D$104&lt;=O$3)*(('حجز الإجازات'!$E$5:$E$104)&gt;=O$3)*('حجز الإجازات'!$G$5:$G$104="معتمد")*ROW('حجز الإجازات'!$B$5:$B$104)))-5+1))</f>
        <v/>
      </c>
      <c r="P10" s="62">
        <f>IF(SUMPRODUCT(('حجز الإجازات'!$B$5:$B$104='الموظفون'!$B$8)*('حجز الإجازات'!$D$5:$D$104&lt;=P$3)*(('حجز الإجازات'!$E$5:$E$104)&gt;=P$3)*('حجز الإجازات'!$G$5:$G$104="معتمد")*ROW('حجز الإجازات'!$B$5:$B$104))=0,IF(P$3&lt;'الموظفون'!$D$8,"",IF(ISNUMBER(MATCH(P$3,Holidays,0)),"عطلة",IF(MOD(P$3-'الموظفون'!$D$8,CycleWork+CycleRest)&lt;CycleWork,INDEX('الإعدادات والقوائم'!$H$2:$H$4,MOD(INT(MOD(P$3-'الموظفون'!$D$8,CycleWork+CycleRest)*3/CycleWork)+MATCH(StartShift,'الإعدادات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الإجازات'!$D$5:$D$104&lt;=P$3)*(('حجز الإجازات'!$E$5:$E$104)&gt;=P$3)*('حجز الإجازات'!$G$5:$G$104="معتمد")*ROW('حجز الإجازات'!$B$5:$B$104)))-5+1))</f>
        <v/>
      </c>
      <c r="Q10" s="62">
        <f>IF(SUMPRODUCT(('حجز الإجازات'!$B$5:$B$104='الموظفون'!$B$8)*('حجز الإجازات'!$D$5:$D$104&lt;=Q$3)*(('حجز الإجازات'!$E$5:$E$104)&gt;=Q$3)*('حجز الإجازات'!$G$5:$G$104="معتمد")*ROW('حجز الإجازات'!$B$5:$B$104))=0,IF(Q$3&lt;'الموظفون'!$D$8,"",IF(ISNUMBER(MATCH(Q$3,Holidays,0)),"عطلة",IF(MOD(Q$3-'الموظفون'!$D$8,CycleWork+CycleRest)&lt;CycleWork,INDEX('الإعدادات والقوائم'!$H$2:$H$4,MOD(INT(MOD(Q$3-'الموظفون'!$D$8,CycleWork+CycleRest)*3/CycleWork)+MATCH(StartShift,'الإعدادات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الإجازات'!$D$5:$D$104&lt;=Q$3)*(('حجز الإجازات'!$E$5:$E$104)&gt;=Q$3)*('حجز الإجازات'!$G$5:$G$104="معتمد")*ROW('حجز الإجازات'!$B$5:$B$104)))-5+1))</f>
        <v/>
      </c>
      <c r="R10" s="62">
        <f>IF(SUMPRODUCT(('حجز الإجازات'!$B$5:$B$104='الموظفون'!$B$8)*('حجز الإجازات'!$D$5:$D$104&lt;=R$3)*(('حجز الإجازات'!$E$5:$E$104)&gt;=R$3)*('حجز الإجازات'!$G$5:$G$104="معتمد")*ROW('حجز الإجازات'!$B$5:$B$104))=0,IF(R$3&lt;'الموظفون'!$D$8,"",IF(ISNUMBER(MATCH(R$3,Holidays,0)),"عطلة",IF(MOD(R$3-'الموظفون'!$D$8,CycleWork+CycleRest)&lt;CycleWork,INDEX('الإعدادات والقوائم'!$H$2:$H$4,MOD(INT(MOD(R$3-'الموظفون'!$D$8,CycleWork+CycleRest)*3/CycleWork)+MATCH(StartShift,'الإعدادات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الإجازات'!$D$5:$D$104&lt;=R$3)*(('حجز الإجازات'!$E$5:$E$104)&gt;=R$3)*('حجز الإجازات'!$G$5:$G$104="معتمد")*ROW('حجز الإجازات'!$B$5:$B$104)))-5+1))</f>
        <v/>
      </c>
      <c r="S10" s="62">
        <f>IF(SUMPRODUCT(('حجز الإجازات'!$B$5:$B$104='الموظفون'!$B$8)*('حجز الإجازات'!$D$5:$D$104&lt;=S$3)*(('حجز الإجازات'!$E$5:$E$104)&gt;=S$3)*('حجز الإجازات'!$G$5:$G$104="معتمد")*ROW('حجز الإجازات'!$B$5:$B$104))=0,IF(S$3&lt;'الموظفون'!$D$8,"",IF(ISNUMBER(MATCH(S$3,Holidays,0)),"عطلة",IF(MOD(S$3-'الموظفون'!$D$8,CycleWork+CycleRest)&lt;CycleWork,INDEX('الإعدادات والقوائم'!$H$2:$H$4,MOD(INT(MOD(S$3-'الموظفون'!$D$8,CycleWork+CycleRest)*3/CycleWork)+MATCH(StartShift,'الإعدادات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الإجازات'!$D$5:$D$104&lt;=S$3)*(('حجز الإجازات'!$E$5:$E$104)&gt;=S$3)*('حجز الإجازات'!$G$5:$G$104="معتمد")*ROW('حجز الإجازات'!$B$5:$B$104)))-5+1))</f>
        <v/>
      </c>
      <c r="T10" s="62">
        <f>IF(SUMPRODUCT(('حجز الإجازات'!$B$5:$B$104='الموظفون'!$B$8)*('حجز الإجازات'!$D$5:$D$104&lt;=T$3)*(('حجز الإجازات'!$E$5:$E$104)&gt;=T$3)*('حجز الإجازات'!$G$5:$G$104="معتمد")*ROW('حجز الإجازات'!$B$5:$B$104))=0,IF(T$3&lt;'الموظفون'!$D$8,"",IF(ISNUMBER(MATCH(T$3,Holidays,0)),"عطلة",IF(MOD(T$3-'الموظفون'!$D$8,CycleWork+CycleRest)&lt;CycleWork,INDEX('الإعدادات والقوائم'!$H$2:$H$4,MOD(INT(MOD(T$3-'الموظفون'!$D$8,CycleWork+CycleRest)*3/CycleWork)+MATCH(StartShift,'الإعدادات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الإجازات'!$D$5:$D$104&lt;=T$3)*(('حجز الإجازات'!$E$5:$E$104)&gt;=T$3)*('حجز الإجازات'!$G$5:$G$104="معتمد")*ROW('حجز الإجازات'!$B$5:$B$104)))-5+1))</f>
        <v/>
      </c>
      <c r="U10" s="62">
        <f>IF(SUMPRODUCT(('حجز الإجازات'!$B$5:$B$104='الموظفون'!$B$8)*('حجز الإجازات'!$D$5:$D$104&lt;=U$3)*(('حجز الإجازات'!$E$5:$E$104)&gt;=U$3)*('حجز الإجازات'!$G$5:$G$104="معتمد")*ROW('حجز الإجازات'!$B$5:$B$104))=0,IF(U$3&lt;'الموظفون'!$D$8,"",IF(ISNUMBER(MATCH(U$3,Holidays,0)),"عطلة",IF(MOD(U$3-'الموظفون'!$D$8,CycleWork+CycleRest)&lt;CycleWork,INDEX('الإعدادات والقوائم'!$H$2:$H$4,MOD(INT(MOD(U$3-'الموظفون'!$D$8,CycleWork+CycleRest)*3/CycleWork)+MATCH(StartShift,'الإعدادات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الإجازات'!$D$5:$D$104&lt;=U$3)*(('حجز الإجازات'!$E$5:$E$104)&gt;=U$3)*('حجز الإجازات'!$G$5:$G$104="معتمد")*ROW('حجز الإجازات'!$B$5:$B$104)))-5+1))</f>
        <v/>
      </c>
      <c r="V10" s="62">
        <f>IF(SUMPRODUCT(('حجز الإجازات'!$B$5:$B$104='الموظفون'!$B$8)*('حجز الإجازات'!$D$5:$D$104&lt;=V$3)*(('حجز الإجازات'!$E$5:$E$104)&gt;=V$3)*('حجز الإجازات'!$G$5:$G$104="معتمد")*ROW('حجز الإجازات'!$B$5:$B$104))=0,IF(V$3&lt;'الموظفون'!$D$8,"",IF(ISNUMBER(MATCH(V$3,Holidays,0)),"عطلة",IF(MOD(V$3-'الموظفون'!$D$8,CycleWork+CycleRest)&lt;CycleWork,INDEX('الإعدادات والقوائم'!$H$2:$H$4,MOD(INT(MOD(V$3-'الموظفون'!$D$8,CycleWork+CycleRest)*3/CycleWork)+MATCH(StartShift,'الإعدادات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الإجازات'!$D$5:$D$104&lt;=V$3)*(('حجز الإجازات'!$E$5:$E$104)&gt;=V$3)*('حجز الإجازات'!$G$5:$G$104="معتمد")*ROW('حجز الإجازات'!$B$5:$B$104)))-5+1))</f>
        <v/>
      </c>
      <c r="W10" s="62">
        <f>IF(SUMPRODUCT(('حجز الإجازات'!$B$5:$B$104='الموظفون'!$B$8)*('حجز الإجازات'!$D$5:$D$104&lt;=W$3)*(('حجز الإجازات'!$E$5:$E$104)&gt;=W$3)*('حجز الإجازات'!$G$5:$G$104="معتمد")*ROW('حجز الإجازات'!$B$5:$B$104))=0,IF(W$3&lt;'الموظفون'!$D$8,"",IF(ISNUMBER(MATCH(W$3,Holidays,0)),"عطلة",IF(MOD(W$3-'الموظفون'!$D$8,CycleWork+CycleRest)&lt;CycleWork,INDEX('الإعدادات والقوائم'!$H$2:$H$4,MOD(INT(MOD(W$3-'الموظفون'!$D$8,CycleWork+CycleRest)*3/CycleWork)+MATCH(StartShift,'الإعدادات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الإجازات'!$D$5:$D$104&lt;=W$3)*(('حجز الإجازات'!$E$5:$E$104)&gt;=W$3)*('حجز الإجازات'!$G$5:$G$104="معتمد")*ROW('حجز الإجازات'!$B$5:$B$104)))-5+1))</f>
        <v/>
      </c>
      <c r="X10" s="62">
        <f>IF(SUMPRODUCT(('حجز الإجازات'!$B$5:$B$104='الموظفون'!$B$8)*('حجز الإجازات'!$D$5:$D$104&lt;=X$3)*(('حجز الإجازات'!$E$5:$E$104)&gt;=X$3)*('حجز الإجازات'!$G$5:$G$104="معتمد")*ROW('حجز الإجازات'!$B$5:$B$104))=0,IF(X$3&lt;'الموظفون'!$D$8,"",IF(ISNUMBER(MATCH(X$3,Holidays,0)),"عطلة",IF(MOD(X$3-'الموظفون'!$D$8,CycleWork+CycleRest)&lt;CycleWork,INDEX('الإعدادات والقوائم'!$H$2:$H$4,MOD(INT(MOD(X$3-'الموظفون'!$D$8,CycleWork+CycleRest)*3/CycleWork)+MATCH(StartShift,'الإعدادات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الإجازات'!$D$5:$D$104&lt;=X$3)*(('حجز الإجازات'!$E$5:$E$104)&gt;=X$3)*('حجز الإجازات'!$G$5:$G$104="معتمد")*ROW('حجز الإجازات'!$B$5:$B$104)))-5+1))</f>
        <v/>
      </c>
      <c r="Y10" s="62">
        <f>IF(SUMPRODUCT(('حجز الإجازات'!$B$5:$B$104='الموظفون'!$B$8)*('حجز الإجازات'!$D$5:$D$104&lt;=Y$3)*(('حجز الإجازات'!$E$5:$E$104)&gt;=Y$3)*('حجز الإجازات'!$G$5:$G$104="معتمد")*ROW('حجز الإجازات'!$B$5:$B$104))=0,IF(Y$3&lt;'الموظفون'!$D$8,"",IF(ISNUMBER(MATCH(Y$3,Holidays,0)),"عطلة",IF(MOD(Y$3-'الموظفون'!$D$8,CycleWork+CycleRest)&lt;CycleWork,INDEX('الإعدادات والقوائم'!$H$2:$H$4,MOD(INT(MOD(Y$3-'الموظفون'!$D$8,CycleWork+CycleRest)*3/CycleWork)+MATCH(StartShift,'الإعدادات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الإجازات'!$D$5:$D$104&lt;=Y$3)*(('حجز الإجازات'!$E$5:$E$104)&gt;=Y$3)*('حجز الإجازات'!$G$5:$G$104="معتمد")*ROW('حجز الإجازات'!$B$5:$B$104)))-5+1))</f>
        <v/>
      </c>
      <c r="Z10" s="62">
        <f>IF(SUMPRODUCT(('حجز الإجازات'!$B$5:$B$104='الموظفون'!$B$8)*('حجز الإجازات'!$D$5:$D$104&lt;=Z$3)*(('حجز الإجازات'!$E$5:$E$104)&gt;=Z$3)*('حجز الإجازات'!$G$5:$G$104="معتمد")*ROW('حجز الإجازات'!$B$5:$B$104))=0,IF(Z$3&lt;'الموظفون'!$D$8,"",IF(ISNUMBER(MATCH(Z$3,Holidays,0)),"عطلة",IF(MOD(Z$3-'الموظفون'!$D$8,CycleWork+CycleRest)&lt;CycleWork,INDEX('الإعدادات والقوائم'!$H$2:$H$4,MOD(INT(MOD(Z$3-'الموظفون'!$D$8,CycleWork+CycleRest)*3/CycleWork)+MATCH(StartShift,'الإعدادات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الإجازات'!$D$5:$D$104&lt;=Z$3)*(('حجز الإجازات'!$E$5:$E$104)&gt;=Z$3)*('حجز الإجازات'!$G$5:$G$104="معتمد")*ROW('حجز الإجازات'!$B$5:$B$104)))-5+1))</f>
        <v/>
      </c>
      <c r="AA10" s="62">
        <f>IF(SUMPRODUCT(('حجز الإجازات'!$B$5:$B$104='الموظفون'!$B$8)*('حجز الإجازات'!$D$5:$D$104&lt;=AA$3)*(('حجز الإجازات'!$E$5:$E$104)&gt;=AA$3)*('حجز الإجازات'!$G$5:$G$104="معتمد")*ROW('حجز الإجازات'!$B$5:$B$104))=0,IF(AA$3&lt;'الموظفون'!$D$8,"",IF(ISNUMBER(MATCH(AA$3,Holidays,0)),"عطلة",IF(MOD(AA$3-'الموظفون'!$D$8,CycleWork+CycleRest)&lt;CycleWork,INDEX('الإعدادات والقوائم'!$H$2:$H$4,MOD(INT(MOD(AA$3-'الموظفون'!$D$8,CycleWork+CycleRest)*3/CycleWork)+MATCH(StartShift,'الإعدادات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الإجازات'!$D$5:$D$104&lt;=AA$3)*(('حجز الإجازات'!$E$5:$E$104)&gt;=AA$3)*('حجز الإجازات'!$G$5:$G$104="معتمد")*ROW('حجز الإجازات'!$B$5:$B$104)))-5+1))</f>
        <v/>
      </c>
      <c r="AB10" s="62">
        <f>IF(SUMPRODUCT(('حجز الإجازات'!$B$5:$B$104='الموظفون'!$B$8)*('حجز الإجازات'!$D$5:$D$104&lt;=AB$3)*(('حجز الإجازات'!$E$5:$E$104)&gt;=AB$3)*('حجز الإجازات'!$G$5:$G$104="معتمد")*ROW('حجز الإجازات'!$B$5:$B$104))=0,IF(AB$3&lt;'الموظفون'!$D$8,"",IF(ISNUMBER(MATCH(AB$3,Holidays,0)),"عطلة",IF(MOD(AB$3-'الموظفون'!$D$8,CycleWork+CycleRest)&lt;CycleWork,INDEX('الإعدادات والقوائم'!$H$2:$H$4,MOD(INT(MOD(AB$3-'الموظفون'!$D$8,CycleWork+CycleRest)*3/CycleWork)+MATCH(StartShift,'الإعدادات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الإجازات'!$D$5:$D$104&lt;=AB$3)*(('حجز الإجازات'!$E$5:$E$104)&gt;=AB$3)*('حجز الإجازات'!$G$5:$G$104="معتمد")*ROW('حجز الإجازات'!$B$5:$B$104)))-5+1))</f>
        <v/>
      </c>
      <c r="AC10" s="62">
        <f>IF(SUMPRODUCT(('حجز الإجازات'!$B$5:$B$104='الموظفون'!$B$8)*('حجز الإجازات'!$D$5:$D$104&lt;=AC$3)*(('حجز الإجازات'!$E$5:$E$104)&gt;=AC$3)*('حجز الإجازات'!$G$5:$G$104="معتمد")*ROW('حجز الإجازات'!$B$5:$B$104))=0,IF(AC$3&lt;'الموظفون'!$D$8,"",IF(ISNUMBER(MATCH(AC$3,Holidays,0)),"عطلة",IF(MOD(AC$3-'الموظفون'!$D$8,CycleWork+CycleRest)&lt;CycleWork,INDEX('الإعدادات والقوائم'!$H$2:$H$4,MOD(INT(MOD(AC$3-'الموظفون'!$D$8,CycleWork+CycleRest)*3/CycleWork)+MATCH(StartShift,'الإعدادات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الإجازات'!$D$5:$D$104&lt;=AC$3)*(('حجز الإجازات'!$E$5:$E$104)&gt;=AC$3)*('حجز الإجازات'!$G$5:$G$104="معتمد")*ROW('حجز الإجازات'!$B$5:$B$104)))-5+1))</f>
        <v/>
      </c>
      <c r="AD10" s="62">
        <f>IF(SUMPRODUCT(('حجز الإجازات'!$B$5:$B$104='الموظفون'!$B$8)*('حجز الإجازات'!$D$5:$D$104&lt;=AD$3)*(('حجز الإجازات'!$E$5:$E$104)&gt;=AD$3)*('حجز الإجازات'!$G$5:$G$104="معتمد")*ROW('حجز الإجازات'!$B$5:$B$104))=0,IF(AD$3&lt;'الموظفون'!$D$8,"",IF(ISNUMBER(MATCH(AD$3,Holidays,0)),"عطلة",IF(MOD(AD$3-'الموظفون'!$D$8,CycleWork+CycleRest)&lt;CycleWork,INDEX('الإعدادات والقوائم'!$H$2:$H$4,MOD(INT(MOD(AD$3-'الموظفون'!$D$8,CycleWork+CycleRest)*3/CycleWork)+MATCH(StartShift,'الإعدادات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الإجازات'!$D$5:$D$104&lt;=AD$3)*(('حجز الإجازات'!$E$5:$E$104)&gt;=AD$3)*('حجز الإجازات'!$G$5:$G$104="معتمد")*ROW('حجز الإجازات'!$B$5:$B$104)))-5+1))</f>
        <v/>
      </c>
      <c r="AE10" s="62">
        <f>IF(SUMPRODUCT(('حجز الإجازات'!$B$5:$B$104='الموظفون'!$B$8)*('حجز الإجازات'!$D$5:$D$104&lt;=AE$3)*(('حجز الإجازات'!$E$5:$E$104)&gt;=AE$3)*('حجز الإجازات'!$G$5:$G$104="معتمد")*ROW('حجز الإجازات'!$B$5:$B$104))=0,IF(AE$3&lt;'الموظفون'!$D$8,"",IF(ISNUMBER(MATCH(AE$3,Holidays,0)),"عطلة",IF(MOD(AE$3-'الموظفون'!$D$8,CycleWork+CycleRest)&lt;CycleWork,INDEX('الإعدادات والقوائم'!$H$2:$H$4,MOD(INT(MOD(AE$3-'الموظفون'!$D$8,CycleWork+CycleRest)*3/CycleWork)+MATCH(StartShift,'الإعدادات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الإجازات'!$D$5:$D$104&lt;=AE$3)*(('حجز الإجازات'!$E$5:$E$104)&gt;=AE$3)*('حجز الإجازات'!$G$5:$G$104="معتمد")*ROW('حجز الإجازات'!$B$5:$B$104)))-5+1))</f>
        <v/>
      </c>
      <c r="AF10" s="62">
        <f>IF(SUMPRODUCT(('حجز الإجازات'!$B$5:$B$104='الموظفون'!$B$8)*('حجز الإجازات'!$D$5:$D$104&lt;=AF$3)*(('حجز الإجازات'!$E$5:$E$104)&gt;=AF$3)*('حجز الإجازات'!$G$5:$G$104="معتمد")*ROW('حجز الإجازات'!$B$5:$B$104))=0,IF(AF$3&lt;'الموظفون'!$D$8,"",IF(ISNUMBER(MATCH(AF$3,Holidays,0)),"عطلة",IF(MOD(AF$3-'الموظفون'!$D$8,CycleWork+CycleRest)&lt;CycleWork,INDEX('الإعدادات والقوائم'!$H$2:$H$4,MOD(INT(MOD(AF$3-'الموظفون'!$D$8,CycleWork+CycleRest)*3/CycleWork)+MATCH(StartShift,'الإعدادات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الإجازات'!$D$5:$D$104&lt;=AF$3)*(('حجز الإجازات'!$E$5:$E$104)&gt;=AF$3)*('حجز الإجازات'!$G$5:$G$104="معتمد")*ROW('حجز الإجازات'!$B$5:$B$104)))-5+1))</f>
        <v/>
      </c>
      <c r="AG10" s="62">
        <f>IF(SUMPRODUCT(('حجز الإجازات'!$B$5:$B$104='الموظفون'!$B$8)*('حجز الإجازات'!$D$5:$D$104&lt;=AG$3)*(('حجز الإجازات'!$E$5:$E$104)&gt;=AG$3)*('حجز الإجازات'!$G$5:$G$104="معتمد")*ROW('حجز الإجازات'!$B$5:$B$104))=0,IF(AG$3&lt;'الموظفون'!$D$8,"",IF(ISNUMBER(MATCH(AG$3,Holidays,0)),"عطلة",IF(MOD(AG$3-'الموظفون'!$D$8,CycleWork+CycleRest)&lt;CycleWork,INDEX('الإعدادات والقوائم'!$H$2:$H$4,MOD(INT(MOD(AG$3-'الموظفون'!$D$8,CycleWork+CycleRest)*3/CycleWork)+MATCH(StartShift,'الإعدادات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الإجازات'!$D$5:$D$104&lt;=AG$3)*(('حجز الإجازات'!$E$5:$E$104)&gt;=AG$3)*('حجز الإجازات'!$G$5:$G$104="معتمد")*ROW('حجز الإجازات'!$B$5:$B$104)))-5+1))</f>
        <v/>
      </c>
      <c r="AH10" s="62">
        <f>IF(SUMPRODUCT(('حجز الإجازات'!$B$5:$B$104='الموظفون'!$B$8)*('حجز الإجازات'!$D$5:$D$104&lt;=AH$3)*(('حجز الإجازات'!$E$5:$E$104)&gt;=AH$3)*('حجز الإجازات'!$G$5:$G$104="معتمد")*ROW('حجز الإجازات'!$B$5:$B$104))=0,IF(AH$3&lt;'الموظفون'!$D$8,"",IF(ISNUMBER(MATCH(AH$3,Holidays,0)),"عطلة",IF(MOD(AH$3-'الموظفون'!$D$8,CycleWork+CycleRest)&lt;CycleWork,INDEX('الإعدادات والقوائم'!$H$2:$H$4,MOD(INT(MOD(AH$3-'الموظفون'!$D$8,CycleWork+CycleRest)*3/CycleWork)+MATCH(StartShift,'الإعدادات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الإجازات'!$D$5:$D$104&lt;=AH$3)*(('حجز الإجازات'!$E$5:$E$104)&gt;=AH$3)*('حجز الإجازات'!$G$5:$G$104="معتمد")*ROW('حجز الإجازات'!$B$5:$B$104)))-5+1))</f>
        <v/>
      </c>
      <c r="AI10" s="62">
        <f>IF(SUMPRODUCT(('حجز الإجازات'!$B$5:$B$104='الموظفون'!$B$8)*('حجز الإجازات'!$D$5:$D$104&lt;=AI$3)*(('حجز الإجازات'!$E$5:$E$104)&gt;=AI$3)*('حجز الإجازات'!$G$5:$G$104="معتمد")*ROW('حجز الإجازات'!$B$5:$B$104))=0,IF(AI$3&lt;'الموظفون'!$D$8,"",IF(ISNUMBER(MATCH(AI$3,Holidays,0)),"عطلة",IF(MOD(AI$3-'الموظفون'!$D$8,CycleWork+CycleRest)&lt;CycleWork,INDEX('الإعدادات والقوائم'!$H$2:$H$4,MOD(INT(MOD(AI$3-'الموظفون'!$D$8,CycleWork+CycleRest)*3/CycleWork)+MATCH(StartShift,'الإعدادات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الإجازات'!$D$5:$D$104&lt;=AI$3)*(('حجز الإجازات'!$E$5:$E$104)&gt;=AI$3)*('حجز الإجازات'!$G$5:$G$104="معتمد")*ROW('حجز الإجازات'!$B$5:$B$104)))-5+1))</f>
        <v/>
      </c>
      <c r="AJ10" s="62">
        <f>IF(SUMPRODUCT(('حجز الإجازات'!$B$5:$B$104='الموظفون'!$B$8)*('حجز الإجازات'!$D$5:$D$104&lt;=AJ$3)*(('حجز الإجازات'!$E$5:$E$104)&gt;=AJ$3)*('حجز الإجازات'!$G$5:$G$104="معتمد")*ROW('حجز الإجازات'!$B$5:$B$104))=0,IF(AJ$3&lt;'الموظفون'!$D$8,"",IF(ISNUMBER(MATCH(AJ$3,Holidays,0)),"عطلة",IF(MOD(AJ$3-'الموظفون'!$D$8,CycleWork+CycleRest)&lt;CycleWork,INDEX('الإعدادات والقوائم'!$H$2:$H$4,MOD(INT(MOD(AJ$3-'الموظفون'!$D$8,CycleWork+CycleRest)*3/CycleWork)+MATCH(StartShift,'الإعدادات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الإجازات'!$D$5:$D$104&lt;=AJ$3)*(('حجز الإجازات'!$E$5:$E$104)&gt;=AJ$3)*('حجز الإجازات'!$G$5:$G$104="معتمد")*ROW('حجز الإجازات'!$B$5:$B$104)))-5+1))</f>
        <v/>
      </c>
      <c r="AK10" s="62">
        <f>IF(SUMPRODUCT(('حجز الإجازات'!$B$5:$B$104='الموظفون'!$B$8)*('حجز الإجازات'!$D$5:$D$104&lt;=AK$3)*(('حجز الإجازات'!$E$5:$E$104)&gt;=AK$3)*('حجز الإجازات'!$G$5:$G$104="معتمد")*ROW('حجز الإجازات'!$B$5:$B$104))=0,IF(AK$3&lt;'الموظفون'!$D$8,"",IF(ISNUMBER(MATCH(AK$3,Holidays,0)),"عطلة",IF(MOD(AK$3-'الموظفون'!$D$8,CycleWork+CycleRest)&lt;CycleWork,INDEX('الإعدادات والقوائم'!$H$2:$H$4,MOD(INT(MOD(AK$3-'الموظفون'!$D$8,CycleWork+CycleRest)*3/CycleWork)+MATCH(StartShift,'الإعدادات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الإجازات'!$D$5:$D$104&lt;=AK$3)*(('حجز الإجازات'!$E$5:$E$104)&gt;=AK$3)*('حجز الإجازات'!$G$5:$G$104="معتمد")*ROW('حجز الإجازات'!$B$5:$B$104)))-5+1))</f>
        <v/>
      </c>
      <c r="AL10" s="62">
        <f>IF(SUMPRODUCT(('حجز الإجازات'!$B$5:$B$104='الموظفون'!$B$8)*('حجز الإجازات'!$D$5:$D$104&lt;=AL$3)*(('حجز الإجازات'!$E$5:$E$104)&gt;=AL$3)*('حجز الإجازات'!$G$5:$G$104="معتمد")*ROW('حجز الإجازات'!$B$5:$B$104))=0,IF(AL$3&lt;'الموظفون'!$D$8,"",IF(ISNUMBER(MATCH(AL$3,Holidays,0)),"عطلة",IF(MOD(AL$3-'الموظفون'!$D$8,CycleWork+CycleRest)&lt;CycleWork,INDEX('الإعدادات والقوائم'!$H$2:$H$4,MOD(INT(MOD(AL$3-'الموظفون'!$D$8,CycleWork+CycleRest)*3/CycleWork)+MATCH(StartShift,'الإعدادات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الإجازات'!$D$5:$D$104&lt;=AL$3)*(('حجز الإجازات'!$E$5:$E$104)&gt;=AL$3)*('حجز الإجازات'!$G$5:$G$104="معتمد")*ROW('حجز الإجازات'!$B$5:$B$104)))-5+1))</f>
        <v/>
      </c>
      <c r="AM10" s="62">
        <f>IF(SUMPRODUCT(('حجز الإجازات'!$B$5:$B$104='الموظفون'!$B$8)*('حجز الإجازات'!$D$5:$D$104&lt;=AM$3)*(('حجز الإجازات'!$E$5:$E$104)&gt;=AM$3)*('حجز الإجازات'!$G$5:$G$104="معتمد")*ROW('حجز الإجازات'!$B$5:$B$104))=0,IF(AM$3&lt;'الموظفون'!$D$8,"",IF(ISNUMBER(MATCH(AM$3,Holidays,0)),"عطلة",IF(MOD(AM$3-'الموظفون'!$D$8,CycleWork+CycleRest)&lt;CycleWork,INDEX('الإعدادات والقوائم'!$H$2:$H$4,MOD(INT(MOD(AM$3-'الموظفون'!$D$8,CycleWork+CycleRest)*3/CycleWork)+MATCH(StartShift,'الإعدادات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الإجازات'!$D$5:$D$104&lt;=AM$3)*(('حجز الإجازات'!$E$5:$E$104)&gt;=AM$3)*('حجز الإجازات'!$G$5:$G$104="معتمد")*ROW('حجز الإجازات'!$B$5:$B$104)))-5+1))</f>
        <v/>
      </c>
      <c r="AN10" s="62">
        <f>IF(SUMPRODUCT(('حجز الإجازات'!$B$5:$B$104='الموظفون'!$B$8)*('حجز الإجازات'!$D$5:$D$104&lt;=AN$3)*(('حجز الإجازات'!$E$5:$E$104)&gt;=AN$3)*('حجز الإجازات'!$G$5:$G$104="معتمد")*ROW('حجز الإجازات'!$B$5:$B$104))=0,IF(AN$3&lt;'الموظفون'!$D$8,"",IF(ISNUMBER(MATCH(AN$3,Holidays,0)),"عطلة",IF(MOD(AN$3-'الموظفون'!$D$8,CycleWork+CycleRest)&lt;CycleWork,INDEX('الإعدادات والقوائم'!$H$2:$H$4,MOD(INT(MOD(AN$3-'الموظفون'!$D$8,CycleWork+CycleRest)*3/CycleWork)+MATCH(StartShift,'الإعدادات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الإجازات'!$D$5:$D$104&lt;=AN$3)*(('حجز الإجازات'!$E$5:$E$104)&gt;=AN$3)*('حجز الإجازات'!$G$5:$G$104="معتمد")*ROW('حجز الإجازات'!$B$5:$B$104)))-5+1))</f>
        <v/>
      </c>
      <c r="AO10" s="62">
        <f>IF(SUMPRODUCT(('حجز الإجازات'!$B$5:$B$104='الموظفون'!$B$8)*('حجز الإجازات'!$D$5:$D$104&lt;=AO$3)*(('حجز الإجازات'!$E$5:$E$104)&gt;=AO$3)*('حجز الإجازات'!$G$5:$G$104="معتمد")*ROW('حجز الإجازات'!$B$5:$B$104))=0,IF(AO$3&lt;'الموظفون'!$D$8,"",IF(ISNUMBER(MATCH(AO$3,Holidays,0)),"عطلة",IF(MOD(AO$3-'الموظفون'!$D$8,CycleWork+CycleRest)&lt;CycleWork,INDEX('الإعدادات والقوائم'!$H$2:$H$4,MOD(INT(MOD(AO$3-'الموظفون'!$D$8,CycleWork+CycleRest)*3/CycleWork)+MATCH(StartShift,'الإعدادات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الإجازات'!$D$5:$D$104&lt;=AO$3)*(('حجز الإجازات'!$E$5:$E$104)&gt;=AO$3)*('حجز الإجازات'!$G$5:$G$104="معتمد")*ROW('حجز الإجازات'!$B$5:$B$104)))-5+1))</f>
        <v/>
      </c>
      <c r="AP10" s="62">
        <f>IF(SUMPRODUCT(('حجز الإجازات'!$B$5:$B$104='الموظفون'!$B$8)*('حجز الإجازات'!$D$5:$D$104&lt;=AP$3)*(('حجز الإجازات'!$E$5:$E$104)&gt;=AP$3)*('حجز الإجازات'!$G$5:$G$104="معتمد")*ROW('حجز الإجازات'!$B$5:$B$104))=0,IF(AP$3&lt;'الموظفون'!$D$8,"",IF(ISNUMBER(MATCH(AP$3,Holidays,0)),"عطلة",IF(MOD(AP$3-'الموظفون'!$D$8,CycleWork+CycleRest)&lt;CycleWork,INDEX('الإعدادات والقوائم'!$H$2:$H$4,MOD(INT(MOD(AP$3-'الموظفون'!$D$8,CycleWork+CycleRest)*3/CycleWork)+MATCH(StartShift,'الإعدادات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الإجازات'!$D$5:$D$104&lt;=AP$3)*(('حجز الإجازات'!$E$5:$E$104)&gt;=AP$3)*('حجز الإجازات'!$G$5:$G$104="معتمد")*ROW('حجز الإجازات'!$B$5:$B$104)))-5+1))</f>
        <v/>
      </c>
      <c r="AQ10" s="62">
        <f>IF(SUMPRODUCT(('حجز الإجازات'!$B$5:$B$104='الموظفون'!$B$8)*('حجز الإجازات'!$D$5:$D$104&lt;=AQ$3)*(('حجز الإجازات'!$E$5:$E$104)&gt;=AQ$3)*('حجز الإجازات'!$G$5:$G$104="معتمد")*ROW('حجز الإجازات'!$B$5:$B$104))=0,IF(AQ$3&lt;'الموظفون'!$D$8,"",IF(ISNUMBER(MATCH(AQ$3,Holidays,0)),"عطلة",IF(MOD(AQ$3-'الموظفون'!$D$8,CycleWork+CycleRest)&lt;CycleWork,INDEX('الإعدادات والقوائم'!$H$2:$H$4,MOD(INT(MOD(AQ$3-'الموظفون'!$D$8,CycleWork+CycleRest)*3/CycleWork)+MATCH(StartShift,'الإعدادات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الإجازات'!$D$5:$D$104&lt;=AQ$3)*(('حجز الإجازات'!$E$5:$E$104)&gt;=AQ$3)*('حجز الإجازات'!$G$5:$G$104="معتمد")*ROW('حجز الإجازات'!$B$5:$B$104)))-5+1))</f>
        <v/>
      </c>
      <c r="AR10" s="62">
        <f>IF(SUMPRODUCT(('حجز الإجازات'!$B$5:$B$104='الموظفون'!$B$8)*('حجز الإجازات'!$D$5:$D$104&lt;=AR$3)*(('حجز الإجازات'!$E$5:$E$104)&gt;=AR$3)*('حجز الإجازات'!$G$5:$G$104="معتمد")*ROW('حجز الإجازات'!$B$5:$B$104))=0,IF(AR$3&lt;'الموظفون'!$D$8,"",IF(ISNUMBER(MATCH(AR$3,Holidays,0)),"عطلة",IF(MOD(AR$3-'الموظفون'!$D$8,CycleWork+CycleRest)&lt;CycleWork,INDEX('الإعدادات والقوائم'!$H$2:$H$4,MOD(INT(MOD(AR$3-'الموظفون'!$D$8,CycleWork+CycleRest)*3/CycleWork)+MATCH(StartShift,'الإعدادات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الإجازات'!$D$5:$D$104&lt;=AR$3)*(('حجز الإجازات'!$E$5:$E$104)&gt;=AR$3)*('حجز الإجازات'!$G$5:$G$104="معتمد")*ROW('حجز الإجازات'!$B$5:$B$104)))-5+1))</f>
        <v/>
      </c>
      <c r="AS10" s="62">
        <f>IF(SUMPRODUCT(('حجز الإجازات'!$B$5:$B$104='الموظفون'!$B$8)*('حجز الإجازات'!$D$5:$D$104&lt;=AS$3)*(('حجز الإجازات'!$E$5:$E$104)&gt;=AS$3)*('حجز الإجازات'!$G$5:$G$104="معتمد")*ROW('حجز الإجازات'!$B$5:$B$104))=0,IF(AS$3&lt;'الموظفون'!$D$8,"",IF(ISNUMBER(MATCH(AS$3,Holidays,0)),"عطلة",IF(MOD(AS$3-'الموظفون'!$D$8,CycleWork+CycleRest)&lt;CycleWork,INDEX('الإعدادات والقوائم'!$H$2:$H$4,MOD(INT(MOD(AS$3-'الموظفون'!$D$8,CycleWork+CycleRest)*3/CycleWork)+MATCH(StartShift,'الإعدادات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الإجازات'!$D$5:$D$104&lt;=AS$3)*(('حجز الإجازات'!$E$5:$E$104)&gt;=AS$3)*('حجز الإجازات'!$G$5:$G$104="معتمد")*ROW('حجز الإجازات'!$B$5:$B$104)))-5+1))</f>
        <v/>
      </c>
      <c r="AT10" s="62">
        <f>IF(SUMPRODUCT(('حجز الإجازات'!$B$5:$B$104='الموظفون'!$B$8)*('حجز الإجازات'!$D$5:$D$104&lt;=AT$3)*(('حجز الإجازات'!$E$5:$E$104)&gt;=AT$3)*('حجز الإجازات'!$G$5:$G$104="معتمد")*ROW('حجز الإجازات'!$B$5:$B$104))=0,IF(AT$3&lt;'الموظفون'!$D$8,"",IF(ISNUMBER(MATCH(AT$3,Holidays,0)),"عطلة",IF(MOD(AT$3-'الموظفون'!$D$8,CycleWork+CycleRest)&lt;CycleWork,INDEX('الإعدادات والقوائم'!$H$2:$H$4,MOD(INT(MOD(AT$3-'الموظفون'!$D$8,CycleWork+CycleRest)*3/CycleWork)+MATCH(StartShift,'الإعدادات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الإجازات'!$D$5:$D$104&lt;=AT$3)*(('حجز الإجازات'!$E$5:$E$104)&gt;=AT$3)*('حجز الإجازات'!$G$5:$G$104="معتمد")*ROW('حجز الإجازات'!$B$5:$B$104)))-5+1))</f>
        <v/>
      </c>
      <c r="AU10" s="62">
        <f>IF(SUMPRODUCT(('حجز الإجازات'!$B$5:$B$104='الموظفون'!$B$8)*('حجز الإجازات'!$D$5:$D$104&lt;=AU$3)*(('حجز الإجازات'!$E$5:$E$104)&gt;=AU$3)*('حجز الإجازات'!$G$5:$G$104="معتمد")*ROW('حجز الإجازات'!$B$5:$B$104))=0,IF(AU$3&lt;'الموظفون'!$D$8,"",IF(ISNUMBER(MATCH(AU$3,Holidays,0)),"عطلة",IF(MOD(AU$3-'الموظفون'!$D$8,CycleWork+CycleRest)&lt;CycleWork,INDEX('الإعدادات والقوائم'!$H$2:$H$4,MOD(INT(MOD(AU$3-'الموظفون'!$D$8,CycleWork+CycleRest)*3/CycleWork)+MATCH(StartShift,'الإعدادات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الإجازات'!$D$5:$D$104&lt;=AU$3)*(('حجز الإجازات'!$E$5:$E$104)&gt;=AU$3)*('حجز الإجازات'!$G$5:$G$104="معتمد")*ROW('حجز الإجازات'!$B$5:$B$104)))-5+1))</f>
        <v/>
      </c>
      <c r="AV10" s="62">
        <f>IF(SUMPRODUCT(('حجز الإجازات'!$B$5:$B$104='الموظفون'!$B$8)*('حجز الإجازات'!$D$5:$D$104&lt;=AV$3)*(('حجز الإجازات'!$E$5:$E$104)&gt;=AV$3)*('حجز الإجازات'!$G$5:$G$104="معتمد")*ROW('حجز الإجازات'!$B$5:$B$104))=0,IF(AV$3&lt;'الموظفون'!$D$8,"",IF(ISNUMBER(MATCH(AV$3,Holidays,0)),"عطلة",IF(MOD(AV$3-'الموظفون'!$D$8,CycleWork+CycleRest)&lt;CycleWork,INDEX('الإعدادات والقوائم'!$H$2:$H$4,MOD(INT(MOD(AV$3-'الموظفون'!$D$8,CycleWork+CycleRest)*3/CycleWork)+MATCH(StartShift,'الإعدادات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الإجازات'!$D$5:$D$104&lt;=AV$3)*(('حجز الإجازات'!$E$5:$E$104)&gt;=AV$3)*('حجز الإجازات'!$G$5:$G$104="معتمد")*ROW('حجز الإجازات'!$B$5:$B$104)))-5+1))</f>
        <v/>
      </c>
      <c r="AW10" s="62">
        <f>IF(SUMPRODUCT(('حجز الإجازات'!$B$5:$B$104='الموظفون'!$B$8)*('حجز الإجازات'!$D$5:$D$104&lt;=AW$3)*(('حجز الإجازات'!$E$5:$E$104)&gt;=AW$3)*('حجز الإجازات'!$G$5:$G$104="معتمد")*ROW('حجز الإجازات'!$B$5:$B$104))=0,IF(AW$3&lt;'الموظفون'!$D$8,"",IF(ISNUMBER(MATCH(AW$3,Holidays,0)),"عطلة",IF(MOD(AW$3-'الموظفون'!$D$8,CycleWork+CycleRest)&lt;CycleWork,INDEX('الإعدادات والقوائم'!$H$2:$H$4,MOD(INT(MOD(AW$3-'الموظفون'!$D$8,CycleWork+CycleRest)*3/CycleWork)+MATCH(StartShift,'الإعدادات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الإجازات'!$D$5:$D$104&lt;=AW$3)*(('حجز الإجازات'!$E$5:$E$104)&gt;=AW$3)*('حجز الإجازات'!$G$5:$G$104="معتمد")*ROW('حجز الإجازات'!$B$5:$B$104)))-5+1))</f>
        <v/>
      </c>
      <c r="AX10" s="62">
        <f>IF(SUMPRODUCT(('حجز الإجازات'!$B$5:$B$104='الموظفون'!$B$8)*('حجز الإجازات'!$D$5:$D$104&lt;=AX$3)*(('حجز الإجازات'!$E$5:$E$104)&gt;=AX$3)*('حجز الإجازات'!$G$5:$G$104="معتمد")*ROW('حجز الإجازات'!$B$5:$B$104))=0,IF(AX$3&lt;'الموظفون'!$D$8,"",IF(ISNUMBER(MATCH(AX$3,Holidays,0)),"عطلة",IF(MOD(AX$3-'الموظفون'!$D$8,CycleWork+CycleRest)&lt;CycleWork,INDEX('الإعدادات والقوائم'!$H$2:$H$4,MOD(INT(MOD(AX$3-'الموظفون'!$D$8,CycleWork+CycleRest)*3/CycleWork)+MATCH(StartShift,'الإعدادات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الإجازات'!$D$5:$D$104&lt;=AX$3)*(('حجز الإجازات'!$E$5:$E$104)&gt;=AX$3)*('حجز الإجازات'!$G$5:$G$104="معتمد")*ROW('حجز الإجازات'!$B$5:$B$104)))-5+1))</f>
        <v/>
      </c>
      <c r="AY10" s="62">
        <f>IF(SUMPRODUCT(('حجز الإجازات'!$B$5:$B$104='الموظفون'!$B$8)*('حجز الإجازات'!$D$5:$D$104&lt;=AY$3)*(('حجز الإجازات'!$E$5:$E$104)&gt;=AY$3)*('حجز الإجازات'!$G$5:$G$104="معتمد")*ROW('حجز الإجازات'!$B$5:$B$104))=0,IF(AY$3&lt;'الموظفون'!$D$8,"",IF(ISNUMBER(MATCH(AY$3,Holidays,0)),"عطلة",IF(MOD(AY$3-'الموظفون'!$D$8,CycleWork+CycleRest)&lt;CycleWork,INDEX('الإعدادات والقوائم'!$H$2:$H$4,MOD(INT(MOD(AY$3-'الموظفون'!$D$8,CycleWork+CycleRest)*3/CycleWork)+MATCH(StartShift,'الإعدادات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الإجازات'!$D$5:$D$104&lt;=AY$3)*(('حجز الإجازات'!$E$5:$E$104)&gt;=AY$3)*('حجز الإجازات'!$G$5:$G$104="معتمد")*ROW('حجز الإجازات'!$B$5:$B$104)))-5+1))</f>
        <v/>
      </c>
      <c r="AZ10" s="62">
        <f>IF(SUMPRODUCT(('حجز الإجازات'!$B$5:$B$104='الموظفون'!$B$8)*('حجز الإجازات'!$D$5:$D$104&lt;=AZ$3)*(('حجز الإجازات'!$E$5:$E$104)&gt;=AZ$3)*('حجز الإجازات'!$G$5:$G$104="معتمد")*ROW('حجز الإجازات'!$B$5:$B$104))=0,IF(AZ$3&lt;'الموظفون'!$D$8,"",IF(ISNUMBER(MATCH(AZ$3,Holidays,0)),"عطلة",IF(MOD(AZ$3-'الموظفون'!$D$8,CycleWork+CycleRest)&lt;CycleWork,INDEX('الإعدادات والقوائم'!$H$2:$H$4,MOD(INT(MOD(AZ$3-'الموظفون'!$D$8,CycleWork+CycleRest)*3/CycleWork)+MATCH(StartShift,'الإعدادات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الإجازات'!$D$5:$D$104&lt;=AZ$3)*(('حجز الإجازات'!$E$5:$E$104)&gt;=AZ$3)*('حجز الإجازات'!$G$5:$G$104="معتمد")*ROW('حجز الإجازات'!$B$5:$B$104)))-5+1))</f>
        <v/>
      </c>
      <c r="BA10" s="62">
        <f>IF(SUMPRODUCT(('حجز الإجازات'!$B$5:$B$104='الموظفون'!$B$8)*('حجز الإجازات'!$D$5:$D$104&lt;=BA$3)*(('حجز الإجازات'!$E$5:$E$104)&gt;=BA$3)*('حجز الإجازات'!$G$5:$G$104="معتمد")*ROW('حجز الإجازات'!$B$5:$B$104))=0,IF(BA$3&lt;'الموظفون'!$D$8,"",IF(ISNUMBER(MATCH(BA$3,Holidays,0)),"عطلة",IF(MOD(BA$3-'الموظفون'!$D$8,CycleWork+CycleRest)&lt;CycleWork,INDEX('الإعدادات والقوائم'!$H$2:$H$4,MOD(INT(MOD(BA$3-'الموظفون'!$D$8,CycleWork+CycleRest)*3/CycleWork)+MATCH(StartShift,'الإعدادات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الإجازات'!$D$5:$D$104&lt;=BA$3)*(('حجز الإجازات'!$E$5:$E$104)&gt;=BA$3)*('حجز الإجازات'!$G$5:$G$104="معتمد")*ROW('حجز الإجازات'!$B$5:$B$104)))-5+1))</f>
        <v/>
      </c>
      <c r="BB10" s="62">
        <f>IF(SUMPRODUCT(('حجز الإجازات'!$B$5:$B$104='الموظفون'!$B$8)*('حجز الإجازات'!$D$5:$D$104&lt;=BB$3)*(('حجز الإجازات'!$E$5:$E$104)&gt;=BB$3)*('حجز الإجازات'!$G$5:$G$104="معتمد")*ROW('حجز الإجازات'!$B$5:$B$104))=0,IF(BB$3&lt;'الموظفون'!$D$8,"",IF(ISNUMBER(MATCH(BB$3,Holidays,0)),"عطلة",IF(MOD(BB$3-'الموظفون'!$D$8,CycleWork+CycleRest)&lt;CycleWork,INDEX('الإعدادات والقوائم'!$H$2:$H$4,MOD(INT(MOD(BB$3-'الموظفون'!$D$8,CycleWork+CycleRest)*3/CycleWork)+MATCH(StartShift,'الإعدادات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الإجازات'!$D$5:$D$104&lt;=BB$3)*(('حجز الإجازات'!$E$5:$E$104)&gt;=BB$3)*('حجز الإجازات'!$G$5:$G$104="معتمد")*ROW('حجز الإجازات'!$B$5:$B$104)))-5+1))</f>
        <v/>
      </c>
      <c r="BC10" s="62">
        <f>IF(SUMPRODUCT(('حجز الإجازات'!$B$5:$B$104='الموظفون'!$B$8)*('حجز الإجازات'!$D$5:$D$104&lt;=BC$3)*(('حجز الإجازات'!$E$5:$E$104)&gt;=BC$3)*('حجز الإجازات'!$G$5:$G$104="معتمد")*ROW('حجز الإجازات'!$B$5:$B$104))=0,IF(BC$3&lt;'الموظفون'!$D$8,"",IF(ISNUMBER(MATCH(BC$3,Holidays,0)),"عطلة",IF(MOD(BC$3-'الموظفون'!$D$8,CycleWork+CycleRest)&lt;CycleWork,INDEX('الإعدادات والقوائم'!$H$2:$H$4,MOD(INT(MOD(BC$3-'الموظفون'!$D$8,CycleWork+CycleRest)*3/CycleWork)+MATCH(StartShift,'الإعدادات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الإجازات'!$D$5:$D$104&lt;=BC$3)*(('حجز الإجازات'!$E$5:$E$104)&gt;=BC$3)*('حجز الإجازات'!$G$5:$G$104="معتمد")*ROW('حجز الإجازات'!$B$5:$B$104)))-5+1))</f>
        <v/>
      </c>
      <c r="BD10" s="62">
        <f>IF(SUMPRODUCT(('حجز الإجازات'!$B$5:$B$104='الموظفون'!$B$8)*('حجز الإجازات'!$D$5:$D$104&lt;=BD$3)*(('حجز الإجازات'!$E$5:$E$104)&gt;=BD$3)*('حجز الإجازات'!$G$5:$G$104="معتمد")*ROW('حجز الإجازات'!$B$5:$B$104))=0,IF(BD$3&lt;'الموظفون'!$D$8,"",IF(ISNUMBER(MATCH(BD$3,Holidays,0)),"عطلة",IF(MOD(BD$3-'الموظفون'!$D$8,CycleWork+CycleRest)&lt;CycleWork,INDEX('الإعدادات والقوائم'!$H$2:$H$4,MOD(INT(MOD(BD$3-'الموظفون'!$D$8,CycleWork+CycleRest)*3/CycleWork)+MATCH(StartShift,'الإعدادات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الإجازات'!$D$5:$D$104&lt;=BD$3)*(('حجز الإجازات'!$E$5:$E$104)&gt;=BD$3)*('حجز الإجازات'!$G$5:$G$104="معتمد")*ROW('حجز الإجازات'!$B$5:$B$104)))-5+1))</f>
        <v/>
      </c>
      <c r="BE10" s="62">
        <f>IF(SUMPRODUCT(('حجز الإجازات'!$B$5:$B$104='الموظفون'!$B$8)*('حجز الإجازات'!$D$5:$D$104&lt;=BE$3)*(('حجز الإجازات'!$E$5:$E$104)&gt;=BE$3)*('حجز الإجازات'!$G$5:$G$104="معتمد")*ROW('حجز الإجازات'!$B$5:$B$104))=0,IF(BE$3&lt;'الموظفون'!$D$8,"",IF(ISNUMBER(MATCH(BE$3,Holidays,0)),"عطلة",IF(MOD(BE$3-'الموظفون'!$D$8,CycleWork+CycleRest)&lt;CycleWork,INDEX('الإعدادات والقوائم'!$H$2:$H$4,MOD(INT(MOD(BE$3-'الموظفون'!$D$8,CycleWork+CycleRest)*3/CycleWork)+MATCH(StartShift,'الإعدادات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الإجازات'!$D$5:$D$104&lt;=BE$3)*(('حجز الإجازات'!$E$5:$E$104)&gt;=BE$3)*('حجز الإجازات'!$G$5:$G$104="معتمد")*ROW('حجز الإجازات'!$B$5:$B$104)))-5+1))</f>
        <v/>
      </c>
      <c r="BF10" s="62">
        <f>IF(SUMPRODUCT(('حجز الإجازات'!$B$5:$B$104='الموظفون'!$B$8)*('حجز الإجازات'!$D$5:$D$104&lt;=BF$3)*(('حجز الإجازات'!$E$5:$E$104)&gt;=BF$3)*('حجز الإجازات'!$G$5:$G$104="معتمد")*ROW('حجز الإجازات'!$B$5:$B$104))=0,IF(BF$3&lt;'الموظفون'!$D$8,"",IF(ISNUMBER(MATCH(BF$3,Holidays,0)),"عطلة",IF(MOD(BF$3-'الموظفون'!$D$8,CycleWork+CycleRest)&lt;CycleWork,INDEX('الإعدادات والقوائم'!$H$2:$H$4,MOD(INT(MOD(BF$3-'الموظفون'!$D$8,CycleWork+CycleRest)*3/CycleWork)+MATCH(StartShift,'الإعدادات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الإجازات'!$D$5:$D$104&lt;=BF$3)*(('حجز الإجازات'!$E$5:$E$104)&gt;=BF$3)*('حجز الإجازات'!$G$5:$G$104="معتمد")*ROW('حجز الإجازات'!$B$5:$B$104)))-5+1))</f>
        <v/>
      </c>
      <c r="BG10" s="62">
        <f>IF(SUMPRODUCT(('حجز الإجازات'!$B$5:$B$104='الموظفون'!$B$8)*('حجز الإجازات'!$D$5:$D$104&lt;=BG$3)*(('حجز الإجازات'!$E$5:$E$104)&gt;=BG$3)*('حجز الإجازات'!$G$5:$G$104="معتمد")*ROW('حجز الإجازات'!$B$5:$B$104))=0,IF(BG$3&lt;'الموظفون'!$D$8,"",IF(ISNUMBER(MATCH(BG$3,Holidays,0)),"عطلة",IF(MOD(BG$3-'الموظفون'!$D$8,CycleWork+CycleRest)&lt;CycleWork,INDEX('الإعدادات والقوائم'!$H$2:$H$4,MOD(INT(MOD(BG$3-'الموظفون'!$D$8,CycleWork+CycleRest)*3/CycleWork)+MATCH(StartShift,'الإعدادات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الإجازات'!$D$5:$D$104&lt;=BG$3)*(('حجز الإجازات'!$E$5:$E$104)&gt;=BG$3)*('حجز الإجازات'!$G$5:$G$104="معتمد")*ROW('حجز الإجازات'!$B$5:$B$104)))-5+1))</f>
        <v/>
      </c>
      <c r="BH10" s="62">
        <f>IF(SUMPRODUCT(('حجز الإجازات'!$B$5:$B$104='الموظفون'!$B$8)*('حجز الإجازات'!$D$5:$D$104&lt;=BH$3)*(('حجز الإجازات'!$E$5:$E$104)&gt;=BH$3)*('حجز الإجازات'!$G$5:$G$104="معتمد")*ROW('حجز الإجازات'!$B$5:$B$104))=0,IF(BH$3&lt;'الموظفون'!$D$8,"",IF(ISNUMBER(MATCH(BH$3,Holidays,0)),"عطلة",IF(MOD(BH$3-'الموظفون'!$D$8,CycleWork+CycleRest)&lt;CycleWork,INDEX('الإعدادات والقوائم'!$H$2:$H$4,MOD(INT(MOD(BH$3-'الموظفون'!$D$8,CycleWork+CycleRest)*3/CycleWork)+MATCH(StartShift,'الإعدادات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الإجازات'!$D$5:$D$104&lt;=BH$3)*(('حجز الإجازات'!$E$5:$E$104)&gt;=BH$3)*('حجز الإجازات'!$G$5:$G$104="معتمد")*ROW('حجز الإجازات'!$B$5:$B$104)))-5+1))</f>
        <v/>
      </c>
      <c r="BI10" s="62">
        <f>IF(SUMPRODUCT(('حجز الإجازات'!$B$5:$B$104='الموظفون'!$B$8)*('حجز الإجازات'!$D$5:$D$104&lt;=BI$3)*(('حجز الإجازات'!$E$5:$E$104)&gt;=BI$3)*('حجز الإجازات'!$G$5:$G$104="معتمد")*ROW('حجز الإجازات'!$B$5:$B$104))=0,IF(BI$3&lt;'الموظفون'!$D$8,"",IF(ISNUMBER(MATCH(BI$3,Holidays,0)),"عطلة",IF(MOD(BI$3-'الموظفون'!$D$8,CycleWork+CycleRest)&lt;CycleWork,INDEX('الإعدادات والقوائم'!$H$2:$H$4,MOD(INT(MOD(BI$3-'الموظفون'!$D$8,CycleWork+CycleRest)*3/CycleWork)+MATCH(StartShift,'الإعدادات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الإجازات'!$D$5:$D$104&lt;=BI$3)*(('حجز الإجازات'!$E$5:$E$104)&gt;=BI$3)*('حجز الإجازات'!$G$5:$G$104="معتمد")*ROW('حجز الإجازات'!$B$5:$B$104)))-5+1))</f>
        <v/>
      </c>
      <c r="BJ10" s="62">
        <f>IF(SUMPRODUCT(('حجز الإجازات'!$B$5:$B$104='الموظفون'!$B$8)*('حجز الإجازات'!$D$5:$D$104&lt;=BJ$3)*(('حجز الإجازات'!$E$5:$E$104)&gt;=BJ$3)*('حجز الإجازات'!$G$5:$G$104="معتمد")*ROW('حجز الإجازات'!$B$5:$B$104))=0,IF(BJ$3&lt;'الموظفون'!$D$8,"",IF(ISNUMBER(MATCH(BJ$3,Holidays,0)),"عطلة",IF(MOD(BJ$3-'الموظفون'!$D$8,CycleWork+CycleRest)&lt;CycleWork,INDEX('الإعدادات والقوائم'!$H$2:$H$4,MOD(INT(MOD(BJ$3-'الموظفون'!$D$8,CycleWork+CycleRest)*3/CycleWork)+MATCH(StartShift,'الإعدادات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الإجازات'!$D$5:$D$104&lt;=BJ$3)*(('حجز الإجازات'!$E$5:$E$104)&gt;=BJ$3)*('حجز الإجازات'!$G$5:$G$104="معتمد")*ROW('حجز الإجازات'!$B$5:$B$104)))-5+1))</f>
        <v/>
      </c>
      <c r="BK10" s="62">
        <f>IF(SUMPRODUCT(('حجز الإجازات'!$B$5:$B$104='الموظفون'!$B$8)*('حجز الإجازات'!$D$5:$D$104&lt;=BK$3)*(('حجز الإجازات'!$E$5:$E$104)&gt;=BK$3)*('حجز الإجازات'!$G$5:$G$104="معتمد")*ROW('حجز الإجازات'!$B$5:$B$104))=0,IF(BK$3&lt;'الموظفون'!$D$8,"",IF(ISNUMBER(MATCH(BK$3,Holidays,0)),"عطلة",IF(MOD(BK$3-'الموظفون'!$D$8,CycleWork+CycleRest)&lt;CycleWork,INDEX('الإعدادات والقوائم'!$H$2:$H$4,MOD(INT(MOD(BK$3-'الموظفون'!$D$8,CycleWork+CycleRest)*3/CycleWork)+MATCH(StartShift,'الإعدادات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الإجازات'!$D$5:$D$104&lt;=BK$3)*(('حجز الإجازات'!$E$5:$E$104)&gt;=BK$3)*('حجز الإجازات'!$G$5:$G$104="معتمد")*ROW('حجز الإجازات'!$B$5:$B$104)))-5+1))</f>
        <v/>
      </c>
      <c r="BL10" s="62">
        <f>IF(SUMPRODUCT(('حجز الإجازات'!$B$5:$B$104='الموظفون'!$B$8)*('حجز الإجازات'!$D$5:$D$104&lt;=BL$3)*(('حجز الإجازات'!$E$5:$E$104)&gt;=BL$3)*('حجز الإجازات'!$G$5:$G$104="معتمد")*ROW('حجز الإجازات'!$B$5:$B$104))=0,IF(BL$3&lt;'الموظفون'!$D$8,"",IF(ISNUMBER(MATCH(BL$3,Holidays,0)),"عطلة",IF(MOD(BL$3-'الموظفون'!$D$8,CycleWork+CycleRest)&lt;CycleWork,INDEX('الإعدادات والقوائم'!$H$2:$H$4,MOD(INT(MOD(BL$3-'الموظفون'!$D$8,CycleWork+CycleRest)*3/CycleWork)+MATCH(StartShift,'الإعدادات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الإجازات'!$D$5:$D$104&lt;=BL$3)*(('حجز الإجازات'!$E$5:$E$104)&gt;=BL$3)*('حجز الإجازات'!$G$5:$G$104="معتمد")*ROW('حجز الإجازات'!$B$5:$B$104)))-5+1))</f>
        <v/>
      </c>
      <c r="BM10" s="62">
        <f>IF(SUMPRODUCT(('حجز الإجازات'!$B$5:$B$104='الموظفون'!$B$8)*('حجز الإجازات'!$D$5:$D$104&lt;=BM$3)*(('حجز الإجازات'!$E$5:$E$104)&gt;=BM$3)*('حجز الإجازات'!$G$5:$G$104="معتمد")*ROW('حجز الإجازات'!$B$5:$B$104))=0,IF(BM$3&lt;'الموظفون'!$D$8,"",IF(ISNUMBER(MATCH(BM$3,Holidays,0)),"عطلة",IF(MOD(BM$3-'الموظفون'!$D$8,CycleWork+CycleRest)&lt;CycleWork,INDEX('الإعدادات والقوائم'!$H$2:$H$4,MOD(INT(MOD(BM$3-'الموظفون'!$D$8,CycleWork+CycleRest)*3/CycleWork)+MATCH(StartShift,'الإعدادات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الإجازات'!$D$5:$D$104&lt;=BM$3)*(('حجز الإجازات'!$E$5:$E$104)&gt;=BM$3)*('حجز الإجازات'!$G$5:$G$104="معتمد")*ROW('حجز الإجازات'!$B$5:$B$104)))-5+1))</f>
        <v/>
      </c>
      <c r="BN10" s="62">
        <f>IF(SUMPRODUCT(('حجز الإجازات'!$B$5:$B$104='الموظفون'!$B$8)*('حجز الإجازات'!$D$5:$D$104&lt;=BN$3)*(('حجز الإجازات'!$E$5:$E$104)&gt;=BN$3)*('حجز الإجازات'!$G$5:$G$104="معتمد")*ROW('حجز الإجازات'!$B$5:$B$104))=0,IF(BN$3&lt;'الموظفون'!$D$8,"",IF(ISNUMBER(MATCH(BN$3,Holidays,0)),"عطلة",IF(MOD(BN$3-'الموظفون'!$D$8,CycleWork+CycleRest)&lt;CycleWork,INDEX('الإعدادات والقوائم'!$H$2:$H$4,MOD(INT(MOD(BN$3-'الموظفون'!$D$8,CycleWork+CycleRest)*3/CycleWork)+MATCH(StartShift,'الإعدادات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الإجازات'!$D$5:$D$104&lt;=BN$3)*(('حجز الإجازات'!$E$5:$E$104)&gt;=BN$3)*('حجز الإجازات'!$G$5:$G$104="معتمد")*ROW('حجز الإجازات'!$B$5:$B$104)))-5+1))</f>
        <v/>
      </c>
      <c r="BO10" s="62">
        <f>IF(SUMPRODUCT(('حجز الإجازات'!$B$5:$B$104='الموظفون'!$B$8)*('حجز الإجازات'!$D$5:$D$104&lt;=BO$3)*(('حجز الإجازات'!$E$5:$E$104)&gt;=BO$3)*('حجز الإجازات'!$G$5:$G$104="معتمد")*ROW('حجز الإجازات'!$B$5:$B$104))=0,IF(BO$3&lt;'الموظفون'!$D$8,"",IF(ISNUMBER(MATCH(BO$3,Holidays,0)),"عطلة",IF(MOD(BO$3-'الموظفون'!$D$8,CycleWork+CycleRest)&lt;CycleWork,INDEX('الإعدادات والقوائم'!$H$2:$H$4,MOD(INT(MOD(BO$3-'الموظفون'!$D$8,CycleWork+CycleRest)*3/CycleWork)+MATCH(StartShift,'الإعدادات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الإجازات'!$D$5:$D$104&lt;=BO$3)*(('حجز الإجازات'!$E$5:$E$104)&gt;=BO$3)*('حجز الإجازات'!$G$5:$G$104="معتمد")*ROW('حجز الإجازات'!$B$5:$B$104)))-5+1))</f>
        <v/>
      </c>
      <c r="BP10" s="62">
        <f>IF(SUMPRODUCT(('حجز الإجازات'!$B$5:$B$104='الموظفون'!$B$8)*('حجز الإجازات'!$D$5:$D$104&lt;=BP$3)*(('حجز الإجازات'!$E$5:$E$104)&gt;=BP$3)*('حجز الإجازات'!$G$5:$G$104="معتمد")*ROW('حجز الإجازات'!$B$5:$B$104))=0,IF(BP$3&lt;'الموظفون'!$D$8,"",IF(ISNUMBER(MATCH(BP$3,Holidays,0)),"عطلة",IF(MOD(BP$3-'الموظفون'!$D$8,CycleWork+CycleRest)&lt;CycleWork,INDEX('الإعدادات والقوائم'!$H$2:$H$4,MOD(INT(MOD(BP$3-'الموظفون'!$D$8,CycleWork+CycleRest)*3/CycleWork)+MATCH(StartShift,'الإعدادات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الإجازات'!$D$5:$D$104&lt;=BP$3)*(('حجز الإجازات'!$E$5:$E$104)&gt;=BP$3)*('حجز الإجازات'!$G$5:$G$104="معتمد")*ROW('حجز الإجازات'!$B$5:$B$104)))-5+1))</f>
        <v/>
      </c>
      <c r="BQ10" s="62">
        <f>IF(SUMPRODUCT(('حجز الإجازات'!$B$5:$B$104='الموظفون'!$B$8)*('حجز الإجازات'!$D$5:$D$104&lt;=BQ$3)*(('حجز الإجازات'!$E$5:$E$104)&gt;=BQ$3)*('حجز الإجازات'!$G$5:$G$104="معتمد")*ROW('حجز الإجازات'!$B$5:$B$104))=0,IF(BQ$3&lt;'الموظفون'!$D$8,"",IF(ISNUMBER(MATCH(BQ$3,Holidays,0)),"عطلة",IF(MOD(BQ$3-'الموظفون'!$D$8,CycleWork+CycleRest)&lt;CycleWork,INDEX('الإعدادات والقوائم'!$H$2:$H$4,MOD(INT(MOD(BQ$3-'الموظفون'!$D$8,CycleWork+CycleRest)*3/CycleWork)+MATCH(StartShift,'الإعدادات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الإجازات'!$D$5:$D$104&lt;=BQ$3)*(('حجز الإجازات'!$E$5:$E$104)&gt;=BQ$3)*('حجز الإجازات'!$G$5:$G$104="معتمد")*ROW('حجز الإجازات'!$B$5:$B$104)))-5+1))</f>
        <v/>
      </c>
      <c r="BR10" s="62">
        <f>IF(SUMPRODUCT(('حجز الإجازات'!$B$5:$B$104='الموظفون'!$B$8)*('حجز الإجازات'!$D$5:$D$104&lt;=BR$3)*(('حجز الإجازات'!$E$5:$E$104)&gt;=BR$3)*('حجز الإجازات'!$G$5:$G$104="معتمد")*ROW('حجز الإجازات'!$B$5:$B$104))=0,IF(BR$3&lt;'الموظفون'!$D$8,"",IF(ISNUMBER(MATCH(BR$3,Holidays,0)),"عطلة",IF(MOD(BR$3-'الموظفون'!$D$8,CycleWork+CycleRest)&lt;CycleWork,INDEX('الإعدادات والقوائم'!$H$2:$H$4,MOD(INT(MOD(BR$3-'الموظفون'!$D$8,CycleWork+CycleRest)*3/CycleWork)+MATCH(StartShift,'الإعدادات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الإجازات'!$D$5:$D$104&lt;=BR$3)*(('حجز الإجازات'!$E$5:$E$104)&gt;=BR$3)*('حجز الإجازات'!$G$5:$G$104="معتمد")*ROW('حجز الإجازات'!$B$5:$B$104)))-5+1))</f>
        <v/>
      </c>
      <c r="BS10" s="62">
        <f>IF(SUMPRODUCT(('حجز الإجازات'!$B$5:$B$104='الموظفون'!$B$8)*('حجز الإجازات'!$D$5:$D$104&lt;=BS$3)*(('حجز الإجازات'!$E$5:$E$104)&gt;=BS$3)*('حجز الإجازات'!$G$5:$G$104="معتمد")*ROW('حجز الإجازات'!$B$5:$B$104))=0,IF(BS$3&lt;'الموظفون'!$D$8,"",IF(ISNUMBER(MATCH(BS$3,Holidays,0)),"عطلة",IF(MOD(BS$3-'الموظفون'!$D$8,CycleWork+CycleRest)&lt;CycleWork,INDEX('الإعدادات والقوائم'!$H$2:$H$4,MOD(INT(MOD(BS$3-'الموظفون'!$D$8,CycleWork+CycleRest)*3/CycleWork)+MATCH(StartShift,'الإعدادات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الإجازات'!$D$5:$D$104&lt;=BS$3)*(('حجز الإجازات'!$E$5:$E$104)&gt;=BS$3)*('حجز الإجازات'!$G$5:$G$104="معتمد")*ROW('حجز الإجازات'!$B$5:$B$104)))-5+1))</f>
        <v/>
      </c>
      <c r="BT10" s="62">
        <f>IF(SUMPRODUCT(('حجز الإجازات'!$B$5:$B$104='الموظفون'!$B$8)*('حجز الإجازات'!$D$5:$D$104&lt;=BT$3)*(('حجز الإجازات'!$E$5:$E$104)&gt;=BT$3)*('حجز الإجازات'!$G$5:$G$104="معتمد")*ROW('حجز الإجازات'!$B$5:$B$104))=0,IF(BT$3&lt;'الموظفون'!$D$8,"",IF(ISNUMBER(MATCH(BT$3,Holidays,0)),"عطلة",IF(MOD(BT$3-'الموظفون'!$D$8,CycleWork+CycleRest)&lt;CycleWork,INDEX('الإعدادات والقوائم'!$H$2:$H$4,MOD(INT(MOD(BT$3-'الموظفون'!$D$8,CycleWork+CycleRest)*3/CycleWork)+MATCH(StartShift,'الإعدادات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الإجازات'!$D$5:$D$104&lt;=BT$3)*(('حجز الإجازات'!$E$5:$E$104)&gt;=BT$3)*('حجز الإجازات'!$G$5:$G$104="معتمد")*ROW('حجز الإجازات'!$B$5:$B$104)))-5+1))</f>
        <v/>
      </c>
      <c r="BU10" s="62">
        <f>IF(SUMPRODUCT(('حجز الإجازات'!$B$5:$B$104='الموظفون'!$B$8)*('حجز الإجازات'!$D$5:$D$104&lt;=BU$3)*(('حجز الإجازات'!$E$5:$E$104)&gt;=BU$3)*('حجز الإجازات'!$G$5:$G$104="معتمد")*ROW('حجز الإجازات'!$B$5:$B$104))=0,IF(BU$3&lt;'الموظفون'!$D$8,"",IF(ISNUMBER(MATCH(BU$3,Holidays,0)),"عطلة",IF(MOD(BU$3-'الموظفون'!$D$8,CycleWork+CycleRest)&lt;CycleWork,INDEX('الإعدادات والقوائم'!$H$2:$H$4,MOD(INT(MOD(BU$3-'الموظفون'!$D$8,CycleWork+CycleRest)*3/CycleWork)+MATCH(StartShift,'الإعدادات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الإجازات'!$D$5:$D$104&lt;=BU$3)*(('حجز الإجازات'!$E$5:$E$104)&gt;=BU$3)*('حجز الإجازات'!$G$5:$G$104="معتمد")*ROW('حجز الإجازات'!$B$5:$B$104)))-5+1))</f>
        <v/>
      </c>
      <c r="BV10" s="62">
        <f>IF(SUMPRODUCT(('حجز الإجازات'!$B$5:$B$104='الموظفون'!$B$8)*('حجز الإجازات'!$D$5:$D$104&lt;=BV$3)*(('حجز الإجازات'!$E$5:$E$104)&gt;=BV$3)*('حجز الإجازات'!$G$5:$G$104="معتمد")*ROW('حجز الإجازات'!$B$5:$B$104))=0,IF(BV$3&lt;'الموظفون'!$D$8,"",IF(ISNUMBER(MATCH(BV$3,Holidays,0)),"عطلة",IF(MOD(BV$3-'الموظفون'!$D$8,CycleWork+CycleRest)&lt;CycleWork,INDEX('الإعدادات والقوائم'!$H$2:$H$4,MOD(INT(MOD(BV$3-'الموظفون'!$D$8,CycleWork+CycleRest)*3/CycleWork)+MATCH(StartShift,'الإعدادات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الإجازات'!$D$5:$D$104&lt;=BV$3)*(('حجز الإجازات'!$E$5:$E$104)&gt;=BV$3)*('حجز الإجازات'!$G$5:$G$104="معتمد")*ROW('حجز الإجازات'!$B$5:$B$104)))-5+1))</f>
        <v/>
      </c>
      <c r="BW10" s="62">
        <f>IF(SUMPRODUCT(('حجز الإجازات'!$B$5:$B$104='الموظفون'!$B$8)*('حجز الإجازات'!$D$5:$D$104&lt;=BW$3)*(('حجز الإجازات'!$E$5:$E$104)&gt;=BW$3)*('حجز الإجازات'!$G$5:$G$104="معتمد")*ROW('حجز الإجازات'!$B$5:$B$104))=0,IF(BW$3&lt;'الموظفون'!$D$8,"",IF(ISNUMBER(MATCH(BW$3,Holidays,0)),"عطلة",IF(MOD(BW$3-'الموظفون'!$D$8,CycleWork+CycleRest)&lt;CycleWork,INDEX('الإعدادات والقوائم'!$H$2:$H$4,MOD(INT(MOD(BW$3-'الموظفون'!$D$8,CycleWork+CycleRest)*3/CycleWork)+MATCH(StartShift,'الإعدادات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الإجازات'!$D$5:$D$104&lt;=BW$3)*(('حجز الإجازات'!$E$5:$E$104)&gt;=BW$3)*('حجز الإجازات'!$G$5:$G$104="معتمد")*ROW('حجز الإجازات'!$B$5:$B$104)))-5+1))</f>
        <v/>
      </c>
      <c r="BX10" s="62">
        <f>IF(SUMPRODUCT(('حجز الإجازات'!$B$5:$B$104='الموظفون'!$B$8)*('حجز الإجازات'!$D$5:$D$104&lt;=BX$3)*(('حجز الإجازات'!$E$5:$E$104)&gt;=BX$3)*('حجز الإجازات'!$G$5:$G$104="معتمد")*ROW('حجز الإجازات'!$B$5:$B$104))=0,IF(BX$3&lt;'الموظفون'!$D$8,"",IF(ISNUMBER(MATCH(BX$3,Holidays,0)),"عطلة",IF(MOD(BX$3-'الموظفون'!$D$8,CycleWork+CycleRest)&lt;CycleWork,INDEX('الإعدادات والقوائم'!$H$2:$H$4,MOD(INT(MOD(BX$3-'الموظفون'!$D$8,CycleWork+CycleRest)*3/CycleWork)+MATCH(StartShift,'الإعدادات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الإجازات'!$D$5:$D$104&lt;=BX$3)*(('حجز الإجازات'!$E$5:$E$104)&gt;=BX$3)*('حجز الإجازات'!$G$5:$G$104="معتمد")*ROW('حجز الإجازات'!$B$5:$B$104)))-5+1))</f>
        <v/>
      </c>
      <c r="BY10" s="62">
        <f>IF(SUMPRODUCT(('حجز الإجازات'!$B$5:$B$104='الموظفون'!$B$8)*('حجز الإجازات'!$D$5:$D$104&lt;=BY$3)*(('حجز الإجازات'!$E$5:$E$104)&gt;=BY$3)*('حجز الإجازات'!$G$5:$G$104="معتمد")*ROW('حجز الإجازات'!$B$5:$B$104))=0,IF(BY$3&lt;'الموظفون'!$D$8,"",IF(ISNUMBER(MATCH(BY$3,Holidays,0)),"عطلة",IF(MOD(BY$3-'الموظفون'!$D$8,CycleWork+CycleRest)&lt;CycleWork,INDEX('الإعدادات والقوائم'!$H$2:$H$4,MOD(INT(MOD(BY$3-'الموظفون'!$D$8,CycleWork+CycleRest)*3/CycleWork)+MATCH(StartShift,'الإعدادات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الإجازات'!$D$5:$D$104&lt;=BY$3)*(('حجز الإجازات'!$E$5:$E$104)&gt;=BY$3)*('حجز الإجازات'!$G$5:$G$104="معتمد")*ROW('حجز الإجازات'!$B$5:$B$104)))-5+1))</f>
        <v/>
      </c>
      <c r="BZ10" s="62">
        <f>IF(SUMPRODUCT(('حجز الإجازات'!$B$5:$B$104='الموظفون'!$B$8)*('حجز الإجازات'!$D$5:$D$104&lt;=BZ$3)*(('حجز الإجازات'!$E$5:$E$104)&gt;=BZ$3)*('حجز الإجازات'!$G$5:$G$104="معتمد")*ROW('حجز الإجازات'!$B$5:$B$104))=0,IF(BZ$3&lt;'الموظفون'!$D$8,"",IF(ISNUMBER(MATCH(BZ$3,Holidays,0)),"عطلة",IF(MOD(BZ$3-'الموظفون'!$D$8,CycleWork+CycleRest)&lt;CycleWork,INDEX('الإعدادات والقوائم'!$H$2:$H$4,MOD(INT(MOD(BZ$3-'الموظفون'!$D$8,CycleWork+CycleRest)*3/CycleWork)+MATCH(StartShift,'الإعدادات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الإجازات'!$D$5:$D$104&lt;=BZ$3)*(('حجز الإجازات'!$E$5:$E$104)&gt;=BZ$3)*('حجز الإجازات'!$G$5:$G$104="معتمد")*ROW('حجز الإجازات'!$B$5:$B$104)))-5+1))</f>
        <v/>
      </c>
      <c r="CA10" s="62">
        <f>IF(SUMPRODUCT(('حجز الإجازات'!$B$5:$B$104='الموظفون'!$B$8)*('حجز الإجازات'!$D$5:$D$104&lt;=CA$3)*(('حجز الإجازات'!$E$5:$E$104)&gt;=CA$3)*('حجز الإجازات'!$G$5:$G$104="معتمد")*ROW('حجز الإجازات'!$B$5:$B$104))=0,IF(CA$3&lt;'الموظفون'!$D$8,"",IF(ISNUMBER(MATCH(CA$3,Holidays,0)),"عطلة",IF(MOD(CA$3-'الموظفون'!$D$8,CycleWork+CycleRest)&lt;CycleWork,INDEX('الإعدادات والقوائم'!$H$2:$H$4,MOD(INT(MOD(CA$3-'الموظفون'!$D$8,CycleWork+CycleRest)*3/CycleWork)+MATCH(StartShift,'الإعدادات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الإجازات'!$D$5:$D$104&lt;=CA$3)*(('حجز الإجازات'!$E$5:$E$104)&gt;=CA$3)*('حجز الإجازات'!$G$5:$G$104="معتمد")*ROW('حجز الإجازات'!$B$5:$B$104)))-5+1))</f>
        <v/>
      </c>
      <c r="CB10" s="62">
        <f>IF(SUMPRODUCT(('حجز الإجازات'!$B$5:$B$104='الموظفون'!$B$8)*('حجز الإجازات'!$D$5:$D$104&lt;=CB$3)*(('حجز الإجازات'!$E$5:$E$104)&gt;=CB$3)*('حجز الإجازات'!$G$5:$G$104="معتمد")*ROW('حجز الإجازات'!$B$5:$B$104))=0,IF(CB$3&lt;'الموظفون'!$D$8,"",IF(ISNUMBER(MATCH(CB$3,Holidays,0)),"عطلة",IF(MOD(CB$3-'الموظفون'!$D$8,CycleWork+CycleRest)&lt;CycleWork,INDEX('الإعدادات والقوائم'!$H$2:$H$4,MOD(INT(MOD(CB$3-'الموظفون'!$D$8,CycleWork+CycleRest)*3/CycleWork)+MATCH(StartShift,'الإعدادات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الإجازات'!$D$5:$D$104&lt;=CB$3)*(('حجز الإجازات'!$E$5:$E$104)&gt;=CB$3)*('حجز الإجازات'!$G$5:$G$104="معتمد")*ROW('حجز الإجازات'!$B$5:$B$104)))-5+1))</f>
        <v/>
      </c>
      <c r="CC10" s="62">
        <f>IF(SUMPRODUCT(('حجز الإجازات'!$B$5:$B$104='الموظفون'!$B$8)*('حجز الإجازات'!$D$5:$D$104&lt;=CC$3)*(('حجز الإجازات'!$E$5:$E$104)&gt;=CC$3)*('حجز الإجازات'!$G$5:$G$104="معتمد")*ROW('حجز الإجازات'!$B$5:$B$104))=0,IF(CC$3&lt;'الموظفون'!$D$8,"",IF(ISNUMBER(MATCH(CC$3,Holidays,0)),"عطلة",IF(MOD(CC$3-'الموظفون'!$D$8,CycleWork+CycleRest)&lt;CycleWork,INDEX('الإعدادات والقوائم'!$H$2:$H$4,MOD(INT(MOD(CC$3-'الموظفون'!$D$8,CycleWork+CycleRest)*3/CycleWork)+MATCH(StartShift,'الإعدادات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الإجازات'!$D$5:$D$104&lt;=CC$3)*(('حجز الإجازات'!$E$5:$E$104)&gt;=CC$3)*('حجز الإجازات'!$G$5:$G$104="معتمد")*ROW('حجز الإجازات'!$B$5:$B$104)))-5+1))</f>
        <v/>
      </c>
      <c r="CD10" s="62">
        <f>IF(SUMPRODUCT(('حجز الإجازات'!$B$5:$B$104='الموظفون'!$B$8)*('حجز الإجازات'!$D$5:$D$104&lt;=CD$3)*(('حجز الإجازات'!$E$5:$E$104)&gt;=CD$3)*('حجز الإجازات'!$G$5:$G$104="معتمد")*ROW('حجز الإجازات'!$B$5:$B$104))=0,IF(CD$3&lt;'الموظفون'!$D$8,"",IF(ISNUMBER(MATCH(CD$3,Holidays,0)),"عطلة",IF(MOD(CD$3-'الموظفون'!$D$8,CycleWork+CycleRest)&lt;CycleWork,INDEX('الإعدادات والقوائم'!$H$2:$H$4,MOD(INT(MOD(CD$3-'الموظفون'!$D$8,CycleWork+CycleRest)*3/CycleWork)+MATCH(StartShift,'الإعدادات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الإجازات'!$D$5:$D$104&lt;=CD$3)*(('حجز الإجازات'!$E$5:$E$104)&gt;=CD$3)*('حجز الإجازات'!$G$5:$G$104="معتمد")*ROW('حجز الإجازات'!$B$5:$B$104)))-5+1))</f>
        <v/>
      </c>
      <c r="CE10" s="62">
        <f>IF(SUMPRODUCT(('حجز الإجازات'!$B$5:$B$104='الموظفون'!$B$8)*('حجز الإجازات'!$D$5:$D$104&lt;=CE$3)*(('حجز الإجازات'!$E$5:$E$104)&gt;=CE$3)*('حجز الإجازات'!$G$5:$G$104="معتمد")*ROW('حجز الإجازات'!$B$5:$B$104))=0,IF(CE$3&lt;'الموظفون'!$D$8,"",IF(ISNUMBER(MATCH(CE$3,Holidays,0)),"عطلة",IF(MOD(CE$3-'الموظفون'!$D$8,CycleWork+CycleRest)&lt;CycleWork,INDEX('الإعدادات والقوائم'!$H$2:$H$4,MOD(INT(MOD(CE$3-'الموظفون'!$D$8,CycleWork+CycleRest)*3/CycleWork)+MATCH(StartShift,'الإعدادات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الإجازات'!$D$5:$D$104&lt;=CE$3)*(('حجز الإجازات'!$E$5:$E$104)&gt;=CE$3)*('حجز الإجازات'!$G$5:$G$104="معتمد")*ROW('حجز الإجازات'!$B$5:$B$104)))-5+1))</f>
        <v/>
      </c>
      <c r="CF10" s="62">
        <f>IF(SUMPRODUCT(('حجز الإجازات'!$B$5:$B$104='الموظفون'!$B$8)*('حجز الإجازات'!$D$5:$D$104&lt;=CF$3)*(('حجز الإجازات'!$E$5:$E$104)&gt;=CF$3)*('حجز الإجازات'!$G$5:$G$104="معتمد")*ROW('حجز الإجازات'!$B$5:$B$104))=0,IF(CF$3&lt;'الموظفون'!$D$8,"",IF(ISNUMBER(MATCH(CF$3,Holidays,0)),"عطلة",IF(MOD(CF$3-'الموظفون'!$D$8,CycleWork+CycleRest)&lt;CycleWork,INDEX('الإعدادات والقوائم'!$H$2:$H$4,MOD(INT(MOD(CF$3-'الموظفون'!$D$8,CycleWork+CycleRest)*3/CycleWork)+MATCH(StartShift,'الإعدادات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الإجازات'!$D$5:$D$104&lt;=CF$3)*(('حجز الإجازات'!$E$5:$E$104)&gt;=CF$3)*('حجز الإجازات'!$G$5:$G$104="معتمد")*ROW('حجز الإجازات'!$B$5:$B$104)))-5+1))</f>
        <v/>
      </c>
      <c r="CG10" s="62">
        <f>IF(SUMPRODUCT(('حجز الإجازات'!$B$5:$B$104='الموظفون'!$B$8)*('حجز الإجازات'!$D$5:$D$104&lt;=CG$3)*(('حجز الإجازات'!$E$5:$E$104)&gt;=CG$3)*('حجز الإجازات'!$G$5:$G$104="معتمد")*ROW('حجز الإجازات'!$B$5:$B$104))=0,IF(CG$3&lt;'الموظفون'!$D$8,"",IF(ISNUMBER(MATCH(CG$3,Holidays,0)),"عطلة",IF(MOD(CG$3-'الموظفون'!$D$8,CycleWork+CycleRest)&lt;CycleWork,INDEX('الإعدادات والقوائم'!$H$2:$H$4,MOD(INT(MOD(CG$3-'الموظفون'!$D$8,CycleWork+CycleRest)*3/CycleWork)+MATCH(StartShift,'الإعدادات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الإجازات'!$D$5:$D$104&lt;=CG$3)*(('حجز الإجازات'!$E$5:$E$104)&gt;=CG$3)*('حجز الإجازات'!$G$5:$G$104="معتمد")*ROW('حجز الإجازات'!$B$5:$B$104)))-5+1))</f>
        <v/>
      </c>
      <c r="CH10" s="62">
        <f>IF(SUMPRODUCT(('حجز الإجازات'!$B$5:$B$104='الموظفون'!$B$8)*('حجز الإجازات'!$D$5:$D$104&lt;=CH$3)*(('حجز الإجازات'!$E$5:$E$104)&gt;=CH$3)*('حجز الإجازات'!$G$5:$G$104="معتمد")*ROW('حجز الإجازات'!$B$5:$B$104))=0,IF(CH$3&lt;'الموظفون'!$D$8,"",IF(ISNUMBER(MATCH(CH$3,Holidays,0)),"عطلة",IF(MOD(CH$3-'الموظفون'!$D$8,CycleWork+CycleRest)&lt;CycleWork,INDEX('الإعدادات والقوائم'!$H$2:$H$4,MOD(INT(MOD(CH$3-'الموظفون'!$D$8,CycleWork+CycleRest)*3/CycleWork)+MATCH(StartShift,'الإعدادات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الإجازات'!$D$5:$D$104&lt;=CH$3)*(('حجز الإجازات'!$E$5:$E$104)&gt;=CH$3)*('حجز الإجازات'!$G$5:$G$104="معتمد")*ROW('حجز الإجازات'!$B$5:$B$104)))-5+1))</f>
        <v/>
      </c>
      <c r="CI10" s="62">
        <f>IF(SUMPRODUCT(('حجز الإجازات'!$B$5:$B$104='الموظفون'!$B$8)*('حجز الإجازات'!$D$5:$D$104&lt;=CI$3)*(('حجز الإجازات'!$E$5:$E$104)&gt;=CI$3)*('حجز الإجازات'!$G$5:$G$104="معتمد")*ROW('حجز الإجازات'!$B$5:$B$104))=0,IF(CI$3&lt;'الموظفون'!$D$8,"",IF(ISNUMBER(MATCH(CI$3,Holidays,0)),"عطلة",IF(MOD(CI$3-'الموظفون'!$D$8,CycleWork+CycleRest)&lt;CycleWork,INDEX('الإعدادات والقوائم'!$H$2:$H$4,MOD(INT(MOD(CI$3-'الموظفون'!$D$8,CycleWork+CycleRest)*3/CycleWork)+MATCH(StartShift,'الإعدادات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الإجازات'!$D$5:$D$104&lt;=CI$3)*(('حجز الإجازات'!$E$5:$E$104)&gt;=CI$3)*('حجز الإجازات'!$G$5:$G$104="معتمد")*ROW('حجز الإجازات'!$B$5:$B$104)))-5+1))</f>
        <v/>
      </c>
      <c r="CJ10" s="62">
        <f>IF(SUMPRODUCT(('حجز الإجازات'!$B$5:$B$104='الموظفون'!$B$8)*('حجز الإجازات'!$D$5:$D$104&lt;=CJ$3)*(('حجز الإجازات'!$E$5:$E$104)&gt;=CJ$3)*('حجز الإجازات'!$G$5:$G$104="معتمد")*ROW('حجز الإجازات'!$B$5:$B$104))=0,IF(CJ$3&lt;'الموظفون'!$D$8,"",IF(ISNUMBER(MATCH(CJ$3,Holidays,0)),"عطلة",IF(MOD(CJ$3-'الموظفون'!$D$8,CycleWork+CycleRest)&lt;CycleWork,INDEX('الإعدادات والقوائم'!$H$2:$H$4,MOD(INT(MOD(CJ$3-'الموظفون'!$D$8,CycleWork+CycleRest)*3/CycleWork)+MATCH(StartShift,'الإعدادات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الإجازات'!$D$5:$D$104&lt;=CJ$3)*(('حجز الإجازات'!$E$5:$E$104)&gt;=CJ$3)*('حجز الإجازات'!$G$5:$G$104="معتمد")*ROW('حجز الإجازات'!$B$5:$B$104)))-5+1))</f>
        <v/>
      </c>
      <c r="CK10" s="62">
        <f>IF(SUMPRODUCT(('حجز الإجازات'!$B$5:$B$104='الموظفون'!$B$8)*('حجز الإجازات'!$D$5:$D$104&lt;=CK$3)*(('حجز الإجازات'!$E$5:$E$104)&gt;=CK$3)*('حجز الإجازات'!$G$5:$G$104="معتمد")*ROW('حجز الإجازات'!$B$5:$B$104))=0,IF(CK$3&lt;'الموظفون'!$D$8,"",IF(ISNUMBER(MATCH(CK$3,Holidays,0)),"عطلة",IF(MOD(CK$3-'الموظفون'!$D$8,CycleWork+CycleRest)&lt;CycleWork,INDEX('الإعدادات والقوائم'!$H$2:$H$4,MOD(INT(MOD(CK$3-'الموظفون'!$D$8,CycleWork+CycleRest)*3/CycleWork)+MATCH(StartShift,'الإعدادات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الإجازات'!$D$5:$D$104&lt;=CK$3)*(('حجز الإجازات'!$E$5:$E$104)&gt;=CK$3)*('حجز الإجازات'!$G$5:$G$104="معتمد")*ROW('حجز الإجازات'!$B$5:$B$104)))-5+1))</f>
        <v/>
      </c>
      <c r="CL10" s="62">
        <f>IF(SUMPRODUCT(('حجز الإجازات'!$B$5:$B$104='الموظفون'!$B$8)*('حجز الإجازات'!$D$5:$D$104&lt;=CL$3)*(('حجز الإجازات'!$E$5:$E$104)&gt;=CL$3)*('حجز الإجازات'!$G$5:$G$104="معتمد")*ROW('حجز الإجازات'!$B$5:$B$104))=0,IF(CL$3&lt;'الموظفون'!$D$8,"",IF(ISNUMBER(MATCH(CL$3,Holidays,0)),"عطلة",IF(MOD(CL$3-'الموظفون'!$D$8,CycleWork+CycleRest)&lt;CycleWork,INDEX('الإعدادات والقوائم'!$H$2:$H$4,MOD(INT(MOD(CL$3-'الموظفون'!$D$8,CycleWork+CycleRest)*3/CycleWork)+MATCH(StartShift,'الإعدادات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الإجازات'!$D$5:$D$104&lt;=CL$3)*(('حجز الإجازات'!$E$5:$E$104)&gt;=CL$3)*('حجز الإجازات'!$G$5:$G$104="معتمد")*ROW('حجز الإجازات'!$B$5:$B$104)))-5+1))</f>
        <v/>
      </c>
      <c r="CM10" s="62">
        <f>IF(SUMPRODUCT(('حجز الإجازات'!$B$5:$B$104='الموظفون'!$B$8)*('حجز الإجازات'!$D$5:$D$104&lt;=CM$3)*(('حجز الإجازات'!$E$5:$E$104)&gt;=CM$3)*('حجز الإجازات'!$G$5:$G$104="معتمد")*ROW('حجز الإجازات'!$B$5:$B$104))=0,IF(CM$3&lt;'الموظفون'!$D$8,"",IF(ISNUMBER(MATCH(CM$3,Holidays,0)),"عطلة",IF(MOD(CM$3-'الموظفون'!$D$8,CycleWork+CycleRest)&lt;CycleWork,INDEX('الإعدادات والقوائم'!$H$2:$H$4,MOD(INT(MOD(CM$3-'الموظفون'!$D$8,CycleWork+CycleRest)*3/CycleWork)+MATCH(StartShift,'الإعدادات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الإجازات'!$D$5:$D$104&lt;=CM$3)*(('حجز الإجازات'!$E$5:$E$104)&gt;=CM$3)*('حجز الإجازات'!$G$5:$G$104="معتمد")*ROW('حجز الإجازات'!$B$5:$B$104)))-5+1))</f>
        <v/>
      </c>
      <c r="CN10" s="62">
        <f>IF(SUMPRODUCT(('حجز الإجازات'!$B$5:$B$104='الموظفون'!$B$8)*('حجز الإجازات'!$D$5:$D$104&lt;=CN$3)*(('حجز الإجازات'!$E$5:$E$104)&gt;=CN$3)*('حجز الإجازات'!$G$5:$G$104="معتمد")*ROW('حجز الإجازات'!$B$5:$B$104))=0,IF(CN$3&lt;'الموظفون'!$D$8,"",IF(ISNUMBER(MATCH(CN$3,Holidays,0)),"عطلة",IF(MOD(CN$3-'الموظفون'!$D$8,CycleWork+CycleRest)&lt;CycleWork,INDEX('الإعدادات والقوائم'!$H$2:$H$4,MOD(INT(MOD(CN$3-'الموظفون'!$D$8,CycleWork+CycleRest)*3/CycleWork)+MATCH(StartShift,'الإعدادات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الإجازات'!$D$5:$D$104&lt;=CN$3)*(('حجز الإجازات'!$E$5:$E$104)&gt;=CN$3)*('حجز الإجازات'!$G$5:$G$104="معتمد")*ROW('حجز الإجازات'!$B$5:$B$104)))-5+1))</f>
        <v/>
      </c>
      <c r="CO10" s="62">
        <f>IF(SUMPRODUCT(('حجز الإجازات'!$B$5:$B$104='الموظفون'!$B$8)*('حجز الإجازات'!$D$5:$D$104&lt;=CO$3)*(('حجز الإجازات'!$E$5:$E$104)&gt;=CO$3)*('حجز الإجازات'!$G$5:$G$104="معتمد")*ROW('حجز الإجازات'!$B$5:$B$104))=0,IF(CO$3&lt;'الموظفون'!$D$8,"",IF(ISNUMBER(MATCH(CO$3,Holidays,0)),"عطلة",IF(MOD(CO$3-'الموظفون'!$D$8,CycleWork+CycleRest)&lt;CycleWork,INDEX('الإعدادات والقوائم'!$H$2:$H$4,MOD(INT(MOD(CO$3-'الموظفون'!$D$8,CycleWork+CycleRest)*3/CycleWork)+MATCH(StartShift,'الإعدادات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الإجازات'!$D$5:$D$104&lt;=CO$3)*(('حجز الإجازات'!$E$5:$E$104)&gt;=CO$3)*('حجز الإجازات'!$G$5:$G$104="معتمد")*ROW('حجز الإجازات'!$B$5:$B$104)))-5+1))</f>
        <v/>
      </c>
      <c r="CP10" s="62">
        <f>IF(SUMPRODUCT(('حجز الإجازات'!$B$5:$B$104='الموظفون'!$B$8)*('حجز الإجازات'!$D$5:$D$104&lt;=CP$3)*(('حجز الإجازات'!$E$5:$E$104)&gt;=CP$3)*('حجز الإجازات'!$G$5:$G$104="معتمد")*ROW('حجز الإجازات'!$B$5:$B$104))=0,IF(CP$3&lt;'الموظفون'!$D$8,"",IF(ISNUMBER(MATCH(CP$3,Holidays,0)),"عطلة",IF(MOD(CP$3-'الموظفون'!$D$8,CycleWork+CycleRest)&lt;CycleWork,INDEX('الإعدادات والقوائم'!$H$2:$H$4,MOD(INT(MOD(CP$3-'الموظفون'!$D$8,CycleWork+CycleRest)*3/CycleWork)+MATCH(StartShift,'الإعدادات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الإجازات'!$D$5:$D$104&lt;=CP$3)*(('حجز الإجازات'!$E$5:$E$104)&gt;=CP$3)*('حجز الإجازات'!$G$5:$G$104="معتمد")*ROW('حجز الإجازات'!$B$5:$B$104)))-5+1))</f>
        <v/>
      </c>
      <c r="CQ10" s="62">
        <f>IF(SUMPRODUCT(('حجز الإجازات'!$B$5:$B$104='الموظفون'!$B$8)*('حجز الإجازات'!$D$5:$D$104&lt;=CQ$3)*(('حجز الإجازات'!$E$5:$E$104)&gt;=CQ$3)*('حجز الإجازات'!$G$5:$G$104="معتمد")*ROW('حجز الإجازات'!$B$5:$B$104))=0,IF(CQ$3&lt;'الموظفون'!$D$8,"",IF(ISNUMBER(MATCH(CQ$3,Holidays,0)),"عطلة",IF(MOD(CQ$3-'الموظفون'!$D$8,CycleWork+CycleRest)&lt;CycleWork,INDEX('الإعدادات والقوائم'!$H$2:$H$4,MOD(INT(MOD(CQ$3-'الموظفون'!$D$8,CycleWork+CycleRest)*3/CycleWork)+MATCH(StartShift,'الإعدادات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الإجازات'!$D$5:$D$104&lt;=CQ$3)*(('حجز الإجازات'!$E$5:$E$104)&gt;=CQ$3)*('حجز الإجازات'!$G$5:$G$104="معتمد")*ROW('حجز الإجازات'!$B$5:$B$104)))-5+1))</f>
        <v/>
      </c>
      <c r="CR10" s="62">
        <f>IF(SUMPRODUCT(('حجز الإجازات'!$B$5:$B$104='الموظفون'!$B$8)*('حجز الإجازات'!$D$5:$D$104&lt;=CR$3)*(('حجز الإجازات'!$E$5:$E$104)&gt;=CR$3)*('حجز الإجازات'!$G$5:$G$104="معتمد")*ROW('حجز الإجازات'!$B$5:$B$104))=0,IF(CR$3&lt;'الموظفون'!$D$8,"",IF(ISNUMBER(MATCH(CR$3,Holidays,0)),"عطلة",IF(MOD(CR$3-'الموظفون'!$D$8,CycleWork+CycleRest)&lt;CycleWork,INDEX('الإعدادات والقوائم'!$H$2:$H$4,MOD(INT(MOD(CR$3-'الموظفون'!$D$8,CycleWork+CycleRest)*3/CycleWork)+MATCH(StartShift,'الإعدادات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الإجازات'!$D$5:$D$104&lt;=CR$3)*(('حجز الإجازات'!$E$5:$E$104)&gt;=CR$3)*('حجز الإجازات'!$G$5:$G$104="معتمد")*ROW('حجز الإجازات'!$B$5:$B$104)))-5+1))</f>
        <v/>
      </c>
      <c r="CS10" s="62">
        <f>IF(SUMPRODUCT(('حجز الإجازات'!$B$5:$B$104='الموظفون'!$B$8)*('حجز الإجازات'!$D$5:$D$104&lt;=CS$3)*(('حجز الإجازات'!$E$5:$E$104)&gt;=CS$3)*('حجز الإجازات'!$G$5:$G$104="معتمد")*ROW('حجز الإجازات'!$B$5:$B$104))=0,IF(CS$3&lt;'الموظفون'!$D$8,"",IF(ISNUMBER(MATCH(CS$3,Holidays,0)),"عطلة",IF(MOD(CS$3-'الموظفون'!$D$8,CycleWork+CycleRest)&lt;CycleWork,INDEX('الإعدادات والقوائم'!$H$2:$H$4,MOD(INT(MOD(CS$3-'الموظفون'!$D$8,CycleWork+CycleRest)*3/CycleWork)+MATCH(StartShift,'الإعدادات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الإجازات'!$D$5:$D$104&lt;=CS$3)*(('حجز الإجازات'!$E$5:$E$104)&gt;=CS$3)*('حجز الإجازات'!$G$5:$G$104="معتمد")*ROW('حجز الإجازات'!$B$5:$B$104)))-5+1))</f>
        <v/>
      </c>
      <c r="CT10" s="62">
        <f>IF(SUMPRODUCT(('حجز الإجازات'!$B$5:$B$104='الموظفون'!$B$8)*('حجز الإجازات'!$D$5:$D$104&lt;=CT$3)*(('حجز الإجازات'!$E$5:$E$104)&gt;=CT$3)*('حجز الإجازات'!$G$5:$G$104="معتمد")*ROW('حجز الإجازات'!$B$5:$B$104))=0,IF(CT$3&lt;'الموظفون'!$D$8,"",IF(ISNUMBER(MATCH(CT$3,Holidays,0)),"عطلة",IF(MOD(CT$3-'الموظفون'!$D$8,CycleWork+CycleRest)&lt;CycleWork,INDEX('الإعدادات والقوائم'!$H$2:$H$4,MOD(INT(MOD(CT$3-'الموظفون'!$D$8,CycleWork+CycleRest)*3/CycleWork)+MATCH(StartShift,'الإعدادات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الإجازات'!$D$5:$D$104&lt;=CT$3)*(('حجز الإجازات'!$E$5:$E$104)&gt;=CT$3)*('حجز الإجازات'!$G$5:$G$104="معتمد")*ROW('حجز الإجازات'!$B$5:$B$104)))-5+1))</f>
        <v/>
      </c>
      <c r="CU10" s="62">
        <f>IF(SUMPRODUCT(('حجز الإجازات'!$B$5:$B$104='الموظفون'!$B$8)*('حجز الإجازات'!$D$5:$D$104&lt;=CU$3)*(('حجز الإجازات'!$E$5:$E$104)&gt;=CU$3)*('حجز الإجازات'!$G$5:$G$104="معتمد")*ROW('حجز الإجازات'!$B$5:$B$104))=0,IF(CU$3&lt;'الموظفون'!$D$8,"",IF(ISNUMBER(MATCH(CU$3,Holidays,0)),"عطلة",IF(MOD(CU$3-'الموظفون'!$D$8,CycleWork+CycleRest)&lt;CycleWork,INDEX('الإعدادات والقوائم'!$H$2:$H$4,MOD(INT(MOD(CU$3-'الموظفون'!$D$8,CycleWork+CycleRest)*3/CycleWork)+MATCH(StartShift,'الإعدادات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الإجازات'!$D$5:$D$104&lt;=CU$3)*(('حجز الإجازات'!$E$5:$E$104)&gt;=CU$3)*('حجز الإجازات'!$G$5:$G$104="معتمد")*ROW('حجز الإجازات'!$B$5:$B$104)))-5+1))</f>
        <v/>
      </c>
      <c r="CV10" s="62">
        <f>IF(SUMPRODUCT(('حجز الإجازات'!$B$5:$B$104='الموظفون'!$B$8)*('حجز الإجازات'!$D$5:$D$104&lt;=CV$3)*(('حجز الإجازات'!$E$5:$E$104)&gt;=CV$3)*('حجز الإجازات'!$G$5:$G$104="معتمد")*ROW('حجز الإجازات'!$B$5:$B$104))=0,IF(CV$3&lt;'الموظفون'!$D$8,"",IF(ISNUMBER(MATCH(CV$3,Holidays,0)),"عطلة",IF(MOD(CV$3-'الموظفون'!$D$8,CycleWork+CycleRest)&lt;CycleWork,INDEX('الإعدادات والقوائم'!$H$2:$H$4,MOD(INT(MOD(CV$3-'الموظفون'!$D$8,CycleWork+CycleRest)*3/CycleWork)+MATCH(StartShift,'الإعدادات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الإجازات'!$D$5:$D$104&lt;=CV$3)*(('حجز الإجازات'!$E$5:$E$104)&gt;=CV$3)*('حجز الإجازات'!$G$5:$G$104="معتمد")*ROW('حجز الإجازات'!$B$5:$B$104)))-5+1))</f>
        <v/>
      </c>
      <c r="CW10" s="62">
        <f>IF(SUMPRODUCT(('حجز الإجازات'!$B$5:$B$104='الموظفون'!$B$8)*('حجز الإجازات'!$D$5:$D$104&lt;=CW$3)*(('حجز الإجازات'!$E$5:$E$104)&gt;=CW$3)*('حجز الإجازات'!$G$5:$G$104="معتمد")*ROW('حجز الإجازات'!$B$5:$B$104))=0,IF(CW$3&lt;'الموظفون'!$D$8,"",IF(ISNUMBER(MATCH(CW$3,Holidays,0)),"عطلة",IF(MOD(CW$3-'الموظفون'!$D$8,CycleWork+CycleRest)&lt;CycleWork,INDEX('الإعدادات والقوائم'!$H$2:$H$4,MOD(INT(MOD(CW$3-'الموظفون'!$D$8,CycleWork+CycleRest)*3/CycleWork)+MATCH(StartShift,'الإعدادات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الإجازات'!$D$5:$D$104&lt;=CW$3)*(('حجز الإجازات'!$E$5:$E$104)&gt;=CW$3)*('حجز الإجازات'!$G$5:$G$104="معتمد")*ROW('حجز الإجازات'!$B$5:$B$104)))-5+1))</f>
        <v/>
      </c>
      <c r="CX10" s="62">
        <f>IF(SUMPRODUCT(('حجز الإجازات'!$B$5:$B$104='الموظفون'!$B$8)*('حجز الإجازات'!$D$5:$D$104&lt;=CX$3)*(('حجز الإجازات'!$E$5:$E$104)&gt;=CX$3)*('حجز الإجازات'!$G$5:$G$104="معتمد")*ROW('حجز الإجازات'!$B$5:$B$104))=0,IF(CX$3&lt;'الموظفون'!$D$8,"",IF(ISNUMBER(MATCH(CX$3,Holidays,0)),"عطلة",IF(MOD(CX$3-'الموظفون'!$D$8,CycleWork+CycleRest)&lt;CycleWork,INDEX('الإعدادات والقوائم'!$H$2:$H$4,MOD(INT(MOD(CX$3-'الموظفون'!$D$8,CycleWork+CycleRest)*3/CycleWork)+MATCH(StartShift,'الإعدادات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الإجازات'!$D$5:$D$104&lt;=CX$3)*(('حجز الإجازات'!$E$5:$E$104)&gt;=CX$3)*('حجز الإجازات'!$G$5:$G$104="معتمد")*ROW('حجز الإجازات'!$B$5:$B$104)))-5+1))</f>
        <v/>
      </c>
      <c r="CY10" s="62">
        <f>IF(SUMPRODUCT(('حجز الإجازات'!$B$5:$B$104='الموظفون'!$B$8)*('حجز الإجازات'!$D$5:$D$104&lt;=CY$3)*(('حجز الإجازات'!$E$5:$E$104)&gt;=CY$3)*('حجز الإجازات'!$G$5:$G$104="معتمد")*ROW('حجز الإجازات'!$B$5:$B$104))=0,IF(CY$3&lt;'الموظفون'!$D$8,"",IF(ISNUMBER(MATCH(CY$3,Holidays,0)),"عطلة",IF(MOD(CY$3-'الموظفون'!$D$8,CycleWork+CycleRest)&lt;CycleWork,INDEX('الإعدادات والقوائم'!$H$2:$H$4,MOD(INT(MOD(CY$3-'الموظفون'!$D$8,CycleWork+CycleRest)*3/CycleWork)+MATCH(StartShift,'الإعدادات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الإجازات'!$D$5:$D$104&lt;=CY$3)*(('حجز الإجازات'!$E$5:$E$104)&gt;=CY$3)*('حجز الإجازات'!$G$5:$G$104="معتمد")*ROW('حجز الإجازات'!$B$5:$B$104)))-5+1))</f>
        <v/>
      </c>
      <c r="CZ10" s="62">
        <f>IF(SUMPRODUCT(('حجز الإجازات'!$B$5:$B$104='الموظفون'!$B$8)*('حجز الإجازات'!$D$5:$D$104&lt;=CZ$3)*(('حجز الإجازات'!$E$5:$E$104)&gt;=CZ$3)*('حجز الإجازات'!$G$5:$G$104="معتمد")*ROW('حجز الإجازات'!$B$5:$B$104))=0,IF(CZ$3&lt;'الموظفون'!$D$8,"",IF(ISNUMBER(MATCH(CZ$3,Holidays,0)),"عطلة",IF(MOD(CZ$3-'الموظفون'!$D$8,CycleWork+CycleRest)&lt;CycleWork,INDEX('الإعدادات والقوائم'!$H$2:$H$4,MOD(INT(MOD(CZ$3-'الموظفون'!$D$8,CycleWork+CycleRest)*3/CycleWork)+MATCH(StartShift,'الإعدادات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الإجازات'!$D$5:$D$104&lt;=CZ$3)*(('حجز الإجازات'!$E$5:$E$104)&gt;=CZ$3)*('حجز الإجازات'!$G$5:$G$104="معتمد")*ROW('حجز الإجازات'!$B$5:$B$104)))-5+1))</f>
        <v/>
      </c>
      <c r="DA10" s="62">
        <f>IF(SUMPRODUCT(('حجز الإجازات'!$B$5:$B$104='الموظفون'!$B$8)*('حجز الإجازات'!$D$5:$D$104&lt;=DA$3)*(('حجز الإجازات'!$E$5:$E$104)&gt;=DA$3)*('حجز الإجازات'!$G$5:$G$104="معتمد")*ROW('حجز الإجازات'!$B$5:$B$104))=0,IF(DA$3&lt;'الموظفون'!$D$8,"",IF(ISNUMBER(MATCH(DA$3,Holidays,0)),"عطلة",IF(MOD(DA$3-'الموظفون'!$D$8,CycleWork+CycleRest)&lt;CycleWork,INDEX('الإعدادات والقوائم'!$H$2:$H$4,MOD(INT(MOD(DA$3-'الموظفون'!$D$8,CycleWork+CycleRest)*3/CycleWork)+MATCH(StartShift,'الإعدادات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الإجازات'!$D$5:$D$104&lt;=DA$3)*(('حجز الإجازات'!$E$5:$E$104)&gt;=DA$3)*('حجز الإجازات'!$G$5:$G$104="معتمد")*ROW('حجز الإجازات'!$B$5:$B$104)))-5+1))</f>
        <v/>
      </c>
      <c r="DB10" s="62">
        <f>IF(SUMPRODUCT(('حجز الإجازات'!$B$5:$B$104='الموظفون'!$B$8)*('حجز الإجازات'!$D$5:$D$104&lt;=DB$3)*(('حجز الإجازات'!$E$5:$E$104)&gt;=DB$3)*('حجز الإجازات'!$G$5:$G$104="معتمد")*ROW('حجز الإجازات'!$B$5:$B$104))=0,IF(DB$3&lt;'الموظفون'!$D$8,"",IF(ISNUMBER(MATCH(DB$3,Holidays,0)),"عطلة",IF(MOD(DB$3-'الموظفون'!$D$8,CycleWork+CycleRest)&lt;CycleWork,INDEX('الإعدادات والقوائم'!$H$2:$H$4,MOD(INT(MOD(DB$3-'الموظفون'!$D$8,CycleWork+CycleRest)*3/CycleWork)+MATCH(StartShift,'الإعدادات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الإجازات'!$D$5:$D$104&lt;=DB$3)*(('حجز الإجازات'!$E$5:$E$104)&gt;=DB$3)*('حجز الإجازات'!$G$5:$G$104="معتمد")*ROW('حجز الإجازات'!$B$5:$B$104)))-5+1))</f>
        <v/>
      </c>
      <c r="DC10" s="62">
        <f>IF(SUMPRODUCT(('حجز الإجازات'!$B$5:$B$104='الموظفون'!$B$8)*('حجز الإجازات'!$D$5:$D$104&lt;=DC$3)*(('حجز الإجازات'!$E$5:$E$104)&gt;=DC$3)*('حجز الإجازات'!$G$5:$G$104="معتمد")*ROW('حجز الإجازات'!$B$5:$B$104))=0,IF(DC$3&lt;'الموظفون'!$D$8,"",IF(ISNUMBER(MATCH(DC$3,Holidays,0)),"عطلة",IF(MOD(DC$3-'الموظفون'!$D$8,CycleWork+CycleRest)&lt;CycleWork,INDEX('الإعدادات والقوائم'!$H$2:$H$4,MOD(INT(MOD(DC$3-'الموظفون'!$D$8,CycleWork+CycleRest)*3/CycleWork)+MATCH(StartShift,'الإعدادات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الإجازات'!$D$5:$D$104&lt;=DC$3)*(('حجز الإجازات'!$E$5:$E$104)&gt;=DC$3)*('حجز الإجازات'!$G$5:$G$104="معتمد")*ROW('حجز الإجازات'!$B$5:$B$104)))-5+1))</f>
        <v/>
      </c>
      <c r="DD10" s="62">
        <f>IF(SUMPRODUCT(('حجز الإجازات'!$B$5:$B$104='الموظفون'!$B$8)*('حجز الإجازات'!$D$5:$D$104&lt;=DD$3)*(('حجز الإجازات'!$E$5:$E$104)&gt;=DD$3)*('حجز الإجازات'!$G$5:$G$104="معتمد")*ROW('حجز الإجازات'!$B$5:$B$104))=0,IF(DD$3&lt;'الموظفون'!$D$8,"",IF(ISNUMBER(MATCH(DD$3,Holidays,0)),"عطلة",IF(MOD(DD$3-'الموظفون'!$D$8,CycleWork+CycleRest)&lt;CycleWork,INDEX('الإعدادات والقوائم'!$H$2:$H$4,MOD(INT(MOD(DD$3-'الموظفون'!$D$8,CycleWork+CycleRest)*3/CycleWork)+MATCH(StartShift,'الإعدادات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الإجازات'!$D$5:$D$104&lt;=DD$3)*(('حجز الإجازات'!$E$5:$E$104)&gt;=DD$3)*('حجز الإجازات'!$G$5:$G$104="معتمد")*ROW('حجز الإجازات'!$B$5:$B$104)))-5+1))</f>
        <v/>
      </c>
      <c r="DE10" s="62">
        <f>IF(SUMPRODUCT(('حجز الإجازات'!$B$5:$B$104='الموظفون'!$B$8)*('حجز الإجازات'!$D$5:$D$104&lt;=DE$3)*(('حجز الإجازات'!$E$5:$E$104)&gt;=DE$3)*('حجز الإجازات'!$G$5:$G$104="معتمد")*ROW('حجز الإجازات'!$B$5:$B$104))=0,IF(DE$3&lt;'الموظفون'!$D$8,"",IF(ISNUMBER(MATCH(DE$3,Holidays,0)),"عطلة",IF(MOD(DE$3-'الموظفون'!$D$8,CycleWork+CycleRest)&lt;CycleWork,INDEX('الإعدادات والقوائم'!$H$2:$H$4,MOD(INT(MOD(DE$3-'الموظفون'!$D$8,CycleWork+CycleRest)*3/CycleWork)+MATCH(StartShift,'الإعدادات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الإجازات'!$D$5:$D$104&lt;=DE$3)*(('حجز الإجازات'!$E$5:$E$104)&gt;=DE$3)*('حجز الإجازات'!$G$5:$G$104="معتمد")*ROW('حجز الإجازات'!$B$5:$B$104)))-5+1))</f>
        <v/>
      </c>
      <c r="DF10" s="62">
        <f>IF(SUMPRODUCT(('حجز الإجازات'!$B$5:$B$104='الموظفون'!$B$8)*('حجز الإجازات'!$D$5:$D$104&lt;=DF$3)*(('حجز الإجازات'!$E$5:$E$104)&gt;=DF$3)*('حجز الإجازات'!$G$5:$G$104="معتمد")*ROW('حجز الإجازات'!$B$5:$B$104))=0,IF(DF$3&lt;'الموظفون'!$D$8,"",IF(ISNUMBER(MATCH(DF$3,Holidays,0)),"عطلة",IF(MOD(DF$3-'الموظفون'!$D$8,CycleWork+CycleRest)&lt;CycleWork,INDEX('الإعدادات والقوائم'!$H$2:$H$4,MOD(INT(MOD(DF$3-'الموظفون'!$D$8,CycleWork+CycleRest)*3/CycleWork)+MATCH(StartShift,'الإعدادات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الإجازات'!$D$5:$D$104&lt;=DF$3)*(('حجز الإجازات'!$E$5:$E$104)&gt;=DF$3)*('حجز الإجازات'!$G$5:$G$104="معتمد")*ROW('حجز الإجازات'!$B$5:$B$104)))-5+1))</f>
        <v/>
      </c>
      <c r="DG10" s="62">
        <f>IF(SUMPRODUCT(('حجز الإجازات'!$B$5:$B$104='الموظفون'!$B$8)*('حجز الإجازات'!$D$5:$D$104&lt;=DG$3)*(('حجز الإجازات'!$E$5:$E$104)&gt;=DG$3)*('حجز الإجازات'!$G$5:$G$104="معتمد")*ROW('حجز الإجازات'!$B$5:$B$104))=0,IF(DG$3&lt;'الموظفون'!$D$8,"",IF(ISNUMBER(MATCH(DG$3,Holidays,0)),"عطلة",IF(MOD(DG$3-'الموظفون'!$D$8,CycleWork+CycleRest)&lt;CycleWork,INDEX('الإعدادات والقوائم'!$H$2:$H$4,MOD(INT(MOD(DG$3-'الموظفون'!$D$8,CycleWork+CycleRest)*3/CycleWork)+MATCH(StartShift,'الإعدادات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الإجازات'!$D$5:$D$104&lt;=DG$3)*(('حجز الإجازات'!$E$5:$E$104)&gt;=DG$3)*('حجز الإجازات'!$G$5:$G$104="معتمد")*ROW('حجز الإجازات'!$B$5:$B$104)))-5+1))</f>
        <v/>
      </c>
      <c r="DH10" s="62">
        <f>IF(SUMPRODUCT(('حجز الإجازات'!$B$5:$B$104='الموظفون'!$B$8)*('حجز الإجازات'!$D$5:$D$104&lt;=DH$3)*(('حجز الإجازات'!$E$5:$E$104)&gt;=DH$3)*('حجز الإجازات'!$G$5:$G$104="معتمد")*ROW('حجز الإجازات'!$B$5:$B$104))=0,IF(DH$3&lt;'الموظفون'!$D$8,"",IF(ISNUMBER(MATCH(DH$3,Holidays,0)),"عطلة",IF(MOD(DH$3-'الموظفون'!$D$8,CycleWork+CycleRest)&lt;CycleWork,INDEX('الإعدادات والقوائم'!$H$2:$H$4,MOD(INT(MOD(DH$3-'الموظفون'!$D$8,CycleWork+CycleRest)*3/CycleWork)+MATCH(StartShift,'الإعدادات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الإجازات'!$D$5:$D$104&lt;=DH$3)*(('حجز الإجازات'!$E$5:$E$104)&gt;=DH$3)*('حجز الإجازات'!$G$5:$G$104="معتمد")*ROW('حجز الإجازات'!$B$5:$B$104)))-5+1))</f>
        <v/>
      </c>
      <c r="DI10" s="62">
        <f>IF(SUMPRODUCT(('حجز الإجازات'!$B$5:$B$104='الموظفون'!$B$8)*('حجز الإجازات'!$D$5:$D$104&lt;=DI$3)*(('حجز الإجازات'!$E$5:$E$104)&gt;=DI$3)*('حجز الإجازات'!$G$5:$G$104="معتمد")*ROW('حجز الإجازات'!$B$5:$B$104))=0,IF(DI$3&lt;'الموظفون'!$D$8,"",IF(ISNUMBER(MATCH(DI$3,Holidays,0)),"عطلة",IF(MOD(DI$3-'الموظفون'!$D$8,CycleWork+CycleRest)&lt;CycleWork,INDEX('الإعدادات والقوائم'!$H$2:$H$4,MOD(INT(MOD(DI$3-'الموظفون'!$D$8,CycleWork+CycleRest)*3/CycleWork)+MATCH(StartShift,'الإعدادات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الإجازات'!$D$5:$D$104&lt;=DI$3)*(('حجز الإجازات'!$E$5:$E$104)&gt;=DI$3)*('حجز الإجازات'!$G$5:$G$104="معتمد")*ROW('حجز الإجازات'!$B$5:$B$104)))-5+1))</f>
        <v/>
      </c>
      <c r="DJ10" s="62">
        <f>IF(SUMPRODUCT(('حجز الإجازات'!$B$5:$B$104='الموظفون'!$B$8)*('حجز الإجازات'!$D$5:$D$104&lt;=DJ$3)*(('حجز الإجازات'!$E$5:$E$104)&gt;=DJ$3)*('حجز الإجازات'!$G$5:$G$104="معتمد")*ROW('حجز الإجازات'!$B$5:$B$104))=0,IF(DJ$3&lt;'الموظفون'!$D$8,"",IF(ISNUMBER(MATCH(DJ$3,Holidays,0)),"عطلة",IF(MOD(DJ$3-'الموظفون'!$D$8,CycleWork+CycleRest)&lt;CycleWork,INDEX('الإعدادات والقوائم'!$H$2:$H$4,MOD(INT(MOD(DJ$3-'الموظفون'!$D$8,CycleWork+CycleRest)*3/CycleWork)+MATCH(StartShift,'الإعدادات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الإجازات'!$D$5:$D$104&lt;=DJ$3)*(('حجز الإجازات'!$E$5:$E$104)&gt;=DJ$3)*('حجز الإجازات'!$G$5:$G$104="معتمد")*ROW('حجز الإجازات'!$B$5:$B$104)))-5+1))</f>
        <v/>
      </c>
      <c r="DK10" s="62">
        <f>IF(SUMPRODUCT(('حجز الإجازات'!$B$5:$B$104='الموظفون'!$B$8)*('حجز الإجازات'!$D$5:$D$104&lt;=DK$3)*(('حجز الإجازات'!$E$5:$E$104)&gt;=DK$3)*('حجز الإجازات'!$G$5:$G$104="معتمد")*ROW('حجز الإجازات'!$B$5:$B$104))=0,IF(DK$3&lt;'الموظفون'!$D$8,"",IF(ISNUMBER(MATCH(DK$3,Holidays,0)),"عطلة",IF(MOD(DK$3-'الموظفون'!$D$8,CycleWork+CycleRest)&lt;CycleWork,INDEX('الإعدادات والقوائم'!$H$2:$H$4,MOD(INT(MOD(DK$3-'الموظفون'!$D$8,CycleWork+CycleRest)*3/CycleWork)+MATCH(StartShift,'الإعدادات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الإجازات'!$D$5:$D$104&lt;=DK$3)*(('حجز الإجازات'!$E$5:$E$104)&gt;=DK$3)*('حجز الإجازات'!$G$5:$G$104="معتمد")*ROW('حجز الإجازات'!$B$5:$B$104)))-5+1))</f>
        <v/>
      </c>
      <c r="DL10" s="62">
        <f>IF(SUMPRODUCT(('حجز الإجازات'!$B$5:$B$104='الموظفون'!$B$8)*('حجز الإجازات'!$D$5:$D$104&lt;=DL$3)*(('حجز الإجازات'!$E$5:$E$104)&gt;=DL$3)*('حجز الإجازات'!$G$5:$G$104="معتمد")*ROW('حجز الإجازات'!$B$5:$B$104))=0,IF(DL$3&lt;'الموظفون'!$D$8,"",IF(ISNUMBER(MATCH(DL$3,Holidays,0)),"عطلة",IF(MOD(DL$3-'الموظفون'!$D$8,CycleWork+CycleRest)&lt;CycleWork,INDEX('الإعدادات والقوائم'!$H$2:$H$4,MOD(INT(MOD(DL$3-'الموظفون'!$D$8,CycleWork+CycleRest)*3/CycleWork)+MATCH(StartShift,'الإعدادات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الإجازات'!$D$5:$D$104&lt;=DL$3)*(('حجز الإجازات'!$E$5:$E$104)&gt;=DL$3)*('حجز الإجازات'!$G$5:$G$104="معتمد")*ROW('حجز الإجازات'!$B$5:$B$104)))-5+1))</f>
        <v/>
      </c>
      <c r="DM10" s="62">
        <f>IF(SUMPRODUCT(('حجز الإجازات'!$B$5:$B$104='الموظفون'!$B$8)*('حجز الإجازات'!$D$5:$D$104&lt;=DM$3)*(('حجز الإجازات'!$E$5:$E$104)&gt;=DM$3)*('حجز الإجازات'!$G$5:$G$104="معتمد")*ROW('حجز الإجازات'!$B$5:$B$104))=0,IF(DM$3&lt;'الموظفون'!$D$8,"",IF(ISNUMBER(MATCH(DM$3,Holidays,0)),"عطلة",IF(MOD(DM$3-'الموظفون'!$D$8,CycleWork+CycleRest)&lt;CycleWork,INDEX('الإعدادات والقوائم'!$H$2:$H$4,MOD(INT(MOD(DM$3-'الموظفون'!$D$8,CycleWork+CycleRest)*3/CycleWork)+MATCH(StartShift,'الإعدادات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الإجازات'!$D$5:$D$104&lt;=DM$3)*(('حجز الإجازات'!$E$5:$E$104)&gt;=DM$3)*('حجز الإجازات'!$G$5:$G$104="معتمد")*ROW('حجز الإجازات'!$B$5:$B$104)))-5+1))</f>
        <v/>
      </c>
      <c r="DN10" s="62">
        <f>IF(SUMPRODUCT(('حجز الإجازات'!$B$5:$B$104='الموظفون'!$B$8)*('حجز الإجازات'!$D$5:$D$104&lt;=DN$3)*(('حجز الإجازات'!$E$5:$E$104)&gt;=DN$3)*('حجز الإجازات'!$G$5:$G$104="معتمد")*ROW('حجز الإجازات'!$B$5:$B$104))=0,IF(DN$3&lt;'الموظفون'!$D$8,"",IF(ISNUMBER(MATCH(DN$3,Holidays,0)),"عطلة",IF(MOD(DN$3-'الموظفون'!$D$8,CycleWork+CycleRest)&lt;CycleWork,INDEX('الإعدادات والقوائم'!$H$2:$H$4,MOD(INT(MOD(DN$3-'الموظفون'!$D$8,CycleWork+CycleRest)*3/CycleWork)+MATCH(StartShift,'الإعدادات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الإجازات'!$D$5:$D$104&lt;=DN$3)*(('حجز الإجازات'!$E$5:$E$104)&gt;=DN$3)*('حجز الإجازات'!$G$5:$G$104="معتمد")*ROW('حجز الإجازات'!$B$5:$B$104)))-5+1))</f>
        <v/>
      </c>
      <c r="DO10" s="62">
        <f>IF(SUMPRODUCT(('حجز الإجازات'!$B$5:$B$104='الموظفون'!$B$8)*('حجز الإجازات'!$D$5:$D$104&lt;=DO$3)*(('حجز الإجازات'!$E$5:$E$104)&gt;=DO$3)*('حجز الإجازات'!$G$5:$G$104="معتمد")*ROW('حجز الإجازات'!$B$5:$B$104))=0,IF(DO$3&lt;'الموظفون'!$D$8,"",IF(ISNUMBER(MATCH(DO$3,Holidays,0)),"عطلة",IF(MOD(DO$3-'الموظفون'!$D$8,CycleWork+CycleRest)&lt;CycleWork,INDEX('الإعدادات والقوائم'!$H$2:$H$4,MOD(INT(MOD(DO$3-'الموظفون'!$D$8,CycleWork+CycleRest)*3/CycleWork)+MATCH(StartShift,'الإعدادات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الإجازات'!$D$5:$D$104&lt;=DO$3)*(('حجز الإجازات'!$E$5:$E$104)&gt;=DO$3)*('حجز الإجازات'!$G$5:$G$104="معتمد")*ROW('حجز الإجازات'!$B$5:$B$104)))-5+1))</f>
        <v/>
      </c>
      <c r="DP10" s="62">
        <f>IF(SUMPRODUCT(('حجز الإجازات'!$B$5:$B$104='الموظفون'!$B$8)*('حجز الإجازات'!$D$5:$D$104&lt;=DP$3)*(('حجز الإجازات'!$E$5:$E$104)&gt;=DP$3)*('حجز الإجازات'!$G$5:$G$104="معتمد")*ROW('حجز الإجازات'!$B$5:$B$104))=0,IF(DP$3&lt;'الموظفون'!$D$8,"",IF(ISNUMBER(MATCH(DP$3,Holidays,0)),"عطلة",IF(MOD(DP$3-'الموظفون'!$D$8,CycleWork+CycleRest)&lt;CycleWork,INDEX('الإعدادات والقوائم'!$H$2:$H$4,MOD(INT(MOD(DP$3-'الموظفون'!$D$8,CycleWork+CycleRest)*3/CycleWork)+MATCH(StartShift,'الإعدادات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الإجازات'!$D$5:$D$104&lt;=DP$3)*(('حجز الإجازات'!$E$5:$E$104)&gt;=DP$3)*('حجز الإجازات'!$G$5:$G$104="معتمد")*ROW('حجز الإجازات'!$B$5:$B$104)))-5+1))</f>
        <v/>
      </c>
      <c r="DQ10" s="62">
        <f>IF(SUMPRODUCT(('حجز الإجازات'!$B$5:$B$104='الموظفون'!$B$8)*('حجز الإجازات'!$D$5:$D$104&lt;=DQ$3)*(('حجز الإجازات'!$E$5:$E$104)&gt;=DQ$3)*('حجز الإجازات'!$G$5:$G$104="معتمد")*ROW('حجز الإجازات'!$B$5:$B$104))=0,IF(DQ$3&lt;'الموظفون'!$D$8,"",IF(ISNUMBER(MATCH(DQ$3,Holidays,0)),"عطلة",IF(MOD(DQ$3-'الموظفون'!$D$8,CycleWork+CycleRest)&lt;CycleWork,INDEX('الإعدادات والقوائم'!$H$2:$H$4,MOD(INT(MOD(DQ$3-'الموظفون'!$D$8,CycleWork+CycleRest)*3/CycleWork)+MATCH(StartShift,'الإعدادات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الإجازات'!$D$5:$D$104&lt;=DQ$3)*(('حجز الإجازات'!$E$5:$E$104)&gt;=DQ$3)*('حجز الإجازات'!$G$5:$G$104="معتمد")*ROW('حجز الإجازات'!$B$5:$B$104)))-5+1))</f>
        <v/>
      </c>
      <c r="DR10" s="62">
        <f>IF(SUMPRODUCT(('حجز الإجازات'!$B$5:$B$104='الموظفون'!$B$8)*('حجز الإجازات'!$D$5:$D$104&lt;=DR$3)*(('حجز الإجازات'!$E$5:$E$104)&gt;=DR$3)*('حجز الإجازات'!$G$5:$G$104="معتمد")*ROW('حجز الإجازات'!$B$5:$B$104))=0,IF(DR$3&lt;'الموظفون'!$D$8,"",IF(ISNUMBER(MATCH(DR$3,Holidays,0)),"عطلة",IF(MOD(DR$3-'الموظفون'!$D$8,CycleWork+CycleRest)&lt;CycleWork,INDEX('الإعدادات والقوائم'!$H$2:$H$4,MOD(INT(MOD(DR$3-'الموظفون'!$D$8,CycleWork+CycleRest)*3/CycleWork)+MATCH(StartShift,'الإعدادات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الإجازات'!$D$5:$D$104&lt;=DR$3)*(('حجز الإجازات'!$E$5:$E$104)&gt;=DR$3)*('حجز الإجازات'!$G$5:$G$104="معتمد")*ROW('حجز الإجازات'!$B$5:$B$104)))-5+1))</f>
        <v/>
      </c>
      <c r="DS10" s="62">
        <f>IF(SUMPRODUCT(('حجز الإجازات'!$B$5:$B$104='الموظفون'!$B$8)*('حجز الإجازات'!$D$5:$D$104&lt;=DS$3)*(('حجز الإجازات'!$E$5:$E$104)&gt;=DS$3)*('حجز الإجازات'!$G$5:$G$104="معتمد")*ROW('حجز الإجازات'!$B$5:$B$104))=0,IF(DS$3&lt;'الموظفون'!$D$8,"",IF(ISNUMBER(MATCH(DS$3,Holidays,0)),"عطلة",IF(MOD(DS$3-'الموظفون'!$D$8,CycleWork+CycleRest)&lt;CycleWork,INDEX('الإعدادات والقوائم'!$H$2:$H$4,MOD(INT(MOD(DS$3-'الموظفون'!$D$8,CycleWork+CycleRest)*3/CycleWork)+MATCH(StartShift,'الإعدادات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الإجازات'!$D$5:$D$104&lt;=DS$3)*(('حجز الإجازات'!$E$5:$E$104)&gt;=DS$3)*('حجز الإجازات'!$G$5:$G$104="معتمد")*ROW('حجز الإجازات'!$B$5:$B$104)))-5+1))</f>
        <v/>
      </c>
      <c r="DT10" s="62">
        <f>IF(SUMPRODUCT(('حجز الإجازات'!$B$5:$B$104='الموظفون'!$B$8)*('حجز الإجازات'!$D$5:$D$104&lt;=DT$3)*(('حجز الإجازات'!$E$5:$E$104)&gt;=DT$3)*('حجز الإجازات'!$G$5:$G$104="معتمد")*ROW('حجز الإجازات'!$B$5:$B$104))=0,IF(DT$3&lt;'الموظفون'!$D$8,"",IF(ISNUMBER(MATCH(DT$3,Holidays,0)),"عطلة",IF(MOD(DT$3-'الموظفون'!$D$8,CycleWork+CycleRest)&lt;CycleWork,INDEX('الإعدادات والقوائم'!$H$2:$H$4,MOD(INT(MOD(DT$3-'الموظفون'!$D$8,CycleWork+CycleRest)*3/CycleWork)+MATCH(StartShift,'الإعدادات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الإجازات'!$D$5:$D$104&lt;=DT$3)*(('حجز الإجازات'!$E$5:$E$104)&gt;=DT$3)*('حجز الإجازات'!$G$5:$G$104="معتمد")*ROW('حجز الإجازات'!$B$5:$B$104)))-5+1))</f>
        <v/>
      </c>
      <c r="DU10" s="62">
        <f>IF(SUMPRODUCT(('حجز الإجازات'!$B$5:$B$104='الموظفون'!$B$8)*('حجز الإجازات'!$D$5:$D$104&lt;=DU$3)*(('حجز الإجازات'!$E$5:$E$104)&gt;=DU$3)*('حجز الإجازات'!$G$5:$G$104="معتمد")*ROW('حجز الإجازات'!$B$5:$B$104))=0,IF(DU$3&lt;'الموظفون'!$D$8,"",IF(ISNUMBER(MATCH(DU$3,Holidays,0)),"عطلة",IF(MOD(DU$3-'الموظفون'!$D$8,CycleWork+CycleRest)&lt;CycleWork,INDEX('الإعدادات والقوائم'!$H$2:$H$4,MOD(INT(MOD(DU$3-'الموظفون'!$D$8,CycleWork+CycleRest)*3/CycleWork)+MATCH(StartShift,'الإعدادات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الإجازات'!$D$5:$D$104&lt;=DU$3)*(('حجز الإجازات'!$E$5:$E$104)&gt;=DU$3)*('حجز الإجازات'!$G$5:$G$104="معتمد")*ROW('حجز الإجازات'!$B$5:$B$104)))-5+1))</f>
        <v/>
      </c>
      <c r="DV10" s="62">
        <f>IF(SUMPRODUCT(('حجز الإجازات'!$B$5:$B$104='الموظفون'!$B$8)*('حجز الإجازات'!$D$5:$D$104&lt;=DV$3)*(('حجز الإجازات'!$E$5:$E$104)&gt;=DV$3)*('حجز الإجازات'!$G$5:$G$104="معتمد")*ROW('حجز الإجازات'!$B$5:$B$104))=0,IF(DV$3&lt;'الموظفون'!$D$8,"",IF(ISNUMBER(MATCH(DV$3,Holidays,0)),"عطلة",IF(MOD(DV$3-'الموظفون'!$D$8,CycleWork+CycleRest)&lt;CycleWork,INDEX('الإعدادات والقوائم'!$H$2:$H$4,MOD(INT(MOD(DV$3-'الموظفون'!$D$8,CycleWork+CycleRest)*3/CycleWork)+MATCH(StartShift,'الإعدادات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الإجازات'!$D$5:$D$104&lt;=DV$3)*(('حجز الإجازات'!$E$5:$E$104)&gt;=DV$3)*('حجز الإجازات'!$G$5:$G$104="معتمد")*ROW('حجز الإجازات'!$B$5:$B$104)))-5+1))</f>
        <v/>
      </c>
      <c r="DW10" s="62">
        <f>IF(SUMPRODUCT(('حجز الإجازات'!$B$5:$B$104='الموظفون'!$B$8)*('حجز الإجازات'!$D$5:$D$104&lt;=DW$3)*(('حجز الإجازات'!$E$5:$E$104)&gt;=DW$3)*('حجز الإجازات'!$G$5:$G$104="معتمد")*ROW('حجز الإجازات'!$B$5:$B$104))=0,IF(DW$3&lt;'الموظفون'!$D$8,"",IF(ISNUMBER(MATCH(DW$3,Holidays,0)),"عطلة",IF(MOD(DW$3-'الموظفون'!$D$8,CycleWork+CycleRest)&lt;CycleWork,INDEX('الإعدادات والقوائم'!$H$2:$H$4,MOD(INT(MOD(DW$3-'الموظفون'!$D$8,CycleWork+CycleRest)*3/CycleWork)+MATCH(StartShift,'الإعدادات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الإجازات'!$D$5:$D$104&lt;=DW$3)*(('حجز الإجازات'!$E$5:$E$104)&gt;=DW$3)*('حجز الإجازات'!$G$5:$G$104="معتمد")*ROW('حجز الإجازات'!$B$5:$B$104)))-5+1))</f>
        <v/>
      </c>
      <c r="DX10" s="62">
        <f>IF(SUMPRODUCT(('حجز الإجازات'!$B$5:$B$104='الموظفون'!$B$8)*('حجز الإجازات'!$D$5:$D$104&lt;=DX$3)*(('حجز الإجازات'!$E$5:$E$104)&gt;=DX$3)*('حجز الإجازات'!$G$5:$G$104="معتمد")*ROW('حجز الإجازات'!$B$5:$B$104))=0,IF(DX$3&lt;'الموظفون'!$D$8,"",IF(ISNUMBER(MATCH(DX$3,Holidays,0)),"عطلة",IF(MOD(DX$3-'الموظفون'!$D$8,CycleWork+CycleRest)&lt;CycleWork,INDEX('الإعدادات والقوائم'!$H$2:$H$4,MOD(INT(MOD(DX$3-'الموظفون'!$D$8,CycleWork+CycleRest)*3/CycleWork)+MATCH(StartShift,'الإعدادات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الإجازات'!$D$5:$D$104&lt;=DX$3)*(('حجز الإجازات'!$E$5:$E$104)&gt;=DX$3)*('حجز الإجازات'!$G$5:$G$104="معتمد")*ROW('حجز الإجازات'!$B$5:$B$104)))-5+1))</f>
        <v/>
      </c>
      <c r="DY10" s="62">
        <f>IF(SUMPRODUCT(('حجز الإجازات'!$B$5:$B$104='الموظفون'!$B$8)*('حجز الإجازات'!$D$5:$D$104&lt;=DY$3)*(('حجز الإجازات'!$E$5:$E$104)&gt;=DY$3)*('حجز الإجازات'!$G$5:$G$104="معتمد")*ROW('حجز الإجازات'!$B$5:$B$104))=0,IF(DY$3&lt;'الموظفون'!$D$8,"",IF(ISNUMBER(MATCH(DY$3,Holidays,0)),"عطلة",IF(MOD(DY$3-'الموظفون'!$D$8,CycleWork+CycleRest)&lt;CycleWork,INDEX('الإعدادات والقوائم'!$H$2:$H$4,MOD(INT(MOD(DY$3-'الموظفون'!$D$8,CycleWork+CycleRest)*3/CycleWork)+MATCH(StartShift,'الإعدادات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الإجازات'!$D$5:$D$104&lt;=DY$3)*(('حجز الإجازات'!$E$5:$E$104)&gt;=DY$3)*('حجز الإجازات'!$G$5:$G$104="معتمد")*ROW('حجز الإجازات'!$B$5:$B$104)))-5+1))</f>
        <v/>
      </c>
      <c r="DZ10" s="62">
        <f>IF(SUMPRODUCT(('حجز الإجازات'!$B$5:$B$104='الموظفون'!$B$8)*('حجز الإجازات'!$D$5:$D$104&lt;=DZ$3)*(('حجز الإجازات'!$E$5:$E$104)&gt;=DZ$3)*('حجز الإجازات'!$G$5:$G$104="معتمد")*ROW('حجز الإجازات'!$B$5:$B$104))=0,IF(DZ$3&lt;'الموظفون'!$D$8,"",IF(ISNUMBER(MATCH(DZ$3,Holidays,0)),"عطلة",IF(MOD(DZ$3-'الموظفون'!$D$8,CycleWork+CycleRest)&lt;CycleWork,INDEX('الإعدادات والقوائم'!$H$2:$H$4,MOD(INT(MOD(DZ$3-'الموظفون'!$D$8,CycleWork+CycleRest)*3/CycleWork)+MATCH(StartShift,'الإعدادات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الإجازات'!$D$5:$D$104&lt;=DZ$3)*(('حجز الإجازات'!$E$5:$E$104)&gt;=DZ$3)*('حجز الإجازات'!$G$5:$G$104="معتمد")*ROW('حجز الإجازات'!$B$5:$B$104)))-5+1))</f>
        <v/>
      </c>
      <c r="EA10" s="62">
        <f>IF(SUMPRODUCT(('حجز الإجازات'!$B$5:$B$104='الموظفون'!$B$8)*('حجز الإجازات'!$D$5:$D$104&lt;=EA$3)*(('حجز الإجازات'!$E$5:$E$104)&gt;=EA$3)*('حجز الإجازات'!$G$5:$G$104="معتمد")*ROW('حجز الإجازات'!$B$5:$B$104))=0,IF(EA$3&lt;'الموظفون'!$D$8,"",IF(ISNUMBER(MATCH(EA$3,Holidays,0)),"عطلة",IF(MOD(EA$3-'الموظفون'!$D$8,CycleWork+CycleRest)&lt;CycleWork,INDEX('الإعدادات والقوائم'!$H$2:$H$4,MOD(INT(MOD(EA$3-'الموظفون'!$D$8,CycleWork+CycleRest)*3/CycleWork)+MATCH(StartShift,'الإعدادات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الإجازات'!$D$5:$D$104&lt;=EA$3)*(('حجز الإجازات'!$E$5:$E$104)&gt;=EA$3)*('حجز الإجازات'!$G$5:$G$104="معتمد")*ROW('حجز الإجازات'!$B$5:$B$104)))-5+1))</f>
        <v/>
      </c>
      <c r="EB10" s="62">
        <f>IF(SUMPRODUCT(('حجز الإجازات'!$B$5:$B$104='الموظفون'!$B$8)*('حجز الإجازات'!$D$5:$D$104&lt;=EB$3)*(('حجز الإجازات'!$E$5:$E$104)&gt;=EB$3)*('حجز الإجازات'!$G$5:$G$104="معتمد")*ROW('حجز الإجازات'!$B$5:$B$104))=0,IF(EB$3&lt;'الموظفون'!$D$8,"",IF(ISNUMBER(MATCH(EB$3,Holidays,0)),"عطلة",IF(MOD(EB$3-'الموظفون'!$D$8,CycleWork+CycleRest)&lt;CycleWork,INDEX('الإعدادات والقوائم'!$H$2:$H$4,MOD(INT(MOD(EB$3-'الموظفون'!$D$8,CycleWork+CycleRest)*3/CycleWork)+MATCH(StartShift,'الإعدادات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الإجازات'!$D$5:$D$104&lt;=EB$3)*(('حجز الإجازات'!$E$5:$E$104)&gt;=EB$3)*('حجز الإجازات'!$G$5:$G$104="معتمد")*ROW('حجز الإجازات'!$B$5:$B$104)))-5+1))</f>
        <v/>
      </c>
      <c r="EC10" s="62">
        <f>IF(SUMPRODUCT(('حجز الإجازات'!$B$5:$B$104='الموظفون'!$B$8)*('حجز الإجازات'!$D$5:$D$104&lt;=EC$3)*(('حجز الإجازات'!$E$5:$E$104)&gt;=EC$3)*('حجز الإجازات'!$G$5:$G$104="معتمد")*ROW('حجز الإجازات'!$B$5:$B$104))=0,IF(EC$3&lt;'الموظفون'!$D$8,"",IF(ISNUMBER(MATCH(EC$3,Holidays,0)),"عطلة",IF(MOD(EC$3-'الموظفون'!$D$8,CycleWork+CycleRest)&lt;CycleWork,INDEX('الإعدادات والقوائم'!$H$2:$H$4,MOD(INT(MOD(EC$3-'الموظفون'!$D$8,CycleWork+CycleRest)*3/CycleWork)+MATCH(StartShift,'الإعدادات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الإجازات'!$D$5:$D$104&lt;=EC$3)*(('حجز الإجازات'!$E$5:$E$104)&gt;=EC$3)*('حجز الإجازات'!$G$5:$G$104="معتمد")*ROW('حجز الإجازات'!$B$5:$B$104)))-5+1))</f>
        <v/>
      </c>
      <c r="ED10" s="62">
        <f>IF(SUMPRODUCT(('حجز الإجازات'!$B$5:$B$104='الموظفون'!$B$8)*('حجز الإجازات'!$D$5:$D$104&lt;=ED$3)*(('حجز الإجازات'!$E$5:$E$104)&gt;=ED$3)*('حجز الإجازات'!$G$5:$G$104="معتمد")*ROW('حجز الإجازات'!$B$5:$B$104))=0,IF(ED$3&lt;'الموظفون'!$D$8,"",IF(ISNUMBER(MATCH(ED$3,Holidays,0)),"عطلة",IF(MOD(ED$3-'الموظفون'!$D$8,CycleWork+CycleRest)&lt;CycleWork,INDEX('الإعدادات والقوائم'!$H$2:$H$4,MOD(INT(MOD(ED$3-'الموظفون'!$D$8,CycleWork+CycleRest)*3/CycleWork)+MATCH(StartShift,'الإعدادات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الإجازات'!$D$5:$D$104&lt;=ED$3)*(('حجز الإجازات'!$E$5:$E$104)&gt;=ED$3)*('حجز الإجازات'!$G$5:$G$104="معتمد")*ROW('حجز الإجازات'!$B$5:$B$104)))-5+1))</f>
        <v/>
      </c>
      <c r="EE10" s="62">
        <f>IF(SUMPRODUCT(('حجز الإجازات'!$B$5:$B$104='الموظفون'!$B$8)*('حجز الإجازات'!$D$5:$D$104&lt;=EE$3)*(('حجز الإجازات'!$E$5:$E$104)&gt;=EE$3)*('حجز الإجازات'!$G$5:$G$104="معتمد")*ROW('حجز الإجازات'!$B$5:$B$104))=0,IF(EE$3&lt;'الموظفون'!$D$8,"",IF(ISNUMBER(MATCH(EE$3,Holidays,0)),"عطلة",IF(MOD(EE$3-'الموظفون'!$D$8,CycleWork+CycleRest)&lt;CycleWork,INDEX('الإعدادات والقوائم'!$H$2:$H$4,MOD(INT(MOD(EE$3-'الموظفون'!$D$8,CycleWork+CycleRest)*3/CycleWork)+MATCH(StartShift,'الإعدادات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الإجازات'!$D$5:$D$104&lt;=EE$3)*(('حجز الإجازات'!$E$5:$E$104)&gt;=EE$3)*('حجز الإجازات'!$G$5:$G$104="معتمد")*ROW('حجز الإجازات'!$B$5:$B$104)))-5+1))</f>
        <v/>
      </c>
      <c r="EF10" s="62">
        <f>IF(SUMPRODUCT(('حجز الإجازات'!$B$5:$B$104='الموظفون'!$B$8)*('حجز الإجازات'!$D$5:$D$104&lt;=EF$3)*(('حجز الإجازات'!$E$5:$E$104)&gt;=EF$3)*('حجز الإجازات'!$G$5:$G$104="معتمد")*ROW('حجز الإجازات'!$B$5:$B$104))=0,IF(EF$3&lt;'الموظفون'!$D$8,"",IF(ISNUMBER(MATCH(EF$3,Holidays,0)),"عطلة",IF(MOD(EF$3-'الموظفون'!$D$8,CycleWork+CycleRest)&lt;CycleWork,INDEX('الإعدادات والقوائم'!$H$2:$H$4,MOD(INT(MOD(EF$3-'الموظفون'!$D$8,CycleWork+CycleRest)*3/CycleWork)+MATCH(StartShift,'الإعدادات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الإجازات'!$D$5:$D$104&lt;=EF$3)*(('حجز الإجازات'!$E$5:$E$104)&gt;=EF$3)*('حجز الإجازات'!$G$5:$G$104="معتمد")*ROW('حجز الإجازات'!$B$5:$B$104)))-5+1))</f>
        <v/>
      </c>
      <c r="EG10" s="62">
        <f>IF(SUMPRODUCT(('حجز الإجازات'!$B$5:$B$104='الموظفون'!$B$8)*('حجز الإجازات'!$D$5:$D$104&lt;=EG$3)*(('حجز الإجازات'!$E$5:$E$104)&gt;=EG$3)*('حجز الإجازات'!$G$5:$G$104="معتمد")*ROW('حجز الإجازات'!$B$5:$B$104))=0,IF(EG$3&lt;'الموظفون'!$D$8,"",IF(ISNUMBER(MATCH(EG$3,Holidays,0)),"عطلة",IF(MOD(EG$3-'الموظفون'!$D$8,CycleWork+CycleRest)&lt;CycleWork,INDEX('الإعدادات والقوائم'!$H$2:$H$4,MOD(INT(MOD(EG$3-'الموظفون'!$D$8,CycleWork+CycleRest)*3/CycleWork)+MATCH(StartShift,'الإعدادات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الإجازات'!$D$5:$D$104&lt;=EG$3)*(('حجز الإجازات'!$E$5:$E$104)&gt;=EG$3)*('حجز الإجازات'!$G$5:$G$104="معتمد")*ROW('حجز الإجازات'!$B$5:$B$104)))-5+1))</f>
        <v/>
      </c>
      <c r="EH10" s="62">
        <f>IF(SUMPRODUCT(('حجز الإجازات'!$B$5:$B$104='الموظفون'!$B$8)*('حجز الإجازات'!$D$5:$D$104&lt;=EH$3)*(('حجز الإجازات'!$E$5:$E$104)&gt;=EH$3)*('حجز الإجازات'!$G$5:$G$104="معتمد")*ROW('حجز الإجازات'!$B$5:$B$104))=0,IF(EH$3&lt;'الموظفون'!$D$8,"",IF(ISNUMBER(MATCH(EH$3,Holidays,0)),"عطلة",IF(MOD(EH$3-'الموظفون'!$D$8,CycleWork+CycleRest)&lt;CycleWork,INDEX('الإعدادات والقوائم'!$H$2:$H$4,MOD(INT(MOD(EH$3-'الموظفون'!$D$8,CycleWork+CycleRest)*3/CycleWork)+MATCH(StartShift,'الإعدادات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الإجازات'!$D$5:$D$104&lt;=EH$3)*(('حجز الإجازات'!$E$5:$E$104)&gt;=EH$3)*('حجز الإجازات'!$G$5:$G$104="معتمد")*ROW('حجز الإجازات'!$B$5:$B$104)))-5+1))</f>
        <v/>
      </c>
      <c r="EI10" s="62">
        <f>IF(SUMPRODUCT(('حجز الإجازات'!$B$5:$B$104='الموظفون'!$B$8)*('حجز الإجازات'!$D$5:$D$104&lt;=EI$3)*(('حجز الإجازات'!$E$5:$E$104)&gt;=EI$3)*('حجز الإجازات'!$G$5:$G$104="معتمد")*ROW('حجز الإجازات'!$B$5:$B$104))=0,IF(EI$3&lt;'الموظفون'!$D$8,"",IF(ISNUMBER(MATCH(EI$3,Holidays,0)),"عطلة",IF(MOD(EI$3-'الموظفون'!$D$8,CycleWork+CycleRest)&lt;CycleWork,INDEX('الإعدادات والقوائم'!$H$2:$H$4,MOD(INT(MOD(EI$3-'الموظفون'!$D$8,CycleWork+CycleRest)*3/CycleWork)+MATCH(StartShift,'الإعدادات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الإجازات'!$D$5:$D$104&lt;=EI$3)*(('حجز الإجازات'!$E$5:$E$104)&gt;=EI$3)*('حجز الإجازات'!$G$5:$G$104="معتمد")*ROW('حجز الإجازات'!$B$5:$B$104)))-5+1))</f>
        <v/>
      </c>
      <c r="EJ10" s="62">
        <f>IF(SUMPRODUCT(('حجز الإجازات'!$B$5:$B$104='الموظفون'!$B$8)*('حجز الإجازات'!$D$5:$D$104&lt;=EJ$3)*(('حجز الإجازات'!$E$5:$E$104)&gt;=EJ$3)*('حجز الإجازات'!$G$5:$G$104="معتمد")*ROW('حجز الإجازات'!$B$5:$B$104))=0,IF(EJ$3&lt;'الموظفون'!$D$8,"",IF(ISNUMBER(MATCH(EJ$3,Holidays,0)),"عطلة",IF(MOD(EJ$3-'الموظفون'!$D$8,CycleWork+CycleRest)&lt;CycleWork,INDEX('الإعدادات والقوائم'!$H$2:$H$4,MOD(INT(MOD(EJ$3-'الموظفون'!$D$8,CycleWork+CycleRest)*3/CycleWork)+MATCH(StartShift,'الإعدادات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الإجازات'!$D$5:$D$104&lt;=EJ$3)*(('حجز الإجازات'!$E$5:$E$104)&gt;=EJ$3)*('حجز الإجازات'!$G$5:$G$104="معتمد")*ROW('حجز الإجازات'!$B$5:$B$104)))-5+1))</f>
        <v/>
      </c>
      <c r="EK10" s="62">
        <f>IF(SUMPRODUCT(('حجز الإجازات'!$B$5:$B$104='الموظفون'!$B$8)*('حجز الإجازات'!$D$5:$D$104&lt;=EK$3)*(('حجز الإجازات'!$E$5:$E$104)&gt;=EK$3)*('حجز الإجازات'!$G$5:$G$104="معتمد")*ROW('حجز الإجازات'!$B$5:$B$104))=0,IF(EK$3&lt;'الموظفون'!$D$8,"",IF(ISNUMBER(MATCH(EK$3,Holidays,0)),"عطلة",IF(MOD(EK$3-'الموظفون'!$D$8,CycleWork+CycleRest)&lt;CycleWork,INDEX('الإعدادات والقوائم'!$H$2:$H$4,MOD(INT(MOD(EK$3-'الموظفون'!$D$8,CycleWork+CycleRest)*3/CycleWork)+MATCH(StartShift,'الإعدادات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الإجازات'!$D$5:$D$104&lt;=EK$3)*(('حجز الإجازات'!$E$5:$E$104)&gt;=EK$3)*('حجز الإجازات'!$G$5:$G$104="معتمد")*ROW('حجز الإجازات'!$B$5:$B$104)))-5+1))</f>
        <v/>
      </c>
      <c r="EL10" s="62">
        <f>IF(SUMPRODUCT(('حجز الإجازات'!$B$5:$B$104='الموظفون'!$B$8)*('حجز الإجازات'!$D$5:$D$104&lt;=EL$3)*(('حجز الإجازات'!$E$5:$E$104)&gt;=EL$3)*('حجز الإجازات'!$G$5:$G$104="معتمد")*ROW('حجز الإجازات'!$B$5:$B$104))=0,IF(EL$3&lt;'الموظفون'!$D$8,"",IF(ISNUMBER(MATCH(EL$3,Holidays,0)),"عطلة",IF(MOD(EL$3-'الموظفون'!$D$8,CycleWork+CycleRest)&lt;CycleWork,INDEX('الإعدادات والقوائم'!$H$2:$H$4,MOD(INT(MOD(EL$3-'الموظفون'!$D$8,CycleWork+CycleRest)*3/CycleWork)+MATCH(StartShift,'الإعدادات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الإجازات'!$D$5:$D$104&lt;=EL$3)*(('حجز الإجازات'!$E$5:$E$104)&gt;=EL$3)*('حجز الإجازات'!$G$5:$G$104="معتمد")*ROW('حجز الإجازات'!$B$5:$B$104)))-5+1))</f>
        <v/>
      </c>
      <c r="EM10" s="62">
        <f>IF(SUMPRODUCT(('حجز الإجازات'!$B$5:$B$104='الموظفون'!$B$8)*('حجز الإجازات'!$D$5:$D$104&lt;=EM$3)*(('حجز الإجازات'!$E$5:$E$104)&gt;=EM$3)*('حجز الإجازات'!$G$5:$G$104="معتمد")*ROW('حجز الإجازات'!$B$5:$B$104))=0,IF(EM$3&lt;'الموظفون'!$D$8,"",IF(ISNUMBER(MATCH(EM$3,Holidays,0)),"عطلة",IF(MOD(EM$3-'الموظفون'!$D$8,CycleWork+CycleRest)&lt;CycleWork,INDEX('الإعدادات والقوائم'!$H$2:$H$4,MOD(INT(MOD(EM$3-'الموظفون'!$D$8,CycleWork+CycleRest)*3/CycleWork)+MATCH(StartShift,'الإعدادات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الإجازات'!$D$5:$D$104&lt;=EM$3)*(('حجز الإجازات'!$E$5:$E$104)&gt;=EM$3)*('حجز الإجازات'!$G$5:$G$104="معتمد")*ROW('حجز الإجازات'!$B$5:$B$104)))-5+1))</f>
        <v/>
      </c>
      <c r="EN10" s="62">
        <f>IF(SUMPRODUCT(('حجز الإجازات'!$B$5:$B$104='الموظفون'!$B$8)*('حجز الإجازات'!$D$5:$D$104&lt;=EN$3)*(('حجز الإجازات'!$E$5:$E$104)&gt;=EN$3)*('حجز الإجازات'!$G$5:$G$104="معتمد")*ROW('حجز الإجازات'!$B$5:$B$104))=0,IF(EN$3&lt;'الموظفون'!$D$8,"",IF(ISNUMBER(MATCH(EN$3,Holidays,0)),"عطلة",IF(MOD(EN$3-'الموظفون'!$D$8,CycleWork+CycleRest)&lt;CycleWork,INDEX('الإعدادات والقوائم'!$H$2:$H$4,MOD(INT(MOD(EN$3-'الموظفون'!$D$8,CycleWork+CycleRest)*3/CycleWork)+MATCH(StartShift,'الإعدادات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الإجازات'!$D$5:$D$104&lt;=EN$3)*(('حجز الإجازات'!$E$5:$E$104)&gt;=EN$3)*('حجز الإجازات'!$G$5:$G$104="معتمد")*ROW('حجز الإجازات'!$B$5:$B$104)))-5+1))</f>
        <v/>
      </c>
      <c r="EO10" s="62">
        <f>IF(SUMPRODUCT(('حجز الإجازات'!$B$5:$B$104='الموظفون'!$B$8)*('حجز الإجازات'!$D$5:$D$104&lt;=EO$3)*(('حجز الإجازات'!$E$5:$E$104)&gt;=EO$3)*('حجز الإجازات'!$G$5:$G$104="معتمد")*ROW('حجز الإجازات'!$B$5:$B$104))=0,IF(EO$3&lt;'الموظفون'!$D$8,"",IF(ISNUMBER(MATCH(EO$3,Holidays,0)),"عطلة",IF(MOD(EO$3-'الموظفون'!$D$8,CycleWork+CycleRest)&lt;CycleWork,INDEX('الإعدادات والقوائم'!$H$2:$H$4,MOD(INT(MOD(EO$3-'الموظفون'!$D$8,CycleWork+CycleRest)*3/CycleWork)+MATCH(StartShift,'الإعدادات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الإجازات'!$D$5:$D$104&lt;=EO$3)*(('حجز الإجازات'!$E$5:$E$104)&gt;=EO$3)*('حجز الإجازات'!$G$5:$G$104="معتمد")*ROW('حجز الإجازات'!$B$5:$B$104)))-5+1))</f>
        <v/>
      </c>
      <c r="EP10" s="62">
        <f>IF(SUMPRODUCT(('حجز الإجازات'!$B$5:$B$104='الموظفون'!$B$8)*('حجز الإجازات'!$D$5:$D$104&lt;=EP$3)*(('حجز الإجازات'!$E$5:$E$104)&gt;=EP$3)*('حجز الإجازات'!$G$5:$G$104="معتمد")*ROW('حجز الإجازات'!$B$5:$B$104))=0,IF(EP$3&lt;'الموظفون'!$D$8,"",IF(ISNUMBER(MATCH(EP$3,Holidays,0)),"عطلة",IF(MOD(EP$3-'الموظفون'!$D$8,CycleWork+CycleRest)&lt;CycleWork,INDEX('الإعدادات والقوائم'!$H$2:$H$4,MOD(INT(MOD(EP$3-'الموظفون'!$D$8,CycleWork+CycleRest)*3/CycleWork)+MATCH(StartShift,'الإعدادات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الإجازات'!$D$5:$D$104&lt;=EP$3)*(('حجز الإجازات'!$E$5:$E$104)&gt;=EP$3)*('حجز الإجازات'!$G$5:$G$104="معتمد")*ROW('حجز الإجازات'!$B$5:$B$104)))-5+1))</f>
        <v/>
      </c>
      <c r="EQ10" s="62">
        <f>IF(SUMPRODUCT(('حجز الإجازات'!$B$5:$B$104='الموظفون'!$B$8)*('حجز الإجازات'!$D$5:$D$104&lt;=EQ$3)*(('حجز الإجازات'!$E$5:$E$104)&gt;=EQ$3)*('حجز الإجازات'!$G$5:$G$104="معتمد")*ROW('حجز الإجازات'!$B$5:$B$104))=0,IF(EQ$3&lt;'الموظفون'!$D$8,"",IF(ISNUMBER(MATCH(EQ$3,Holidays,0)),"عطلة",IF(MOD(EQ$3-'الموظفون'!$D$8,CycleWork+CycleRest)&lt;CycleWork,INDEX('الإعدادات والقوائم'!$H$2:$H$4,MOD(INT(MOD(EQ$3-'الموظفون'!$D$8,CycleWork+CycleRest)*3/CycleWork)+MATCH(StartShift,'الإعدادات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الإجازات'!$D$5:$D$104&lt;=EQ$3)*(('حجز الإجازات'!$E$5:$E$104)&gt;=EQ$3)*('حجز الإجازات'!$G$5:$G$104="معتمد")*ROW('حجز الإجازات'!$B$5:$B$104)))-5+1))</f>
        <v/>
      </c>
      <c r="ER10" s="62">
        <f>IF(SUMPRODUCT(('حجز الإجازات'!$B$5:$B$104='الموظفون'!$B$8)*('حجز الإجازات'!$D$5:$D$104&lt;=ER$3)*(('حجز الإجازات'!$E$5:$E$104)&gt;=ER$3)*('حجز الإجازات'!$G$5:$G$104="معتمد")*ROW('حجز الإجازات'!$B$5:$B$104))=0,IF(ER$3&lt;'الموظفون'!$D$8,"",IF(ISNUMBER(MATCH(ER$3,Holidays,0)),"عطلة",IF(MOD(ER$3-'الموظفون'!$D$8,CycleWork+CycleRest)&lt;CycleWork,INDEX('الإعدادات والقوائم'!$H$2:$H$4,MOD(INT(MOD(ER$3-'الموظفون'!$D$8,CycleWork+CycleRest)*3/CycleWork)+MATCH(StartShift,'الإعدادات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الإجازات'!$D$5:$D$104&lt;=ER$3)*(('حجز الإجازات'!$E$5:$E$104)&gt;=ER$3)*('حجز الإجازات'!$G$5:$G$104="معتمد")*ROW('حجز الإجازات'!$B$5:$B$104)))-5+1))</f>
        <v/>
      </c>
      <c r="ES10" s="62">
        <f>IF(SUMPRODUCT(('حجز الإجازات'!$B$5:$B$104='الموظفون'!$B$8)*('حجز الإجازات'!$D$5:$D$104&lt;=ES$3)*(('حجز الإجازات'!$E$5:$E$104)&gt;=ES$3)*('حجز الإجازات'!$G$5:$G$104="معتمد")*ROW('حجز الإجازات'!$B$5:$B$104))=0,IF(ES$3&lt;'الموظفون'!$D$8,"",IF(ISNUMBER(MATCH(ES$3,Holidays,0)),"عطلة",IF(MOD(ES$3-'الموظفون'!$D$8,CycleWork+CycleRest)&lt;CycleWork,INDEX('الإعدادات والقوائم'!$H$2:$H$4,MOD(INT(MOD(ES$3-'الموظفون'!$D$8,CycleWork+CycleRest)*3/CycleWork)+MATCH(StartShift,'الإعدادات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الإجازات'!$D$5:$D$104&lt;=ES$3)*(('حجز الإجازات'!$E$5:$E$104)&gt;=ES$3)*('حجز الإجازات'!$G$5:$G$104="معتمد")*ROW('حجز الإجازات'!$B$5:$B$104)))-5+1))</f>
        <v/>
      </c>
      <c r="ET10" s="62">
        <f>IF(SUMPRODUCT(('حجز الإجازات'!$B$5:$B$104='الموظفون'!$B$8)*('حجز الإجازات'!$D$5:$D$104&lt;=ET$3)*(('حجز الإجازات'!$E$5:$E$104)&gt;=ET$3)*('حجز الإجازات'!$G$5:$G$104="معتمد")*ROW('حجز الإجازات'!$B$5:$B$104))=0,IF(ET$3&lt;'الموظفون'!$D$8,"",IF(ISNUMBER(MATCH(ET$3,Holidays,0)),"عطلة",IF(MOD(ET$3-'الموظفون'!$D$8,CycleWork+CycleRest)&lt;CycleWork,INDEX('الإعدادات والقوائم'!$H$2:$H$4,MOD(INT(MOD(ET$3-'الموظفون'!$D$8,CycleWork+CycleRest)*3/CycleWork)+MATCH(StartShift,'الإعدادات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الإجازات'!$D$5:$D$104&lt;=ET$3)*(('حجز الإجازات'!$E$5:$E$104)&gt;=ET$3)*('حجز الإجازات'!$G$5:$G$104="معتمد")*ROW('حجز الإجازات'!$B$5:$B$104)))-5+1))</f>
        <v/>
      </c>
      <c r="EU10" s="62">
        <f>IF(SUMPRODUCT(('حجز الإجازات'!$B$5:$B$104='الموظفون'!$B$8)*('حجز الإجازات'!$D$5:$D$104&lt;=EU$3)*(('حجز الإجازات'!$E$5:$E$104)&gt;=EU$3)*('حجز الإجازات'!$G$5:$G$104="معتمد")*ROW('حجز الإجازات'!$B$5:$B$104))=0,IF(EU$3&lt;'الموظفون'!$D$8,"",IF(ISNUMBER(MATCH(EU$3,Holidays,0)),"عطلة",IF(MOD(EU$3-'الموظفون'!$D$8,CycleWork+CycleRest)&lt;CycleWork,INDEX('الإعدادات والقوائم'!$H$2:$H$4,MOD(INT(MOD(EU$3-'الموظفون'!$D$8,CycleWork+CycleRest)*3/CycleWork)+MATCH(StartShift,'الإعدادات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الإجازات'!$D$5:$D$104&lt;=EU$3)*(('حجز الإجازات'!$E$5:$E$104)&gt;=EU$3)*('حجز الإجازات'!$G$5:$G$104="معتمد")*ROW('حجز الإجازات'!$B$5:$B$104)))-5+1))</f>
        <v/>
      </c>
      <c r="EV10" s="62">
        <f>IF(SUMPRODUCT(('حجز الإجازات'!$B$5:$B$104='الموظفون'!$B$8)*('حجز الإجازات'!$D$5:$D$104&lt;=EV$3)*(('حجز الإجازات'!$E$5:$E$104)&gt;=EV$3)*('حجز الإجازات'!$G$5:$G$104="معتمد")*ROW('حجز الإجازات'!$B$5:$B$104))=0,IF(EV$3&lt;'الموظفون'!$D$8,"",IF(ISNUMBER(MATCH(EV$3,Holidays,0)),"عطلة",IF(MOD(EV$3-'الموظفون'!$D$8,CycleWork+CycleRest)&lt;CycleWork,INDEX('الإعدادات والقوائم'!$H$2:$H$4,MOD(INT(MOD(EV$3-'الموظفون'!$D$8,CycleWork+CycleRest)*3/CycleWork)+MATCH(StartShift,'الإعدادات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الإجازات'!$D$5:$D$104&lt;=EV$3)*(('حجز الإجازات'!$E$5:$E$104)&gt;=EV$3)*('حجز الإجازات'!$G$5:$G$104="معتمد")*ROW('حجز الإجازات'!$B$5:$B$104)))-5+1))</f>
        <v/>
      </c>
      <c r="EW10" s="62">
        <f>IF(SUMPRODUCT(('حجز الإجازات'!$B$5:$B$104='الموظفون'!$B$8)*('حجز الإجازات'!$D$5:$D$104&lt;=EW$3)*(('حجز الإجازات'!$E$5:$E$104)&gt;=EW$3)*('حجز الإجازات'!$G$5:$G$104="معتمد")*ROW('حجز الإجازات'!$B$5:$B$104))=0,IF(EW$3&lt;'الموظفون'!$D$8,"",IF(ISNUMBER(MATCH(EW$3,Holidays,0)),"عطلة",IF(MOD(EW$3-'الموظفون'!$D$8,CycleWork+CycleRest)&lt;CycleWork,INDEX('الإعدادات والقوائم'!$H$2:$H$4,MOD(INT(MOD(EW$3-'الموظفون'!$D$8,CycleWork+CycleRest)*3/CycleWork)+MATCH(StartShift,'الإعدادات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الإجازات'!$D$5:$D$104&lt;=EW$3)*(('حجز الإجازات'!$E$5:$E$104)&gt;=EW$3)*('حجز الإجازات'!$G$5:$G$104="معتمد")*ROW('حجز الإجازات'!$B$5:$B$104)))-5+1))</f>
        <v/>
      </c>
      <c r="EX10" s="62">
        <f>IF(SUMPRODUCT(('حجز الإجازات'!$B$5:$B$104='الموظفون'!$B$8)*('حجز الإجازات'!$D$5:$D$104&lt;=EX$3)*(('حجز الإجازات'!$E$5:$E$104)&gt;=EX$3)*('حجز الإجازات'!$G$5:$G$104="معتمد")*ROW('حجز الإجازات'!$B$5:$B$104))=0,IF(EX$3&lt;'الموظفون'!$D$8,"",IF(ISNUMBER(MATCH(EX$3,Holidays,0)),"عطلة",IF(MOD(EX$3-'الموظفون'!$D$8,CycleWork+CycleRest)&lt;CycleWork,INDEX('الإعدادات والقوائم'!$H$2:$H$4,MOD(INT(MOD(EX$3-'الموظفون'!$D$8,CycleWork+CycleRest)*3/CycleWork)+MATCH(StartShift,'الإعدادات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الإجازات'!$D$5:$D$104&lt;=EX$3)*(('حجز الإجازات'!$E$5:$E$104)&gt;=EX$3)*('حجز الإجازات'!$G$5:$G$104="معتمد")*ROW('حجز الإجازات'!$B$5:$B$104)))-5+1))</f>
        <v/>
      </c>
      <c r="EY10" s="62">
        <f>IF(SUMPRODUCT(('حجز الإجازات'!$B$5:$B$104='الموظفون'!$B$8)*('حجز الإجازات'!$D$5:$D$104&lt;=EY$3)*(('حجز الإجازات'!$E$5:$E$104)&gt;=EY$3)*('حجز الإجازات'!$G$5:$G$104="معتمد")*ROW('حجز الإجازات'!$B$5:$B$104))=0,IF(EY$3&lt;'الموظفون'!$D$8,"",IF(ISNUMBER(MATCH(EY$3,Holidays,0)),"عطلة",IF(MOD(EY$3-'الموظفون'!$D$8,CycleWork+CycleRest)&lt;CycleWork,INDEX('الإعدادات والقوائم'!$H$2:$H$4,MOD(INT(MOD(EY$3-'الموظفون'!$D$8,CycleWork+CycleRest)*3/CycleWork)+MATCH(StartShift,'الإعدادات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الإجازات'!$D$5:$D$104&lt;=EY$3)*(('حجز الإجازات'!$E$5:$E$104)&gt;=EY$3)*('حجز الإجازات'!$G$5:$G$104="معتمد")*ROW('حجز الإجازات'!$B$5:$B$104)))-5+1))</f>
        <v/>
      </c>
      <c r="EZ10" s="62">
        <f>IF(SUMPRODUCT(('حجز الإجازات'!$B$5:$B$104='الموظفون'!$B$8)*('حجز الإجازات'!$D$5:$D$104&lt;=EZ$3)*(('حجز الإجازات'!$E$5:$E$104)&gt;=EZ$3)*('حجز الإجازات'!$G$5:$G$104="معتمد")*ROW('حجز الإجازات'!$B$5:$B$104))=0,IF(EZ$3&lt;'الموظفون'!$D$8,"",IF(ISNUMBER(MATCH(EZ$3,Holidays,0)),"عطلة",IF(MOD(EZ$3-'الموظفون'!$D$8,CycleWork+CycleRest)&lt;CycleWork,INDEX('الإعدادات والقوائم'!$H$2:$H$4,MOD(INT(MOD(EZ$3-'الموظفون'!$D$8,CycleWork+CycleRest)*3/CycleWork)+MATCH(StartShift,'الإعدادات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الإجازات'!$D$5:$D$104&lt;=EZ$3)*(('حجز الإجازات'!$E$5:$E$104)&gt;=EZ$3)*('حجز الإجازات'!$G$5:$G$104="معتمد")*ROW('حجز الإجازات'!$B$5:$B$104)))-5+1))</f>
        <v/>
      </c>
      <c r="FA10" s="62">
        <f>IF(SUMPRODUCT(('حجز الإجازات'!$B$5:$B$104='الموظفون'!$B$8)*('حجز الإجازات'!$D$5:$D$104&lt;=FA$3)*(('حجز الإجازات'!$E$5:$E$104)&gt;=FA$3)*('حجز الإجازات'!$G$5:$G$104="معتمد")*ROW('حجز الإجازات'!$B$5:$B$104))=0,IF(FA$3&lt;'الموظفون'!$D$8,"",IF(ISNUMBER(MATCH(FA$3,Holidays,0)),"عطلة",IF(MOD(FA$3-'الموظفون'!$D$8,CycleWork+CycleRest)&lt;CycleWork,INDEX('الإعدادات والقوائم'!$H$2:$H$4,MOD(INT(MOD(FA$3-'الموظفون'!$D$8,CycleWork+CycleRest)*3/CycleWork)+MATCH(StartShift,'الإعدادات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الإجازات'!$D$5:$D$104&lt;=FA$3)*(('حجز الإجازات'!$E$5:$E$104)&gt;=FA$3)*('حجز الإجازات'!$G$5:$G$104="معتمد")*ROW('حجز الإجازات'!$B$5:$B$104)))-5+1))</f>
        <v/>
      </c>
      <c r="FB10" s="62">
        <f>IF(SUMPRODUCT(('حجز الإجازات'!$B$5:$B$104='الموظفون'!$B$8)*('حجز الإجازات'!$D$5:$D$104&lt;=FB$3)*(('حجز الإجازات'!$E$5:$E$104)&gt;=FB$3)*('حجز الإجازات'!$G$5:$G$104="معتمد")*ROW('حجز الإجازات'!$B$5:$B$104))=0,IF(FB$3&lt;'الموظفون'!$D$8,"",IF(ISNUMBER(MATCH(FB$3,Holidays,0)),"عطلة",IF(MOD(FB$3-'الموظفون'!$D$8,CycleWork+CycleRest)&lt;CycleWork,INDEX('الإعدادات والقوائم'!$H$2:$H$4,MOD(INT(MOD(FB$3-'الموظفون'!$D$8,CycleWork+CycleRest)*3/CycleWork)+MATCH(StartShift,'الإعدادات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الإجازات'!$D$5:$D$104&lt;=FB$3)*(('حجز الإجازات'!$E$5:$E$104)&gt;=FB$3)*('حجز الإجازات'!$G$5:$G$104="معتمد")*ROW('حجز الإجازات'!$B$5:$B$104)))-5+1))</f>
        <v/>
      </c>
      <c r="FC10" s="62">
        <f>IF(SUMPRODUCT(('حجز الإجازات'!$B$5:$B$104='الموظفون'!$B$8)*('حجز الإجازات'!$D$5:$D$104&lt;=FC$3)*(('حجز الإجازات'!$E$5:$E$104)&gt;=FC$3)*('حجز الإجازات'!$G$5:$G$104="معتمد")*ROW('حجز الإجازات'!$B$5:$B$104))=0,IF(FC$3&lt;'الموظفون'!$D$8,"",IF(ISNUMBER(MATCH(FC$3,Holidays,0)),"عطلة",IF(MOD(FC$3-'الموظفون'!$D$8,CycleWork+CycleRest)&lt;CycleWork,INDEX('الإعدادات والقوائم'!$H$2:$H$4,MOD(INT(MOD(FC$3-'الموظفون'!$D$8,CycleWork+CycleRest)*3/CycleWork)+MATCH(StartShift,'الإعدادات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الإجازات'!$D$5:$D$104&lt;=FC$3)*(('حجز الإجازات'!$E$5:$E$104)&gt;=FC$3)*('حجز الإجازات'!$G$5:$G$104="معتمد")*ROW('حجز الإجازات'!$B$5:$B$104)))-5+1))</f>
        <v/>
      </c>
      <c r="FD10" s="62">
        <f>IF(SUMPRODUCT(('حجز الإجازات'!$B$5:$B$104='الموظفون'!$B$8)*('حجز الإجازات'!$D$5:$D$104&lt;=FD$3)*(('حجز الإجازات'!$E$5:$E$104)&gt;=FD$3)*('حجز الإجازات'!$G$5:$G$104="معتمد")*ROW('حجز الإجازات'!$B$5:$B$104))=0,IF(FD$3&lt;'الموظفون'!$D$8,"",IF(ISNUMBER(MATCH(FD$3,Holidays,0)),"عطلة",IF(MOD(FD$3-'الموظفون'!$D$8,CycleWork+CycleRest)&lt;CycleWork,INDEX('الإعدادات والقوائم'!$H$2:$H$4,MOD(INT(MOD(FD$3-'الموظفون'!$D$8,CycleWork+CycleRest)*3/CycleWork)+MATCH(StartShift,'الإعدادات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الإجازات'!$D$5:$D$104&lt;=FD$3)*(('حجز الإجازات'!$E$5:$E$104)&gt;=FD$3)*('حجز الإجازات'!$G$5:$G$104="معتمد")*ROW('حجز الإجازات'!$B$5:$B$104)))-5+1))</f>
        <v/>
      </c>
      <c r="FE10" s="62">
        <f>IF(SUMPRODUCT(('حجز الإجازات'!$B$5:$B$104='الموظفون'!$B$8)*('حجز الإجازات'!$D$5:$D$104&lt;=FE$3)*(('حجز الإجازات'!$E$5:$E$104)&gt;=FE$3)*('حجز الإجازات'!$G$5:$G$104="معتمد")*ROW('حجز الإجازات'!$B$5:$B$104))=0,IF(FE$3&lt;'الموظفون'!$D$8,"",IF(ISNUMBER(MATCH(FE$3,Holidays,0)),"عطلة",IF(MOD(FE$3-'الموظفون'!$D$8,CycleWork+CycleRest)&lt;CycleWork,INDEX('الإعدادات والقوائم'!$H$2:$H$4,MOD(INT(MOD(FE$3-'الموظفون'!$D$8,CycleWork+CycleRest)*3/CycleWork)+MATCH(StartShift,'الإعدادات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الإجازات'!$D$5:$D$104&lt;=FE$3)*(('حجز الإجازات'!$E$5:$E$104)&gt;=FE$3)*('حجز الإجازات'!$G$5:$G$104="معتمد")*ROW('حجز الإجازات'!$B$5:$B$104)))-5+1))</f>
        <v/>
      </c>
      <c r="FF10" s="62">
        <f>IF(SUMPRODUCT(('حجز الإجازات'!$B$5:$B$104='الموظفون'!$B$8)*('حجز الإجازات'!$D$5:$D$104&lt;=FF$3)*(('حجز الإجازات'!$E$5:$E$104)&gt;=FF$3)*('حجز الإجازات'!$G$5:$G$104="معتمد")*ROW('حجز الإجازات'!$B$5:$B$104))=0,IF(FF$3&lt;'الموظفون'!$D$8,"",IF(ISNUMBER(MATCH(FF$3,Holidays,0)),"عطلة",IF(MOD(FF$3-'الموظفون'!$D$8,CycleWork+CycleRest)&lt;CycleWork,INDEX('الإعدادات والقوائم'!$H$2:$H$4,MOD(INT(MOD(FF$3-'الموظفون'!$D$8,CycleWork+CycleRest)*3/CycleWork)+MATCH(StartShift,'الإعدادات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الإجازات'!$D$5:$D$104&lt;=FF$3)*(('حجز الإجازات'!$E$5:$E$104)&gt;=FF$3)*('حجز الإجازات'!$G$5:$G$104="معتمد")*ROW('حجز الإجازات'!$B$5:$B$104)))-5+1))</f>
        <v/>
      </c>
      <c r="FG10" s="62">
        <f>IF(SUMPRODUCT(('حجز الإجازات'!$B$5:$B$104='الموظفون'!$B$8)*('حجز الإجازات'!$D$5:$D$104&lt;=FG$3)*(('حجز الإجازات'!$E$5:$E$104)&gt;=FG$3)*('حجز الإجازات'!$G$5:$G$104="معتمد")*ROW('حجز الإجازات'!$B$5:$B$104))=0,IF(FG$3&lt;'الموظفون'!$D$8,"",IF(ISNUMBER(MATCH(FG$3,Holidays,0)),"عطلة",IF(MOD(FG$3-'الموظفون'!$D$8,CycleWork+CycleRest)&lt;CycleWork,INDEX('الإعدادات والقوائم'!$H$2:$H$4,MOD(INT(MOD(FG$3-'الموظفون'!$D$8,CycleWork+CycleRest)*3/CycleWork)+MATCH(StartShift,'الإعدادات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الإجازات'!$D$5:$D$104&lt;=FG$3)*(('حجز الإجازات'!$E$5:$E$104)&gt;=FG$3)*('حجز الإجازات'!$G$5:$G$104="معتمد")*ROW('حجز الإجازات'!$B$5:$B$104)))-5+1))</f>
        <v/>
      </c>
      <c r="FH10" s="62">
        <f>IF(SUMPRODUCT(('حجز الإجازات'!$B$5:$B$104='الموظفون'!$B$8)*('حجز الإجازات'!$D$5:$D$104&lt;=FH$3)*(('حجز الإجازات'!$E$5:$E$104)&gt;=FH$3)*('حجز الإجازات'!$G$5:$G$104="معتمد")*ROW('حجز الإجازات'!$B$5:$B$104))=0,IF(FH$3&lt;'الموظفون'!$D$8,"",IF(ISNUMBER(MATCH(FH$3,Holidays,0)),"عطلة",IF(MOD(FH$3-'الموظفون'!$D$8,CycleWork+CycleRest)&lt;CycleWork,INDEX('الإعدادات والقوائم'!$H$2:$H$4,MOD(INT(MOD(FH$3-'الموظفون'!$D$8,CycleWork+CycleRest)*3/CycleWork)+MATCH(StartShift,'الإعدادات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الإجازات'!$D$5:$D$104&lt;=FH$3)*(('حجز الإجازات'!$E$5:$E$104)&gt;=FH$3)*('حجز الإجازات'!$G$5:$G$104="معتمد")*ROW('حجز الإجازات'!$B$5:$B$104)))-5+1))</f>
        <v/>
      </c>
      <c r="FI10" s="62">
        <f>IF(SUMPRODUCT(('حجز الإجازات'!$B$5:$B$104='الموظفون'!$B$8)*('حجز الإجازات'!$D$5:$D$104&lt;=FI$3)*(('حجز الإجازات'!$E$5:$E$104)&gt;=FI$3)*('حجز الإجازات'!$G$5:$G$104="معتمد")*ROW('حجز الإجازات'!$B$5:$B$104))=0,IF(FI$3&lt;'الموظفون'!$D$8,"",IF(ISNUMBER(MATCH(FI$3,Holidays,0)),"عطلة",IF(MOD(FI$3-'الموظفون'!$D$8,CycleWork+CycleRest)&lt;CycleWork,INDEX('الإعدادات والقوائم'!$H$2:$H$4,MOD(INT(MOD(FI$3-'الموظفون'!$D$8,CycleWork+CycleRest)*3/CycleWork)+MATCH(StartShift,'الإعدادات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الإجازات'!$D$5:$D$104&lt;=FI$3)*(('حجز الإجازات'!$E$5:$E$104)&gt;=FI$3)*('حجز الإجازات'!$G$5:$G$104="معتمد")*ROW('حجز الإجازات'!$B$5:$B$104)))-5+1))</f>
        <v/>
      </c>
      <c r="FJ10" s="62">
        <f>IF(SUMPRODUCT(('حجز الإجازات'!$B$5:$B$104='الموظفون'!$B$8)*('حجز الإجازات'!$D$5:$D$104&lt;=FJ$3)*(('حجز الإجازات'!$E$5:$E$104)&gt;=FJ$3)*('حجز الإجازات'!$G$5:$G$104="معتمد")*ROW('حجز الإجازات'!$B$5:$B$104))=0,IF(FJ$3&lt;'الموظفون'!$D$8,"",IF(ISNUMBER(MATCH(FJ$3,Holidays,0)),"عطلة",IF(MOD(FJ$3-'الموظفون'!$D$8,CycleWork+CycleRest)&lt;CycleWork,INDEX('الإعدادات والقوائم'!$H$2:$H$4,MOD(INT(MOD(FJ$3-'الموظفون'!$D$8,CycleWork+CycleRest)*3/CycleWork)+MATCH(StartShift,'الإعدادات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الإجازات'!$D$5:$D$104&lt;=FJ$3)*(('حجز الإجازات'!$E$5:$E$104)&gt;=FJ$3)*('حجز الإجازات'!$G$5:$G$104="معتمد")*ROW('حجز الإجازات'!$B$5:$B$104)))-5+1))</f>
        <v/>
      </c>
      <c r="FK10" s="62">
        <f>IF(SUMPRODUCT(('حجز الإجازات'!$B$5:$B$104='الموظفون'!$B$8)*('حجز الإجازات'!$D$5:$D$104&lt;=FK$3)*(('حجز الإجازات'!$E$5:$E$104)&gt;=FK$3)*('حجز الإجازات'!$G$5:$G$104="معتمد")*ROW('حجز الإجازات'!$B$5:$B$104))=0,IF(FK$3&lt;'الموظفون'!$D$8,"",IF(ISNUMBER(MATCH(FK$3,Holidays,0)),"عطلة",IF(MOD(FK$3-'الموظفون'!$D$8,CycleWork+CycleRest)&lt;CycleWork,INDEX('الإعدادات والقوائم'!$H$2:$H$4,MOD(INT(MOD(FK$3-'الموظفون'!$D$8,CycleWork+CycleRest)*3/CycleWork)+MATCH(StartShift,'الإعدادات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الإجازات'!$D$5:$D$104&lt;=FK$3)*(('حجز الإجازات'!$E$5:$E$104)&gt;=FK$3)*('حجز الإجازات'!$G$5:$G$104="معتمد")*ROW('حجز الإجازات'!$B$5:$B$104)))-5+1))</f>
        <v/>
      </c>
      <c r="FL10" s="62">
        <f>IF(SUMPRODUCT(('حجز الإجازات'!$B$5:$B$104='الموظفون'!$B$8)*('حجز الإجازات'!$D$5:$D$104&lt;=FL$3)*(('حجز الإجازات'!$E$5:$E$104)&gt;=FL$3)*('حجز الإجازات'!$G$5:$G$104="معتمد")*ROW('حجز الإجازات'!$B$5:$B$104))=0,IF(FL$3&lt;'الموظفون'!$D$8,"",IF(ISNUMBER(MATCH(FL$3,Holidays,0)),"عطلة",IF(MOD(FL$3-'الموظفون'!$D$8,CycleWork+CycleRest)&lt;CycleWork,INDEX('الإعدادات والقوائم'!$H$2:$H$4,MOD(INT(MOD(FL$3-'الموظفون'!$D$8,CycleWork+CycleRest)*3/CycleWork)+MATCH(StartShift,'الإعدادات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الإجازات'!$D$5:$D$104&lt;=FL$3)*(('حجز الإجازات'!$E$5:$E$104)&gt;=FL$3)*('حجز الإجازات'!$G$5:$G$104="معتمد")*ROW('حجز الإجازات'!$B$5:$B$104)))-5+1))</f>
        <v/>
      </c>
      <c r="FM10" s="62">
        <f>IF(SUMPRODUCT(('حجز الإجازات'!$B$5:$B$104='الموظفون'!$B$8)*('حجز الإجازات'!$D$5:$D$104&lt;=FM$3)*(('حجز الإجازات'!$E$5:$E$104)&gt;=FM$3)*('حجز الإجازات'!$G$5:$G$104="معتمد")*ROW('حجز الإجازات'!$B$5:$B$104))=0,IF(FM$3&lt;'الموظفون'!$D$8,"",IF(ISNUMBER(MATCH(FM$3,Holidays,0)),"عطلة",IF(MOD(FM$3-'الموظفون'!$D$8,CycleWork+CycleRest)&lt;CycleWork,INDEX('الإعدادات والقوائم'!$H$2:$H$4,MOD(INT(MOD(FM$3-'الموظفون'!$D$8,CycleWork+CycleRest)*3/CycleWork)+MATCH(StartShift,'الإعدادات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الإجازات'!$D$5:$D$104&lt;=FM$3)*(('حجز الإجازات'!$E$5:$E$104)&gt;=FM$3)*('حجز الإجازات'!$G$5:$G$104="معتمد")*ROW('حجز الإجازات'!$B$5:$B$104)))-5+1))</f>
        <v/>
      </c>
      <c r="FN10" s="62">
        <f>IF(SUMPRODUCT(('حجز الإجازات'!$B$5:$B$104='الموظفون'!$B$8)*('حجز الإجازات'!$D$5:$D$104&lt;=FN$3)*(('حجز الإجازات'!$E$5:$E$104)&gt;=FN$3)*('حجز الإجازات'!$G$5:$G$104="معتمد")*ROW('حجز الإجازات'!$B$5:$B$104))=0,IF(FN$3&lt;'الموظفون'!$D$8,"",IF(ISNUMBER(MATCH(FN$3,Holidays,0)),"عطلة",IF(MOD(FN$3-'الموظفون'!$D$8,CycleWork+CycleRest)&lt;CycleWork,INDEX('الإعدادات والقوائم'!$H$2:$H$4,MOD(INT(MOD(FN$3-'الموظفون'!$D$8,CycleWork+CycleRest)*3/CycleWork)+MATCH(StartShift,'الإعدادات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الإجازات'!$D$5:$D$104&lt;=FN$3)*(('حجز الإجازات'!$E$5:$E$104)&gt;=FN$3)*('حجز الإجازات'!$G$5:$G$104="معتمد")*ROW('حجز الإجازات'!$B$5:$B$104)))-5+1))</f>
        <v/>
      </c>
      <c r="FO10" s="62">
        <f>IF(SUMPRODUCT(('حجز الإجازات'!$B$5:$B$104='الموظفون'!$B$8)*('حجز الإجازات'!$D$5:$D$104&lt;=FO$3)*(('حجز الإجازات'!$E$5:$E$104)&gt;=FO$3)*('حجز الإجازات'!$G$5:$G$104="معتمد")*ROW('حجز الإجازات'!$B$5:$B$104))=0,IF(FO$3&lt;'الموظفون'!$D$8,"",IF(ISNUMBER(MATCH(FO$3,Holidays,0)),"عطلة",IF(MOD(FO$3-'الموظفون'!$D$8,CycleWork+CycleRest)&lt;CycleWork,INDEX('الإعدادات والقوائم'!$H$2:$H$4,MOD(INT(MOD(FO$3-'الموظفون'!$D$8,CycleWork+CycleRest)*3/CycleWork)+MATCH(StartShift,'الإعدادات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الإجازات'!$D$5:$D$104&lt;=FO$3)*(('حجز الإجازات'!$E$5:$E$104)&gt;=FO$3)*('حجز الإجازات'!$G$5:$G$104="معتمد")*ROW('حجز الإجازات'!$B$5:$B$104)))-5+1))</f>
        <v/>
      </c>
      <c r="FP10" s="62">
        <f>IF(SUMPRODUCT(('حجز الإجازات'!$B$5:$B$104='الموظفون'!$B$8)*('حجز الإجازات'!$D$5:$D$104&lt;=FP$3)*(('حجز الإجازات'!$E$5:$E$104)&gt;=FP$3)*('حجز الإجازات'!$G$5:$G$104="معتمد")*ROW('حجز الإجازات'!$B$5:$B$104))=0,IF(FP$3&lt;'الموظفون'!$D$8,"",IF(ISNUMBER(MATCH(FP$3,Holidays,0)),"عطلة",IF(MOD(FP$3-'الموظفون'!$D$8,CycleWork+CycleRest)&lt;CycleWork,INDEX('الإعدادات والقوائم'!$H$2:$H$4,MOD(INT(MOD(FP$3-'الموظفون'!$D$8,CycleWork+CycleRest)*3/CycleWork)+MATCH(StartShift,'الإعدادات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الإجازات'!$D$5:$D$104&lt;=FP$3)*(('حجز الإجازات'!$E$5:$E$104)&gt;=FP$3)*('حجز الإجازات'!$G$5:$G$104="معتمد")*ROW('حجز الإجازات'!$B$5:$B$104)))-5+1))</f>
        <v/>
      </c>
      <c r="FQ10" s="62">
        <f>IF(SUMPRODUCT(('حجز الإجازات'!$B$5:$B$104='الموظفون'!$B$8)*('حجز الإجازات'!$D$5:$D$104&lt;=FQ$3)*(('حجز الإجازات'!$E$5:$E$104)&gt;=FQ$3)*('حجز الإجازات'!$G$5:$G$104="معتمد")*ROW('حجز الإجازات'!$B$5:$B$104))=0,IF(FQ$3&lt;'الموظفون'!$D$8,"",IF(ISNUMBER(MATCH(FQ$3,Holidays,0)),"عطلة",IF(MOD(FQ$3-'الموظفون'!$D$8,CycleWork+CycleRest)&lt;CycleWork,INDEX('الإعدادات والقوائم'!$H$2:$H$4,MOD(INT(MOD(FQ$3-'الموظفون'!$D$8,CycleWork+CycleRest)*3/CycleWork)+MATCH(StartShift,'الإعدادات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الإجازات'!$D$5:$D$104&lt;=FQ$3)*(('حجز الإجازات'!$E$5:$E$104)&gt;=FQ$3)*('حجز الإجازات'!$G$5:$G$104="معتمد")*ROW('حجز الإجازات'!$B$5:$B$104)))-5+1))</f>
        <v/>
      </c>
      <c r="FR10" s="62">
        <f>IF(SUMPRODUCT(('حجز الإجازات'!$B$5:$B$104='الموظفون'!$B$8)*('حجز الإجازات'!$D$5:$D$104&lt;=FR$3)*(('حجز الإجازات'!$E$5:$E$104)&gt;=FR$3)*('حجز الإجازات'!$G$5:$G$104="معتمد")*ROW('حجز الإجازات'!$B$5:$B$104))=0,IF(FR$3&lt;'الموظفون'!$D$8,"",IF(ISNUMBER(MATCH(FR$3,Holidays,0)),"عطلة",IF(MOD(FR$3-'الموظفون'!$D$8,CycleWork+CycleRest)&lt;CycleWork,INDEX('الإعدادات والقوائم'!$H$2:$H$4,MOD(INT(MOD(FR$3-'الموظفون'!$D$8,CycleWork+CycleRest)*3/CycleWork)+MATCH(StartShift,'الإعدادات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الإجازات'!$D$5:$D$104&lt;=FR$3)*(('حجز الإجازات'!$E$5:$E$104)&gt;=FR$3)*('حجز الإجازات'!$G$5:$G$104="معتمد")*ROW('حجز الإجازات'!$B$5:$B$104)))-5+1))</f>
        <v/>
      </c>
      <c r="FS10" s="62">
        <f>IF(SUMPRODUCT(('حجز الإجازات'!$B$5:$B$104='الموظفون'!$B$8)*('حجز الإجازات'!$D$5:$D$104&lt;=FS$3)*(('حجز الإجازات'!$E$5:$E$104)&gt;=FS$3)*('حجز الإجازات'!$G$5:$G$104="معتمد")*ROW('حجز الإجازات'!$B$5:$B$104))=0,IF(FS$3&lt;'الموظفون'!$D$8,"",IF(ISNUMBER(MATCH(FS$3,Holidays,0)),"عطلة",IF(MOD(FS$3-'الموظفون'!$D$8,CycleWork+CycleRest)&lt;CycleWork,INDEX('الإعدادات والقوائم'!$H$2:$H$4,MOD(INT(MOD(FS$3-'الموظفون'!$D$8,CycleWork+CycleRest)*3/CycleWork)+MATCH(StartShift,'الإعدادات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الإجازات'!$D$5:$D$104&lt;=FS$3)*(('حجز الإجازات'!$E$5:$E$104)&gt;=FS$3)*('حجز الإجازات'!$G$5:$G$104="معتمد")*ROW('حجز الإجازات'!$B$5:$B$104)))-5+1))</f>
        <v/>
      </c>
      <c r="FT10" s="62">
        <f>IF(SUMPRODUCT(('حجز الإجازات'!$B$5:$B$104='الموظفون'!$B$8)*('حجز الإجازات'!$D$5:$D$104&lt;=FT$3)*(('حجز الإجازات'!$E$5:$E$104)&gt;=FT$3)*('حجز الإجازات'!$G$5:$G$104="معتمد")*ROW('حجز الإجازات'!$B$5:$B$104))=0,IF(FT$3&lt;'الموظفون'!$D$8,"",IF(ISNUMBER(MATCH(FT$3,Holidays,0)),"عطلة",IF(MOD(FT$3-'الموظفون'!$D$8,CycleWork+CycleRest)&lt;CycleWork,INDEX('الإعدادات والقوائم'!$H$2:$H$4,MOD(INT(MOD(FT$3-'الموظفون'!$D$8,CycleWork+CycleRest)*3/CycleWork)+MATCH(StartShift,'الإعدادات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الإجازات'!$D$5:$D$104&lt;=FT$3)*(('حجز الإجازات'!$E$5:$E$104)&gt;=FT$3)*('حجز الإجازات'!$G$5:$G$104="معتمد")*ROW('حجز الإجازات'!$B$5:$B$104)))-5+1))</f>
        <v/>
      </c>
      <c r="FU10" s="62">
        <f>IF(SUMPRODUCT(('حجز الإجازات'!$B$5:$B$104='الموظفون'!$B$8)*('حجز الإجازات'!$D$5:$D$104&lt;=FU$3)*(('حجز الإجازات'!$E$5:$E$104)&gt;=FU$3)*('حجز الإجازات'!$G$5:$G$104="معتمد")*ROW('حجز الإجازات'!$B$5:$B$104))=0,IF(FU$3&lt;'الموظفون'!$D$8,"",IF(ISNUMBER(MATCH(FU$3,Holidays,0)),"عطلة",IF(MOD(FU$3-'الموظفون'!$D$8,CycleWork+CycleRest)&lt;CycleWork,INDEX('الإعدادات والقوائم'!$H$2:$H$4,MOD(INT(MOD(FU$3-'الموظفون'!$D$8,CycleWork+CycleRest)*3/CycleWork)+MATCH(StartShift,'الإعدادات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الإجازات'!$D$5:$D$104&lt;=FU$3)*(('حجز الإجازات'!$E$5:$E$104)&gt;=FU$3)*('حجز الإجازات'!$G$5:$G$104="معتمد")*ROW('حجز الإجازات'!$B$5:$B$104)))-5+1))</f>
        <v/>
      </c>
      <c r="FV10" s="62">
        <f>IF(SUMPRODUCT(('حجز الإجازات'!$B$5:$B$104='الموظفون'!$B$8)*('حجز الإجازات'!$D$5:$D$104&lt;=FV$3)*(('حجز الإجازات'!$E$5:$E$104)&gt;=FV$3)*('حجز الإجازات'!$G$5:$G$104="معتمد")*ROW('حجز الإجازات'!$B$5:$B$104))=0,IF(FV$3&lt;'الموظفون'!$D$8,"",IF(ISNUMBER(MATCH(FV$3,Holidays,0)),"عطلة",IF(MOD(FV$3-'الموظفون'!$D$8,CycleWork+CycleRest)&lt;CycleWork,INDEX('الإعدادات والقوائم'!$H$2:$H$4,MOD(INT(MOD(FV$3-'الموظفون'!$D$8,CycleWork+CycleRest)*3/CycleWork)+MATCH(StartShift,'الإعدادات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الإجازات'!$D$5:$D$104&lt;=FV$3)*(('حجز الإجازات'!$E$5:$E$104)&gt;=FV$3)*('حجز الإجازات'!$G$5:$G$104="معتمد")*ROW('حجز الإجازات'!$B$5:$B$104)))-5+1))</f>
        <v/>
      </c>
      <c r="FW10" s="62">
        <f>IF(SUMPRODUCT(('حجز الإجازات'!$B$5:$B$104='الموظفون'!$B$8)*('حجز الإجازات'!$D$5:$D$104&lt;=FW$3)*(('حجز الإجازات'!$E$5:$E$104)&gt;=FW$3)*('حجز الإجازات'!$G$5:$G$104="معتمد")*ROW('حجز الإجازات'!$B$5:$B$104))=0,IF(FW$3&lt;'الموظفون'!$D$8,"",IF(ISNUMBER(MATCH(FW$3,Holidays,0)),"عطلة",IF(MOD(FW$3-'الموظفون'!$D$8,CycleWork+CycleRest)&lt;CycleWork,INDEX('الإعدادات والقوائم'!$H$2:$H$4,MOD(INT(MOD(FW$3-'الموظفون'!$D$8,CycleWork+CycleRest)*3/CycleWork)+MATCH(StartShift,'الإعدادات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الإجازات'!$D$5:$D$104&lt;=FW$3)*(('حجز الإجازات'!$E$5:$E$104)&gt;=FW$3)*('حجز الإجازات'!$G$5:$G$104="معتمد")*ROW('حجز الإجازات'!$B$5:$B$104)))-5+1))</f>
        <v/>
      </c>
      <c r="FX10" s="62">
        <f>IF(SUMPRODUCT(('حجز الإجازات'!$B$5:$B$104='الموظفون'!$B$8)*('حجز الإجازات'!$D$5:$D$104&lt;=FX$3)*(('حجز الإجازات'!$E$5:$E$104)&gt;=FX$3)*('حجز الإجازات'!$G$5:$G$104="معتمد")*ROW('حجز الإجازات'!$B$5:$B$104))=0,IF(FX$3&lt;'الموظفون'!$D$8,"",IF(ISNUMBER(MATCH(FX$3,Holidays,0)),"عطلة",IF(MOD(FX$3-'الموظفون'!$D$8,CycleWork+CycleRest)&lt;CycleWork,INDEX('الإعدادات والقوائم'!$H$2:$H$4,MOD(INT(MOD(FX$3-'الموظفون'!$D$8,CycleWork+CycleRest)*3/CycleWork)+MATCH(StartShift,'الإعدادات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الإجازات'!$D$5:$D$104&lt;=FX$3)*(('حجز الإجازات'!$E$5:$E$104)&gt;=FX$3)*('حجز الإجازات'!$G$5:$G$104="معتمد")*ROW('حجز الإجازات'!$B$5:$B$104)))-5+1))</f>
        <v/>
      </c>
      <c r="FY10" s="62">
        <f>IF(SUMPRODUCT(('حجز الإجازات'!$B$5:$B$104='الموظفون'!$B$8)*('حجز الإجازات'!$D$5:$D$104&lt;=FY$3)*(('حجز الإجازات'!$E$5:$E$104)&gt;=FY$3)*('حجز الإجازات'!$G$5:$G$104="معتمد")*ROW('حجز الإجازات'!$B$5:$B$104))=0,IF(FY$3&lt;'الموظفون'!$D$8,"",IF(ISNUMBER(MATCH(FY$3,Holidays,0)),"عطلة",IF(MOD(FY$3-'الموظفون'!$D$8,CycleWork+CycleRest)&lt;CycleWork,INDEX('الإعدادات والقوائم'!$H$2:$H$4,MOD(INT(MOD(FY$3-'الموظفون'!$D$8,CycleWork+CycleRest)*3/CycleWork)+MATCH(StartShift,'الإعدادات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الإجازات'!$D$5:$D$104&lt;=FY$3)*(('حجز الإجازات'!$E$5:$E$104)&gt;=FY$3)*('حجز الإجازات'!$G$5:$G$104="معتمد")*ROW('حجز الإجازات'!$B$5:$B$104)))-5+1))</f>
        <v/>
      </c>
      <c r="FZ10" s="62">
        <f>IF(SUMPRODUCT(('حجز الإجازات'!$B$5:$B$104='الموظفون'!$B$8)*('حجز الإجازات'!$D$5:$D$104&lt;=FZ$3)*(('حجز الإجازات'!$E$5:$E$104)&gt;=FZ$3)*('حجز الإجازات'!$G$5:$G$104="معتمد")*ROW('حجز الإجازات'!$B$5:$B$104))=0,IF(FZ$3&lt;'الموظفون'!$D$8,"",IF(ISNUMBER(MATCH(FZ$3,Holidays,0)),"عطلة",IF(MOD(FZ$3-'الموظفون'!$D$8,CycleWork+CycleRest)&lt;CycleWork,INDEX('الإعدادات والقوائم'!$H$2:$H$4,MOD(INT(MOD(FZ$3-'الموظفون'!$D$8,CycleWork+CycleRest)*3/CycleWork)+MATCH(StartShift,'الإعدادات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الإجازات'!$D$5:$D$104&lt;=FZ$3)*(('حجز الإجازات'!$E$5:$E$104)&gt;=FZ$3)*('حجز الإجازات'!$G$5:$G$104="معتمد")*ROW('حجز الإجازات'!$B$5:$B$104)))-5+1))</f>
        <v/>
      </c>
      <c r="GA10" s="62">
        <f>IF(SUMPRODUCT(('حجز الإجازات'!$B$5:$B$104='الموظفون'!$B$8)*('حجز الإجازات'!$D$5:$D$104&lt;=GA$3)*(('حجز الإجازات'!$E$5:$E$104)&gt;=GA$3)*('حجز الإجازات'!$G$5:$G$104="معتمد")*ROW('حجز الإجازات'!$B$5:$B$104))=0,IF(GA$3&lt;'الموظفون'!$D$8,"",IF(ISNUMBER(MATCH(GA$3,Holidays,0)),"عطلة",IF(MOD(GA$3-'الموظفون'!$D$8,CycleWork+CycleRest)&lt;CycleWork,INDEX('الإعدادات والقوائم'!$H$2:$H$4,MOD(INT(MOD(GA$3-'الموظفون'!$D$8,CycleWork+CycleRest)*3/CycleWork)+MATCH(StartShift,'الإعدادات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الإجازات'!$D$5:$D$104&lt;=GA$3)*(('حجز الإجازات'!$E$5:$E$104)&gt;=GA$3)*('حجز الإجازات'!$G$5:$G$104="معتمد")*ROW('حجز الإجازات'!$B$5:$B$104)))-5+1))</f>
        <v/>
      </c>
      <c r="GB10" s="62">
        <f>IF(SUMPRODUCT(('حجز الإجازات'!$B$5:$B$104='الموظفون'!$B$8)*('حجز الإجازات'!$D$5:$D$104&lt;=GB$3)*(('حجز الإجازات'!$E$5:$E$104)&gt;=GB$3)*('حجز الإجازات'!$G$5:$G$104="معتمد")*ROW('حجز الإجازات'!$B$5:$B$104))=0,IF(GB$3&lt;'الموظفون'!$D$8,"",IF(ISNUMBER(MATCH(GB$3,Holidays,0)),"عطلة",IF(MOD(GB$3-'الموظفون'!$D$8,CycleWork+CycleRest)&lt;CycleWork,INDEX('الإعدادات والقوائم'!$H$2:$H$4,MOD(INT(MOD(GB$3-'الموظفون'!$D$8,CycleWork+CycleRest)*3/CycleWork)+MATCH(StartShift,'الإعدادات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الإجازات'!$D$5:$D$104&lt;=GB$3)*(('حجز الإجازات'!$E$5:$E$104)&gt;=GB$3)*('حجز الإجازات'!$G$5:$G$104="معتمد")*ROW('حجز الإجازات'!$B$5:$B$104)))-5+1))</f>
        <v/>
      </c>
      <c r="GC10" s="62">
        <f>IF(SUMPRODUCT(('حجز الإجازات'!$B$5:$B$104='الموظفون'!$B$8)*('حجز الإجازات'!$D$5:$D$104&lt;=GC$3)*(('حجز الإجازات'!$E$5:$E$104)&gt;=GC$3)*('حجز الإجازات'!$G$5:$G$104="معتمد")*ROW('حجز الإجازات'!$B$5:$B$104))=0,IF(GC$3&lt;'الموظفون'!$D$8,"",IF(ISNUMBER(MATCH(GC$3,Holidays,0)),"عطلة",IF(MOD(GC$3-'الموظفون'!$D$8,CycleWork+CycleRest)&lt;CycleWork,INDEX('الإعدادات والقوائم'!$H$2:$H$4,MOD(INT(MOD(GC$3-'الموظفون'!$D$8,CycleWork+CycleRest)*3/CycleWork)+MATCH(StartShift,'الإعدادات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الإجازات'!$D$5:$D$104&lt;=GC$3)*(('حجز الإجازات'!$E$5:$E$104)&gt;=GC$3)*('حجز الإجازات'!$G$5:$G$104="معتمد")*ROW('حجز الإجازات'!$B$5:$B$104)))-5+1))</f>
        <v/>
      </c>
      <c r="GD10" s="62">
        <f>IF(SUMPRODUCT(('حجز الإجازات'!$B$5:$B$104='الموظفون'!$B$8)*('حجز الإجازات'!$D$5:$D$104&lt;=GD$3)*(('حجز الإجازات'!$E$5:$E$104)&gt;=GD$3)*('حجز الإجازات'!$G$5:$G$104="معتمد")*ROW('حجز الإجازات'!$B$5:$B$104))=0,IF(GD$3&lt;'الموظفون'!$D$8,"",IF(ISNUMBER(MATCH(GD$3,Holidays,0)),"عطلة",IF(MOD(GD$3-'الموظفون'!$D$8,CycleWork+CycleRest)&lt;CycleWork,INDEX('الإعدادات والقوائم'!$H$2:$H$4,MOD(INT(MOD(GD$3-'الموظفون'!$D$8,CycleWork+CycleRest)*3/CycleWork)+MATCH(StartShift,'الإعدادات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الإجازات'!$D$5:$D$104&lt;=GD$3)*(('حجز الإجازات'!$E$5:$E$104)&gt;=GD$3)*('حجز الإجازات'!$G$5:$G$104="معتمد")*ROW('حجز الإجازات'!$B$5:$B$104)))-5+1))</f>
        <v/>
      </c>
      <c r="GE10" s="62">
        <f>IF(SUMPRODUCT(('حجز الإجازات'!$B$5:$B$104='الموظفون'!$B$8)*('حجز الإجازات'!$D$5:$D$104&lt;=GE$3)*(('حجز الإجازات'!$E$5:$E$104)&gt;=GE$3)*('حجز الإجازات'!$G$5:$G$104="معتمد")*ROW('حجز الإجازات'!$B$5:$B$104))=0,IF(GE$3&lt;'الموظفون'!$D$8,"",IF(ISNUMBER(MATCH(GE$3,Holidays,0)),"عطلة",IF(MOD(GE$3-'الموظفون'!$D$8,CycleWork+CycleRest)&lt;CycleWork,INDEX('الإعدادات والقوائم'!$H$2:$H$4,MOD(INT(MOD(GE$3-'الموظفون'!$D$8,CycleWork+CycleRest)*3/CycleWork)+MATCH(StartShift,'الإعدادات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الإجازات'!$D$5:$D$104&lt;=GE$3)*(('حجز الإجازات'!$E$5:$E$104)&gt;=GE$3)*('حجز الإجازات'!$G$5:$G$104="معتمد")*ROW('حجز الإجازات'!$B$5:$B$104)))-5+1))</f>
        <v/>
      </c>
      <c r="GF10" s="62">
        <f>IF(SUMPRODUCT(('حجز الإجازات'!$B$5:$B$104='الموظفون'!$B$8)*('حجز الإجازات'!$D$5:$D$104&lt;=GF$3)*(('حجز الإجازات'!$E$5:$E$104)&gt;=GF$3)*('حجز الإجازات'!$G$5:$G$104="معتمد")*ROW('حجز الإجازات'!$B$5:$B$104))=0,IF(GF$3&lt;'الموظفون'!$D$8,"",IF(ISNUMBER(MATCH(GF$3,Holidays,0)),"عطلة",IF(MOD(GF$3-'الموظفون'!$D$8,CycleWork+CycleRest)&lt;CycleWork,INDEX('الإعدادات والقوائم'!$H$2:$H$4,MOD(INT(MOD(GF$3-'الموظفون'!$D$8,CycleWork+CycleRest)*3/CycleWork)+MATCH(StartShift,'الإعدادات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الإجازات'!$D$5:$D$104&lt;=GF$3)*(('حجز الإجازات'!$E$5:$E$104)&gt;=GF$3)*('حجز الإجازات'!$G$5:$G$104="معتمد")*ROW('حجز الإجازات'!$B$5:$B$104)))-5+1))</f>
        <v/>
      </c>
      <c r="GG10" s="62">
        <f>IF(SUMPRODUCT(('حجز الإجازات'!$B$5:$B$104='الموظفون'!$B$8)*('حجز الإجازات'!$D$5:$D$104&lt;=GG$3)*(('حجز الإجازات'!$E$5:$E$104)&gt;=GG$3)*('حجز الإجازات'!$G$5:$G$104="معتمد")*ROW('حجز الإجازات'!$B$5:$B$104))=0,IF(GG$3&lt;'الموظفون'!$D$8,"",IF(ISNUMBER(MATCH(GG$3,Holidays,0)),"عطلة",IF(MOD(GG$3-'الموظفون'!$D$8,CycleWork+CycleRest)&lt;CycleWork,INDEX('الإعدادات والقوائم'!$H$2:$H$4,MOD(INT(MOD(GG$3-'الموظفون'!$D$8,CycleWork+CycleRest)*3/CycleWork)+MATCH(StartShift,'الإعدادات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الإجازات'!$D$5:$D$104&lt;=GG$3)*(('حجز الإجازات'!$E$5:$E$104)&gt;=GG$3)*('حجز الإجازات'!$G$5:$G$104="معتمد")*ROW('حجز الإجازات'!$B$5:$B$104)))-5+1))</f>
        <v/>
      </c>
      <c r="GH10" s="62">
        <f>IF(SUMPRODUCT(('حجز الإجازات'!$B$5:$B$104='الموظفون'!$B$8)*('حجز الإجازات'!$D$5:$D$104&lt;=GH$3)*(('حجز الإجازات'!$E$5:$E$104)&gt;=GH$3)*('حجز الإجازات'!$G$5:$G$104="معتمد")*ROW('حجز الإجازات'!$B$5:$B$104))=0,IF(GH$3&lt;'الموظفون'!$D$8,"",IF(ISNUMBER(MATCH(GH$3,Holidays,0)),"عطلة",IF(MOD(GH$3-'الموظفون'!$D$8,CycleWork+CycleRest)&lt;CycleWork,INDEX('الإعدادات والقوائم'!$H$2:$H$4,MOD(INT(MOD(GH$3-'الموظفون'!$D$8,CycleWork+CycleRest)*3/CycleWork)+MATCH(StartShift,'الإعدادات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الإجازات'!$D$5:$D$104&lt;=GH$3)*(('حجز الإجازات'!$E$5:$E$104)&gt;=GH$3)*('حجز الإجازات'!$G$5:$G$104="معتمد")*ROW('حجز الإجازات'!$B$5:$B$104)))-5+1))</f>
        <v/>
      </c>
      <c r="GI10" s="62">
        <f>IF(SUMPRODUCT(('حجز الإجازات'!$B$5:$B$104='الموظفون'!$B$8)*('حجز الإجازات'!$D$5:$D$104&lt;=GI$3)*(('حجز الإجازات'!$E$5:$E$104)&gt;=GI$3)*('حجز الإجازات'!$G$5:$G$104="معتمد")*ROW('حجز الإجازات'!$B$5:$B$104))=0,IF(GI$3&lt;'الموظفون'!$D$8,"",IF(ISNUMBER(MATCH(GI$3,Holidays,0)),"عطلة",IF(MOD(GI$3-'الموظفون'!$D$8,CycleWork+CycleRest)&lt;CycleWork,INDEX('الإعدادات والقوائم'!$H$2:$H$4,MOD(INT(MOD(GI$3-'الموظفون'!$D$8,CycleWork+CycleRest)*3/CycleWork)+MATCH(StartShift,'الإعدادات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الإجازات'!$D$5:$D$104&lt;=GI$3)*(('حجز الإجازات'!$E$5:$E$104)&gt;=GI$3)*('حجز الإجازات'!$G$5:$G$104="معتمد")*ROW('حجز الإجازات'!$B$5:$B$104)))-5+1))</f>
        <v/>
      </c>
      <c r="GJ10" s="62">
        <f>IF(SUMPRODUCT(('حجز الإجازات'!$B$5:$B$104='الموظفون'!$B$8)*('حجز الإجازات'!$D$5:$D$104&lt;=GJ$3)*(('حجز الإجازات'!$E$5:$E$104)&gt;=GJ$3)*('حجز الإجازات'!$G$5:$G$104="معتمد")*ROW('حجز الإجازات'!$B$5:$B$104))=0,IF(GJ$3&lt;'الموظفون'!$D$8,"",IF(ISNUMBER(MATCH(GJ$3,Holidays,0)),"عطلة",IF(MOD(GJ$3-'الموظفون'!$D$8,CycleWork+CycleRest)&lt;CycleWork,INDEX('الإعدادات والقوائم'!$H$2:$H$4,MOD(INT(MOD(GJ$3-'الموظفون'!$D$8,CycleWork+CycleRest)*3/CycleWork)+MATCH(StartShift,'الإعدادات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الإجازات'!$D$5:$D$104&lt;=GJ$3)*(('حجز الإجازات'!$E$5:$E$104)&gt;=GJ$3)*('حجز الإجازات'!$G$5:$G$104="معتمد")*ROW('حجز الإجازات'!$B$5:$B$104)))-5+1))</f>
        <v/>
      </c>
      <c r="GK10" s="62">
        <f>IF(SUMPRODUCT(('حجز الإجازات'!$B$5:$B$104='الموظفون'!$B$8)*('حجز الإجازات'!$D$5:$D$104&lt;=GK$3)*(('حجز الإجازات'!$E$5:$E$104)&gt;=GK$3)*('حجز الإجازات'!$G$5:$G$104="معتمد")*ROW('حجز الإجازات'!$B$5:$B$104))=0,IF(GK$3&lt;'الموظفون'!$D$8,"",IF(ISNUMBER(MATCH(GK$3,Holidays,0)),"عطلة",IF(MOD(GK$3-'الموظفون'!$D$8,CycleWork+CycleRest)&lt;CycleWork,INDEX('الإعدادات والقوائم'!$H$2:$H$4,MOD(INT(MOD(GK$3-'الموظفون'!$D$8,CycleWork+CycleRest)*3/CycleWork)+MATCH(StartShift,'الإعدادات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الإجازات'!$D$5:$D$104&lt;=GK$3)*(('حجز الإجازات'!$E$5:$E$104)&gt;=GK$3)*('حجز الإجازات'!$G$5:$G$104="معتمد")*ROW('حجز الإجازات'!$B$5:$B$104)))-5+1))</f>
        <v/>
      </c>
      <c r="GL10" s="62">
        <f>IF(SUMPRODUCT(('حجز الإجازات'!$B$5:$B$104='الموظفون'!$B$8)*('حجز الإجازات'!$D$5:$D$104&lt;=GL$3)*(('حجز الإجازات'!$E$5:$E$104)&gt;=GL$3)*('حجز الإجازات'!$G$5:$G$104="معتمد")*ROW('حجز الإجازات'!$B$5:$B$104))=0,IF(GL$3&lt;'الموظفون'!$D$8,"",IF(ISNUMBER(MATCH(GL$3,Holidays,0)),"عطلة",IF(MOD(GL$3-'الموظفون'!$D$8,CycleWork+CycleRest)&lt;CycleWork,INDEX('الإعدادات والقوائم'!$H$2:$H$4,MOD(INT(MOD(GL$3-'الموظفون'!$D$8,CycleWork+CycleRest)*3/CycleWork)+MATCH(StartShift,'الإعدادات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الإجازات'!$D$5:$D$104&lt;=GL$3)*(('حجز الإجازات'!$E$5:$E$104)&gt;=GL$3)*('حجز الإجازات'!$G$5:$G$104="معتمد")*ROW('حجز الإجازات'!$B$5:$B$104)))-5+1))</f>
        <v/>
      </c>
      <c r="GM10" s="62">
        <f>IF(SUMPRODUCT(('حجز الإجازات'!$B$5:$B$104='الموظفون'!$B$8)*('حجز الإجازات'!$D$5:$D$104&lt;=GM$3)*(('حجز الإجازات'!$E$5:$E$104)&gt;=GM$3)*('حجز الإجازات'!$G$5:$G$104="معتمد")*ROW('حجز الإجازات'!$B$5:$B$104))=0,IF(GM$3&lt;'الموظفون'!$D$8,"",IF(ISNUMBER(MATCH(GM$3,Holidays,0)),"عطلة",IF(MOD(GM$3-'الموظفون'!$D$8,CycleWork+CycleRest)&lt;CycleWork,INDEX('الإعدادات والقوائم'!$H$2:$H$4,MOD(INT(MOD(GM$3-'الموظفون'!$D$8,CycleWork+CycleRest)*3/CycleWork)+MATCH(StartShift,'الإعدادات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الإجازات'!$D$5:$D$104&lt;=GM$3)*(('حجز الإجازات'!$E$5:$E$104)&gt;=GM$3)*('حجز الإجازات'!$G$5:$G$104="معتمد")*ROW('حجز الإجازات'!$B$5:$B$104)))-5+1))</f>
        <v/>
      </c>
      <c r="GN10" s="62">
        <f>IF(SUMPRODUCT(('حجز الإجازات'!$B$5:$B$104='الموظفون'!$B$8)*('حجز الإجازات'!$D$5:$D$104&lt;=GN$3)*(('حجز الإجازات'!$E$5:$E$104)&gt;=GN$3)*('حجز الإجازات'!$G$5:$G$104="معتمد")*ROW('حجز الإجازات'!$B$5:$B$104))=0,IF(GN$3&lt;'الموظفون'!$D$8,"",IF(ISNUMBER(MATCH(GN$3,Holidays,0)),"عطلة",IF(MOD(GN$3-'الموظفون'!$D$8,CycleWork+CycleRest)&lt;CycleWork,INDEX('الإعدادات والقوائم'!$H$2:$H$4,MOD(INT(MOD(GN$3-'الموظفون'!$D$8,CycleWork+CycleRest)*3/CycleWork)+MATCH(StartShift,'الإعدادات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الإجازات'!$D$5:$D$104&lt;=GN$3)*(('حجز الإجازات'!$E$5:$E$104)&gt;=GN$3)*('حجز الإجازات'!$G$5:$G$104="معتمد")*ROW('حجز الإجازات'!$B$5:$B$104)))-5+1))</f>
        <v/>
      </c>
      <c r="GO10" s="62">
        <f>IF(SUMPRODUCT(('حجز الإجازات'!$B$5:$B$104='الموظفون'!$B$8)*('حجز الإجازات'!$D$5:$D$104&lt;=GO$3)*(('حجز الإجازات'!$E$5:$E$104)&gt;=GO$3)*('حجز الإجازات'!$G$5:$G$104="معتمد")*ROW('حجز الإجازات'!$B$5:$B$104))=0,IF(GO$3&lt;'الموظفون'!$D$8,"",IF(ISNUMBER(MATCH(GO$3,Holidays,0)),"عطلة",IF(MOD(GO$3-'الموظفون'!$D$8,CycleWork+CycleRest)&lt;CycleWork,INDEX('الإعدادات والقوائم'!$H$2:$H$4,MOD(INT(MOD(GO$3-'الموظفون'!$D$8,CycleWork+CycleRest)*3/CycleWork)+MATCH(StartShift,'الإعدادات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الإجازات'!$D$5:$D$104&lt;=GO$3)*(('حجز الإجازات'!$E$5:$E$104)&gt;=GO$3)*('حجز الإجازات'!$G$5:$G$104="معتمد")*ROW('حجز الإجازات'!$B$5:$B$104)))-5+1))</f>
        <v/>
      </c>
      <c r="GP10" s="62">
        <f>IF(SUMPRODUCT(('حجز الإجازات'!$B$5:$B$104='الموظفون'!$B$8)*('حجز الإجازات'!$D$5:$D$104&lt;=GP$3)*(('حجز الإجازات'!$E$5:$E$104)&gt;=GP$3)*('حجز الإجازات'!$G$5:$G$104="معتمد")*ROW('حجز الإجازات'!$B$5:$B$104))=0,IF(GP$3&lt;'الموظفون'!$D$8,"",IF(ISNUMBER(MATCH(GP$3,Holidays,0)),"عطلة",IF(MOD(GP$3-'الموظفون'!$D$8,CycleWork+CycleRest)&lt;CycleWork,INDEX('الإعدادات والقوائم'!$H$2:$H$4,MOD(INT(MOD(GP$3-'الموظفون'!$D$8,CycleWork+CycleRest)*3/CycleWork)+MATCH(StartShift,'الإعدادات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الإجازات'!$D$5:$D$104&lt;=GP$3)*(('حجز الإجازات'!$E$5:$E$104)&gt;=GP$3)*('حجز الإجازات'!$G$5:$G$104="معتمد")*ROW('حجز الإجازات'!$B$5:$B$104)))-5+1))</f>
        <v/>
      </c>
      <c r="GQ10" s="62">
        <f>IF(SUMPRODUCT(('حجز الإجازات'!$B$5:$B$104='الموظفون'!$B$8)*('حجز الإجازات'!$D$5:$D$104&lt;=GQ$3)*(('حجز الإجازات'!$E$5:$E$104)&gt;=GQ$3)*('حجز الإجازات'!$G$5:$G$104="معتمد")*ROW('حجز الإجازات'!$B$5:$B$104))=0,IF(GQ$3&lt;'الموظفون'!$D$8,"",IF(ISNUMBER(MATCH(GQ$3,Holidays,0)),"عطلة",IF(MOD(GQ$3-'الموظفون'!$D$8,CycleWork+CycleRest)&lt;CycleWork,INDEX('الإعدادات والقوائم'!$H$2:$H$4,MOD(INT(MOD(GQ$3-'الموظفون'!$D$8,CycleWork+CycleRest)*3/CycleWork)+MATCH(StartShift,'الإعدادات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الإجازات'!$D$5:$D$104&lt;=GQ$3)*(('حجز الإجازات'!$E$5:$E$104)&gt;=GQ$3)*('حجز الإجازات'!$G$5:$G$104="معتمد")*ROW('حجز الإجازات'!$B$5:$B$104)))-5+1))</f>
        <v/>
      </c>
      <c r="GR10" s="62">
        <f>IF(SUMPRODUCT(('حجز الإجازات'!$B$5:$B$104='الموظفون'!$B$8)*('حجز الإجازات'!$D$5:$D$104&lt;=GR$3)*(('حجز الإجازات'!$E$5:$E$104)&gt;=GR$3)*('حجز الإجازات'!$G$5:$G$104="معتمد")*ROW('حجز الإجازات'!$B$5:$B$104))=0,IF(GR$3&lt;'الموظفون'!$D$8,"",IF(ISNUMBER(MATCH(GR$3,Holidays,0)),"عطلة",IF(MOD(GR$3-'الموظفون'!$D$8,CycleWork+CycleRest)&lt;CycleWork,INDEX('الإعدادات والقوائم'!$H$2:$H$4,MOD(INT(MOD(GR$3-'الموظفون'!$D$8,CycleWork+CycleRest)*3/CycleWork)+MATCH(StartShift,'الإعدادات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الإجازات'!$D$5:$D$104&lt;=GR$3)*(('حجز الإجازات'!$E$5:$E$104)&gt;=GR$3)*('حجز الإجازات'!$G$5:$G$104="معتمد")*ROW('حجز الإجازات'!$B$5:$B$104)))-5+1))</f>
        <v/>
      </c>
      <c r="GS10" s="62">
        <f>IF(SUMPRODUCT(('حجز الإجازات'!$B$5:$B$104='الموظفون'!$B$8)*('حجز الإجازات'!$D$5:$D$104&lt;=GS$3)*(('حجز الإجازات'!$E$5:$E$104)&gt;=GS$3)*('حجز الإجازات'!$G$5:$G$104="معتمد")*ROW('حجز الإجازات'!$B$5:$B$104))=0,IF(GS$3&lt;'الموظفون'!$D$8,"",IF(ISNUMBER(MATCH(GS$3,Holidays,0)),"عطلة",IF(MOD(GS$3-'الموظفون'!$D$8,CycleWork+CycleRest)&lt;CycleWork,INDEX('الإعدادات والقوائم'!$H$2:$H$4,MOD(INT(MOD(GS$3-'الموظفون'!$D$8,CycleWork+CycleRest)*3/CycleWork)+MATCH(StartShift,'الإعدادات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الإجازات'!$D$5:$D$104&lt;=GS$3)*(('حجز الإجازات'!$E$5:$E$104)&gt;=GS$3)*('حجز الإجازات'!$G$5:$G$104="معتمد")*ROW('حجز الإجازات'!$B$5:$B$104)))-5+1))</f>
        <v/>
      </c>
      <c r="GT10" s="62">
        <f>IF(SUMPRODUCT(('حجز الإجازات'!$B$5:$B$104='الموظفون'!$B$8)*('حجز الإجازات'!$D$5:$D$104&lt;=GT$3)*(('حجز الإجازات'!$E$5:$E$104)&gt;=GT$3)*('حجز الإجازات'!$G$5:$G$104="معتمد")*ROW('حجز الإجازات'!$B$5:$B$104))=0,IF(GT$3&lt;'الموظفون'!$D$8,"",IF(ISNUMBER(MATCH(GT$3,Holidays,0)),"عطلة",IF(MOD(GT$3-'الموظفون'!$D$8,CycleWork+CycleRest)&lt;CycleWork,INDEX('الإعدادات والقوائم'!$H$2:$H$4,MOD(INT(MOD(GT$3-'الموظفون'!$D$8,CycleWork+CycleRest)*3/CycleWork)+MATCH(StartShift,'الإعدادات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الإجازات'!$D$5:$D$104&lt;=GT$3)*(('حجز الإجازات'!$E$5:$E$104)&gt;=GT$3)*('حجز الإجازات'!$G$5:$G$104="معتمد")*ROW('حجز الإجازات'!$B$5:$B$104)))-5+1))</f>
        <v/>
      </c>
      <c r="GU10" s="62">
        <f>IF(SUMPRODUCT(('حجز الإجازات'!$B$5:$B$104='الموظفون'!$B$8)*('حجز الإجازات'!$D$5:$D$104&lt;=GU$3)*(('حجز الإجازات'!$E$5:$E$104)&gt;=GU$3)*('حجز الإجازات'!$G$5:$G$104="معتمد")*ROW('حجز الإجازات'!$B$5:$B$104))=0,IF(GU$3&lt;'الموظفون'!$D$8,"",IF(ISNUMBER(MATCH(GU$3,Holidays,0)),"عطلة",IF(MOD(GU$3-'الموظفون'!$D$8,CycleWork+CycleRest)&lt;CycleWork,INDEX('الإعدادات والقوائم'!$H$2:$H$4,MOD(INT(MOD(GU$3-'الموظفون'!$D$8,CycleWork+CycleRest)*3/CycleWork)+MATCH(StartShift,'الإعدادات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الإجازات'!$D$5:$D$104&lt;=GU$3)*(('حجز الإجازات'!$E$5:$E$104)&gt;=GU$3)*('حجز الإجازات'!$G$5:$G$104="معتمد")*ROW('حجز الإجازات'!$B$5:$B$104)))-5+1))</f>
        <v/>
      </c>
      <c r="GV10" s="62">
        <f>IF(SUMPRODUCT(('حجز الإجازات'!$B$5:$B$104='الموظفون'!$B$8)*('حجز الإجازات'!$D$5:$D$104&lt;=GV$3)*(('حجز الإجازات'!$E$5:$E$104)&gt;=GV$3)*('حجز الإجازات'!$G$5:$G$104="معتمد")*ROW('حجز الإجازات'!$B$5:$B$104))=0,IF(GV$3&lt;'الموظفون'!$D$8,"",IF(ISNUMBER(MATCH(GV$3,Holidays,0)),"عطلة",IF(MOD(GV$3-'الموظفون'!$D$8,CycleWork+CycleRest)&lt;CycleWork,INDEX('الإعدادات والقوائم'!$H$2:$H$4,MOD(INT(MOD(GV$3-'الموظفون'!$D$8,CycleWork+CycleRest)*3/CycleWork)+MATCH(StartShift,'الإعدادات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الإجازات'!$D$5:$D$104&lt;=GV$3)*(('حجز الإجازات'!$E$5:$E$104)&gt;=GV$3)*('حجز الإجازات'!$G$5:$G$104="معتمد")*ROW('حجز الإجازات'!$B$5:$B$104)))-5+1))</f>
        <v/>
      </c>
      <c r="GW10" s="62">
        <f>IF(SUMPRODUCT(('حجز الإجازات'!$B$5:$B$104='الموظفون'!$B$8)*('حجز الإجازات'!$D$5:$D$104&lt;=GW$3)*(('حجز الإجازات'!$E$5:$E$104)&gt;=GW$3)*('حجز الإجازات'!$G$5:$G$104="معتمد")*ROW('حجز الإجازات'!$B$5:$B$104))=0,IF(GW$3&lt;'الموظفون'!$D$8,"",IF(ISNUMBER(MATCH(GW$3,Holidays,0)),"عطلة",IF(MOD(GW$3-'الموظفون'!$D$8,CycleWork+CycleRest)&lt;CycleWork,INDEX('الإعدادات والقوائم'!$H$2:$H$4,MOD(INT(MOD(GW$3-'الموظفون'!$D$8,CycleWork+CycleRest)*3/CycleWork)+MATCH(StartShift,'الإعدادات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الإجازات'!$D$5:$D$104&lt;=GW$3)*(('حجز الإجازات'!$E$5:$E$104)&gt;=GW$3)*('حجز الإجازات'!$G$5:$G$104="معتمد")*ROW('حجز الإجازات'!$B$5:$B$104)))-5+1))</f>
        <v/>
      </c>
      <c r="GX10" s="62">
        <f>IF(SUMPRODUCT(('حجز الإجازات'!$B$5:$B$104='الموظفون'!$B$8)*('حجز الإجازات'!$D$5:$D$104&lt;=GX$3)*(('حجز الإجازات'!$E$5:$E$104)&gt;=GX$3)*('حجز الإجازات'!$G$5:$G$104="معتمد")*ROW('حجز الإجازات'!$B$5:$B$104))=0,IF(GX$3&lt;'الموظفون'!$D$8,"",IF(ISNUMBER(MATCH(GX$3,Holidays,0)),"عطلة",IF(MOD(GX$3-'الموظفون'!$D$8,CycleWork+CycleRest)&lt;CycleWork,INDEX('الإعدادات والقوائم'!$H$2:$H$4,MOD(INT(MOD(GX$3-'الموظفون'!$D$8,CycleWork+CycleRest)*3/CycleWork)+MATCH(StartShift,'الإعدادات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الإجازات'!$D$5:$D$104&lt;=GX$3)*(('حجز الإجازات'!$E$5:$E$104)&gt;=GX$3)*('حجز الإجازات'!$G$5:$G$104="معتمد")*ROW('حجز الإجازات'!$B$5:$B$104)))-5+1))</f>
        <v/>
      </c>
      <c r="GY10" s="62">
        <f>IF(SUMPRODUCT(('حجز الإجازات'!$B$5:$B$104='الموظفون'!$B$8)*('حجز الإجازات'!$D$5:$D$104&lt;=GY$3)*(('حجز الإجازات'!$E$5:$E$104)&gt;=GY$3)*('حجز الإجازات'!$G$5:$G$104="معتمد")*ROW('حجز الإجازات'!$B$5:$B$104))=0,IF(GY$3&lt;'الموظفون'!$D$8,"",IF(ISNUMBER(MATCH(GY$3,Holidays,0)),"عطلة",IF(MOD(GY$3-'الموظفون'!$D$8,CycleWork+CycleRest)&lt;CycleWork,INDEX('الإعدادات والقوائم'!$H$2:$H$4,MOD(INT(MOD(GY$3-'الموظفون'!$D$8,CycleWork+CycleRest)*3/CycleWork)+MATCH(StartShift,'الإعدادات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الإجازات'!$D$5:$D$104&lt;=GY$3)*(('حجز الإجازات'!$E$5:$E$104)&gt;=GY$3)*('حجز الإجازات'!$G$5:$G$104="معتمد")*ROW('حجز الإجازات'!$B$5:$B$104)))-5+1))</f>
        <v/>
      </c>
      <c r="GZ10" s="62">
        <f>IF(SUMPRODUCT(('حجز الإجازات'!$B$5:$B$104='الموظفون'!$B$8)*('حجز الإجازات'!$D$5:$D$104&lt;=GZ$3)*(('حجز الإجازات'!$E$5:$E$104)&gt;=GZ$3)*('حجز الإجازات'!$G$5:$G$104="معتمد")*ROW('حجز الإجازات'!$B$5:$B$104))=0,IF(GZ$3&lt;'الموظفون'!$D$8,"",IF(ISNUMBER(MATCH(GZ$3,Holidays,0)),"عطلة",IF(MOD(GZ$3-'الموظفون'!$D$8,CycleWork+CycleRest)&lt;CycleWork,INDEX('الإعدادات والقوائم'!$H$2:$H$4,MOD(INT(MOD(GZ$3-'الموظفون'!$D$8,CycleWork+CycleRest)*3/CycleWork)+MATCH(StartShift,'الإعدادات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الإجازات'!$D$5:$D$104&lt;=GZ$3)*(('حجز الإجازات'!$E$5:$E$104)&gt;=GZ$3)*('حجز الإجازات'!$G$5:$G$104="معتمد")*ROW('حجز الإجازات'!$B$5:$B$104)))-5+1))</f>
        <v/>
      </c>
      <c r="HA10" s="62">
        <f>IF(SUMPRODUCT(('حجز الإجازات'!$B$5:$B$104='الموظفون'!$B$8)*('حجز الإجازات'!$D$5:$D$104&lt;=HA$3)*(('حجز الإجازات'!$E$5:$E$104)&gt;=HA$3)*('حجز الإجازات'!$G$5:$G$104="معتمد")*ROW('حجز الإجازات'!$B$5:$B$104))=0,IF(HA$3&lt;'الموظفون'!$D$8,"",IF(ISNUMBER(MATCH(HA$3,Holidays,0)),"عطلة",IF(MOD(HA$3-'الموظفون'!$D$8,CycleWork+CycleRest)&lt;CycleWork,INDEX('الإعدادات والقوائم'!$H$2:$H$4,MOD(INT(MOD(HA$3-'الموظفون'!$D$8,CycleWork+CycleRest)*3/CycleWork)+MATCH(StartShift,'الإعدادات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الإجازات'!$D$5:$D$104&lt;=HA$3)*(('حجز الإجازات'!$E$5:$E$104)&gt;=HA$3)*('حجز الإجازات'!$G$5:$G$104="معتمد")*ROW('حجز الإجازات'!$B$5:$B$104)))-5+1))</f>
        <v/>
      </c>
      <c r="HB10" s="62">
        <f>IF(SUMPRODUCT(('حجز الإجازات'!$B$5:$B$104='الموظفون'!$B$8)*('حجز الإجازات'!$D$5:$D$104&lt;=HB$3)*(('حجز الإجازات'!$E$5:$E$104)&gt;=HB$3)*('حجز الإجازات'!$G$5:$G$104="معتمد")*ROW('حجز الإجازات'!$B$5:$B$104))=0,IF(HB$3&lt;'الموظفون'!$D$8,"",IF(ISNUMBER(MATCH(HB$3,Holidays,0)),"عطلة",IF(MOD(HB$3-'الموظفون'!$D$8,CycleWork+CycleRest)&lt;CycleWork,INDEX('الإعدادات والقوائم'!$H$2:$H$4,MOD(INT(MOD(HB$3-'الموظفون'!$D$8,CycleWork+CycleRest)*3/CycleWork)+MATCH(StartShift,'الإعدادات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الإجازات'!$D$5:$D$104&lt;=HB$3)*(('حجز الإجازات'!$E$5:$E$104)&gt;=HB$3)*('حجز الإجازات'!$G$5:$G$104="معتمد")*ROW('حجز الإجازات'!$B$5:$B$104)))-5+1))</f>
        <v/>
      </c>
      <c r="HC10" s="62">
        <f>IF(SUMPRODUCT(('حجز الإجازات'!$B$5:$B$104='الموظفون'!$B$8)*('حجز الإجازات'!$D$5:$D$104&lt;=HC$3)*(('حجز الإجازات'!$E$5:$E$104)&gt;=HC$3)*('حجز الإجازات'!$G$5:$G$104="معتمد")*ROW('حجز الإجازات'!$B$5:$B$104))=0,IF(HC$3&lt;'الموظفون'!$D$8,"",IF(ISNUMBER(MATCH(HC$3,Holidays,0)),"عطلة",IF(MOD(HC$3-'الموظفون'!$D$8,CycleWork+CycleRest)&lt;CycleWork,INDEX('الإعدادات والقوائم'!$H$2:$H$4,MOD(INT(MOD(HC$3-'الموظفون'!$D$8,CycleWork+CycleRest)*3/CycleWork)+MATCH(StartShift,'الإعدادات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الإجازات'!$D$5:$D$104&lt;=HC$3)*(('حجز الإجازات'!$E$5:$E$104)&gt;=HC$3)*('حجز الإجازات'!$G$5:$G$104="معتمد")*ROW('حجز الإجازات'!$B$5:$B$104)))-5+1))</f>
        <v/>
      </c>
      <c r="HD10" s="62">
        <f>IF(SUMPRODUCT(('حجز الإجازات'!$B$5:$B$104='الموظفون'!$B$8)*('حجز الإجازات'!$D$5:$D$104&lt;=HD$3)*(('حجز الإجازات'!$E$5:$E$104)&gt;=HD$3)*('حجز الإجازات'!$G$5:$G$104="معتمد")*ROW('حجز الإجازات'!$B$5:$B$104))=0,IF(HD$3&lt;'الموظفون'!$D$8,"",IF(ISNUMBER(MATCH(HD$3,Holidays,0)),"عطلة",IF(MOD(HD$3-'الموظفون'!$D$8,CycleWork+CycleRest)&lt;CycleWork,INDEX('الإعدادات والقوائم'!$H$2:$H$4,MOD(INT(MOD(HD$3-'الموظفون'!$D$8,CycleWork+CycleRest)*3/CycleWork)+MATCH(StartShift,'الإعدادات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الإجازات'!$D$5:$D$104&lt;=HD$3)*(('حجز الإجازات'!$E$5:$E$104)&gt;=HD$3)*('حجز الإجازات'!$G$5:$G$104="معتمد")*ROW('حجز الإجازات'!$B$5:$B$104)))-5+1))</f>
        <v/>
      </c>
      <c r="HE10" s="62">
        <f>IF(SUMPRODUCT(('حجز الإجازات'!$B$5:$B$104='الموظفون'!$B$8)*('حجز الإجازات'!$D$5:$D$104&lt;=HE$3)*(('حجز الإجازات'!$E$5:$E$104)&gt;=HE$3)*('حجز الإجازات'!$G$5:$G$104="معتمد")*ROW('حجز الإجازات'!$B$5:$B$104))=0,IF(HE$3&lt;'الموظفون'!$D$8,"",IF(ISNUMBER(MATCH(HE$3,Holidays,0)),"عطلة",IF(MOD(HE$3-'الموظفون'!$D$8,CycleWork+CycleRest)&lt;CycleWork,INDEX('الإعدادات والقوائم'!$H$2:$H$4,MOD(INT(MOD(HE$3-'الموظفون'!$D$8,CycleWork+CycleRest)*3/CycleWork)+MATCH(StartShift,'الإعدادات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الإجازات'!$D$5:$D$104&lt;=HE$3)*(('حجز الإجازات'!$E$5:$E$104)&gt;=HE$3)*('حجز الإجازات'!$G$5:$G$104="معتمد")*ROW('حجز الإجازات'!$B$5:$B$104)))-5+1))</f>
        <v/>
      </c>
      <c r="HF10" s="62">
        <f>IF(SUMPRODUCT(('حجز الإجازات'!$B$5:$B$104='الموظفون'!$B$8)*('حجز الإجازات'!$D$5:$D$104&lt;=HF$3)*(('حجز الإجازات'!$E$5:$E$104)&gt;=HF$3)*('حجز الإجازات'!$G$5:$G$104="معتمد")*ROW('حجز الإجازات'!$B$5:$B$104))=0,IF(HF$3&lt;'الموظفون'!$D$8,"",IF(ISNUMBER(MATCH(HF$3,Holidays,0)),"عطلة",IF(MOD(HF$3-'الموظفون'!$D$8,CycleWork+CycleRest)&lt;CycleWork,INDEX('الإعدادات والقوائم'!$H$2:$H$4,MOD(INT(MOD(HF$3-'الموظفون'!$D$8,CycleWork+CycleRest)*3/CycleWork)+MATCH(StartShift,'الإعدادات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الإجازات'!$D$5:$D$104&lt;=HF$3)*(('حجز الإجازات'!$E$5:$E$104)&gt;=HF$3)*('حجز الإجازات'!$G$5:$G$104="معتمد")*ROW('حجز الإجازات'!$B$5:$B$104)))-5+1))</f>
        <v/>
      </c>
      <c r="HG10" s="62">
        <f>IF(SUMPRODUCT(('حجز الإجازات'!$B$5:$B$104='الموظفون'!$B$8)*('حجز الإجازات'!$D$5:$D$104&lt;=HG$3)*(('حجز الإجازات'!$E$5:$E$104)&gt;=HG$3)*('حجز الإجازات'!$G$5:$G$104="معتمد")*ROW('حجز الإجازات'!$B$5:$B$104))=0,IF(HG$3&lt;'الموظفون'!$D$8,"",IF(ISNUMBER(MATCH(HG$3,Holidays,0)),"عطلة",IF(MOD(HG$3-'الموظفون'!$D$8,CycleWork+CycleRest)&lt;CycleWork,INDEX('الإعدادات والقوائم'!$H$2:$H$4,MOD(INT(MOD(HG$3-'الموظفون'!$D$8,CycleWork+CycleRest)*3/CycleWork)+MATCH(StartShift,'الإعدادات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الإجازات'!$D$5:$D$104&lt;=HG$3)*(('حجز الإجازات'!$E$5:$E$104)&gt;=HG$3)*('حجز الإجازات'!$G$5:$G$104="معتمد")*ROW('حجز الإجازات'!$B$5:$B$104)))-5+1))</f>
        <v/>
      </c>
      <c r="HH10" s="62">
        <f>IF(SUMPRODUCT(('حجز الإجازات'!$B$5:$B$104='الموظفون'!$B$8)*('حجز الإجازات'!$D$5:$D$104&lt;=HH$3)*(('حجز الإجازات'!$E$5:$E$104)&gt;=HH$3)*('حجز الإجازات'!$G$5:$G$104="معتمد")*ROW('حجز الإجازات'!$B$5:$B$104))=0,IF(HH$3&lt;'الموظفون'!$D$8,"",IF(ISNUMBER(MATCH(HH$3,Holidays,0)),"عطلة",IF(MOD(HH$3-'الموظفون'!$D$8,CycleWork+CycleRest)&lt;CycleWork,INDEX('الإعدادات والقوائم'!$H$2:$H$4,MOD(INT(MOD(HH$3-'الموظفون'!$D$8,CycleWork+CycleRest)*3/CycleWork)+MATCH(StartShift,'الإعدادات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الإجازات'!$D$5:$D$104&lt;=HH$3)*(('حجز الإجازات'!$E$5:$E$104)&gt;=HH$3)*('حجز الإجازات'!$G$5:$G$104="معتمد")*ROW('حجز الإجازات'!$B$5:$B$104)))-5+1))</f>
        <v/>
      </c>
      <c r="HI10" s="62">
        <f>IF(SUMPRODUCT(('حجز الإجازات'!$B$5:$B$104='الموظفون'!$B$8)*('حجز الإجازات'!$D$5:$D$104&lt;=HI$3)*(('حجز الإجازات'!$E$5:$E$104)&gt;=HI$3)*('حجز الإجازات'!$G$5:$G$104="معتمد")*ROW('حجز الإجازات'!$B$5:$B$104))=0,IF(HI$3&lt;'الموظفون'!$D$8,"",IF(ISNUMBER(MATCH(HI$3,Holidays,0)),"عطلة",IF(MOD(HI$3-'الموظفون'!$D$8,CycleWork+CycleRest)&lt;CycleWork,INDEX('الإعدادات والقوائم'!$H$2:$H$4,MOD(INT(MOD(HI$3-'الموظفون'!$D$8,CycleWork+CycleRest)*3/CycleWork)+MATCH(StartShift,'الإعدادات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الإجازات'!$D$5:$D$104&lt;=HI$3)*(('حجز الإجازات'!$E$5:$E$104)&gt;=HI$3)*('حجز الإجازات'!$G$5:$G$104="معتمد")*ROW('حجز الإجازات'!$B$5:$B$104)))-5+1))</f>
        <v/>
      </c>
      <c r="HJ10" s="62">
        <f>IF(SUMPRODUCT(('حجز الإجازات'!$B$5:$B$104='الموظفون'!$B$8)*('حجز الإجازات'!$D$5:$D$104&lt;=HJ$3)*(('حجز الإجازات'!$E$5:$E$104)&gt;=HJ$3)*('حجز الإجازات'!$G$5:$G$104="معتمد")*ROW('حجز الإجازات'!$B$5:$B$104))=0,IF(HJ$3&lt;'الموظفون'!$D$8,"",IF(ISNUMBER(MATCH(HJ$3,Holidays,0)),"عطلة",IF(MOD(HJ$3-'الموظفون'!$D$8,CycleWork+CycleRest)&lt;CycleWork,INDEX('الإعدادات والقوائم'!$H$2:$H$4,MOD(INT(MOD(HJ$3-'الموظفون'!$D$8,CycleWork+CycleRest)*3/CycleWork)+MATCH(StartShift,'الإعدادات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الإجازات'!$D$5:$D$104&lt;=HJ$3)*(('حجز الإجازات'!$E$5:$E$104)&gt;=HJ$3)*('حجز الإجازات'!$G$5:$G$104="معتمد")*ROW('حجز الإجازات'!$B$5:$B$104)))-5+1))</f>
        <v/>
      </c>
      <c r="HK10" s="62">
        <f>IF(SUMPRODUCT(('حجز الإجازات'!$B$5:$B$104='الموظفون'!$B$8)*('حجز الإجازات'!$D$5:$D$104&lt;=HK$3)*(('حجز الإجازات'!$E$5:$E$104)&gt;=HK$3)*('حجز الإجازات'!$G$5:$G$104="معتمد")*ROW('حجز الإجازات'!$B$5:$B$104))=0,IF(HK$3&lt;'الموظفون'!$D$8,"",IF(ISNUMBER(MATCH(HK$3,Holidays,0)),"عطلة",IF(MOD(HK$3-'الموظفون'!$D$8,CycleWork+CycleRest)&lt;CycleWork,INDEX('الإعدادات والقوائم'!$H$2:$H$4,MOD(INT(MOD(HK$3-'الموظفون'!$D$8,CycleWork+CycleRest)*3/CycleWork)+MATCH(StartShift,'الإعدادات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الإجازات'!$D$5:$D$104&lt;=HK$3)*(('حجز الإجازات'!$E$5:$E$104)&gt;=HK$3)*('حجز الإجازات'!$G$5:$G$104="معتمد")*ROW('حجز الإجازات'!$B$5:$B$104)))-5+1))</f>
        <v/>
      </c>
      <c r="HL10" s="62">
        <f>IF(SUMPRODUCT(('حجز الإجازات'!$B$5:$B$104='الموظفون'!$B$8)*('حجز الإجازات'!$D$5:$D$104&lt;=HL$3)*(('حجز الإجازات'!$E$5:$E$104)&gt;=HL$3)*('حجز الإجازات'!$G$5:$G$104="معتمد")*ROW('حجز الإجازات'!$B$5:$B$104))=0,IF(HL$3&lt;'الموظفون'!$D$8,"",IF(ISNUMBER(MATCH(HL$3,Holidays,0)),"عطلة",IF(MOD(HL$3-'الموظفون'!$D$8,CycleWork+CycleRest)&lt;CycleWork,INDEX('الإعدادات والقوائم'!$H$2:$H$4,MOD(INT(MOD(HL$3-'الموظفون'!$D$8,CycleWork+CycleRest)*3/CycleWork)+MATCH(StartShift,'الإعدادات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الإجازات'!$D$5:$D$104&lt;=HL$3)*(('حجز الإجازات'!$E$5:$E$104)&gt;=HL$3)*('حجز الإجازات'!$G$5:$G$104="معتمد")*ROW('حجز الإجازات'!$B$5:$B$104)))-5+1))</f>
        <v/>
      </c>
      <c r="HM10" s="62">
        <f>IF(SUMPRODUCT(('حجز الإجازات'!$B$5:$B$104='الموظفون'!$B$8)*('حجز الإجازات'!$D$5:$D$104&lt;=HM$3)*(('حجز الإجازات'!$E$5:$E$104)&gt;=HM$3)*('حجز الإجازات'!$G$5:$G$104="معتمد")*ROW('حجز الإجازات'!$B$5:$B$104))=0,IF(HM$3&lt;'الموظفون'!$D$8,"",IF(ISNUMBER(MATCH(HM$3,Holidays,0)),"عطلة",IF(MOD(HM$3-'الموظفون'!$D$8,CycleWork+CycleRest)&lt;CycleWork,INDEX('الإعدادات والقوائم'!$H$2:$H$4,MOD(INT(MOD(HM$3-'الموظفون'!$D$8,CycleWork+CycleRest)*3/CycleWork)+MATCH(StartShift,'الإعدادات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الإجازات'!$D$5:$D$104&lt;=HM$3)*(('حجز الإجازات'!$E$5:$E$104)&gt;=HM$3)*('حجز الإجازات'!$G$5:$G$104="معتمد")*ROW('حجز الإجازات'!$B$5:$B$104)))-5+1))</f>
        <v/>
      </c>
      <c r="HN10" s="62">
        <f>IF(SUMPRODUCT(('حجز الإجازات'!$B$5:$B$104='الموظفون'!$B$8)*('حجز الإجازات'!$D$5:$D$104&lt;=HN$3)*(('حجز الإجازات'!$E$5:$E$104)&gt;=HN$3)*('حجز الإجازات'!$G$5:$G$104="معتمد")*ROW('حجز الإجازات'!$B$5:$B$104))=0,IF(HN$3&lt;'الموظفون'!$D$8,"",IF(ISNUMBER(MATCH(HN$3,Holidays,0)),"عطلة",IF(MOD(HN$3-'الموظفون'!$D$8,CycleWork+CycleRest)&lt;CycleWork,INDEX('الإعدادات والقوائم'!$H$2:$H$4,MOD(INT(MOD(HN$3-'الموظفون'!$D$8,CycleWork+CycleRest)*3/CycleWork)+MATCH(StartShift,'الإعدادات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الإجازات'!$D$5:$D$104&lt;=HN$3)*(('حجز الإجازات'!$E$5:$E$104)&gt;=HN$3)*('حجز الإجازات'!$G$5:$G$104="معتمد")*ROW('حجز الإجازات'!$B$5:$B$104)))-5+1))</f>
        <v/>
      </c>
      <c r="HO10" s="62">
        <f>IF(SUMPRODUCT(('حجز الإجازات'!$B$5:$B$104='الموظفون'!$B$8)*('حجز الإجازات'!$D$5:$D$104&lt;=HO$3)*(('حجز الإجازات'!$E$5:$E$104)&gt;=HO$3)*('حجز الإجازات'!$G$5:$G$104="معتمد")*ROW('حجز الإجازات'!$B$5:$B$104))=0,IF(HO$3&lt;'الموظفون'!$D$8,"",IF(ISNUMBER(MATCH(HO$3,Holidays,0)),"عطلة",IF(MOD(HO$3-'الموظفون'!$D$8,CycleWork+CycleRest)&lt;CycleWork,INDEX('الإعدادات والقوائم'!$H$2:$H$4,MOD(INT(MOD(HO$3-'الموظفون'!$D$8,CycleWork+CycleRest)*3/CycleWork)+MATCH(StartShift,'الإعدادات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الإجازات'!$D$5:$D$104&lt;=HO$3)*(('حجز الإجازات'!$E$5:$E$104)&gt;=HO$3)*('حجز الإجازات'!$G$5:$G$104="معتمد")*ROW('حجز الإجازات'!$B$5:$B$104)))-5+1))</f>
        <v/>
      </c>
      <c r="HP10" s="62">
        <f>IF(SUMPRODUCT(('حجز الإجازات'!$B$5:$B$104='الموظفون'!$B$8)*('حجز الإجازات'!$D$5:$D$104&lt;=HP$3)*(('حجز الإجازات'!$E$5:$E$104)&gt;=HP$3)*('حجز الإجازات'!$G$5:$G$104="معتمد")*ROW('حجز الإجازات'!$B$5:$B$104))=0,IF(HP$3&lt;'الموظفون'!$D$8,"",IF(ISNUMBER(MATCH(HP$3,Holidays,0)),"عطلة",IF(MOD(HP$3-'الموظفون'!$D$8,CycleWork+CycleRest)&lt;CycleWork,INDEX('الإعدادات والقوائم'!$H$2:$H$4,MOD(INT(MOD(HP$3-'الموظفون'!$D$8,CycleWork+CycleRest)*3/CycleWork)+MATCH(StartShift,'الإعدادات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الإجازات'!$D$5:$D$104&lt;=HP$3)*(('حجز الإجازات'!$E$5:$E$104)&gt;=HP$3)*('حجز الإجازات'!$G$5:$G$104="معتمد")*ROW('حجز الإجازات'!$B$5:$B$104)))-5+1))</f>
        <v/>
      </c>
      <c r="HQ10" s="62">
        <f>IF(SUMPRODUCT(('حجز الإجازات'!$B$5:$B$104='الموظفون'!$B$8)*('حجز الإجازات'!$D$5:$D$104&lt;=HQ$3)*(('حجز الإجازات'!$E$5:$E$104)&gt;=HQ$3)*('حجز الإجازات'!$G$5:$G$104="معتمد")*ROW('حجز الإجازات'!$B$5:$B$104))=0,IF(HQ$3&lt;'الموظفون'!$D$8,"",IF(ISNUMBER(MATCH(HQ$3,Holidays,0)),"عطلة",IF(MOD(HQ$3-'الموظفون'!$D$8,CycleWork+CycleRest)&lt;CycleWork,INDEX('الإعدادات والقوائم'!$H$2:$H$4,MOD(INT(MOD(HQ$3-'الموظفون'!$D$8,CycleWork+CycleRest)*3/CycleWork)+MATCH(StartShift,'الإعدادات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الإجازات'!$D$5:$D$104&lt;=HQ$3)*(('حجز الإجازات'!$E$5:$E$104)&gt;=HQ$3)*('حجز الإجازات'!$G$5:$G$104="معتمد")*ROW('حجز الإجازات'!$B$5:$B$104)))-5+1))</f>
        <v/>
      </c>
      <c r="HR10" s="62">
        <f>IF(SUMPRODUCT(('حجز الإجازات'!$B$5:$B$104='الموظفون'!$B$8)*('حجز الإجازات'!$D$5:$D$104&lt;=HR$3)*(('حجز الإجازات'!$E$5:$E$104)&gt;=HR$3)*('حجز الإجازات'!$G$5:$G$104="معتمد")*ROW('حجز الإجازات'!$B$5:$B$104))=0,IF(HR$3&lt;'الموظفون'!$D$8,"",IF(ISNUMBER(MATCH(HR$3,Holidays,0)),"عطلة",IF(MOD(HR$3-'الموظفون'!$D$8,CycleWork+CycleRest)&lt;CycleWork,INDEX('الإعدادات والقوائم'!$H$2:$H$4,MOD(INT(MOD(HR$3-'الموظفون'!$D$8,CycleWork+CycleRest)*3/CycleWork)+MATCH(StartShift,'الإعدادات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الإجازات'!$D$5:$D$104&lt;=HR$3)*(('حجز الإجازات'!$E$5:$E$104)&gt;=HR$3)*('حجز الإجازات'!$G$5:$G$104="معتمد")*ROW('حجز الإجازات'!$B$5:$B$104)))-5+1))</f>
        <v/>
      </c>
      <c r="HS10" s="62">
        <f>IF(SUMPRODUCT(('حجز الإجازات'!$B$5:$B$104='الموظفون'!$B$8)*('حجز الإجازات'!$D$5:$D$104&lt;=HS$3)*(('حجز الإجازات'!$E$5:$E$104)&gt;=HS$3)*('حجز الإجازات'!$G$5:$G$104="معتمد")*ROW('حجز الإجازات'!$B$5:$B$104))=0,IF(HS$3&lt;'الموظفون'!$D$8,"",IF(ISNUMBER(MATCH(HS$3,Holidays,0)),"عطلة",IF(MOD(HS$3-'الموظفون'!$D$8,CycleWork+CycleRest)&lt;CycleWork,INDEX('الإعدادات والقوائم'!$H$2:$H$4,MOD(INT(MOD(HS$3-'الموظفون'!$D$8,CycleWork+CycleRest)*3/CycleWork)+MATCH(StartShift,'الإعدادات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الإجازات'!$D$5:$D$104&lt;=HS$3)*(('حجز الإجازات'!$E$5:$E$104)&gt;=HS$3)*('حجز الإجازات'!$G$5:$G$104="معتمد")*ROW('حجز الإجازات'!$B$5:$B$104)))-5+1))</f>
        <v/>
      </c>
      <c r="HT10" s="62">
        <f>IF(SUMPRODUCT(('حجز الإجازات'!$B$5:$B$104='الموظفون'!$B$8)*('حجز الإجازات'!$D$5:$D$104&lt;=HT$3)*(('حجز الإجازات'!$E$5:$E$104)&gt;=HT$3)*('حجز الإجازات'!$G$5:$G$104="معتمد")*ROW('حجز الإجازات'!$B$5:$B$104))=0,IF(HT$3&lt;'الموظفون'!$D$8,"",IF(ISNUMBER(MATCH(HT$3,Holidays,0)),"عطلة",IF(MOD(HT$3-'الموظفون'!$D$8,CycleWork+CycleRest)&lt;CycleWork,INDEX('الإعدادات والقوائم'!$H$2:$H$4,MOD(INT(MOD(HT$3-'الموظفون'!$D$8,CycleWork+CycleRest)*3/CycleWork)+MATCH(StartShift,'الإعدادات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الإجازات'!$D$5:$D$104&lt;=HT$3)*(('حجز الإجازات'!$E$5:$E$104)&gt;=HT$3)*('حجز الإجازات'!$G$5:$G$104="معتمد")*ROW('حجز الإجازات'!$B$5:$B$104)))-5+1))</f>
        <v/>
      </c>
      <c r="HU10" s="62">
        <f>IF(SUMPRODUCT(('حجز الإجازات'!$B$5:$B$104='الموظفون'!$B$8)*('حجز الإجازات'!$D$5:$D$104&lt;=HU$3)*(('حجز الإجازات'!$E$5:$E$104)&gt;=HU$3)*('حجز الإجازات'!$G$5:$G$104="معتمد")*ROW('حجز الإجازات'!$B$5:$B$104))=0,IF(HU$3&lt;'الموظفون'!$D$8,"",IF(ISNUMBER(MATCH(HU$3,Holidays,0)),"عطلة",IF(MOD(HU$3-'الموظفون'!$D$8,CycleWork+CycleRest)&lt;CycleWork,INDEX('الإعدادات والقوائم'!$H$2:$H$4,MOD(INT(MOD(HU$3-'الموظفون'!$D$8,CycleWork+CycleRest)*3/CycleWork)+MATCH(StartShift,'الإعدادات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الإجازات'!$D$5:$D$104&lt;=HU$3)*(('حجز الإجازات'!$E$5:$E$104)&gt;=HU$3)*('حجز الإجازات'!$G$5:$G$104="معتمد")*ROW('حجز الإجازات'!$B$5:$B$104)))-5+1))</f>
        <v/>
      </c>
      <c r="HV10" s="62">
        <f>IF(SUMPRODUCT(('حجز الإجازات'!$B$5:$B$104='الموظفون'!$B$8)*('حجز الإجازات'!$D$5:$D$104&lt;=HV$3)*(('حجز الإجازات'!$E$5:$E$104)&gt;=HV$3)*('حجز الإجازات'!$G$5:$G$104="معتمد")*ROW('حجز الإجازات'!$B$5:$B$104))=0,IF(HV$3&lt;'الموظفون'!$D$8,"",IF(ISNUMBER(MATCH(HV$3,Holidays,0)),"عطلة",IF(MOD(HV$3-'الموظفون'!$D$8,CycleWork+CycleRest)&lt;CycleWork,INDEX('الإعدادات والقوائم'!$H$2:$H$4,MOD(INT(MOD(HV$3-'الموظفون'!$D$8,CycleWork+CycleRest)*3/CycleWork)+MATCH(StartShift,'الإعدادات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الإجازات'!$D$5:$D$104&lt;=HV$3)*(('حجز الإجازات'!$E$5:$E$104)&gt;=HV$3)*('حجز الإجازات'!$G$5:$G$104="معتمد")*ROW('حجز الإجازات'!$B$5:$B$104)))-5+1))</f>
        <v/>
      </c>
      <c r="HW10" s="62">
        <f>IF(SUMPRODUCT(('حجز الإجازات'!$B$5:$B$104='الموظفون'!$B$8)*('حجز الإجازات'!$D$5:$D$104&lt;=HW$3)*(('حجز الإجازات'!$E$5:$E$104)&gt;=HW$3)*('حجز الإجازات'!$G$5:$G$104="معتمد")*ROW('حجز الإجازات'!$B$5:$B$104))=0,IF(HW$3&lt;'الموظفون'!$D$8,"",IF(ISNUMBER(MATCH(HW$3,Holidays,0)),"عطلة",IF(MOD(HW$3-'الموظفون'!$D$8,CycleWork+CycleRest)&lt;CycleWork,INDEX('الإعدادات والقوائم'!$H$2:$H$4,MOD(INT(MOD(HW$3-'الموظفون'!$D$8,CycleWork+CycleRest)*3/CycleWork)+MATCH(StartShift,'الإعدادات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الإجازات'!$D$5:$D$104&lt;=HW$3)*(('حجز الإجازات'!$E$5:$E$104)&gt;=HW$3)*('حجز الإجازات'!$G$5:$G$104="معتمد")*ROW('حجز الإجازات'!$B$5:$B$104)))-5+1))</f>
        <v/>
      </c>
      <c r="HX10" s="62">
        <f>IF(SUMPRODUCT(('حجز الإجازات'!$B$5:$B$104='الموظفون'!$B$8)*('حجز الإجازات'!$D$5:$D$104&lt;=HX$3)*(('حجز الإجازات'!$E$5:$E$104)&gt;=HX$3)*('حجز الإجازات'!$G$5:$G$104="معتمد")*ROW('حجز الإجازات'!$B$5:$B$104))=0,IF(HX$3&lt;'الموظفون'!$D$8,"",IF(ISNUMBER(MATCH(HX$3,Holidays,0)),"عطلة",IF(MOD(HX$3-'الموظفون'!$D$8,CycleWork+CycleRest)&lt;CycleWork,INDEX('الإعدادات والقوائم'!$H$2:$H$4,MOD(INT(MOD(HX$3-'الموظفون'!$D$8,CycleWork+CycleRest)*3/CycleWork)+MATCH(StartShift,'الإعدادات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الإجازات'!$D$5:$D$104&lt;=HX$3)*(('حجز الإجازات'!$E$5:$E$104)&gt;=HX$3)*('حجز الإجازات'!$G$5:$G$104="معتمد")*ROW('حجز الإجازات'!$B$5:$B$104)))-5+1))</f>
        <v/>
      </c>
      <c r="HY10" s="62">
        <f>IF(SUMPRODUCT(('حجز الإجازات'!$B$5:$B$104='الموظفون'!$B$8)*('حجز الإجازات'!$D$5:$D$104&lt;=HY$3)*(('حجز الإجازات'!$E$5:$E$104)&gt;=HY$3)*('حجز الإجازات'!$G$5:$G$104="معتمد")*ROW('حجز الإجازات'!$B$5:$B$104))=0,IF(HY$3&lt;'الموظفون'!$D$8,"",IF(ISNUMBER(MATCH(HY$3,Holidays,0)),"عطلة",IF(MOD(HY$3-'الموظفون'!$D$8,CycleWork+CycleRest)&lt;CycleWork,INDEX('الإعدادات والقوائم'!$H$2:$H$4,MOD(INT(MOD(HY$3-'الموظفون'!$D$8,CycleWork+CycleRest)*3/CycleWork)+MATCH(StartShift,'الإعدادات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الإجازات'!$D$5:$D$104&lt;=HY$3)*(('حجز الإجازات'!$E$5:$E$104)&gt;=HY$3)*('حجز الإجازات'!$G$5:$G$104="معتمد")*ROW('حجز الإجازات'!$B$5:$B$104)))-5+1))</f>
        <v/>
      </c>
      <c r="HZ10" s="62">
        <f>IF(SUMPRODUCT(('حجز الإجازات'!$B$5:$B$104='الموظفون'!$B$8)*('حجز الإجازات'!$D$5:$D$104&lt;=HZ$3)*(('حجز الإجازات'!$E$5:$E$104)&gt;=HZ$3)*('حجز الإجازات'!$G$5:$G$104="معتمد")*ROW('حجز الإجازات'!$B$5:$B$104))=0,IF(HZ$3&lt;'الموظفون'!$D$8,"",IF(ISNUMBER(MATCH(HZ$3,Holidays,0)),"عطلة",IF(MOD(HZ$3-'الموظفون'!$D$8,CycleWork+CycleRest)&lt;CycleWork,INDEX('الإعدادات والقوائم'!$H$2:$H$4,MOD(INT(MOD(HZ$3-'الموظفون'!$D$8,CycleWork+CycleRest)*3/CycleWork)+MATCH(StartShift,'الإعدادات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الإجازات'!$D$5:$D$104&lt;=HZ$3)*(('حجز الإجازات'!$E$5:$E$104)&gt;=HZ$3)*('حجز الإجازات'!$G$5:$G$104="معتمد")*ROW('حجز الإجازات'!$B$5:$B$104)))-5+1))</f>
        <v/>
      </c>
      <c r="IA10" s="62">
        <f>IF(SUMPRODUCT(('حجز الإجازات'!$B$5:$B$104='الموظفون'!$B$8)*('حجز الإجازات'!$D$5:$D$104&lt;=IA$3)*(('حجز الإجازات'!$E$5:$E$104)&gt;=IA$3)*('حجز الإجازات'!$G$5:$G$104="معتمد")*ROW('حجز الإجازات'!$B$5:$B$104))=0,IF(IA$3&lt;'الموظفون'!$D$8,"",IF(ISNUMBER(MATCH(IA$3,Holidays,0)),"عطلة",IF(MOD(IA$3-'الموظفون'!$D$8,CycleWork+CycleRest)&lt;CycleWork,INDEX('الإعدادات والقوائم'!$H$2:$H$4,MOD(INT(MOD(IA$3-'الموظفون'!$D$8,CycleWork+CycleRest)*3/CycleWork)+MATCH(StartShift,'الإعدادات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الإجازات'!$D$5:$D$104&lt;=IA$3)*(('حجز الإجازات'!$E$5:$E$104)&gt;=IA$3)*('حجز الإجازات'!$G$5:$G$104="معتمد")*ROW('حجز الإجازات'!$B$5:$B$104)))-5+1))</f>
        <v/>
      </c>
      <c r="IB10" s="62">
        <f>IF(SUMPRODUCT(('حجز الإجازات'!$B$5:$B$104='الموظفون'!$B$8)*('حجز الإجازات'!$D$5:$D$104&lt;=IB$3)*(('حجز الإجازات'!$E$5:$E$104)&gt;=IB$3)*('حجز الإجازات'!$G$5:$G$104="معتمد")*ROW('حجز الإجازات'!$B$5:$B$104))=0,IF(IB$3&lt;'الموظفون'!$D$8,"",IF(ISNUMBER(MATCH(IB$3,Holidays,0)),"عطلة",IF(MOD(IB$3-'الموظفون'!$D$8,CycleWork+CycleRest)&lt;CycleWork,INDEX('الإعدادات والقوائم'!$H$2:$H$4,MOD(INT(MOD(IB$3-'الموظفون'!$D$8,CycleWork+CycleRest)*3/CycleWork)+MATCH(StartShift,'الإعدادات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الإجازات'!$D$5:$D$104&lt;=IB$3)*(('حجز الإجازات'!$E$5:$E$104)&gt;=IB$3)*('حجز الإجازات'!$G$5:$G$104="معتمد")*ROW('حجز الإجازات'!$B$5:$B$104)))-5+1))</f>
        <v/>
      </c>
      <c r="IC10" s="62">
        <f>IF(SUMPRODUCT(('حجز الإجازات'!$B$5:$B$104='الموظفون'!$B$8)*('حجز الإجازات'!$D$5:$D$104&lt;=IC$3)*(('حجز الإجازات'!$E$5:$E$104)&gt;=IC$3)*('حجز الإجازات'!$G$5:$G$104="معتمد")*ROW('حجز الإجازات'!$B$5:$B$104))=0,IF(IC$3&lt;'الموظفون'!$D$8,"",IF(ISNUMBER(MATCH(IC$3,Holidays,0)),"عطلة",IF(MOD(IC$3-'الموظفون'!$D$8,CycleWork+CycleRest)&lt;CycleWork,INDEX('الإعدادات والقوائم'!$H$2:$H$4,MOD(INT(MOD(IC$3-'الموظفون'!$D$8,CycleWork+CycleRest)*3/CycleWork)+MATCH(StartShift,'الإعدادات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الإجازات'!$D$5:$D$104&lt;=IC$3)*(('حجز الإجازات'!$E$5:$E$104)&gt;=IC$3)*('حجز الإجازات'!$G$5:$G$104="معتمد")*ROW('حجز الإجازات'!$B$5:$B$104)))-5+1))</f>
        <v/>
      </c>
      <c r="ID10" s="62">
        <f>IF(SUMPRODUCT(('حجز الإجازات'!$B$5:$B$104='الموظفون'!$B$8)*('حجز الإجازات'!$D$5:$D$104&lt;=ID$3)*(('حجز الإجازات'!$E$5:$E$104)&gt;=ID$3)*('حجز الإجازات'!$G$5:$G$104="معتمد")*ROW('حجز الإجازات'!$B$5:$B$104))=0,IF(ID$3&lt;'الموظفون'!$D$8,"",IF(ISNUMBER(MATCH(ID$3,Holidays,0)),"عطلة",IF(MOD(ID$3-'الموظفون'!$D$8,CycleWork+CycleRest)&lt;CycleWork,INDEX('الإعدادات والقوائم'!$H$2:$H$4,MOD(INT(MOD(ID$3-'الموظفون'!$D$8,CycleWork+CycleRest)*3/CycleWork)+MATCH(StartShift,'الإعدادات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الإجازات'!$D$5:$D$104&lt;=ID$3)*(('حجز الإجازات'!$E$5:$E$104)&gt;=ID$3)*('حجز الإجازات'!$G$5:$G$104="معتمد")*ROW('حجز الإجازات'!$B$5:$B$104)))-5+1))</f>
        <v/>
      </c>
      <c r="IE10" s="62">
        <f>IF(SUMPRODUCT(('حجز الإجازات'!$B$5:$B$104='الموظفون'!$B$8)*('حجز الإجازات'!$D$5:$D$104&lt;=IE$3)*(('حجز الإجازات'!$E$5:$E$104)&gt;=IE$3)*('حجز الإجازات'!$G$5:$G$104="معتمد")*ROW('حجز الإجازات'!$B$5:$B$104))=0,IF(IE$3&lt;'الموظفون'!$D$8,"",IF(ISNUMBER(MATCH(IE$3,Holidays,0)),"عطلة",IF(MOD(IE$3-'الموظفون'!$D$8,CycleWork+CycleRest)&lt;CycleWork,INDEX('الإعدادات والقوائم'!$H$2:$H$4,MOD(INT(MOD(IE$3-'الموظفون'!$D$8,CycleWork+CycleRest)*3/CycleWork)+MATCH(StartShift,'الإعدادات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الإجازات'!$D$5:$D$104&lt;=IE$3)*(('حجز الإجازات'!$E$5:$E$104)&gt;=IE$3)*('حجز الإجازات'!$G$5:$G$104="معتمد")*ROW('حجز الإجازات'!$B$5:$B$104)))-5+1))</f>
        <v/>
      </c>
      <c r="IF10" s="62">
        <f>IF(SUMPRODUCT(('حجز الإجازات'!$B$5:$B$104='الموظفون'!$B$8)*('حجز الإجازات'!$D$5:$D$104&lt;=IF$3)*(('حجز الإجازات'!$E$5:$E$104)&gt;=IF$3)*('حجز الإجازات'!$G$5:$G$104="معتمد")*ROW('حجز الإجازات'!$B$5:$B$104))=0,IF(IF$3&lt;'الموظفون'!$D$8,"",IF(ISNUMBER(MATCH(IF$3,Holidays,0)),"عطلة",IF(MOD(IF$3-'الموظفون'!$D$8,CycleWork+CycleRest)&lt;CycleWork,INDEX('الإعدادات والقوائم'!$H$2:$H$4,MOD(INT(MOD(IF$3-'الموظفون'!$D$8,CycleWork+CycleRest)*3/CycleWork)+MATCH(StartShift,'الإعدادات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الإجازات'!$D$5:$D$104&lt;=IF$3)*(('حجز الإجازات'!$E$5:$E$104)&gt;=IF$3)*('حجز الإجازات'!$G$5:$G$104="معتمد")*ROW('حجز الإجازات'!$B$5:$B$104)))-5+1))</f>
        <v/>
      </c>
      <c r="IG10" s="62">
        <f>IF(SUMPRODUCT(('حجز الإجازات'!$B$5:$B$104='الموظفون'!$B$8)*('حجز الإجازات'!$D$5:$D$104&lt;=IG$3)*(('حجز الإجازات'!$E$5:$E$104)&gt;=IG$3)*('حجز الإجازات'!$G$5:$G$104="معتمد")*ROW('حجز الإجازات'!$B$5:$B$104))=0,IF(IG$3&lt;'الموظفون'!$D$8,"",IF(ISNUMBER(MATCH(IG$3,Holidays,0)),"عطلة",IF(MOD(IG$3-'الموظفون'!$D$8,CycleWork+CycleRest)&lt;CycleWork,INDEX('الإعدادات والقوائم'!$H$2:$H$4,MOD(INT(MOD(IG$3-'الموظفون'!$D$8,CycleWork+CycleRest)*3/CycleWork)+MATCH(StartShift,'الإعدادات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الإجازات'!$D$5:$D$104&lt;=IG$3)*(('حجز الإجازات'!$E$5:$E$104)&gt;=IG$3)*('حجز الإجازات'!$G$5:$G$104="معتمد")*ROW('حجز الإجازات'!$B$5:$B$104)))-5+1))</f>
        <v/>
      </c>
      <c r="IH10" s="62">
        <f>IF(SUMPRODUCT(('حجز الإجازات'!$B$5:$B$104='الموظفون'!$B$8)*('حجز الإجازات'!$D$5:$D$104&lt;=IH$3)*(('حجز الإجازات'!$E$5:$E$104)&gt;=IH$3)*('حجز الإجازات'!$G$5:$G$104="معتمد")*ROW('حجز الإجازات'!$B$5:$B$104))=0,IF(IH$3&lt;'الموظفون'!$D$8,"",IF(ISNUMBER(MATCH(IH$3,Holidays,0)),"عطلة",IF(MOD(IH$3-'الموظفون'!$D$8,CycleWork+CycleRest)&lt;CycleWork,INDEX('الإعدادات والقوائم'!$H$2:$H$4,MOD(INT(MOD(IH$3-'الموظفون'!$D$8,CycleWork+CycleRest)*3/CycleWork)+MATCH(StartShift,'الإعدادات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الإجازات'!$D$5:$D$104&lt;=IH$3)*(('حجز الإجازات'!$E$5:$E$104)&gt;=IH$3)*('حجز الإجازات'!$G$5:$G$104="معتمد")*ROW('حجز الإجازات'!$B$5:$B$104)))-5+1))</f>
        <v/>
      </c>
      <c r="II10" s="62">
        <f>IF(SUMPRODUCT(('حجز الإجازات'!$B$5:$B$104='الموظفون'!$B$8)*('حجز الإجازات'!$D$5:$D$104&lt;=II$3)*(('حجز الإجازات'!$E$5:$E$104)&gt;=II$3)*('حجز الإجازات'!$G$5:$G$104="معتمد")*ROW('حجز الإجازات'!$B$5:$B$104))=0,IF(II$3&lt;'الموظفون'!$D$8,"",IF(ISNUMBER(MATCH(II$3,Holidays,0)),"عطلة",IF(MOD(II$3-'الموظفون'!$D$8,CycleWork+CycleRest)&lt;CycleWork,INDEX('الإعدادات والقوائم'!$H$2:$H$4,MOD(INT(MOD(II$3-'الموظفون'!$D$8,CycleWork+CycleRest)*3/CycleWork)+MATCH(StartShift,'الإعدادات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الإجازات'!$D$5:$D$104&lt;=II$3)*(('حجز الإجازات'!$E$5:$E$104)&gt;=II$3)*('حجز الإجازات'!$G$5:$G$104="معتمد")*ROW('حجز الإجازات'!$B$5:$B$104)))-5+1))</f>
        <v/>
      </c>
      <c r="IJ10" s="62">
        <f>IF(SUMPRODUCT(('حجز الإجازات'!$B$5:$B$104='الموظفون'!$B$8)*('حجز الإجازات'!$D$5:$D$104&lt;=IJ$3)*(('حجز الإجازات'!$E$5:$E$104)&gt;=IJ$3)*('حجز الإجازات'!$G$5:$G$104="معتمد")*ROW('حجز الإجازات'!$B$5:$B$104))=0,IF(IJ$3&lt;'الموظفون'!$D$8,"",IF(ISNUMBER(MATCH(IJ$3,Holidays,0)),"عطلة",IF(MOD(IJ$3-'الموظفون'!$D$8,CycleWork+CycleRest)&lt;CycleWork,INDEX('الإعدادات والقوائم'!$H$2:$H$4,MOD(INT(MOD(IJ$3-'الموظفون'!$D$8,CycleWork+CycleRest)*3/CycleWork)+MATCH(StartShift,'الإعدادات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الإجازات'!$D$5:$D$104&lt;=IJ$3)*(('حجز الإجازات'!$E$5:$E$104)&gt;=IJ$3)*('حجز الإجازات'!$G$5:$G$104="معتمد")*ROW('حجز الإجازات'!$B$5:$B$104)))-5+1))</f>
        <v/>
      </c>
      <c r="IK10" s="62">
        <f>IF(SUMPRODUCT(('حجز الإجازات'!$B$5:$B$104='الموظفون'!$B$8)*('حجز الإجازات'!$D$5:$D$104&lt;=IK$3)*(('حجز الإجازات'!$E$5:$E$104)&gt;=IK$3)*('حجز الإجازات'!$G$5:$G$104="معتمد")*ROW('حجز الإجازات'!$B$5:$B$104))=0,IF(IK$3&lt;'الموظفون'!$D$8,"",IF(ISNUMBER(MATCH(IK$3,Holidays,0)),"عطلة",IF(MOD(IK$3-'الموظفون'!$D$8,CycleWork+CycleRest)&lt;CycleWork,INDEX('الإعدادات والقوائم'!$H$2:$H$4,MOD(INT(MOD(IK$3-'الموظفون'!$D$8,CycleWork+CycleRest)*3/CycleWork)+MATCH(StartShift,'الإعدادات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الإجازات'!$D$5:$D$104&lt;=IK$3)*(('حجز الإجازات'!$E$5:$E$104)&gt;=IK$3)*('حجز الإجازات'!$G$5:$G$104="معتمد")*ROW('حجز الإجازات'!$B$5:$B$104)))-5+1))</f>
        <v/>
      </c>
      <c r="IL10" s="62">
        <f>IF(SUMPRODUCT(('حجز الإجازات'!$B$5:$B$104='الموظفون'!$B$8)*('حجز الإجازات'!$D$5:$D$104&lt;=IL$3)*(('حجز الإجازات'!$E$5:$E$104)&gt;=IL$3)*('حجز الإجازات'!$G$5:$G$104="معتمد")*ROW('حجز الإجازات'!$B$5:$B$104))=0,IF(IL$3&lt;'الموظفون'!$D$8,"",IF(ISNUMBER(MATCH(IL$3,Holidays,0)),"عطلة",IF(MOD(IL$3-'الموظفون'!$D$8,CycleWork+CycleRest)&lt;CycleWork,INDEX('الإعدادات والقوائم'!$H$2:$H$4,MOD(INT(MOD(IL$3-'الموظفون'!$D$8,CycleWork+CycleRest)*3/CycleWork)+MATCH(StartShift,'الإعدادات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الإجازات'!$D$5:$D$104&lt;=IL$3)*(('حجز الإجازات'!$E$5:$E$104)&gt;=IL$3)*('حجز الإجازات'!$G$5:$G$104="معتمد")*ROW('حجز الإجازات'!$B$5:$B$104)))-5+1))</f>
        <v/>
      </c>
      <c r="IM10" s="62">
        <f>IF(SUMPRODUCT(('حجز الإجازات'!$B$5:$B$104='الموظفون'!$B$8)*('حجز الإجازات'!$D$5:$D$104&lt;=IM$3)*(('حجز الإجازات'!$E$5:$E$104)&gt;=IM$3)*('حجز الإجازات'!$G$5:$G$104="معتمد")*ROW('حجز الإجازات'!$B$5:$B$104))=0,IF(IM$3&lt;'الموظفون'!$D$8,"",IF(ISNUMBER(MATCH(IM$3,Holidays,0)),"عطلة",IF(MOD(IM$3-'الموظفون'!$D$8,CycleWork+CycleRest)&lt;CycleWork,INDEX('الإعدادات والقوائم'!$H$2:$H$4,MOD(INT(MOD(IM$3-'الموظفون'!$D$8,CycleWork+CycleRest)*3/CycleWork)+MATCH(StartShift,'الإعدادات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الإجازات'!$D$5:$D$104&lt;=IM$3)*(('حجز الإجازات'!$E$5:$E$104)&gt;=IM$3)*('حجز الإجازات'!$G$5:$G$104="معتمد")*ROW('حجز الإجازات'!$B$5:$B$104)))-5+1))</f>
        <v/>
      </c>
      <c r="IN10" s="62">
        <f>IF(SUMPRODUCT(('حجز الإجازات'!$B$5:$B$104='الموظفون'!$B$8)*('حجز الإجازات'!$D$5:$D$104&lt;=IN$3)*(('حجز الإجازات'!$E$5:$E$104)&gt;=IN$3)*('حجز الإجازات'!$G$5:$G$104="معتمد")*ROW('حجز الإجازات'!$B$5:$B$104))=0,IF(IN$3&lt;'الموظفون'!$D$8,"",IF(ISNUMBER(MATCH(IN$3,Holidays,0)),"عطلة",IF(MOD(IN$3-'الموظفون'!$D$8,CycleWork+CycleRest)&lt;CycleWork,INDEX('الإعدادات والقوائم'!$H$2:$H$4,MOD(INT(MOD(IN$3-'الموظفون'!$D$8,CycleWork+CycleRest)*3/CycleWork)+MATCH(StartShift,'الإعدادات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الإجازات'!$D$5:$D$104&lt;=IN$3)*(('حجز الإجازات'!$E$5:$E$104)&gt;=IN$3)*('حجز الإجازات'!$G$5:$G$104="معتمد")*ROW('حجز الإجازات'!$B$5:$B$104)))-5+1))</f>
        <v/>
      </c>
      <c r="IO10" s="62">
        <f>IF(SUMPRODUCT(('حجز الإجازات'!$B$5:$B$104='الموظفون'!$B$8)*('حجز الإجازات'!$D$5:$D$104&lt;=IO$3)*(('حجز الإجازات'!$E$5:$E$104)&gt;=IO$3)*('حجز الإجازات'!$G$5:$G$104="معتمد")*ROW('حجز الإجازات'!$B$5:$B$104))=0,IF(IO$3&lt;'الموظفون'!$D$8,"",IF(ISNUMBER(MATCH(IO$3,Holidays,0)),"عطلة",IF(MOD(IO$3-'الموظفون'!$D$8,CycleWork+CycleRest)&lt;CycleWork,INDEX('الإعدادات والقوائم'!$H$2:$H$4,MOD(INT(MOD(IO$3-'الموظفون'!$D$8,CycleWork+CycleRest)*3/CycleWork)+MATCH(StartShift,'الإعدادات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الإجازات'!$D$5:$D$104&lt;=IO$3)*(('حجز الإجازات'!$E$5:$E$104)&gt;=IO$3)*('حجز الإجازات'!$G$5:$G$104="معتمد")*ROW('حجز الإجازات'!$B$5:$B$104)))-5+1))</f>
        <v/>
      </c>
      <c r="IP10" s="62">
        <f>IF(SUMPRODUCT(('حجز الإجازات'!$B$5:$B$104='الموظفون'!$B$8)*('حجز الإجازات'!$D$5:$D$104&lt;=IP$3)*(('حجز الإجازات'!$E$5:$E$104)&gt;=IP$3)*('حجز الإجازات'!$G$5:$G$104="معتمد")*ROW('حجز الإجازات'!$B$5:$B$104))=0,IF(IP$3&lt;'الموظفون'!$D$8,"",IF(ISNUMBER(MATCH(IP$3,Holidays,0)),"عطلة",IF(MOD(IP$3-'الموظفون'!$D$8,CycleWork+CycleRest)&lt;CycleWork,INDEX('الإعدادات والقوائم'!$H$2:$H$4,MOD(INT(MOD(IP$3-'الموظفون'!$D$8,CycleWork+CycleRest)*3/CycleWork)+MATCH(StartShift,'الإعدادات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الإجازات'!$D$5:$D$104&lt;=IP$3)*(('حجز الإجازات'!$E$5:$E$104)&gt;=IP$3)*('حجز الإجازات'!$G$5:$G$104="معتمد")*ROW('حجز الإجازات'!$B$5:$B$104)))-5+1))</f>
        <v/>
      </c>
      <c r="IQ10" s="62">
        <f>IF(SUMPRODUCT(('حجز الإجازات'!$B$5:$B$104='الموظفون'!$B$8)*('حجز الإجازات'!$D$5:$D$104&lt;=IQ$3)*(('حجز الإجازات'!$E$5:$E$104)&gt;=IQ$3)*('حجز الإجازات'!$G$5:$G$104="معتمد")*ROW('حجز الإجازات'!$B$5:$B$104))=0,IF(IQ$3&lt;'الموظفون'!$D$8,"",IF(ISNUMBER(MATCH(IQ$3,Holidays,0)),"عطلة",IF(MOD(IQ$3-'الموظفون'!$D$8,CycleWork+CycleRest)&lt;CycleWork,INDEX('الإعدادات والقوائم'!$H$2:$H$4,MOD(INT(MOD(IQ$3-'الموظفون'!$D$8,CycleWork+CycleRest)*3/CycleWork)+MATCH(StartShift,'الإعدادات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الإجازات'!$D$5:$D$104&lt;=IQ$3)*(('حجز الإجازات'!$E$5:$E$104)&gt;=IQ$3)*('حجز الإجازات'!$G$5:$G$104="معتمد")*ROW('حجز الإجازات'!$B$5:$B$104)))-5+1))</f>
        <v/>
      </c>
      <c r="IR10" s="62">
        <f>IF(SUMPRODUCT(('حجز الإجازات'!$B$5:$B$104='الموظفون'!$B$8)*('حجز الإجازات'!$D$5:$D$104&lt;=IR$3)*(('حجز الإجازات'!$E$5:$E$104)&gt;=IR$3)*('حجز الإجازات'!$G$5:$G$104="معتمد")*ROW('حجز الإجازات'!$B$5:$B$104))=0,IF(IR$3&lt;'الموظفون'!$D$8,"",IF(ISNUMBER(MATCH(IR$3,Holidays,0)),"عطلة",IF(MOD(IR$3-'الموظفون'!$D$8,CycleWork+CycleRest)&lt;CycleWork,INDEX('الإعدادات والقوائم'!$H$2:$H$4,MOD(INT(MOD(IR$3-'الموظفون'!$D$8,CycleWork+CycleRest)*3/CycleWork)+MATCH(StartShift,'الإعدادات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الإجازات'!$D$5:$D$104&lt;=IR$3)*(('حجز الإجازات'!$E$5:$E$104)&gt;=IR$3)*('حجز الإجازات'!$G$5:$G$104="معتمد")*ROW('حجز الإجازات'!$B$5:$B$104)))-5+1))</f>
        <v/>
      </c>
      <c r="IS10" s="62">
        <f>IF(SUMPRODUCT(('حجز الإجازات'!$B$5:$B$104='الموظفون'!$B$8)*('حجز الإجازات'!$D$5:$D$104&lt;=IS$3)*(('حجز الإجازات'!$E$5:$E$104)&gt;=IS$3)*('حجز الإجازات'!$G$5:$G$104="معتمد")*ROW('حجز الإجازات'!$B$5:$B$104))=0,IF(IS$3&lt;'الموظفون'!$D$8,"",IF(ISNUMBER(MATCH(IS$3,Holidays,0)),"عطلة",IF(MOD(IS$3-'الموظفون'!$D$8,CycleWork+CycleRest)&lt;CycleWork,INDEX('الإعدادات والقوائم'!$H$2:$H$4,MOD(INT(MOD(IS$3-'الموظفون'!$D$8,CycleWork+CycleRest)*3/CycleWork)+MATCH(StartShift,'الإعدادات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الإجازات'!$D$5:$D$104&lt;=IS$3)*(('حجز الإجازات'!$E$5:$E$104)&gt;=IS$3)*('حجز الإجازات'!$G$5:$G$104="معتمد")*ROW('حجز الإجازات'!$B$5:$B$104)))-5+1))</f>
        <v/>
      </c>
      <c r="IT10" s="62">
        <f>IF(SUMPRODUCT(('حجز الإجازات'!$B$5:$B$104='الموظفون'!$B$8)*('حجز الإجازات'!$D$5:$D$104&lt;=IT$3)*(('حجز الإجازات'!$E$5:$E$104)&gt;=IT$3)*('حجز الإجازات'!$G$5:$G$104="معتمد")*ROW('حجز الإجازات'!$B$5:$B$104))=0,IF(IT$3&lt;'الموظفون'!$D$8,"",IF(ISNUMBER(MATCH(IT$3,Holidays,0)),"عطلة",IF(MOD(IT$3-'الموظفون'!$D$8,CycleWork+CycleRest)&lt;CycleWork,INDEX('الإعدادات والقوائم'!$H$2:$H$4,MOD(INT(MOD(IT$3-'الموظفون'!$D$8,CycleWork+CycleRest)*3/CycleWork)+MATCH(StartShift,'الإعدادات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الإجازات'!$D$5:$D$104&lt;=IT$3)*(('حجز الإجازات'!$E$5:$E$104)&gt;=IT$3)*('حجز الإجازات'!$G$5:$G$104="معتمد")*ROW('حجز الإجازات'!$B$5:$B$104)))-5+1))</f>
        <v/>
      </c>
      <c r="IU10" s="62">
        <f>IF(SUMPRODUCT(('حجز الإجازات'!$B$5:$B$104='الموظفون'!$B$8)*('حجز الإجازات'!$D$5:$D$104&lt;=IU$3)*(('حجز الإجازات'!$E$5:$E$104)&gt;=IU$3)*('حجز الإجازات'!$G$5:$G$104="معتمد")*ROW('حجز الإجازات'!$B$5:$B$104))=0,IF(IU$3&lt;'الموظفون'!$D$8,"",IF(ISNUMBER(MATCH(IU$3,Holidays,0)),"عطلة",IF(MOD(IU$3-'الموظفون'!$D$8,CycleWork+CycleRest)&lt;CycleWork,INDEX('الإعدادات والقوائم'!$H$2:$H$4,MOD(INT(MOD(IU$3-'الموظفون'!$D$8,CycleWork+CycleRest)*3/CycleWork)+MATCH(StartShift,'الإعدادات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الإجازات'!$D$5:$D$104&lt;=IU$3)*(('حجز الإجازات'!$E$5:$E$104)&gt;=IU$3)*('حجز الإجازات'!$G$5:$G$104="معتمد")*ROW('حجز الإجازات'!$B$5:$B$104)))-5+1))</f>
        <v/>
      </c>
      <c r="IV10" s="62">
        <f>IF(SUMPRODUCT(('حجز الإجازات'!$B$5:$B$104='الموظفون'!$B$8)*('حجز الإجازات'!$D$5:$D$104&lt;=IV$3)*(('حجز الإجازات'!$E$5:$E$104)&gt;=IV$3)*('حجز الإجازات'!$G$5:$G$104="معتمد")*ROW('حجز الإجازات'!$B$5:$B$104))=0,IF(IV$3&lt;'الموظفون'!$D$8,"",IF(ISNUMBER(MATCH(IV$3,Holidays,0)),"عطلة",IF(MOD(IV$3-'الموظفون'!$D$8,CycleWork+CycleRest)&lt;CycleWork,INDEX('الإعدادات والقوائم'!$H$2:$H$4,MOD(INT(MOD(IV$3-'الموظفون'!$D$8,CycleWork+CycleRest)*3/CycleWork)+MATCH(StartShift,'الإعدادات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الإجازات'!$D$5:$D$104&lt;=IV$3)*(('حجز الإجازات'!$E$5:$E$104)&gt;=IV$3)*('حجز الإجازات'!$G$5:$G$104="معتمد")*ROW('حجز الإجازات'!$B$5:$B$104)))-5+1))</f>
        <v/>
      </c>
      <c r="IW10" s="62">
        <f>IF(SUMPRODUCT(('حجز الإجازات'!$B$5:$B$104='الموظفون'!$B$8)*('حجز الإجازات'!$D$5:$D$104&lt;=IW$3)*(('حجز الإجازات'!$E$5:$E$104)&gt;=IW$3)*('حجز الإجازات'!$G$5:$G$104="معتمد")*ROW('حجز الإجازات'!$B$5:$B$104))=0,IF(IW$3&lt;'الموظفون'!$D$8,"",IF(ISNUMBER(MATCH(IW$3,Holidays,0)),"عطلة",IF(MOD(IW$3-'الموظفون'!$D$8,CycleWork+CycleRest)&lt;CycleWork,INDEX('الإعدادات والقوائم'!$H$2:$H$4,MOD(INT(MOD(IW$3-'الموظفون'!$D$8,CycleWork+CycleRest)*3/CycleWork)+MATCH(StartShift,'الإعدادات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الإجازات'!$D$5:$D$104&lt;=IW$3)*(('حجز الإجازات'!$E$5:$E$104)&gt;=IW$3)*('حجز الإجازات'!$G$5:$G$104="معتمد")*ROW('حجز الإجازات'!$B$5:$B$104)))-5+1))</f>
        <v/>
      </c>
      <c r="IX10" s="62">
        <f>IF(SUMPRODUCT(('حجز الإجازات'!$B$5:$B$104='الموظفون'!$B$8)*('حجز الإجازات'!$D$5:$D$104&lt;=IX$3)*(('حجز الإجازات'!$E$5:$E$104)&gt;=IX$3)*('حجز الإجازات'!$G$5:$G$104="معتمد")*ROW('حجز الإجازات'!$B$5:$B$104))=0,IF(IX$3&lt;'الموظفون'!$D$8,"",IF(ISNUMBER(MATCH(IX$3,Holidays,0)),"عطلة",IF(MOD(IX$3-'الموظفون'!$D$8,CycleWork+CycleRest)&lt;CycleWork,INDEX('الإعدادات والقوائم'!$H$2:$H$4,MOD(INT(MOD(IX$3-'الموظفون'!$D$8,CycleWork+CycleRest)*3/CycleWork)+MATCH(StartShift,'الإعدادات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الإجازات'!$D$5:$D$104&lt;=IX$3)*(('حجز الإجازات'!$E$5:$E$104)&gt;=IX$3)*('حجز الإجازات'!$G$5:$G$104="معتمد")*ROW('حجز الإجازات'!$B$5:$B$104)))-5+1))</f>
        <v/>
      </c>
      <c r="IY10" s="62">
        <f>IF(SUMPRODUCT(('حجز الإجازات'!$B$5:$B$104='الموظفون'!$B$8)*('حجز الإجازات'!$D$5:$D$104&lt;=IY$3)*(('حجز الإجازات'!$E$5:$E$104)&gt;=IY$3)*('حجز الإجازات'!$G$5:$G$104="معتمد")*ROW('حجز الإجازات'!$B$5:$B$104))=0,IF(IY$3&lt;'الموظفون'!$D$8,"",IF(ISNUMBER(MATCH(IY$3,Holidays,0)),"عطلة",IF(MOD(IY$3-'الموظفون'!$D$8,CycleWork+CycleRest)&lt;CycleWork,INDEX('الإعدادات والقوائم'!$H$2:$H$4,MOD(INT(MOD(IY$3-'الموظفون'!$D$8,CycleWork+CycleRest)*3/CycleWork)+MATCH(StartShift,'الإعدادات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الإجازات'!$D$5:$D$104&lt;=IY$3)*(('حجز الإجازات'!$E$5:$E$104)&gt;=IY$3)*('حجز الإجازات'!$G$5:$G$104="معتمد")*ROW('حجز الإجازات'!$B$5:$B$104)))-5+1))</f>
        <v/>
      </c>
      <c r="IZ10" s="62">
        <f>IF(SUMPRODUCT(('حجز الإجازات'!$B$5:$B$104='الموظفون'!$B$8)*('حجز الإجازات'!$D$5:$D$104&lt;=IZ$3)*(('حجز الإجازات'!$E$5:$E$104)&gt;=IZ$3)*('حجز الإجازات'!$G$5:$G$104="معتمد")*ROW('حجز الإجازات'!$B$5:$B$104))=0,IF(IZ$3&lt;'الموظفون'!$D$8,"",IF(ISNUMBER(MATCH(IZ$3,Holidays,0)),"عطلة",IF(MOD(IZ$3-'الموظفون'!$D$8,CycleWork+CycleRest)&lt;CycleWork,INDEX('الإعدادات والقوائم'!$H$2:$H$4,MOD(INT(MOD(IZ$3-'الموظفون'!$D$8,CycleWork+CycleRest)*3/CycleWork)+MATCH(StartShift,'الإعدادات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الإجازات'!$D$5:$D$104&lt;=IZ$3)*(('حجز الإجازات'!$E$5:$E$104)&gt;=IZ$3)*('حجز الإجازات'!$G$5:$G$104="معتمد")*ROW('حجز الإجازات'!$B$5:$B$104)))-5+1))</f>
        <v/>
      </c>
      <c r="JA10" s="62">
        <f>IF(SUMPRODUCT(('حجز الإجازات'!$B$5:$B$104='الموظفون'!$B$8)*('حجز الإجازات'!$D$5:$D$104&lt;=JA$3)*(('حجز الإجازات'!$E$5:$E$104)&gt;=JA$3)*('حجز الإجازات'!$G$5:$G$104="معتمد")*ROW('حجز الإجازات'!$B$5:$B$104))=0,IF(JA$3&lt;'الموظفون'!$D$8,"",IF(ISNUMBER(MATCH(JA$3,Holidays,0)),"عطلة",IF(MOD(JA$3-'الموظفون'!$D$8,CycleWork+CycleRest)&lt;CycleWork,INDEX('الإعدادات والقوائم'!$H$2:$H$4,MOD(INT(MOD(JA$3-'الموظفون'!$D$8,CycleWork+CycleRest)*3/CycleWork)+MATCH(StartShift,'الإعدادات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الإجازات'!$D$5:$D$104&lt;=JA$3)*(('حجز الإجازات'!$E$5:$E$104)&gt;=JA$3)*('حجز الإجازات'!$G$5:$G$104="معتمد")*ROW('حجز الإجازات'!$B$5:$B$104)))-5+1))</f>
        <v/>
      </c>
      <c r="JB10" s="62">
        <f>IF(SUMPRODUCT(('حجز الإجازات'!$B$5:$B$104='الموظفون'!$B$8)*('حجز الإجازات'!$D$5:$D$104&lt;=JB$3)*(('حجز الإجازات'!$E$5:$E$104)&gt;=JB$3)*('حجز الإجازات'!$G$5:$G$104="معتمد")*ROW('حجز الإجازات'!$B$5:$B$104))=0,IF(JB$3&lt;'الموظفون'!$D$8,"",IF(ISNUMBER(MATCH(JB$3,Holidays,0)),"عطلة",IF(MOD(JB$3-'الموظفون'!$D$8,CycleWork+CycleRest)&lt;CycleWork,INDEX('الإعدادات والقوائم'!$H$2:$H$4,MOD(INT(MOD(JB$3-'الموظفون'!$D$8,CycleWork+CycleRest)*3/CycleWork)+MATCH(StartShift,'الإعدادات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الإجازات'!$D$5:$D$104&lt;=JB$3)*(('حجز الإجازات'!$E$5:$E$104)&gt;=JB$3)*('حجز الإجازات'!$G$5:$G$104="معتمد")*ROW('حجز الإجازات'!$B$5:$B$104)))-5+1))</f>
        <v/>
      </c>
      <c r="JC10" s="62">
        <f>IF(SUMPRODUCT(('حجز الإجازات'!$B$5:$B$104='الموظفون'!$B$8)*('حجز الإجازات'!$D$5:$D$104&lt;=JC$3)*(('حجز الإجازات'!$E$5:$E$104)&gt;=JC$3)*('حجز الإجازات'!$G$5:$G$104="معتمد")*ROW('حجز الإجازات'!$B$5:$B$104))=0,IF(JC$3&lt;'الموظفون'!$D$8,"",IF(ISNUMBER(MATCH(JC$3,Holidays,0)),"عطلة",IF(MOD(JC$3-'الموظفون'!$D$8,CycleWork+CycleRest)&lt;CycleWork,INDEX('الإعدادات والقوائم'!$H$2:$H$4,MOD(INT(MOD(JC$3-'الموظفون'!$D$8,CycleWork+CycleRest)*3/CycleWork)+MATCH(StartShift,'الإعدادات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الإجازات'!$D$5:$D$104&lt;=JC$3)*(('حجز الإجازات'!$E$5:$E$104)&gt;=JC$3)*('حجز الإجازات'!$G$5:$G$104="معتمد")*ROW('حجز الإجازات'!$B$5:$B$104)))-5+1))</f>
        <v/>
      </c>
      <c r="JD10" s="62">
        <f>IF(SUMPRODUCT(('حجز الإجازات'!$B$5:$B$104='الموظفون'!$B$8)*('حجز الإجازات'!$D$5:$D$104&lt;=JD$3)*(('حجز الإجازات'!$E$5:$E$104)&gt;=JD$3)*('حجز الإجازات'!$G$5:$G$104="معتمد")*ROW('حجز الإجازات'!$B$5:$B$104))=0,IF(JD$3&lt;'الموظفون'!$D$8,"",IF(ISNUMBER(MATCH(JD$3,Holidays,0)),"عطلة",IF(MOD(JD$3-'الموظفون'!$D$8,CycleWork+CycleRest)&lt;CycleWork,INDEX('الإعدادات والقوائم'!$H$2:$H$4,MOD(INT(MOD(JD$3-'الموظفون'!$D$8,CycleWork+CycleRest)*3/CycleWork)+MATCH(StartShift,'الإعدادات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الإجازات'!$D$5:$D$104&lt;=JD$3)*(('حجز الإجازات'!$E$5:$E$104)&gt;=JD$3)*('حجز الإجازات'!$G$5:$G$104="معتمد")*ROW('حجز الإجازات'!$B$5:$B$104)))-5+1))</f>
        <v/>
      </c>
      <c r="JE10" s="62">
        <f>IF(SUMPRODUCT(('حجز الإجازات'!$B$5:$B$104='الموظفون'!$B$8)*('حجز الإجازات'!$D$5:$D$104&lt;=JE$3)*(('حجز الإجازات'!$E$5:$E$104)&gt;=JE$3)*('حجز الإجازات'!$G$5:$G$104="معتمد")*ROW('حجز الإجازات'!$B$5:$B$104))=0,IF(JE$3&lt;'الموظفون'!$D$8,"",IF(ISNUMBER(MATCH(JE$3,Holidays,0)),"عطلة",IF(MOD(JE$3-'الموظفون'!$D$8,CycleWork+CycleRest)&lt;CycleWork,INDEX('الإعدادات والقوائم'!$H$2:$H$4,MOD(INT(MOD(JE$3-'الموظفون'!$D$8,CycleWork+CycleRest)*3/CycleWork)+MATCH(StartShift,'الإعدادات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الإجازات'!$D$5:$D$104&lt;=JE$3)*(('حجز الإجازات'!$E$5:$E$104)&gt;=JE$3)*('حجز الإجازات'!$G$5:$G$104="معتمد")*ROW('حجز الإجازات'!$B$5:$B$104)))-5+1))</f>
        <v/>
      </c>
      <c r="JF10" s="62">
        <f>IF(SUMPRODUCT(('حجز الإجازات'!$B$5:$B$104='الموظفون'!$B$8)*('حجز الإجازات'!$D$5:$D$104&lt;=JF$3)*(('حجز الإجازات'!$E$5:$E$104)&gt;=JF$3)*('حجز الإجازات'!$G$5:$G$104="معتمد")*ROW('حجز الإجازات'!$B$5:$B$104))=0,IF(JF$3&lt;'الموظفون'!$D$8,"",IF(ISNUMBER(MATCH(JF$3,Holidays,0)),"عطلة",IF(MOD(JF$3-'الموظفون'!$D$8,CycleWork+CycleRest)&lt;CycleWork,INDEX('الإعدادات والقوائم'!$H$2:$H$4,MOD(INT(MOD(JF$3-'الموظفون'!$D$8,CycleWork+CycleRest)*3/CycleWork)+MATCH(StartShift,'الإعدادات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الإجازات'!$D$5:$D$104&lt;=JF$3)*(('حجز الإجازات'!$E$5:$E$104)&gt;=JF$3)*('حجز الإجازات'!$G$5:$G$104="معتمد")*ROW('حجز الإجازات'!$B$5:$B$104)))-5+1))</f>
        <v/>
      </c>
      <c r="JG10" s="62">
        <f>IF(SUMPRODUCT(('حجز الإجازات'!$B$5:$B$104='الموظفون'!$B$8)*('حجز الإجازات'!$D$5:$D$104&lt;=JG$3)*(('حجز الإجازات'!$E$5:$E$104)&gt;=JG$3)*('حجز الإجازات'!$G$5:$G$104="معتمد")*ROW('حجز الإجازات'!$B$5:$B$104))=0,IF(JG$3&lt;'الموظفون'!$D$8,"",IF(ISNUMBER(MATCH(JG$3,Holidays,0)),"عطلة",IF(MOD(JG$3-'الموظفون'!$D$8,CycleWork+CycleRest)&lt;CycleWork,INDEX('الإعدادات والقوائم'!$H$2:$H$4,MOD(INT(MOD(JG$3-'الموظفون'!$D$8,CycleWork+CycleRest)*3/CycleWork)+MATCH(StartShift,'الإعدادات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الإجازات'!$D$5:$D$104&lt;=JG$3)*(('حجز الإجازات'!$E$5:$E$104)&gt;=JG$3)*('حجز الإجازات'!$G$5:$G$104="معتمد")*ROW('حجز الإجازات'!$B$5:$B$104)))-5+1))</f>
        <v/>
      </c>
      <c r="JH10" s="62">
        <f>IF(SUMPRODUCT(('حجز الإجازات'!$B$5:$B$104='الموظفون'!$B$8)*('حجز الإجازات'!$D$5:$D$104&lt;=JH$3)*(('حجز الإجازات'!$E$5:$E$104)&gt;=JH$3)*('حجز الإجازات'!$G$5:$G$104="معتمد")*ROW('حجز الإجازات'!$B$5:$B$104))=0,IF(JH$3&lt;'الموظفون'!$D$8,"",IF(ISNUMBER(MATCH(JH$3,Holidays,0)),"عطلة",IF(MOD(JH$3-'الموظفون'!$D$8,CycleWork+CycleRest)&lt;CycleWork,INDEX('الإعدادات والقوائم'!$H$2:$H$4,MOD(INT(MOD(JH$3-'الموظفون'!$D$8,CycleWork+CycleRest)*3/CycleWork)+MATCH(StartShift,'الإعدادات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الإجازات'!$D$5:$D$104&lt;=JH$3)*(('حجز الإجازات'!$E$5:$E$104)&gt;=JH$3)*('حجز الإجازات'!$G$5:$G$104="معتمد")*ROW('حجز الإجازات'!$B$5:$B$104)))-5+1))</f>
        <v/>
      </c>
      <c r="JI10" s="62">
        <f>IF(SUMPRODUCT(('حجز الإجازات'!$B$5:$B$104='الموظفون'!$B$8)*('حجز الإجازات'!$D$5:$D$104&lt;=JI$3)*(('حجز الإجازات'!$E$5:$E$104)&gt;=JI$3)*('حجز الإجازات'!$G$5:$G$104="معتمد")*ROW('حجز الإجازات'!$B$5:$B$104))=0,IF(JI$3&lt;'الموظفون'!$D$8,"",IF(ISNUMBER(MATCH(JI$3,Holidays,0)),"عطلة",IF(MOD(JI$3-'الموظفون'!$D$8,CycleWork+CycleRest)&lt;CycleWork,INDEX('الإعدادات والقوائم'!$H$2:$H$4,MOD(INT(MOD(JI$3-'الموظفون'!$D$8,CycleWork+CycleRest)*3/CycleWork)+MATCH(StartShift,'الإعدادات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الإجازات'!$D$5:$D$104&lt;=JI$3)*(('حجز الإجازات'!$E$5:$E$104)&gt;=JI$3)*('حجز الإجازات'!$G$5:$G$104="معتمد")*ROW('حجز الإجازات'!$B$5:$B$104)))-5+1))</f>
        <v/>
      </c>
      <c r="JJ10" s="62">
        <f>IF(SUMPRODUCT(('حجز الإجازات'!$B$5:$B$104='الموظفون'!$B$8)*('حجز الإجازات'!$D$5:$D$104&lt;=JJ$3)*(('حجز الإجازات'!$E$5:$E$104)&gt;=JJ$3)*('حجز الإجازات'!$G$5:$G$104="معتمد")*ROW('حجز الإجازات'!$B$5:$B$104))=0,IF(JJ$3&lt;'الموظفون'!$D$8,"",IF(ISNUMBER(MATCH(JJ$3,Holidays,0)),"عطلة",IF(MOD(JJ$3-'الموظفون'!$D$8,CycleWork+CycleRest)&lt;CycleWork,INDEX('الإعدادات والقوائم'!$H$2:$H$4,MOD(INT(MOD(JJ$3-'الموظفون'!$D$8,CycleWork+CycleRest)*3/CycleWork)+MATCH(StartShift,'الإعدادات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الإجازات'!$D$5:$D$104&lt;=JJ$3)*(('حجز الإجازات'!$E$5:$E$104)&gt;=JJ$3)*('حجز الإجازات'!$G$5:$G$104="معتمد")*ROW('حجز الإجازات'!$B$5:$B$104)))-5+1))</f>
        <v/>
      </c>
      <c r="JK10" s="62">
        <f>IF(SUMPRODUCT(('حجز الإجازات'!$B$5:$B$104='الموظفون'!$B$8)*('حجز الإجازات'!$D$5:$D$104&lt;=JK$3)*(('حجز الإجازات'!$E$5:$E$104)&gt;=JK$3)*('حجز الإجازات'!$G$5:$G$104="معتمد")*ROW('حجز الإجازات'!$B$5:$B$104))=0,IF(JK$3&lt;'الموظفون'!$D$8,"",IF(ISNUMBER(MATCH(JK$3,Holidays,0)),"عطلة",IF(MOD(JK$3-'الموظفون'!$D$8,CycleWork+CycleRest)&lt;CycleWork,INDEX('الإعدادات والقوائم'!$H$2:$H$4,MOD(INT(MOD(JK$3-'الموظفون'!$D$8,CycleWork+CycleRest)*3/CycleWork)+MATCH(StartShift,'الإعدادات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الإجازات'!$D$5:$D$104&lt;=JK$3)*(('حجز الإجازات'!$E$5:$E$104)&gt;=JK$3)*('حجز الإجازات'!$G$5:$G$104="معتمد")*ROW('حجز الإجازات'!$B$5:$B$104)))-5+1))</f>
        <v/>
      </c>
      <c r="JL10" s="62">
        <f>IF(SUMPRODUCT(('حجز الإجازات'!$B$5:$B$104='الموظفون'!$B$8)*('حجز الإجازات'!$D$5:$D$104&lt;=JL$3)*(('حجز الإجازات'!$E$5:$E$104)&gt;=JL$3)*('حجز الإجازات'!$G$5:$G$104="معتمد")*ROW('حجز الإجازات'!$B$5:$B$104))=0,IF(JL$3&lt;'الموظفون'!$D$8,"",IF(ISNUMBER(MATCH(JL$3,Holidays,0)),"عطلة",IF(MOD(JL$3-'الموظفون'!$D$8,CycleWork+CycleRest)&lt;CycleWork,INDEX('الإعدادات والقوائم'!$H$2:$H$4,MOD(INT(MOD(JL$3-'الموظفون'!$D$8,CycleWork+CycleRest)*3/CycleWork)+MATCH(StartShift,'الإعدادات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الإجازات'!$D$5:$D$104&lt;=JL$3)*(('حجز الإجازات'!$E$5:$E$104)&gt;=JL$3)*('حجز الإجازات'!$G$5:$G$104="معتمد")*ROW('حجز الإجازات'!$B$5:$B$104)))-5+1))</f>
        <v/>
      </c>
      <c r="JM10" s="62">
        <f>IF(SUMPRODUCT(('حجز الإجازات'!$B$5:$B$104='الموظفون'!$B$8)*('حجز الإجازات'!$D$5:$D$104&lt;=JM$3)*(('حجز الإجازات'!$E$5:$E$104)&gt;=JM$3)*('حجز الإجازات'!$G$5:$G$104="معتمد")*ROW('حجز الإجازات'!$B$5:$B$104))=0,IF(JM$3&lt;'الموظفون'!$D$8,"",IF(ISNUMBER(MATCH(JM$3,Holidays,0)),"عطلة",IF(MOD(JM$3-'الموظفون'!$D$8,CycleWork+CycleRest)&lt;CycleWork,INDEX('الإعدادات والقوائم'!$H$2:$H$4,MOD(INT(MOD(JM$3-'الموظفون'!$D$8,CycleWork+CycleRest)*3/CycleWork)+MATCH(StartShift,'الإعدادات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الإجازات'!$D$5:$D$104&lt;=JM$3)*(('حجز الإجازات'!$E$5:$E$104)&gt;=JM$3)*('حجز الإجازات'!$G$5:$G$104="معتمد")*ROW('حجز الإجازات'!$B$5:$B$104)))-5+1))</f>
        <v/>
      </c>
      <c r="JN10" s="62">
        <f>IF(SUMPRODUCT(('حجز الإجازات'!$B$5:$B$104='الموظفون'!$B$8)*('حجز الإجازات'!$D$5:$D$104&lt;=JN$3)*(('حجز الإجازات'!$E$5:$E$104)&gt;=JN$3)*('حجز الإجازات'!$G$5:$G$104="معتمد")*ROW('حجز الإجازات'!$B$5:$B$104))=0,IF(JN$3&lt;'الموظفون'!$D$8,"",IF(ISNUMBER(MATCH(JN$3,Holidays,0)),"عطلة",IF(MOD(JN$3-'الموظفون'!$D$8,CycleWork+CycleRest)&lt;CycleWork,INDEX('الإعدادات والقوائم'!$H$2:$H$4,MOD(INT(MOD(JN$3-'الموظفون'!$D$8,CycleWork+CycleRest)*3/CycleWork)+MATCH(StartShift,'الإعدادات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الإجازات'!$D$5:$D$104&lt;=JN$3)*(('حجز الإجازات'!$E$5:$E$104)&gt;=JN$3)*('حجز الإجازات'!$G$5:$G$104="معتمد")*ROW('حجز الإجازات'!$B$5:$B$104)))-5+1))</f>
        <v/>
      </c>
      <c r="JO10" s="62">
        <f>IF(SUMPRODUCT(('حجز الإجازات'!$B$5:$B$104='الموظفون'!$B$8)*('حجز الإجازات'!$D$5:$D$104&lt;=JO$3)*(('حجز الإجازات'!$E$5:$E$104)&gt;=JO$3)*('حجز الإجازات'!$G$5:$G$104="معتمد")*ROW('حجز الإجازات'!$B$5:$B$104))=0,IF(JO$3&lt;'الموظفون'!$D$8,"",IF(ISNUMBER(MATCH(JO$3,Holidays,0)),"عطلة",IF(MOD(JO$3-'الموظفون'!$D$8,CycleWork+CycleRest)&lt;CycleWork,INDEX('الإعدادات والقوائم'!$H$2:$H$4,MOD(INT(MOD(JO$3-'الموظفون'!$D$8,CycleWork+CycleRest)*3/CycleWork)+MATCH(StartShift,'الإعدادات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الإجازات'!$D$5:$D$104&lt;=JO$3)*(('حجز الإجازات'!$E$5:$E$104)&gt;=JO$3)*('حجز الإجازات'!$G$5:$G$104="معتمد")*ROW('حجز الإجازات'!$B$5:$B$104)))-5+1))</f>
        <v/>
      </c>
      <c r="JP10" s="62">
        <f>IF(SUMPRODUCT(('حجز الإجازات'!$B$5:$B$104='الموظفون'!$B$8)*('حجز الإجازات'!$D$5:$D$104&lt;=JP$3)*(('حجز الإجازات'!$E$5:$E$104)&gt;=JP$3)*('حجز الإجازات'!$G$5:$G$104="معتمد")*ROW('حجز الإجازات'!$B$5:$B$104))=0,IF(JP$3&lt;'الموظفون'!$D$8,"",IF(ISNUMBER(MATCH(JP$3,Holidays,0)),"عطلة",IF(MOD(JP$3-'الموظفون'!$D$8,CycleWork+CycleRest)&lt;CycleWork,INDEX('الإعدادات والقوائم'!$H$2:$H$4,MOD(INT(MOD(JP$3-'الموظفون'!$D$8,CycleWork+CycleRest)*3/CycleWork)+MATCH(StartShift,'الإعدادات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الإجازات'!$D$5:$D$104&lt;=JP$3)*(('حجز الإجازات'!$E$5:$E$104)&gt;=JP$3)*('حجز الإجازات'!$G$5:$G$104="معتمد")*ROW('حجز الإجازات'!$B$5:$B$104)))-5+1))</f>
        <v/>
      </c>
      <c r="JQ10" s="62">
        <f>IF(SUMPRODUCT(('حجز الإجازات'!$B$5:$B$104='الموظفون'!$B$8)*('حجز الإجازات'!$D$5:$D$104&lt;=JQ$3)*(('حجز الإجازات'!$E$5:$E$104)&gt;=JQ$3)*('حجز الإجازات'!$G$5:$G$104="معتمد")*ROW('حجز الإجازات'!$B$5:$B$104))=0,IF(JQ$3&lt;'الموظفون'!$D$8,"",IF(ISNUMBER(MATCH(JQ$3,Holidays,0)),"عطلة",IF(MOD(JQ$3-'الموظفون'!$D$8,CycleWork+CycleRest)&lt;CycleWork,INDEX('الإعدادات والقوائم'!$H$2:$H$4,MOD(INT(MOD(JQ$3-'الموظفون'!$D$8,CycleWork+CycleRest)*3/CycleWork)+MATCH(StartShift,'الإعدادات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الإجازات'!$D$5:$D$104&lt;=JQ$3)*(('حجز الإجازات'!$E$5:$E$104)&gt;=JQ$3)*('حجز الإجازات'!$G$5:$G$104="معتمد")*ROW('حجز الإجازات'!$B$5:$B$104)))-5+1))</f>
        <v/>
      </c>
      <c r="JR10" s="62">
        <f>IF(SUMPRODUCT(('حجز الإجازات'!$B$5:$B$104='الموظفون'!$B$8)*('حجز الإجازات'!$D$5:$D$104&lt;=JR$3)*(('حجز الإجازات'!$E$5:$E$104)&gt;=JR$3)*('حجز الإجازات'!$G$5:$G$104="معتمد")*ROW('حجز الإجازات'!$B$5:$B$104))=0,IF(JR$3&lt;'الموظفون'!$D$8,"",IF(ISNUMBER(MATCH(JR$3,Holidays,0)),"عطلة",IF(MOD(JR$3-'الموظفون'!$D$8,CycleWork+CycleRest)&lt;CycleWork,INDEX('الإعدادات والقوائم'!$H$2:$H$4,MOD(INT(MOD(JR$3-'الموظفون'!$D$8,CycleWork+CycleRest)*3/CycleWork)+MATCH(StartShift,'الإعدادات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الإجازات'!$D$5:$D$104&lt;=JR$3)*(('حجز الإجازات'!$E$5:$E$104)&gt;=JR$3)*('حجز الإجازات'!$G$5:$G$104="معتمد")*ROW('حجز الإجازات'!$B$5:$B$104)))-5+1))</f>
        <v/>
      </c>
      <c r="JS10" s="62">
        <f>IF(SUMPRODUCT(('حجز الإجازات'!$B$5:$B$104='الموظفون'!$B$8)*('حجز الإجازات'!$D$5:$D$104&lt;=JS$3)*(('حجز الإجازات'!$E$5:$E$104)&gt;=JS$3)*('حجز الإجازات'!$G$5:$G$104="معتمد")*ROW('حجز الإجازات'!$B$5:$B$104))=0,IF(JS$3&lt;'الموظفون'!$D$8,"",IF(ISNUMBER(MATCH(JS$3,Holidays,0)),"عطلة",IF(MOD(JS$3-'الموظفون'!$D$8,CycleWork+CycleRest)&lt;CycleWork,INDEX('الإعدادات والقوائم'!$H$2:$H$4,MOD(INT(MOD(JS$3-'الموظفون'!$D$8,CycleWork+CycleRest)*3/CycleWork)+MATCH(StartShift,'الإعدادات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الإجازات'!$D$5:$D$104&lt;=JS$3)*(('حجز الإجازات'!$E$5:$E$104)&gt;=JS$3)*('حجز الإجازات'!$G$5:$G$104="معتمد")*ROW('حجز الإجازات'!$B$5:$B$104)))-5+1))</f>
        <v/>
      </c>
      <c r="JT10" s="62">
        <f>IF(SUMPRODUCT(('حجز الإجازات'!$B$5:$B$104='الموظفون'!$B$8)*('حجز الإجازات'!$D$5:$D$104&lt;=JT$3)*(('حجز الإجازات'!$E$5:$E$104)&gt;=JT$3)*('حجز الإجازات'!$G$5:$G$104="معتمد")*ROW('حجز الإجازات'!$B$5:$B$104))=0,IF(JT$3&lt;'الموظفون'!$D$8,"",IF(ISNUMBER(MATCH(JT$3,Holidays,0)),"عطلة",IF(MOD(JT$3-'الموظفون'!$D$8,CycleWork+CycleRest)&lt;CycleWork,INDEX('الإعدادات والقوائم'!$H$2:$H$4,MOD(INT(MOD(JT$3-'الموظفون'!$D$8,CycleWork+CycleRest)*3/CycleWork)+MATCH(StartShift,'الإعدادات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الإجازات'!$D$5:$D$104&lt;=JT$3)*(('حجز الإجازات'!$E$5:$E$104)&gt;=JT$3)*('حجز الإجازات'!$G$5:$G$104="معتمد")*ROW('حجز الإجازات'!$B$5:$B$104)))-5+1))</f>
        <v/>
      </c>
      <c r="JU10" s="62">
        <f>IF(SUMPRODUCT(('حجز الإجازات'!$B$5:$B$104='الموظفون'!$B$8)*('حجز الإجازات'!$D$5:$D$104&lt;=JU$3)*(('حجز الإجازات'!$E$5:$E$104)&gt;=JU$3)*('حجز الإجازات'!$G$5:$G$104="معتمد")*ROW('حجز الإجازات'!$B$5:$B$104))=0,IF(JU$3&lt;'الموظفون'!$D$8,"",IF(ISNUMBER(MATCH(JU$3,Holidays,0)),"عطلة",IF(MOD(JU$3-'الموظفون'!$D$8,CycleWork+CycleRest)&lt;CycleWork,INDEX('الإعدادات والقوائم'!$H$2:$H$4,MOD(INT(MOD(JU$3-'الموظفون'!$D$8,CycleWork+CycleRest)*3/CycleWork)+MATCH(StartShift,'الإعدادات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الإجازات'!$D$5:$D$104&lt;=JU$3)*(('حجز الإجازات'!$E$5:$E$104)&gt;=JU$3)*('حجز الإجازات'!$G$5:$G$104="معتمد")*ROW('حجز الإجازات'!$B$5:$B$104)))-5+1))</f>
        <v/>
      </c>
      <c r="JV10" s="62">
        <f>IF(SUMPRODUCT(('حجز الإجازات'!$B$5:$B$104='الموظفون'!$B$8)*('حجز الإجازات'!$D$5:$D$104&lt;=JV$3)*(('حجز الإجازات'!$E$5:$E$104)&gt;=JV$3)*('حجز الإجازات'!$G$5:$G$104="معتمد")*ROW('حجز الإجازات'!$B$5:$B$104))=0,IF(JV$3&lt;'الموظفون'!$D$8,"",IF(ISNUMBER(MATCH(JV$3,Holidays,0)),"عطلة",IF(MOD(JV$3-'الموظفون'!$D$8,CycleWork+CycleRest)&lt;CycleWork,INDEX('الإعدادات والقوائم'!$H$2:$H$4,MOD(INT(MOD(JV$3-'الموظفون'!$D$8,CycleWork+CycleRest)*3/CycleWork)+MATCH(StartShift,'الإعدادات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الإجازات'!$D$5:$D$104&lt;=JV$3)*(('حجز الإجازات'!$E$5:$E$104)&gt;=JV$3)*('حجز الإجازات'!$G$5:$G$104="معتمد")*ROW('حجز الإجازات'!$B$5:$B$104)))-5+1))</f>
        <v/>
      </c>
      <c r="JW10" s="62">
        <f>IF(SUMPRODUCT(('حجز الإجازات'!$B$5:$B$104='الموظفون'!$B$8)*('حجز الإجازات'!$D$5:$D$104&lt;=JW$3)*(('حجز الإجازات'!$E$5:$E$104)&gt;=JW$3)*('حجز الإجازات'!$G$5:$G$104="معتمد")*ROW('حجز الإجازات'!$B$5:$B$104))=0,IF(JW$3&lt;'الموظفون'!$D$8,"",IF(ISNUMBER(MATCH(JW$3,Holidays,0)),"عطلة",IF(MOD(JW$3-'الموظفون'!$D$8,CycleWork+CycleRest)&lt;CycleWork,INDEX('الإعدادات والقوائم'!$H$2:$H$4,MOD(INT(MOD(JW$3-'الموظفون'!$D$8,CycleWork+CycleRest)*3/CycleWork)+MATCH(StartShift,'الإعدادات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الإجازات'!$D$5:$D$104&lt;=JW$3)*(('حجز الإجازات'!$E$5:$E$104)&gt;=JW$3)*('حجز الإجازات'!$G$5:$G$104="معتمد")*ROW('حجز الإجازات'!$B$5:$B$104)))-5+1))</f>
        <v/>
      </c>
      <c r="JX10" s="62">
        <f>IF(SUMPRODUCT(('حجز الإجازات'!$B$5:$B$104='الموظفون'!$B$8)*('حجز الإجازات'!$D$5:$D$104&lt;=JX$3)*(('حجز الإجازات'!$E$5:$E$104)&gt;=JX$3)*('حجز الإجازات'!$G$5:$G$104="معتمد")*ROW('حجز الإجازات'!$B$5:$B$104))=0,IF(JX$3&lt;'الموظفون'!$D$8,"",IF(ISNUMBER(MATCH(JX$3,Holidays,0)),"عطلة",IF(MOD(JX$3-'الموظفون'!$D$8,CycleWork+CycleRest)&lt;CycleWork,INDEX('الإعدادات والقوائم'!$H$2:$H$4,MOD(INT(MOD(JX$3-'الموظفون'!$D$8,CycleWork+CycleRest)*3/CycleWork)+MATCH(StartShift,'الإعدادات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الإجازات'!$D$5:$D$104&lt;=JX$3)*(('حجز الإجازات'!$E$5:$E$104)&gt;=JX$3)*('حجز الإجازات'!$G$5:$G$104="معتمد")*ROW('حجز الإجازات'!$B$5:$B$104)))-5+1))</f>
        <v/>
      </c>
      <c r="JY10" s="62">
        <f>IF(SUMPRODUCT(('حجز الإجازات'!$B$5:$B$104='الموظفون'!$B$8)*('حجز الإجازات'!$D$5:$D$104&lt;=JY$3)*(('حجز الإجازات'!$E$5:$E$104)&gt;=JY$3)*('حجز الإجازات'!$G$5:$G$104="معتمد")*ROW('حجز الإجازات'!$B$5:$B$104))=0,IF(JY$3&lt;'الموظفون'!$D$8,"",IF(ISNUMBER(MATCH(JY$3,Holidays,0)),"عطلة",IF(MOD(JY$3-'الموظفون'!$D$8,CycleWork+CycleRest)&lt;CycleWork,INDEX('الإعدادات والقوائم'!$H$2:$H$4,MOD(INT(MOD(JY$3-'الموظفون'!$D$8,CycleWork+CycleRest)*3/CycleWork)+MATCH(StartShift,'الإعدادات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الإجازات'!$D$5:$D$104&lt;=JY$3)*(('حجز الإجازات'!$E$5:$E$104)&gt;=JY$3)*('حجز الإجازات'!$G$5:$G$104="معتمد")*ROW('حجز الإجازات'!$B$5:$B$104)))-5+1))</f>
        <v/>
      </c>
      <c r="JZ10" s="62">
        <f>IF(SUMPRODUCT(('حجز الإجازات'!$B$5:$B$104='الموظفون'!$B$8)*('حجز الإجازات'!$D$5:$D$104&lt;=JZ$3)*(('حجز الإجازات'!$E$5:$E$104)&gt;=JZ$3)*('حجز الإجازات'!$G$5:$G$104="معتمد")*ROW('حجز الإجازات'!$B$5:$B$104))=0,IF(JZ$3&lt;'الموظفون'!$D$8,"",IF(ISNUMBER(MATCH(JZ$3,Holidays,0)),"عطلة",IF(MOD(JZ$3-'الموظفون'!$D$8,CycleWork+CycleRest)&lt;CycleWork,INDEX('الإعدادات والقوائم'!$H$2:$H$4,MOD(INT(MOD(JZ$3-'الموظفون'!$D$8,CycleWork+CycleRest)*3/CycleWork)+MATCH(StartShift,'الإعدادات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الإجازات'!$D$5:$D$104&lt;=JZ$3)*(('حجز الإجازات'!$E$5:$E$104)&gt;=JZ$3)*('حجز الإجازات'!$G$5:$G$104="معتمد")*ROW('حجز الإجازات'!$B$5:$B$104)))-5+1))</f>
        <v/>
      </c>
      <c r="KA10" s="62">
        <f>IF(SUMPRODUCT(('حجز الإجازات'!$B$5:$B$104='الموظفون'!$B$8)*('حجز الإجازات'!$D$5:$D$104&lt;=KA$3)*(('حجز الإجازات'!$E$5:$E$104)&gt;=KA$3)*('حجز الإجازات'!$G$5:$G$104="معتمد")*ROW('حجز الإجازات'!$B$5:$B$104))=0,IF(KA$3&lt;'الموظفون'!$D$8,"",IF(ISNUMBER(MATCH(KA$3,Holidays,0)),"عطلة",IF(MOD(KA$3-'الموظفون'!$D$8,CycleWork+CycleRest)&lt;CycleWork,INDEX('الإعدادات والقوائم'!$H$2:$H$4,MOD(INT(MOD(KA$3-'الموظفون'!$D$8,CycleWork+CycleRest)*3/CycleWork)+MATCH(StartShift,'الإعدادات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الإجازات'!$D$5:$D$104&lt;=KA$3)*(('حجز الإجازات'!$E$5:$E$104)&gt;=KA$3)*('حجز الإجازات'!$G$5:$G$104="معتمد")*ROW('حجز الإجازات'!$B$5:$B$104)))-5+1))</f>
        <v/>
      </c>
      <c r="KB10" s="62">
        <f>IF(SUMPRODUCT(('حجز الإجازات'!$B$5:$B$104='الموظفون'!$B$8)*('حجز الإجازات'!$D$5:$D$104&lt;=KB$3)*(('حجز الإجازات'!$E$5:$E$104)&gt;=KB$3)*('حجز الإجازات'!$G$5:$G$104="معتمد")*ROW('حجز الإجازات'!$B$5:$B$104))=0,IF(KB$3&lt;'الموظفون'!$D$8,"",IF(ISNUMBER(MATCH(KB$3,Holidays,0)),"عطلة",IF(MOD(KB$3-'الموظفون'!$D$8,CycleWork+CycleRest)&lt;CycleWork,INDEX('الإعدادات والقوائم'!$H$2:$H$4,MOD(INT(MOD(KB$3-'الموظفون'!$D$8,CycleWork+CycleRest)*3/CycleWork)+MATCH(StartShift,'الإعدادات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الإجازات'!$D$5:$D$104&lt;=KB$3)*(('حجز الإجازات'!$E$5:$E$104)&gt;=KB$3)*('حجز الإجازات'!$G$5:$G$104="معتمد")*ROW('حجز الإجازات'!$B$5:$B$104)))-5+1))</f>
        <v/>
      </c>
      <c r="KC10" s="62">
        <f>IF(SUMPRODUCT(('حجز الإجازات'!$B$5:$B$104='الموظفون'!$B$8)*('حجز الإجازات'!$D$5:$D$104&lt;=KC$3)*(('حجز الإجازات'!$E$5:$E$104)&gt;=KC$3)*('حجز الإجازات'!$G$5:$G$104="معتمد")*ROW('حجز الإجازات'!$B$5:$B$104))=0,IF(KC$3&lt;'الموظفون'!$D$8,"",IF(ISNUMBER(MATCH(KC$3,Holidays,0)),"عطلة",IF(MOD(KC$3-'الموظفون'!$D$8,CycleWork+CycleRest)&lt;CycleWork,INDEX('الإعدادات والقوائم'!$H$2:$H$4,MOD(INT(MOD(KC$3-'الموظفون'!$D$8,CycleWork+CycleRest)*3/CycleWork)+MATCH(StartShift,'الإعدادات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الإجازات'!$D$5:$D$104&lt;=KC$3)*(('حجز الإجازات'!$E$5:$E$104)&gt;=KC$3)*('حجز الإجازات'!$G$5:$G$104="معتمد")*ROW('حجز الإجازات'!$B$5:$B$104)))-5+1))</f>
        <v/>
      </c>
      <c r="KD10" s="62">
        <f>IF(SUMPRODUCT(('حجز الإجازات'!$B$5:$B$104='الموظفون'!$B$8)*('حجز الإجازات'!$D$5:$D$104&lt;=KD$3)*(('حجز الإجازات'!$E$5:$E$104)&gt;=KD$3)*('حجز الإجازات'!$G$5:$G$104="معتمد")*ROW('حجز الإجازات'!$B$5:$B$104))=0,IF(KD$3&lt;'الموظفون'!$D$8,"",IF(ISNUMBER(MATCH(KD$3,Holidays,0)),"عطلة",IF(MOD(KD$3-'الموظفون'!$D$8,CycleWork+CycleRest)&lt;CycleWork,INDEX('الإعدادات والقوائم'!$H$2:$H$4,MOD(INT(MOD(KD$3-'الموظفون'!$D$8,CycleWork+CycleRest)*3/CycleWork)+MATCH(StartShift,'الإعدادات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الإجازات'!$D$5:$D$104&lt;=KD$3)*(('حجز الإجازات'!$E$5:$E$104)&gt;=KD$3)*('حجز الإجازات'!$G$5:$G$104="معتمد")*ROW('حجز الإجازات'!$B$5:$B$104)))-5+1))</f>
        <v/>
      </c>
      <c r="KE10" s="62">
        <f>IF(SUMPRODUCT(('حجز الإجازات'!$B$5:$B$104='الموظفون'!$B$8)*('حجز الإجازات'!$D$5:$D$104&lt;=KE$3)*(('حجز الإجازات'!$E$5:$E$104)&gt;=KE$3)*('حجز الإجازات'!$G$5:$G$104="معتمد")*ROW('حجز الإجازات'!$B$5:$B$104))=0,IF(KE$3&lt;'الموظفون'!$D$8,"",IF(ISNUMBER(MATCH(KE$3,Holidays,0)),"عطلة",IF(MOD(KE$3-'الموظفون'!$D$8,CycleWork+CycleRest)&lt;CycleWork,INDEX('الإعدادات والقوائم'!$H$2:$H$4,MOD(INT(MOD(KE$3-'الموظفون'!$D$8,CycleWork+CycleRest)*3/CycleWork)+MATCH(StartShift,'الإعدادات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الإجازات'!$D$5:$D$104&lt;=KE$3)*(('حجز الإجازات'!$E$5:$E$104)&gt;=KE$3)*('حجز الإجازات'!$G$5:$G$104="معتمد")*ROW('حجز الإجازات'!$B$5:$B$104)))-5+1))</f>
        <v/>
      </c>
      <c r="KF10" s="62">
        <f>IF(SUMPRODUCT(('حجز الإجازات'!$B$5:$B$104='الموظفون'!$B$8)*('حجز الإجازات'!$D$5:$D$104&lt;=KF$3)*(('حجز الإجازات'!$E$5:$E$104)&gt;=KF$3)*('حجز الإجازات'!$G$5:$G$104="معتمد")*ROW('حجز الإجازات'!$B$5:$B$104))=0,IF(KF$3&lt;'الموظفون'!$D$8,"",IF(ISNUMBER(MATCH(KF$3,Holidays,0)),"عطلة",IF(MOD(KF$3-'الموظفون'!$D$8,CycleWork+CycleRest)&lt;CycleWork,INDEX('الإعدادات والقوائم'!$H$2:$H$4,MOD(INT(MOD(KF$3-'الموظفون'!$D$8,CycleWork+CycleRest)*3/CycleWork)+MATCH(StartShift,'الإعدادات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الإجازات'!$D$5:$D$104&lt;=KF$3)*(('حجز الإجازات'!$E$5:$E$104)&gt;=KF$3)*('حجز الإجازات'!$G$5:$G$104="معتمد")*ROW('حجز الإجازات'!$B$5:$B$104)))-5+1))</f>
        <v/>
      </c>
      <c r="KG10" s="62">
        <f>IF(SUMPRODUCT(('حجز الإجازات'!$B$5:$B$104='الموظفون'!$B$8)*('حجز الإجازات'!$D$5:$D$104&lt;=KG$3)*(('حجز الإجازات'!$E$5:$E$104)&gt;=KG$3)*('حجز الإجازات'!$G$5:$G$104="معتمد")*ROW('حجز الإجازات'!$B$5:$B$104))=0,IF(KG$3&lt;'الموظفون'!$D$8,"",IF(ISNUMBER(MATCH(KG$3,Holidays,0)),"عطلة",IF(MOD(KG$3-'الموظفون'!$D$8,CycleWork+CycleRest)&lt;CycleWork,INDEX('الإعدادات والقوائم'!$H$2:$H$4,MOD(INT(MOD(KG$3-'الموظفون'!$D$8,CycleWork+CycleRest)*3/CycleWork)+MATCH(StartShift,'الإعدادات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الإجازات'!$D$5:$D$104&lt;=KG$3)*(('حجز الإجازات'!$E$5:$E$104)&gt;=KG$3)*('حجز الإجازات'!$G$5:$G$104="معتمد")*ROW('حجز الإجازات'!$B$5:$B$104)))-5+1))</f>
        <v/>
      </c>
      <c r="KH10" s="62">
        <f>IF(SUMPRODUCT(('حجز الإجازات'!$B$5:$B$104='الموظفون'!$B$8)*('حجز الإجازات'!$D$5:$D$104&lt;=KH$3)*(('حجز الإجازات'!$E$5:$E$104)&gt;=KH$3)*('حجز الإجازات'!$G$5:$G$104="معتمد")*ROW('حجز الإجازات'!$B$5:$B$104))=0,IF(KH$3&lt;'الموظفون'!$D$8,"",IF(ISNUMBER(MATCH(KH$3,Holidays,0)),"عطلة",IF(MOD(KH$3-'الموظفون'!$D$8,CycleWork+CycleRest)&lt;CycleWork,INDEX('الإعدادات والقوائم'!$H$2:$H$4,MOD(INT(MOD(KH$3-'الموظفون'!$D$8,CycleWork+CycleRest)*3/CycleWork)+MATCH(StartShift,'الإعدادات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الإجازات'!$D$5:$D$104&lt;=KH$3)*(('حجز الإجازات'!$E$5:$E$104)&gt;=KH$3)*('حجز الإجازات'!$G$5:$G$104="معتمد")*ROW('حجز الإجازات'!$B$5:$B$104)))-5+1))</f>
        <v/>
      </c>
      <c r="KI10" s="62">
        <f>IF(SUMPRODUCT(('حجز الإجازات'!$B$5:$B$104='الموظفون'!$B$8)*('حجز الإجازات'!$D$5:$D$104&lt;=KI$3)*(('حجز الإجازات'!$E$5:$E$104)&gt;=KI$3)*('حجز الإجازات'!$G$5:$G$104="معتمد")*ROW('حجز الإجازات'!$B$5:$B$104))=0,IF(KI$3&lt;'الموظفون'!$D$8,"",IF(ISNUMBER(MATCH(KI$3,Holidays,0)),"عطلة",IF(MOD(KI$3-'الموظفون'!$D$8,CycleWork+CycleRest)&lt;CycleWork,INDEX('الإعدادات والقوائم'!$H$2:$H$4,MOD(INT(MOD(KI$3-'الموظفون'!$D$8,CycleWork+CycleRest)*3/CycleWork)+MATCH(StartShift,'الإعدادات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الإجازات'!$D$5:$D$104&lt;=KI$3)*(('حجز الإجازات'!$E$5:$E$104)&gt;=KI$3)*('حجز الإجازات'!$G$5:$G$104="معتمد")*ROW('حجز الإجازات'!$B$5:$B$104)))-5+1))</f>
        <v/>
      </c>
      <c r="KJ10" s="62">
        <f>IF(SUMPRODUCT(('حجز الإجازات'!$B$5:$B$104='الموظفون'!$B$8)*('حجز الإجازات'!$D$5:$D$104&lt;=KJ$3)*(('حجز الإجازات'!$E$5:$E$104)&gt;=KJ$3)*('حجز الإجازات'!$G$5:$G$104="معتمد")*ROW('حجز الإجازات'!$B$5:$B$104))=0,IF(KJ$3&lt;'الموظفون'!$D$8,"",IF(ISNUMBER(MATCH(KJ$3,Holidays,0)),"عطلة",IF(MOD(KJ$3-'الموظفون'!$D$8,CycleWork+CycleRest)&lt;CycleWork,INDEX('الإعدادات والقوائم'!$H$2:$H$4,MOD(INT(MOD(KJ$3-'الموظفون'!$D$8,CycleWork+CycleRest)*3/CycleWork)+MATCH(StartShift,'الإعدادات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الإجازات'!$D$5:$D$104&lt;=KJ$3)*(('حجز الإجازات'!$E$5:$E$104)&gt;=KJ$3)*('حجز الإجازات'!$G$5:$G$104="معتمد")*ROW('حجز الإجازات'!$B$5:$B$104)))-5+1))</f>
        <v/>
      </c>
      <c r="KK10" s="62">
        <f>IF(SUMPRODUCT(('حجز الإجازات'!$B$5:$B$104='الموظفون'!$B$8)*('حجز الإجازات'!$D$5:$D$104&lt;=KK$3)*(('حجز الإجازات'!$E$5:$E$104)&gt;=KK$3)*('حجز الإجازات'!$G$5:$G$104="معتمد")*ROW('حجز الإجازات'!$B$5:$B$104))=0,IF(KK$3&lt;'الموظفون'!$D$8,"",IF(ISNUMBER(MATCH(KK$3,Holidays,0)),"عطلة",IF(MOD(KK$3-'الموظفون'!$D$8,CycleWork+CycleRest)&lt;CycleWork,INDEX('الإعدادات والقوائم'!$H$2:$H$4,MOD(INT(MOD(KK$3-'الموظفون'!$D$8,CycleWork+CycleRest)*3/CycleWork)+MATCH(StartShift,'الإعدادات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الإجازات'!$D$5:$D$104&lt;=KK$3)*(('حجز الإجازات'!$E$5:$E$104)&gt;=KK$3)*('حجز الإجازات'!$G$5:$G$104="معتمد")*ROW('حجز الإجازات'!$B$5:$B$104)))-5+1))</f>
        <v/>
      </c>
      <c r="KL10" s="62">
        <f>IF(SUMPRODUCT(('حجز الإجازات'!$B$5:$B$104='الموظفون'!$B$8)*('حجز الإجازات'!$D$5:$D$104&lt;=KL$3)*(('حجز الإجازات'!$E$5:$E$104)&gt;=KL$3)*('حجز الإجازات'!$G$5:$G$104="معتمد")*ROW('حجز الإجازات'!$B$5:$B$104))=0,IF(KL$3&lt;'الموظفون'!$D$8,"",IF(ISNUMBER(MATCH(KL$3,Holidays,0)),"عطلة",IF(MOD(KL$3-'الموظفون'!$D$8,CycleWork+CycleRest)&lt;CycleWork,INDEX('الإعدادات والقوائم'!$H$2:$H$4,MOD(INT(MOD(KL$3-'الموظفون'!$D$8,CycleWork+CycleRest)*3/CycleWork)+MATCH(StartShift,'الإعدادات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الإجازات'!$D$5:$D$104&lt;=KL$3)*(('حجز الإجازات'!$E$5:$E$104)&gt;=KL$3)*('حجز الإجازات'!$G$5:$G$104="معتمد")*ROW('حجز الإجازات'!$B$5:$B$104)))-5+1))</f>
        <v/>
      </c>
      <c r="KM10" s="62">
        <f>IF(SUMPRODUCT(('حجز الإجازات'!$B$5:$B$104='الموظفون'!$B$8)*('حجز الإجازات'!$D$5:$D$104&lt;=KM$3)*(('حجز الإجازات'!$E$5:$E$104)&gt;=KM$3)*('حجز الإجازات'!$G$5:$G$104="معتمد")*ROW('حجز الإجازات'!$B$5:$B$104))=0,IF(KM$3&lt;'الموظفون'!$D$8,"",IF(ISNUMBER(MATCH(KM$3,Holidays,0)),"عطلة",IF(MOD(KM$3-'الموظفون'!$D$8,CycleWork+CycleRest)&lt;CycleWork,INDEX('الإعدادات والقوائم'!$H$2:$H$4,MOD(INT(MOD(KM$3-'الموظفون'!$D$8,CycleWork+CycleRest)*3/CycleWork)+MATCH(StartShift,'الإعدادات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الإجازات'!$D$5:$D$104&lt;=KM$3)*(('حجز الإجازات'!$E$5:$E$104)&gt;=KM$3)*('حجز الإجازات'!$G$5:$G$104="معتمد")*ROW('حجز الإجازات'!$B$5:$B$104)))-5+1))</f>
        <v/>
      </c>
      <c r="KN10" s="62">
        <f>IF(SUMPRODUCT(('حجز الإجازات'!$B$5:$B$104='الموظفون'!$B$8)*('حجز الإجازات'!$D$5:$D$104&lt;=KN$3)*(('حجز الإجازات'!$E$5:$E$104)&gt;=KN$3)*('حجز الإجازات'!$G$5:$G$104="معتمد")*ROW('حجز الإجازات'!$B$5:$B$104))=0,IF(KN$3&lt;'الموظفون'!$D$8,"",IF(ISNUMBER(MATCH(KN$3,Holidays,0)),"عطلة",IF(MOD(KN$3-'الموظفون'!$D$8,CycleWork+CycleRest)&lt;CycleWork,INDEX('الإعدادات والقوائم'!$H$2:$H$4,MOD(INT(MOD(KN$3-'الموظفون'!$D$8,CycleWork+CycleRest)*3/CycleWork)+MATCH(StartShift,'الإعدادات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الإجازات'!$D$5:$D$104&lt;=KN$3)*(('حجز الإجازات'!$E$5:$E$104)&gt;=KN$3)*('حجز الإجازات'!$G$5:$G$104="معتمد")*ROW('حجز الإجازات'!$B$5:$B$104)))-5+1))</f>
        <v/>
      </c>
      <c r="KO10" s="62">
        <f>IF(SUMPRODUCT(('حجز الإجازات'!$B$5:$B$104='الموظفون'!$B$8)*('حجز الإجازات'!$D$5:$D$104&lt;=KO$3)*(('حجز الإجازات'!$E$5:$E$104)&gt;=KO$3)*('حجز الإجازات'!$G$5:$G$104="معتمد")*ROW('حجز الإجازات'!$B$5:$B$104))=0,IF(KO$3&lt;'الموظفون'!$D$8,"",IF(ISNUMBER(MATCH(KO$3,Holidays,0)),"عطلة",IF(MOD(KO$3-'الموظفون'!$D$8,CycleWork+CycleRest)&lt;CycleWork,INDEX('الإعدادات والقوائم'!$H$2:$H$4,MOD(INT(MOD(KO$3-'الموظفون'!$D$8,CycleWork+CycleRest)*3/CycleWork)+MATCH(StartShift,'الإعدادات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الإجازات'!$D$5:$D$104&lt;=KO$3)*(('حجز الإجازات'!$E$5:$E$104)&gt;=KO$3)*('حجز الإجازات'!$G$5:$G$104="معتمد")*ROW('حجز الإجازات'!$B$5:$B$104)))-5+1))</f>
        <v/>
      </c>
      <c r="KP10" s="62">
        <f>IF(SUMPRODUCT(('حجز الإجازات'!$B$5:$B$104='الموظفون'!$B$8)*('حجز الإجازات'!$D$5:$D$104&lt;=KP$3)*(('حجز الإجازات'!$E$5:$E$104)&gt;=KP$3)*('حجز الإجازات'!$G$5:$G$104="معتمد")*ROW('حجز الإجازات'!$B$5:$B$104))=0,IF(KP$3&lt;'الموظفون'!$D$8,"",IF(ISNUMBER(MATCH(KP$3,Holidays,0)),"عطلة",IF(MOD(KP$3-'الموظفون'!$D$8,CycleWork+CycleRest)&lt;CycleWork,INDEX('الإعدادات والقوائم'!$H$2:$H$4,MOD(INT(MOD(KP$3-'الموظفون'!$D$8,CycleWork+CycleRest)*3/CycleWork)+MATCH(StartShift,'الإعدادات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الإجازات'!$D$5:$D$104&lt;=KP$3)*(('حجز الإجازات'!$E$5:$E$104)&gt;=KP$3)*('حجز الإجازات'!$G$5:$G$104="معتمد")*ROW('حجز الإجازات'!$B$5:$B$104)))-5+1))</f>
        <v/>
      </c>
      <c r="KQ10" s="62">
        <f>IF(SUMPRODUCT(('حجز الإجازات'!$B$5:$B$104='الموظفون'!$B$8)*('حجز الإجازات'!$D$5:$D$104&lt;=KQ$3)*(('حجز الإجازات'!$E$5:$E$104)&gt;=KQ$3)*('حجز الإجازات'!$G$5:$G$104="معتمد")*ROW('حجز الإجازات'!$B$5:$B$104))=0,IF(KQ$3&lt;'الموظفون'!$D$8,"",IF(ISNUMBER(MATCH(KQ$3,Holidays,0)),"عطلة",IF(MOD(KQ$3-'الموظفون'!$D$8,CycleWork+CycleRest)&lt;CycleWork,INDEX('الإعدادات والقوائم'!$H$2:$H$4,MOD(INT(MOD(KQ$3-'الموظفون'!$D$8,CycleWork+CycleRest)*3/CycleWork)+MATCH(StartShift,'الإعدادات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الإجازات'!$D$5:$D$104&lt;=KQ$3)*(('حجز الإجازات'!$E$5:$E$104)&gt;=KQ$3)*('حجز الإجازات'!$G$5:$G$104="معتمد")*ROW('حجز الإجازات'!$B$5:$B$104)))-5+1))</f>
        <v/>
      </c>
      <c r="KR10" s="62">
        <f>IF(SUMPRODUCT(('حجز الإجازات'!$B$5:$B$104='الموظفون'!$B$8)*('حجز الإجازات'!$D$5:$D$104&lt;=KR$3)*(('حجز الإجازات'!$E$5:$E$104)&gt;=KR$3)*('حجز الإجازات'!$G$5:$G$104="معتمد")*ROW('حجز الإجازات'!$B$5:$B$104))=0,IF(KR$3&lt;'الموظفون'!$D$8,"",IF(ISNUMBER(MATCH(KR$3,Holidays,0)),"عطلة",IF(MOD(KR$3-'الموظفون'!$D$8,CycleWork+CycleRest)&lt;CycleWork,INDEX('الإعدادات والقوائم'!$H$2:$H$4,MOD(INT(MOD(KR$3-'الموظفون'!$D$8,CycleWork+CycleRest)*3/CycleWork)+MATCH(StartShift,'الإعدادات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الإجازات'!$D$5:$D$104&lt;=KR$3)*(('حجز الإجازات'!$E$5:$E$104)&gt;=KR$3)*('حجز الإجازات'!$G$5:$G$104="معتمد")*ROW('حجز الإجازات'!$B$5:$B$104)))-5+1))</f>
        <v/>
      </c>
      <c r="KS10" s="62">
        <f>IF(SUMPRODUCT(('حجز الإجازات'!$B$5:$B$104='الموظفون'!$B$8)*('حجز الإجازات'!$D$5:$D$104&lt;=KS$3)*(('حجز الإجازات'!$E$5:$E$104)&gt;=KS$3)*('حجز الإجازات'!$G$5:$G$104="معتمد")*ROW('حجز الإجازات'!$B$5:$B$104))=0,IF(KS$3&lt;'الموظفون'!$D$8,"",IF(ISNUMBER(MATCH(KS$3,Holidays,0)),"عطلة",IF(MOD(KS$3-'الموظفون'!$D$8,CycleWork+CycleRest)&lt;CycleWork,INDEX('الإعدادات والقوائم'!$H$2:$H$4,MOD(INT(MOD(KS$3-'الموظفون'!$D$8,CycleWork+CycleRest)*3/CycleWork)+MATCH(StartShift,'الإعدادات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الإجازات'!$D$5:$D$104&lt;=KS$3)*(('حجز الإجازات'!$E$5:$E$104)&gt;=KS$3)*('حجز الإجازات'!$G$5:$G$104="معتمد")*ROW('حجز الإجازات'!$B$5:$B$104)))-5+1))</f>
        <v/>
      </c>
      <c r="KT10" s="62">
        <f>IF(SUMPRODUCT(('حجز الإجازات'!$B$5:$B$104='الموظفون'!$B$8)*('حجز الإجازات'!$D$5:$D$104&lt;=KT$3)*(('حجز الإجازات'!$E$5:$E$104)&gt;=KT$3)*('حجز الإجازات'!$G$5:$G$104="معتمد")*ROW('حجز الإجازات'!$B$5:$B$104))=0,IF(KT$3&lt;'الموظفون'!$D$8,"",IF(ISNUMBER(MATCH(KT$3,Holidays,0)),"عطلة",IF(MOD(KT$3-'الموظفون'!$D$8,CycleWork+CycleRest)&lt;CycleWork,INDEX('الإعدادات والقوائم'!$H$2:$H$4,MOD(INT(MOD(KT$3-'الموظفون'!$D$8,CycleWork+CycleRest)*3/CycleWork)+MATCH(StartShift,'الإعدادات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الإجازات'!$D$5:$D$104&lt;=KT$3)*(('حجز الإجازات'!$E$5:$E$104)&gt;=KT$3)*('حجز الإجازات'!$G$5:$G$104="معتمد")*ROW('حجز الإجازات'!$B$5:$B$104)))-5+1))</f>
        <v/>
      </c>
      <c r="KU10" s="62">
        <f>IF(SUMPRODUCT(('حجز الإجازات'!$B$5:$B$104='الموظفون'!$B$8)*('حجز الإجازات'!$D$5:$D$104&lt;=KU$3)*(('حجز الإجازات'!$E$5:$E$104)&gt;=KU$3)*('حجز الإجازات'!$G$5:$G$104="معتمد")*ROW('حجز الإجازات'!$B$5:$B$104))=0,IF(KU$3&lt;'الموظفون'!$D$8,"",IF(ISNUMBER(MATCH(KU$3,Holidays,0)),"عطلة",IF(MOD(KU$3-'الموظفون'!$D$8,CycleWork+CycleRest)&lt;CycleWork,INDEX('الإعدادات والقوائم'!$H$2:$H$4,MOD(INT(MOD(KU$3-'الموظفون'!$D$8,CycleWork+CycleRest)*3/CycleWork)+MATCH(StartShift,'الإعدادات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الإجازات'!$D$5:$D$104&lt;=KU$3)*(('حجز الإجازات'!$E$5:$E$104)&gt;=KU$3)*('حجز الإجازات'!$G$5:$G$104="معتمد")*ROW('حجز الإجازات'!$B$5:$B$104)))-5+1))</f>
        <v/>
      </c>
      <c r="KV10" s="62">
        <f>IF(SUMPRODUCT(('حجز الإجازات'!$B$5:$B$104='الموظفون'!$B$8)*('حجز الإجازات'!$D$5:$D$104&lt;=KV$3)*(('حجز الإجازات'!$E$5:$E$104)&gt;=KV$3)*('حجز الإجازات'!$G$5:$G$104="معتمد")*ROW('حجز الإجازات'!$B$5:$B$104))=0,IF(KV$3&lt;'الموظفون'!$D$8,"",IF(ISNUMBER(MATCH(KV$3,Holidays,0)),"عطلة",IF(MOD(KV$3-'الموظفون'!$D$8,CycleWork+CycleRest)&lt;CycleWork,INDEX('الإعدادات والقوائم'!$H$2:$H$4,MOD(INT(MOD(KV$3-'الموظفون'!$D$8,CycleWork+CycleRest)*3/CycleWork)+MATCH(StartShift,'الإعدادات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الإجازات'!$D$5:$D$104&lt;=KV$3)*(('حجز الإجازات'!$E$5:$E$104)&gt;=KV$3)*('حجز الإجازات'!$G$5:$G$104="معتمد")*ROW('حجز الإجازات'!$B$5:$B$104)))-5+1))</f>
        <v/>
      </c>
      <c r="KW10" s="62">
        <f>IF(SUMPRODUCT(('حجز الإجازات'!$B$5:$B$104='الموظفون'!$B$8)*('حجز الإجازات'!$D$5:$D$104&lt;=KW$3)*(('حجز الإجازات'!$E$5:$E$104)&gt;=KW$3)*('حجز الإجازات'!$G$5:$G$104="معتمد")*ROW('حجز الإجازات'!$B$5:$B$104))=0,IF(KW$3&lt;'الموظفون'!$D$8,"",IF(ISNUMBER(MATCH(KW$3,Holidays,0)),"عطلة",IF(MOD(KW$3-'الموظفون'!$D$8,CycleWork+CycleRest)&lt;CycleWork,INDEX('الإعدادات والقوائم'!$H$2:$H$4,MOD(INT(MOD(KW$3-'الموظفون'!$D$8,CycleWork+CycleRest)*3/CycleWork)+MATCH(StartShift,'الإعدادات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الإجازات'!$D$5:$D$104&lt;=KW$3)*(('حجز الإجازات'!$E$5:$E$104)&gt;=KW$3)*('حجز الإجازات'!$G$5:$G$104="معتمد")*ROW('حجز الإجازات'!$B$5:$B$104)))-5+1))</f>
        <v/>
      </c>
      <c r="KX10" s="62">
        <f>IF(SUMPRODUCT(('حجز الإجازات'!$B$5:$B$104='الموظفون'!$B$8)*('حجز الإجازات'!$D$5:$D$104&lt;=KX$3)*(('حجز الإجازات'!$E$5:$E$104)&gt;=KX$3)*('حجز الإجازات'!$G$5:$G$104="معتمد")*ROW('حجز الإجازات'!$B$5:$B$104))=0,IF(KX$3&lt;'الموظفون'!$D$8,"",IF(ISNUMBER(MATCH(KX$3,Holidays,0)),"عطلة",IF(MOD(KX$3-'الموظفون'!$D$8,CycleWork+CycleRest)&lt;CycleWork,INDEX('الإعدادات والقوائم'!$H$2:$H$4,MOD(INT(MOD(KX$3-'الموظفون'!$D$8,CycleWork+CycleRest)*3/CycleWork)+MATCH(StartShift,'الإعدادات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الإجازات'!$D$5:$D$104&lt;=KX$3)*(('حجز الإجازات'!$E$5:$E$104)&gt;=KX$3)*('حجز الإجازات'!$G$5:$G$104="معتمد")*ROW('حجز الإجازات'!$B$5:$B$104)))-5+1))</f>
        <v/>
      </c>
      <c r="KY10" s="62">
        <f>IF(SUMPRODUCT(('حجز الإجازات'!$B$5:$B$104='الموظفون'!$B$8)*('حجز الإجازات'!$D$5:$D$104&lt;=KY$3)*(('حجز الإجازات'!$E$5:$E$104)&gt;=KY$3)*('حجز الإجازات'!$G$5:$G$104="معتمد")*ROW('حجز الإجازات'!$B$5:$B$104))=0,IF(KY$3&lt;'الموظفون'!$D$8,"",IF(ISNUMBER(MATCH(KY$3,Holidays,0)),"عطلة",IF(MOD(KY$3-'الموظفون'!$D$8,CycleWork+CycleRest)&lt;CycleWork,INDEX('الإعدادات والقوائم'!$H$2:$H$4,MOD(INT(MOD(KY$3-'الموظفون'!$D$8,CycleWork+CycleRest)*3/CycleWork)+MATCH(StartShift,'الإعدادات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الإجازات'!$D$5:$D$104&lt;=KY$3)*(('حجز الإجازات'!$E$5:$E$104)&gt;=KY$3)*('حجز الإجازات'!$G$5:$G$104="معتمد")*ROW('حجز الإجازات'!$B$5:$B$104)))-5+1))</f>
        <v/>
      </c>
      <c r="KZ10" s="62">
        <f>IF(SUMPRODUCT(('حجز الإجازات'!$B$5:$B$104='الموظفون'!$B$8)*('حجز الإجازات'!$D$5:$D$104&lt;=KZ$3)*(('حجز الإجازات'!$E$5:$E$104)&gt;=KZ$3)*('حجز الإجازات'!$G$5:$G$104="معتمد")*ROW('حجز الإجازات'!$B$5:$B$104))=0,IF(KZ$3&lt;'الموظفون'!$D$8,"",IF(ISNUMBER(MATCH(KZ$3,Holidays,0)),"عطلة",IF(MOD(KZ$3-'الموظفون'!$D$8,CycleWork+CycleRest)&lt;CycleWork,INDEX('الإعدادات والقوائم'!$H$2:$H$4,MOD(INT(MOD(KZ$3-'الموظفون'!$D$8,CycleWork+CycleRest)*3/CycleWork)+MATCH(StartShift,'الإعدادات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الإجازات'!$D$5:$D$104&lt;=KZ$3)*(('حجز الإجازات'!$E$5:$E$104)&gt;=KZ$3)*('حجز الإجازات'!$G$5:$G$104="معتمد")*ROW('حجز الإجازات'!$B$5:$B$104)))-5+1))</f>
        <v/>
      </c>
      <c r="LA10" s="62">
        <f>IF(SUMPRODUCT(('حجز الإجازات'!$B$5:$B$104='الموظفون'!$B$8)*('حجز الإجازات'!$D$5:$D$104&lt;=LA$3)*(('حجز الإجازات'!$E$5:$E$104)&gt;=LA$3)*('حجز الإجازات'!$G$5:$G$104="معتمد")*ROW('حجز الإجازات'!$B$5:$B$104))=0,IF(LA$3&lt;'الموظفون'!$D$8,"",IF(ISNUMBER(MATCH(LA$3,Holidays,0)),"عطلة",IF(MOD(LA$3-'الموظفون'!$D$8,CycleWork+CycleRest)&lt;CycleWork,INDEX('الإعدادات والقوائم'!$H$2:$H$4,MOD(INT(MOD(LA$3-'الموظفون'!$D$8,CycleWork+CycleRest)*3/CycleWork)+MATCH(StartShift,'الإعدادات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الإجازات'!$D$5:$D$104&lt;=LA$3)*(('حجز الإجازات'!$E$5:$E$104)&gt;=LA$3)*('حجز الإجازات'!$G$5:$G$104="معتمد")*ROW('حجز الإجازات'!$B$5:$B$104)))-5+1))</f>
        <v/>
      </c>
      <c r="LB10" s="62">
        <f>IF(SUMPRODUCT(('حجز الإجازات'!$B$5:$B$104='الموظفون'!$B$8)*('حجز الإجازات'!$D$5:$D$104&lt;=LB$3)*(('حجز الإجازات'!$E$5:$E$104)&gt;=LB$3)*('حجز الإجازات'!$G$5:$G$104="معتمد")*ROW('حجز الإجازات'!$B$5:$B$104))=0,IF(LB$3&lt;'الموظفون'!$D$8,"",IF(ISNUMBER(MATCH(LB$3,Holidays,0)),"عطلة",IF(MOD(LB$3-'الموظفون'!$D$8,CycleWork+CycleRest)&lt;CycleWork,INDEX('الإعدادات والقوائم'!$H$2:$H$4,MOD(INT(MOD(LB$3-'الموظفون'!$D$8,CycleWork+CycleRest)*3/CycleWork)+MATCH(StartShift,'الإعدادات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الإجازات'!$D$5:$D$104&lt;=LB$3)*(('حجز الإجازات'!$E$5:$E$104)&gt;=LB$3)*('حجز الإجازات'!$G$5:$G$104="معتمد")*ROW('حجز الإجازات'!$B$5:$B$104)))-5+1))</f>
        <v/>
      </c>
      <c r="LC10" s="62">
        <f>IF(SUMPRODUCT(('حجز الإجازات'!$B$5:$B$104='الموظفون'!$B$8)*('حجز الإجازات'!$D$5:$D$104&lt;=LC$3)*(('حجز الإجازات'!$E$5:$E$104)&gt;=LC$3)*('حجز الإجازات'!$G$5:$G$104="معتمد")*ROW('حجز الإجازات'!$B$5:$B$104))=0,IF(LC$3&lt;'الموظفون'!$D$8,"",IF(ISNUMBER(MATCH(LC$3,Holidays,0)),"عطلة",IF(MOD(LC$3-'الموظفون'!$D$8,CycleWork+CycleRest)&lt;CycleWork,INDEX('الإعدادات والقوائم'!$H$2:$H$4,MOD(INT(MOD(LC$3-'الموظفون'!$D$8,CycleWork+CycleRest)*3/CycleWork)+MATCH(StartShift,'الإعدادات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الإجازات'!$D$5:$D$104&lt;=LC$3)*(('حجز الإجازات'!$E$5:$E$104)&gt;=LC$3)*('حجز الإجازات'!$G$5:$G$104="معتمد")*ROW('حجز الإجازات'!$B$5:$B$104)))-5+1))</f>
        <v/>
      </c>
      <c r="LD10" s="62">
        <f>IF(SUMPRODUCT(('حجز الإجازات'!$B$5:$B$104='الموظفون'!$B$8)*('حجز الإجازات'!$D$5:$D$104&lt;=LD$3)*(('حجز الإجازات'!$E$5:$E$104)&gt;=LD$3)*('حجز الإجازات'!$G$5:$G$104="معتمد")*ROW('حجز الإجازات'!$B$5:$B$104))=0,IF(LD$3&lt;'الموظفون'!$D$8,"",IF(ISNUMBER(MATCH(LD$3,Holidays,0)),"عطلة",IF(MOD(LD$3-'الموظفون'!$D$8,CycleWork+CycleRest)&lt;CycleWork,INDEX('الإعدادات والقوائم'!$H$2:$H$4,MOD(INT(MOD(LD$3-'الموظفون'!$D$8,CycleWork+CycleRest)*3/CycleWork)+MATCH(StartShift,'الإعدادات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الإجازات'!$D$5:$D$104&lt;=LD$3)*(('حجز الإجازات'!$E$5:$E$104)&gt;=LD$3)*('حجز الإجازات'!$G$5:$G$104="معتمد")*ROW('حجز الإجازات'!$B$5:$B$104)))-5+1))</f>
        <v/>
      </c>
      <c r="LE10" s="62">
        <f>IF(SUMPRODUCT(('حجز الإجازات'!$B$5:$B$104='الموظفون'!$B$8)*('حجز الإجازات'!$D$5:$D$104&lt;=LE$3)*(('حجز الإجازات'!$E$5:$E$104)&gt;=LE$3)*('حجز الإجازات'!$G$5:$G$104="معتمد")*ROW('حجز الإجازات'!$B$5:$B$104))=0,IF(LE$3&lt;'الموظفون'!$D$8,"",IF(ISNUMBER(MATCH(LE$3,Holidays,0)),"عطلة",IF(MOD(LE$3-'الموظفون'!$D$8,CycleWork+CycleRest)&lt;CycleWork,INDEX('الإعدادات والقوائم'!$H$2:$H$4,MOD(INT(MOD(LE$3-'الموظفون'!$D$8,CycleWork+CycleRest)*3/CycleWork)+MATCH(StartShift,'الإعدادات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الإجازات'!$D$5:$D$104&lt;=LE$3)*(('حجز الإجازات'!$E$5:$E$104)&gt;=LE$3)*('حجز الإجازات'!$G$5:$G$104="معتمد")*ROW('حجز الإجازات'!$B$5:$B$104)))-5+1))</f>
        <v/>
      </c>
      <c r="LF10" s="62">
        <f>IF(SUMPRODUCT(('حجز الإجازات'!$B$5:$B$104='الموظفون'!$B$8)*('حجز الإجازات'!$D$5:$D$104&lt;=LF$3)*(('حجز الإجازات'!$E$5:$E$104)&gt;=LF$3)*('حجز الإجازات'!$G$5:$G$104="معتمد")*ROW('حجز الإجازات'!$B$5:$B$104))=0,IF(LF$3&lt;'الموظفون'!$D$8,"",IF(ISNUMBER(MATCH(LF$3,Holidays,0)),"عطلة",IF(MOD(LF$3-'الموظفون'!$D$8,CycleWork+CycleRest)&lt;CycleWork,INDEX('الإعدادات والقوائم'!$H$2:$H$4,MOD(INT(MOD(LF$3-'الموظفون'!$D$8,CycleWork+CycleRest)*3/CycleWork)+MATCH(StartShift,'الإعدادات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الإجازات'!$D$5:$D$104&lt;=LF$3)*(('حجز الإجازات'!$E$5:$E$104)&gt;=LF$3)*('حجز الإجازات'!$G$5:$G$104="معتمد")*ROW('حجز الإجازات'!$B$5:$B$104)))-5+1))</f>
        <v/>
      </c>
      <c r="LG10" s="62">
        <f>IF(SUMPRODUCT(('حجز الإجازات'!$B$5:$B$104='الموظفون'!$B$8)*('حجز الإجازات'!$D$5:$D$104&lt;=LG$3)*(('حجز الإجازات'!$E$5:$E$104)&gt;=LG$3)*('حجز الإجازات'!$G$5:$G$104="معتمد")*ROW('حجز الإجازات'!$B$5:$B$104))=0,IF(LG$3&lt;'الموظفون'!$D$8,"",IF(ISNUMBER(MATCH(LG$3,Holidays,0)),"عطلة",IF(MOD(LG$3-'الموظفون'!$D$8,CycleWork+CycleRest)&lt;CycleWork,INDEX('الإعدادات والقوائم'!$H$2:$H$4,MOD(INT(MOD(LG$3-'الموظفون'!$D$8,CycleWork+CycleRest)*3/CycleWork)+MATCH(StartShift,'الإعدادات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الإجازات'!$D$5:$D$104&lt;=LG$3)*(('حجز الإجازات'!$E$5:$E$104)&gt;=LG$3)*('حجز الإجازات'!$G$5:$G$104="معتمد")*ROW('حجز الإجازات'!$B$5:$B$104)))-5+1))</f>
        <v/>
      </c>
      <c r="LH10" s="62">
        <f>IF(SUMPRODUCT(('حجز الإجازات'!$B$5:$B$104='الموظفون'!$B$8)*('حجز الإجازات'!$D$5:$D$104&lt;=LH$3)*(('حجز الإجازات'!$E$5:$E$104)&gt;=LH$3)*('حجز الإجازات'!$G$5:$G$104="معتمد")*ROW('حجز الإجازات'!$B$5:$B$104))=0,IF(LH$3&lt;'الموظفون'!$D$8,"",IF(ISNUMBER(MATCH(LH$3,Holidays,0)),"عطلة",IF(MOD(LH$3-'الموظفون'!$D$8,CycleWork+CycleRest)&lt;CycleWork,INDEX('الإعدادات والقوائم'!$H$2:$H$4,MOD(INT(MOD(LH$3-'الموظفون'!$D$8,CycleWork+CycleRest)*3/CycleWork)+MATCH(StartShift,'الإعدادات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الإجازات'!$D$5:$D$104&lt;=LH$3)*(('حجز الإجازات'!$E$5:$E$104)&gt;=LH$3)*('حجز الإجازات'!$G$5:$G$104="معتمد")*ROW('حجز الإجازات'!$B$5:$B$104)))-5+1))</f>
        <v/>
      </c>
      <c r="LI10" s="62">
        <f>IF(SUMPRODUCT(('حجز الإجازات'!$B$5:$B$104='الموظفون'!$B$8)*('حجز الإجازات'!$D$5:$D$104&lt;=LI$3)*(('حجز الإجازات'!$E$5:$E$104)&gt;=LI$3)*('حجز الإجازات'!$G$5:$G$104="معتمد")*ROW('حجز الإجازات'!$B$5:$B$104))=0,IF(LI$3&lt;'الموظفون'!$D$8,"",IF(ISNUMBER(MATCH(LI$3,Holidays,0)),"عطلة",IF(MOD(LI$3-'الموظفون'!$D$8,CycleWork+CycleRest)&lt;CycleWork,INDEX('الإعدادات والقوائم'!$H$2:$H$4,MOD(INT(MOD(LI$3-'الموظفون'!$D$8,CycleWork+CycleRest)*3/CycleWork)+MATCH(StartShift,'الإعدادات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الإجازات'!$D$5:$D$104&lt;=LI$3)*(('حجز الإجازات'!$E$5:$E$104)&gt;=LI$3)*('حجز الإجازات'!$G$5:$G$104="معتمد")*ROW('حجز الإجازات'!$B$5:$B$104)))-5+1))</f>
        <v/>
      </c>
      <c r="LJ10" s="62">
        <f>IF(SUMPRODUCT(('حجز الإجازات'!$B$5:$B$104='الموظفون'!$B$8)*('حجز الإجازات'!$D$5:$D$104&lt;=LJ$3)*(('حجز الإجازات'!$E$5:$E$104)&gt;=LJ$3)*('حجز الإجازات'!$G$5:$G$104="معتمد")*ROW('حجز الإجازات'!$B$5:$B$104))=0,IF(LJ$3&lt;'الموظفون'!$D$8,"",IF(ISNUMBER(MATCH(LJ$3,Holidays,0)),"عطلة",IF(MOD(LJ$3-'الموظفون'!$D$8,CycleWork+CycleRest)&lt;CycleWork,INDEX('الإعدادات والقوائم'!$H$2:$H$4,MOD(INT(MOD(LJ$3-'الموظفون'!$D$8,CycleWork+CycleRest)*3/CycleWork)+MATCH(StartShift,'الإعدادات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الإجازات'!$D$5:$D$104&lt;=LJ$3)*(('حجز الإجازات'!$E$5:$E$104)&gt;=LJ$3)*('حجز الإجازات'!$G$5:$G$104="معتمد")*ROW('حجز الإجازات'!$B$5:$B$104)))-5+1))</f>
        <v/>
      </c>
      <c r="LK10" s="62">
        <f>IF(SUMPRODUCT(('حجز الإجازات'!$B$5:$B$104='الموظفون'!$B$8)*('حجز الإجازات'!$D$5:$D$104&lt;=LK$3)*(('حجز الإجازات'!$E$5:$E$104)&gt;=LK$3)*('حجز الإجازات'!$G$5:$G$104="معتمد")*ROW('حجز الإجازات'!$B$5:$B$104))=0,IF(LK$3&lt;'الموظفون'!$D$8,"",IF(ISNUMBER(MATCH(LK$3,Holidays,0)),"عطلة",IF(MOD(LK$3-'الموظفون'!$D$8,CycleWork+CycleRest)&lt;CycleWork,INDEX('الإعدادات والقوائم'!$H$2:$H$4,MOD(INT(MOD(LK$3-'الموظفون'!$D$8,CycleWork+CycleRest)*3/CycleWork)+MATCH(StartShift,'الإعدادات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الإجازات'!$D$5:$D$104&lt;=LK$3)*(('حجز الإجازات'!$E$5:$E$104)&gt;=LK$3)*('حجز الإجازات'!$G$5:$G$104="معتمد")*ROW('حجز الإجازات'!$B$5:$B$104)))-5+1))</f>
        <v/>
      </c>
      <c r="LL10" s="62">
        <f>IF(SUMPRODUCT(('حجز الإجازات'!$B$5:$B$104='الموظفون'!$B$8)*('حجز الإجازات'!$D$5:$D$104&lt;=LL$3)*(('حجز الإجازات'!$E$5:$E$104)&gt;=LL$3)*('حجز الإجازات'!$G$5:$G$104="معتمد")*ROW('حجز الإجازات'!$B$5:$B$104))=0,IF(LL$3&lt;'الموظفون'!$D$8,"",IF(ISNUMBER(MATCH(LL$3,Holidays,0)),"عطلة",IF(MOD(LL$3-'الموظفون'!$D$8,CycleWork+CycleRest)&lt;CycleWork,INDEX('الإعدادات والقوائم'!$H$2:$H$4,MOD(INT(MOD(LL$3-'الموظفون'!$D$8,CycleWork+CycleRest)*3/CycleWork)+MATCH(StartShift,'الإعدادات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الإجازات'!$D$5:$D$104&lt;=LL$3)*(('حجز الإجازات'!$E$5:$E$104)&gt;=LL$3)*('حجز الإجازات'!$G$5:$G$104="معتمد")*ROW('حجز الإجازات'!$B$5:$B$104)))-5+1))</f>
        <v/>
      </c>
      <c r="LM10" s="62">
        <f>IF(SUMPRODUCT(('حجز الإجازات'!$B$5:$B$104='الموظفون'!$B$8)*('حجز الإجازات'!$D$5:$D$104&lt;=LM$3)*(('حجز الإجازات'!$E$5:$E$104)&gt;=LM$3)*('حجز الإجازات'!$G$5:$G$104="معتمد")*ROW('حجز الإجازات'!$B$5:$B$104))=0,IF(LM$3&lt;'الموظفون'!$D$8,"",IF(ISNUMBER(MATCH(LM$3,Holidays,0)),"عطلة",IF(MOD(LM$3-'الموظفون'!$D$8,CycleWork+CycleRest)&lt;CycleWork,INDEX('الإعدادات والقوائم'!$H$2:$H$4,MOD(INT(MOD(LM$3-'الموظفون'!$D$8,CycleWork+CycleRest)*3/CycleWork)+MATCH(StartShift,'الإعدادات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الإجازات'!$D$5:$D$104&lt;=LM$3)*(('حجز الإجازات'!$E$5:$E$104)&gt;=LM$3)*('حجز الإجازات'!$G$5:$G$104="معتمد")*ROW('حجز الإجازات'!$B$5:$B$104)))-5+1))</f>
        <v/>
      </c>
      <c r="LN10" s="62">
        <f>IF(SUMPRODUCT(('حجز الإجازات'!$B$5:$B$104='الموظفون'!$B$8)*('حجز الإجازات'!$D$5:$D$104&lt;=LN$3)*(('حجز الإجازات'!$E$5:$E$104)&gt;=LN$3)*('حجز الإجازات'!$G$5:$G$104="معتمد")*ROW('حجز الإجازات'!$B$5:$B$104))=0,IF(LN$3&lt;'الموظفون'!$D$8,"",IF(ISNUMBER(MATCH(LN$3,Holidays,0)),"عطلة",IF(MOD(LN$3-'الموظفون'!$D$8,CycleWork+CycleRest)&lt;CycleWork,INDEX('الإعدادات والقوائم'!$H$2:$H$4,MOD(INT(MOD(LN$3-'الموظفون'!$D$8,CycleWork+CycleRest)*3/CycleWork)+MATCH(StartShift,'الإعدادات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الإجازات'!$D$5:$D$104&lt;=LN$3)*(('حجز الإجازات'!$E$5:$E$104)&gt;=LN$3)*('حجز الإجازات'!$G$5:$G$104="معتمد")*ROW('حجز الإجازات'!$B$5:$B$104)))-5+1))</f>
        <v/>
      </c>
      <c r="LO10" s="62">
        <f>IF(SUMPRODUCT(('حجز الإجازات'!$B$5:$B$104='الموظفون'!$B$8)*('حجز الإجازات'!$D$5:$D$104&lt;=LO$3)*(('حجز الإجازات'!$E$5:$E$104)&gt;=LO$3)*('حجز الإجازات'!$G$5:$G$104="معتمد")*ROW('حجز الإجازات'!$B$5:$B$104))=0,IF(LO$3&lt;'الموظفون'!$D$8,"",IF(ISNUMBER(MATCH(LO$3,Holidays,0)),"عطلة",IF(MOD(LO$3-'الموظفون'!$D$8,CycleWork+CycleRest)&lt;CycleWork,INDEX('الإعدادات والقوائم'!$H$2:$H$4,MOD(INT(MOD(LO$3-'الموظفون'!$D$8,CycleWork+CycleRest)*3/CycleWork)+MATCH(StartShift,'الإعدادات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الإجازات'!$D$5:$D$104&lt;=LO$3)*(('حجز الإجازات'!$E$5:$E$104)&gt;=LO$3)*('حجز الإجازات'!$G$5:$G$104="معتمد")*ROW('حجز الإجازات'!$B$5:$B$104)))-5+1))</f>
        <v/>
      </c>
      <c r="LP10" s="62">
        <f>IF(SUMPRODUCT(('حجز الإجازات'!$B$5:$B$104='الموظفون'!$B$8)*('حجز الإجازات'!$D$5:$D$104&lt;=LP$3)*(('حجز الإجازات'!$E$5:$E$104)&gt;=LP$3)*('حجز الإجازات'!$G$5:$G$104="معتمد")*ROW('حجز الإجازات'!$B$5:$B$104))=0,IF(LP$3&lt;'الموظفون'!$D$8,"",IF(ISNUMBER(MATCH(LP$3,Holidays,0)),"عطلة",IF(MOD(LP$3-'الموظفون'!$D$8,CycleWork+CycleRest)&lt;CycleWork,INDEX('الإعدادات والقوائم'!$H$2:$H$4,MOD(INT(MOD(LP$3-'الموظفون'!$D$8,CycleWork+CycleRest)*3/CycleWork)+MATCH(StartShift,'الإعدادات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الإجازات'!$D$5:$D$104&lt;=LP$3)*(('حجز الإجازات'!$E$5:$E$104)&gt;=LP$3)*('حجز الإجازات'!$G$5:$G$104="معتمد")*ROW('حجز الإجازات'!$B$5:$B$104)))-5+1))</f>
        <v/>
      </c>
      <c r="LQ10" s="62">
        <f>IF(SUMPRODUCT(('حجز الإجازات'!$B$5:$B$104='الموظفون'!$B$8)*('حجز الإجازات'!$D$5:$D$104&lt;=LQ$3)*(('حجز الإجازات'!$E$5:$E$104)&gt;=LQ$3)*('حجز الإجازات'!$G$5:$G$104="معتمد")*ROW('حجز الإجازات'!$B$5:$B$104))=0,IF(LQ$3&lt;'الموظفون'!$D$8,"",IF(ISNUMBER(MATCH(LQ$3,Holidays,0)),"عطلة",IF(MOD(LQ$3-'الموظفون'!$D$8,CycleWork+CycleRest)&lt;CycleWork,INDEX('الإعدادات والقوائم'!$H$2:$H$4,MOD(INT(MOD(LQ$3-'الموظفون'!$D$8,CycleWork+CycleRest)*3/CycleWork)+MATCH(StartShift,'الإعدادات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الإجازات'!$D$5:$D$104&lt;=LQ$3)*(('حجز الإجازات'!$E$5:$E$104)&gt;=LQ$3)*('حجز الإجازات'!$G$5:$G$104="معتمد")*ROW('حجز الإجازات'!$B$5:$B$104)))-5+1))</f>
        <v/>
      </c>
      <c r="LR10" s="62">
        <f>IF(SUMPRODUCT(('حجز الإجازات'!$B$5:$B$104='الموظفون'!$B$8)*('حجز الإجازات'!$D$5:$D$104&lt;=LR$3)*(('حجز الإجازات'!$E$5:$E$104)&gt;=LR$3)*('حجز الإجازات'!$G$5:$G$104="معتمد")*ROW('حجز الإجازات'!$B$5:$B$104))=0,IF(LR$3&lt;'الموظفون'!$D$8,"",IF(ISNUMBER(MATCH(LR$3,Holidays,0)),"عطلة",IF(MOD(LR$3-'الموظفون'!$D$8,CycleWork+CycleRest)&lt;CycleWork,INDEX('الإعدادات والقوائم'!$H$2:$H$4,MOD(INT(MOD(LR$3-'الموظفون'!$D$8,CycleWork+CycleRest)*3/CycleWork)+MATCH(StartShift,'الإعدادات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الإجازات'!$D$5:$D$104&lt;=LR$3)*(('حجز الإجازات'!$E$5:$E$104)&gt;=LR$3)*('حجز الإجازات'!$G$5:$G$104="معتمد")*ROW('حجز الإجازات'!$B$5:$B$104)))-5+1))</f>
        <v/>
      </c>
      <c r="LS10" s="62">
        <f>IF(SUMPRODUCT(('حجز الإجازات'!$B$5:$B$104='الموظفون'!$B$8)*('حجز الإجازات'!$D$5:$D$104&lt;=LS$3)*(('حجز الإجازات'!$E$5:$E$104)&gt;=LS$3)*('حجز الإجازات'!$G$5:$G$104="معتمد")*ROW('حجز الإجازات'!$B$5:$B$104))=0,IF(LS$3&lt;'الموظفون'!$D$8,"",IF(ISNUMBER(MATCH(LS$3,Holidays,0)),"عطلة",IF(MOD(LS$3-'الموظفون'!$D$8,CycleWork+CycleRest)&lt;CycleWork,INDEX('الإعدادات والقوائم'!$H$2:$H$4,MOD(INT(MOD(LS$3-'الموظفون'!$D$8,CycleWork+CycleRest)*3/CycleWork)+MATCH(StartShift,'الإعدادات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الإجازات'!$D$5:$D$104&lt;=LS$3)*(('حجز الإجازات'!$E$5:$E$104)&gt;=LS$3)*('حجز الإجازات'!$G$5:$G$104="معتمد")*ROW('حجز الإجازات'!$B$5:$B$104)))-5+1))</f>
        <v/>
      </c>
      <c r="LT10" s="62">
        <f>IF(SUMPRODUCT(('حجز الإجازات'!$B$5:$B$104='الموظفون'!$B$8)*('حجز الإجازات'!$D$5:$D$104&lt;=LT$3)*(('حجز الإجازات'!$E$5:$E$104)&gt;=LT$3)*('حجز الإجازات'!$G$5:$G$104="معتمد")*ROW('حجز الإجازات'!$B$5:$B$104))=0,IF(LT$3&lt;'الموظفون'!$D$8,"",IF(ISNUMBER(MATCH(LT$3,Holidays,0)),"عطلة",IF(MOD(LT$3-'الموظفون'!$D$8,CycleWork+CycleRest)&lt;CycleWork,INDEX('الإعدادات والقوائم'!$H$2:$H$4,MOD(INT(MOD(LT$3-'الموظفون'!$D$8,CycleWork+CycleRest)*3/CycleWork)+MATCH(StartShift,'الإعدادات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الإجازات'!$D$5:$D$104&lt;=LT$3)*(('حجز الإجازات'!$E$5:$E$104)&gt;=LT$3)*('حجز الإجازات'!$G$5:$G$104="معتمد")*ROW('حجز الإجازات'!$B$5:$B$104)))-5+1))</f>
        <v/>
      </c>
      <c r="LU10" s="62">
        <f>IF(SUMPRODUCT(('حجز الإجازات'!$B$5:$B$104='الموظفون'!$B$8)*('حجز الإجازات'!$D$5:$D$104&lt;=LU$3)*(('حجز الإجازات'!$E$5:$E$104)&gt;=LU$3)*('حجز الإجازات'!$G$5:$G$104="معتمد")*ROW('حجز الإجازات'!$B$5:$B$104))=0,IF(LU$3&lt;'الموظفون'!$D$8,"",IF(ISNUMBER(MATCH(LU$3,Holidays,0)),"عطلة",IF(MOD(LU$3-'الموظفون'!$D$8,CycleWork+CycleRest)&lt;CycleWork,INDEX('الإعدادات والقوائم'!$H$2:$H$4,MOD(INT(MOD(LU$3-'الموظفون'!$D$8,CycleWork+CycleRest)*3/CycleWork)+MATCH(StartShift,'الإعدادات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الإجازات'!$D$5:$D$104&lt;=LU$3)*(('حجز الإجازات'!$E$5:$E$104)&gt;=LU$3)*('حجز الإجازات'!$G$5:$G$104="معتمد")*ROW('حجز الإجازات'!$B$5:$B$104)))-5+1))</f>
        <v/>
      </c>
      <c r="LV10" s="62">
        <f>IF(SUMPRODUCT(('حجز الإجازات'!$B$5:$B$104='الموظفون'!$B$8)*('حجز الإجازات'!$D$5:$D$104&lt;=LV$3)*(('حجز الإجازات'!$E$5:$E$104)&gt;=LV$3)*('حجز الإجازات'!$G$5:$G$104="معتمد")*ROW('حجز الإجازات'!$B$5:$B$104))=0,IF(LV$3&lt;'الموظفون'!$D$8,"",IF(ISNUMBER(MATCH(LV$3,Holidays,0)),"عطلة",IF(MOD(LV$3-'الموظفون'!$D$8,CycleWork+CycleRest)&lt;CycleWork,INDEX('الإعدادات والقوائم'!$H$2:$H$4,MOD(INT(MOD(LV$3-'الموظفون'!$D$8,CycleWork+CycleRest)*3/CycleWork)+MATCH(StartShift,'الإعدادات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الإجازات'!$D$5:$D$104&lt;=LV$3)*(('حجز الإجازات'!$E$5:$E$104)&gt;=LV$3)*('حجز الإجازات'!$G$5:$G$104="معتمد")*ROW('حجز الإجازات'!$B$5:$B$104)))-5+1))</f>
        <v/>
      </c>
      <c r="LW10" s="62">
        <f>IF(SUMPRODUCT(('حجز الإجازات'!$B$5:$B$104='الموظفون'!$B$8)*('حجز الإجازات'!$D$5:$D$104&lt;=LW$3)*(('حجز الإجازات'!$E$5:$E$104)&gt;=LW$3)*('حجز الإجازات'!$G$5:$G$104="معتمد")*ROW('حجز الإجازات'!$B$5:$B$104))=0,IF(LW$3&lt;'الموظفون'!$D$8,"",IF(ISNUMBER(MATCH(LW$3,Holidays,0)),"عطلة",IF(MOD(LW$3-'الموظفون'!$D$8,CycleWork+CycleRest)&lt;CycleWork,INDEX('الإعدادات والقوائم'!$H$2:$H$4,MOD(INT(MOD(LW$3-'الموظفون'!$D$8,CycleWork+CycleRest)*3/CycleWork)+MATCH(StartShift,'الإعدادات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الإجازات'!$D$5:$D$104&lt;=LW$3)*(('حجز الإجازات'!$E$5:$E$104)&gt;=LW$3)*('حجز الإجازات'!$G$5:$G$104="معتمد")*ROW('حجز الإجازات'!$B$5:$B$104)))-5+1))</f>
        <v/>
      </c>
      <c r="LX10" s="62">
        <f>IF(SUMPRODUCT(('حجز الإجازات'!$B$5:$B$104='الموظفون'!$B$8)*('حجز الإجازات'!$D$5:$D$104&lt;=LX$3)*(('حجز الإجازات'!$E$5:$E$104)&gt;=LX$3)*('حجز الإجازات'!$G$5:$G$104="معتمد")*ROW('حجز الإجازات'!$B$5:$B$104))=0,IF(LX$3&lt;'الموظفون'!$D$8,"",IF(ISNUMBER(MATCH(LX$3,Holidays,0)),"عطلة",IF(MOD(LX$3-'الموظفون'!$D$8,CycleWork+CycleRest)&lt;CycleWork,INDEX('الإعدادات والقوائم'!$H$2:$H$4,MOD(INT(MOD(LX$3-'الموظفون'!$D$8,CycleWork+CycleRest)*3/CycleWork)+MATCH(StartShift,'الإعدادات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الإجازات'!$D$5:$D$104&lt;=LX$3)*(('حجز الإجازات'!$E$5:$E$104)&gt;=LX$3)*('حجز الإجازات'!$G$5:$G$104="معتمد")*ROW('حجز الإجازات'!$B$5:$B$104)))-5+1))</f>
        <v/>
      </c>
      <c r="LY10" s="62">
        <f>IF(SUMPRODUCT(('حجز الإجازات'!$B$5:$B$104='الموظفون'!$B$8)*('حجز الإجازات'!$D$5:$D$104&lt;=LY$3)*(('حجز الإجازات'!$E$5:$E$104)&gt;=LY$3)*('حجز الإجازات'!$G$5:$G$104="معتمد")*ROW('حجز الإجازات'!$B$5:$B$104))=0,IF(LY$3&lt;'الموظفون'!$D$8,"",IF(ISNUMBER(MATCH(LY$3,Holidays,0)),"عطلة",IF(MOD(LY$3-'الموظفون'!$D$8,CycleWork+CycleRest)&lt;CycleWork,INDEX('الإعدادات والقوائم'!$H$2:$H$4,MOD(INT(MOD(LY$3-'الموظفون'!$D$8,CycleWork+CycleRest)*3/CycleWork)+MATCH(StartShift,'الإعدادات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الإجازات'!$D$5:$D$104&lt;=LY$3)*(('حجز الإجازات'!$E$5:$E$104)&gt;=LY$3)*('حجز الإجازات'!$G$5:$G$104="معتمد")*ROW('حجز الإجازات'!$B$5:$B$104)))-5+1))</f>
        <v/>
      </c>
      <c r="LZ10" s="62">
        <f>IF(SUMPRODUCT(('حجز الإجازات'!$B$5:$B$104='الموظفون'!$B$8)*('حجز الإجازات'!$D$5:$D$104&lt;=LZ$3)*(('حجز الإجازات'!$E$5:$E$104)&gt;=LZ$3)*('حجز الإجازات'!$G$5:$G$104="معتمد")*ROW('حجز الإجازات'!$B$5:$B$104))=0,IF(LZ$3&lt;'الموظفون'!$D$8,"",IF(ISNUMBER(MATCH(LZ$3,Holidays,0)),"عطلة",IF(MOD(LZ$3-'الموظفون'!$D$8,CycleWork+CycleRest)&lt;CycleWork,INDEX('الإعدادات والقوائم'!$H$2:$H$4,MOD(INT(MOD(LZ$3-'الموظفون'!$D$8,CycleWork+CycleRest)*3/CycleWork)+MATCH(StartShift,'الإعدادات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الإجازات'!$D$5:$D$104&lt;=LZ$3)*(('حجز الإجازات'!$E$5:$E$104)&gt;=LZ$3)*('حجز الإجازات'!$G$5:$G$104="معتمد")*ROW('حجز الإجازات'!$B$5:$B$104)))-5+1))</f>
        <v/>
      </c>
      <c r="MA10" s="62">
        <f>IF(SUMPRODUCT(('حجز الإجازات'!$B$5:$B$104='الموظفون'!$B$8)*('حجز الإجازات'!$D$5:$D$104&lt;=MA$3)*(('حجز الإجازات'!$E$5:$E$104)&gt;=MA$3)*('حجز الإجازات'!$G$5:$G$104="معتمد")*ROW('حجز الإجازات'!$B$5:$B$104))=0,IF(MA$3&lt;'الموظفون'!$D$8,"",IF(ISNUMBER(MATCH(MA$3,Holidays,0)),"عطلة",IF(MOD(MA$3-'الموظفون'!$D$8,CycleWork+CycleRest)&lt;CycleWork,INDEX('الإعدادات والقوائم'!$H$2:$H$4,MOD(INT(MOD(MA$3-'الموظفون'!$D$8,CycleWork+CycleRest)*3/CycleWork)+MATCH(StartShift,'الإعدادات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الإجازات'!$D$5:$D$104&lt;=MA$3)*(('حجز الإجازات'!$E$5:$E$104)&gt;=MA$3)*('حجز الإجازات'!$G$5:$G$104="معتمد")*ROW('حجز الإجازات'!$B$5:$B$104)))-5+1))</f>
        <v/>
      </c>
      <c r="MB10" s="62">
        <f>IF(SUMPRODUCT(('حجز الإجازات'!$B$5:$B$104='الموظفون'!$B$8)*('حجز الإجازات'!$D$5:$D$104&lt;=MB$3)*(('حجز الإجازات'!$E$5:$E$104)&gt;=MB$3)*('حجز الإجازات'!$G$5:$G$104="معتمد")*ROW('حجز الإجازات'!$B$5:$B$104))=0,IF(MB$3&lt;'الموظفون'!$D$8,"",IF(ISNUMBER(MATCH(MB$3,Holidays,0)),"عطلة",IF(MOD(MB$3-'الموظفون'!$D$8,CycleWork+CycleRest)&lt;CycleWork,INDEX('الإعدادات والقوائم'!$H$2:$H$4,MOD(INT(MOD(MB$3-'الموظفون'!$D$8,CycleWork+CycleRest)*3/CycleWork)+MATCH(StartShift,'الإعدادات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الإجازات'!$D$5:$D$104&lt;=MB$3)*(('حجز الإجازات'!$E$5:$E$104)&gt;=MB$3)*('حجز الإجازات'!$G$5:$G$104="معتمد")*ROW('حجز الإجازات'!$B$5:$B$104)))-5+1))</f>
        <v/>
      </c>
      <c r="MC10" s="62">
        <f>IF(SUMPRODUCT(('حجز الإجازات'!$B$5:$B$104='الموظفون'!$B$8)*('حجز الإجازات'!$D$5:$D$104&lt;=MC$3)*(('حجز الإجازات'!$E$5:$E$104)&gt;=MC$3)*('حجز الإجازات'!$G$5:$G$104="معتمد")*ROW('حجز الإجازات'!$B$5:$B$104))=0,IF(MC$3&lt;'الموظفون'!$D$8,"",IF(ISNUMBER(MATCH(MC$3,Holidays,0)),"عطلة",IF(MOD(MC$3-'الموظفون'!$D$8,CycleWork+CycleRest)&lt;CycleWork,INDEX('الإعدادات والقوائم'!$H$2:$H$4,MOD(INT(MOD(MC$3-'الموظفون'!$D$8,CycleWork+CycleRest)*3/CycleWork)+MATCH(StartShift,'الإعدادات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الإجازات'!$D$5:$D$104&lt;=MC$3)*(('حجز الإجازات'!$E$5:$E$104)&gt;=MC$3)*('حجز الإجازات'!$G$5:$G$104="معتمد")*ROW('حجز الإجازات'!$B$5:$B$104)))-5+1))</f>
        <v/>
      </c>
      <c r="MD10" s="62">
        <f>IF(SUMPRODUCT(('حجز الإجازات'!$B$5:$B$104='الموظفون'!$B$8)*('حجز الإجازات'!$D$5:$D$104&lt;=MD$3)*(('حجز الإجازات'!$E$5:$E$104)&gt;=MD$3)*('حجز الإجازات'!$G$5:$G$104="معتمد")*ROW('حجز الإجازات'!$B$5:$B$104))=0,IF(MD$3&lt;'الموظفون'!$D$8,"",IF(ISNUMBER(MATCH(MD$3,Holidays,0)),"عطلة",IF(MOD(MD$3-'الموظفون'!$D$8,CycleWork+CycleRest)&lt;CycleWork,INDEX('الإعدادات والقوائم'!$H$2:$H$4,MOD(INT(MOD(MD$3-'الموظفون'!$D$8,CycleWork+CycleRest)*3/CycleWork)+MATCH(StartShift,'الإعدادات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الإجازات'!$D$5:$D$104&lt;=MD$3)*(('حجز الإجازات'!$E$5:$E$104)&gt;=MD$3)*('حجز الإجازات'!$G$5:$G$104="معتمد")*ROW('حجز الإجازات'!$B$5:$B$104)))-5+1))</f>
        <v/>
      </c>
      <c r="ME10" s="62">
        <f>IF(SUMPRODUCT(('حجز الإجازات'!$B$5:$B$104='الموظفون'!$B$8)*('حجز الإجازات'!$D$5:$D$104&lt;=ME$3)*(('حجز الإجازات'!$E$5:$E$104)&gt;=ME$3)*('حجز الإجازات'!$G$5:$G$104="معتمد")*ROW('حجز الإجازات'!$B$5:$B$104))=0,IF(ME$3&lt;'الموظفون'!$D$8,"",IF(ISNUMBER(MATCH(ME$3,Holidays,0)),"عطلة",IF(MOD(ME$3-'الموظفون'!$D$8,CycleWork+CycleRest)&lt;CycleWork,INDEX('الإعدادات والقوائم'!$H$2:$H$4,MOD(INT(MOD(ME$3-'الموظفون'!$D$8,CycleWork+CycleRest)*3/CycleWork)+MATCH(StartShift,'الإعدادات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الإجازات'!$D$5:$D$104&lt;=ME$3)*(('حجز الإجازات'!$E$5:$E$104)&gt;=ME$3)*('حجز الإجازات'!$G$5:$G$104="معتمد")*ROW('حجز الإجازات'!$B$5:$B$104)))-5+1))</f>
        <v/>
      </c>
      <c r="MF10" s="62">
        <f>IF(SUMPRODUCT(('حجز الإجازات'!$B$5:$B$104='الموظفون'!$B$8)*('حجز الإجازات'!$D$5:$D$104&lt;=MF$3)*(('حجز الإجازات'!$E$5:$E$104)&gt;=MF$3)*('حجز الإجازات'!$G$5:$G$104="معتمد")*ROW('حجز الإجازات'!$B$5:$B$104))=0,IF(MF$3&lt;'الموظفون'!$D$8,"",IF(ISNUMBER(MATCH(MF$3,Holidays,0)),"عطلة",IF(MOD(MF$3-'الموظفون'!$D$8,CycleWork+CycleRest)&lt;CycleWork,INDEX('الإعدادات والقوائم'!$H$2:$H$4,MOD(INT(MOD(MF$3-'الموظفون'!$D$8,CycleWork+CycleRest)*3/CycleWork)+MATCH(StartShift,'الإعدادات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الإجازات'!$D$5:$D$104&lt;=MF$3)*(('حجز الإجازات'!$E$5:$E$104)&gt;=MF$3)*('حجز الإجازات'!$G$5:$G$104="معتمد")*ROW('حجز الإجازات'!$B$5:$B$104)))-5+1))</f>
        <v/>
      </c>
      <c r="MG10" s="62">
        <f>IF(SUMPRODUCT(('حجز الإجازات'!$B$5:$B$104='الموظفون'!$B$8)*('حجز الإجازات'!$D$5:$D$104&lt;=MG$3)*(('حجز الإجازات'!$E$5:$E$104)&gt;=MG$3)*('حجز الإجازات'!$G$5:$G$104="معتمد")*ROW('حجز الإجازات'!$B$5:$B$104))=0,IF(MG$3&lt;'الموظفون'!$D$8,"",IF(ISNUMBER(MATCH(MG$3,Holidays,0)),"عطلة",IF(MOD(MG$3-'الموظفون'!$D$8,CycleWork+CycleRest)&lt;CycleWork,INDEX('الإعدادات والقوائم'!$H$2:$H$4,MOD(INT(MOD(MG$3-'الموظفون'!$D$8,CycleWork+CycleRest)*3/CycleWork)+MATCH(StartShift,'الإعدادات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الإجازات'!$D$5:$D$104&lt;=MG$3)*(('حجز الإجازات'!$E$5:$E$104)&gt;=MG$3)*('حجز الإجازات'!$G$5:$G$104="معتمد")*ROW('حجز الإجازات'!$B$5:$B$104)))-5+1))</f>
        <v/>
      </c>
      <c r="MH10" s="62">
        <f>IF(SUMPRODUCT(('حجز الإجازات'!$B$5:$B$104='الموظفون'!$B$8)*('حجز الإجازات'!$D$5:$D$104&lt;=MH$3)*(('حجز الإجازات'!$E$5:$E$104)&gt;=MH$3)*('حجز الإجازات'!$G$5:$G$104="معتمد")*ROW('حجز الإجازات'!$B$5:$B$104))=0,IF(MH$3&lt;'الموظفون'!$D$8,"",IF(ISNUMBER(MATCH(MH$3,Holidays,0)),"عطلة",IF(MOD(MH$3-'الموظفون'!$D$8,CycleWork+CycleRest)&lt;CycleWork,INDEX('الإعدادات والقوائم'!$H$2:$H$4,MOD(INT(MOD(MH$3-'الموظفون'!$D$8,CycleWork+CycleRest)*3/CycleWork)+MATCH(StartShift,'الإعدادات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الإجازات'!$D$5:$D$104&lt;=MH$3)*(('حجز الإجازات'!$E$5:$E$104)&gt;=MH$3)*('حجز الإجازات'!$G$5:$G$104="معتمد")*ROW('حجز الإجازات'!$B$5:$B$104)))-5+1))</f>
        <v/>
      </c>
      <c r="MI10" s="62">
        <f>IF(SUMPRODUCT(('حجز الإجازات'!$B$5:$B$104='الموظفون'!$B$8)*('حجز الإجازات'!$D$5:$D$104&lt;=MI$3)*(('حجز الإجازات'!$E$5:$E$104)&gt;=MI$3)*('حجز الإجازات'!$G$5:$G$104="معتمد")*ROW('حجز الإجازات'!$B$5:$B$104))=0,IF(MI$3&lt;'الموظفون'!$D$8,"",IF(ISNUMBER(MATCH(MI$3,Holidays,0)),"عطلة",IF(MOD(MI$3-'الموظفون'!$D$8,CycleWork+CycleRest)&lt;CycleWork,INDEX('الإعدادات والقوائم'!$H$2:$H$4,MOD(INT(MOD(MI$3-'الموظفون'!$D$8,CycleWork+CycleRest)*3/CycleWork)+MATCH(StartShift,'الإعدادات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الإجازات'!$D$5:$D$104&lt;=MI$3)*(('حجز الإجازات'!$E$5:$E$104)&gt;=MI$3)*('حجز الإجازات'!$G$5:$G$104="معتمد")*ROW('حجز الإجازات'!$B$5:$B$104)))-5+1))</f>
        <v/>
      </c>
      <c r="MJ10" s="62">
        <f>IF(SUMPRODUCT(('حجز الإجازات'!$B$5:$B$104='الموظفون'!$B$8)*('حجز الإجازات'!$D$5:$D$104&lt;=MJ$3)*(('حجز الإجازات'!$E$5:$E$104)&gt;=MJ$3)*('حجز الإجازات'!$G$5:$G$104="معتمد")*ROW('حجز الإجازات'!$B$5:$B$104))=0,IF(MJ$3&lt;'الموظفون'!$D$8,"",IF(ISNUMBER(MATCH(MJ$3,Holidays,0)),"عطلة",IF(MOD(MJ$3-'الموظفون'!$D$8,CycleWork+CycleRest)&lt;CycleWork,INDEX('الإعدادات والقوائم'!$H$2:$H$4,MOD(INT(MOD(MJ$3-'الموظفون'!$D$8,CycleWork+CycleRest)*3/CycleWork)+MATCH(StartShift,'الإعدادات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الإجازات'!$D$5:$D$104&lt;=MJ$3)*(('حجز الإجازات'!$E$5:$E$104)&gt;=MJ$3)*('حجز الإجازات'!$G$5:$G$104="معتمد")*ROW('حجز الإجازات'!$B$5:$B$104)))-5+1))</f>
        <v/>
      </c>
      <c r="MK10" s="62">
        <f>IF(SUMPRODUCT(('حجز الإجازات'!$B$5:$B$104='الموظفون'!$B$8)*('حجز الإجازات'!$D$5:$D$104&lt;=MK$3)*(('حجز الإجازات'!$E$5:$E$104)&gt;=MK$3)*('حجز الإجازات'!$G$5:$G$104="معتمد")*ROW('حجز الإجازات'!$B$5:$B$104))=0,IF(MK$3&lt;'الموظفون'!$D$8,"",IF(ISNUMBER(MATCH(MK$3,Holidays,0)),"عطلة",IF(MOD(MK$3-'الموظفون'!$D$8,CycleWork+CycleRest)&lt;CycleWork,INDEX('الإعدادات والقوائم'!$H$2:$H$4,MOD(INT(MOD(MK$3-'الموظفون'!$D$8,CycleWork+CycleRest)*3/CycleWork)+MATCH(StartShift,'الإعدادات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الإجازات'!$D$5:$D$104&lt;=MK$3)*(('حجز الإجازات'!$E$5:$E$104)&gt;=MK$3)*('حجز الإجازات'!$G$5:$G$104="معتمد")*ROW('حجز الإجازات'!$B$5:$B$104)))-5+1))</f>
        <v/>
      </c>
      <c r="ML10" s="62">
        <f>IF(SUMPRODUCT(('حجز الإجازات'!$B$5:$B$104='الموظفون'!$B$8)*('حجز الإجازات'!$D$5:$D$104&lt;=ML$3)*(('حجز الإجازات'!$E$5:$E$104)&gt;=ML$3)*('حجز الإجازات'!$G$5:$G$104="معتمد")*ROW('حجز الإجازات'!$B$5:$B$104))=0,IF(ML$3&lt;'الموظفون'!$D$8,"",IF(ISNUMBER(MATCH(ML$3,Holidays,0)),"عطلة",IF(MOD(ML$3-'الموظفون'!$D$8,CycleWork+CycleRest)&lt;CycleWork,INDEX('الإعدادات والقوائم'!$H$2:$H$4,MOD(INT(MOD(ML$3-'الموظفون'!$D$8,CycleWork+CycleRest)*3/CycleWork)+MATCH(StartShift,'الإعدادات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الإجازات'!$D$5:$D$104&lt;=ML$3)*(('حجز الإجازات'!$E$5:$E$104)&gt;=ML$3)*('حجز الإجازات'!$G$5:$G$104="معتمد")*ROW('حجز الإجازات'!$B$5:$B$104)))-5+1))</f>
        <v/>
      </c>
      <c r="MM10" s="62">
        <f>IF(SUMPRODUCT(('حجز الإجازات'!$B$5:$B$104='الموظفون'!$B$8)*('حجز الإجازات'!$D$5:$D$104&lt;=MM$3)*(('حجز الإجازات'!$E$5:$E$104)&gt;=MM$3)*('حجز الإجازات'!$G$5:$G$104="معتمد")*ROW('حجز الإجازات'!$B$5:$B$104))=0,IF(MM$3&lt;'الموظفون'!$D$8,"",IF(ISNUMBER(MATCH(MM$3,Holidays,0)),"عطلة",IF(MOD(MM$3-'الموظفون'!$D$8,CycleWork+CycleRest)&lt;CycleWork,INDEX('الإعدادات والقوائم'!$H$2:$H$4,MOD(INT(MOD(MM$3-'الموظفون'!$D$8,CycleWork+CycleRest)*3/CycleWork)+MATCH(StartShift,'الإعدادات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الإجازات'!$D$5:$D$104&lt;=MM$3)*(('حجز الإجازات'!$E$5:$E$104)&gt;=MM$3)*('حجز الإجازات'!$G$5:$G$104="معتمد")*ROW('حجز الإجازات'!$B$5:$B$104)))-5+1))</f>
        <v/>
      </c>
      <c r="MN10" s="62">
        <f>IF(SUMPRODUCT(('حجز الإجازات'!$B$5:$B$104='الموظفون'!$B$8)*('حجز الإجازات'!$D$5:$D$104&lt;=MN$3)*(('حجز الإجازات'!$E$5:$E$104)&gt;=MN$3)*('حجز الإجازات'!$G$5:$G$104="معتمد")*ROW('حجز الإجازات'!$B$5:$B$104))=0,IF(MN$3&lt;'الموظفون'!$D$8,"",IF(ISNUMBER(MATCH(MN$3,Holidays,0)),"عطلة",IF(MOD(MN$3-'الموظفون'!$D$8,CycleWork+CycleRest)&lt;CycleWork,INDEX('الإعدادات والقوائم'!$H$2:$H$4,MOD(INT(MOD(MN$3-'الموظفون'!$D$8,CycleWork+CycleRest)*3/CycleWork)+MATCH(StartShift,'الإعدادات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الإجازات'!$D$5:$D$104&lt;=MN$3)*(('حجز الإجازات'!$E$5:$E$104)&gt;=MN$3)*('حجز الإجازات'!$G$5:$G$104="معتمد")*ROW('حجز الإجازات'!$B$5:$B$104)))-5+1))</f>
        <v/>
      </c>
      <c r="MO10" s="62">
        <f>IF(SUMPRODUCT(('حجز الإجازات'!$B$5:$B$104='الموظفون'!$B$8)*('حجز الإجازات'!$D$5:$D$104&lt;=MO$3)*(('حجز الإجازات'!$E$5:$E$104)&gt;=MO$3)*('حجز الإجازات'!$G$5:$G$104="معتمد")*ROW('حجز الإجازات'!$B$5:$B$104))=0,IF(MO$3&lt;'الموظفون'!$D$8,"",IF(ISNUMBER(MATCH(MO$3,Holidays,0)),"عطلة",IF(MOD(MO$3-'الموظفون'!$D$8,CycleWork+CycleRest)&lt;CycleWork,INDEX('الإعدادات والقوائم'!$H$2:$H$4,MOD(INT(MOD(MO$3-'الموظفون'!$D$8,CycleWork+CycleRest)*3/CycleWork)+MATCH(StartShift,'الإعدادات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الإجازات'!$D$5:$D$104&lt;=MO$3)*(('حجز الإجازات'!$E$5:$E$104)&gt;=MO$3)*('حجز الإجازات'!$G$5:$G$104="معتمد")*ROW('حجز الإجازات'!$B$5:$B$104)))-5+1))</f>
        <v/>
      </c>
      <c r="MP10" s="62">
        <f>IF(SUMPRODUCT(('حجز الإجازات'!$B$5:$B$104='الموظفون'!$B$8)*('حجز الإجازات'!$D$5:$D$104&lt;=MP$3)*(('حجز الإجازات'!$E$5:$E$104)&gt;=MP$3)*('حجز الإجازات'!$G$5:$G$104="معتمد")*ROW('حجز الإجازات'!$B$5:$B$104))=0,IF(MP$3&lt;'الموظفون'!$D$8,"",IF(ISNUMBER(MATCH(MP$3,Holidays,0)),"عطلة",IF(MOD(MP$3-'الموظفون'!$D$8,CycleWork+CycleRest)&lt;CycleWork,INDEX('الإعدادات والقوائم'!$H$2:$H$4,MOD(INT(MOD(MP$3-'الموظفون'!$D$8,CycleWork+CycleRest)*3/CycleWork)+MATCH(StartShift,'الإعدادات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الإجازات'!$D$5:$D$104&lt;=MP$3)*(('حجز الإجازات'!$E$5:$E$104)&gt;=MP$3)*('حجز الإجازات'!$G$5:$G$104="معتمد")*ROW('حجز الإجازات'!$B$5:$B$104)))-5+1))</f>
        <v/>
      </c>
      <c r="MQ10" s="62">
        <f>IF(SUMPRODUCT(('حجز الإجازات'!$B$5:$B$104='الموظفون'!$B$8)*('حجز الإجازات'!$D$5:$D$104&lt;=MQ$3)*(('حجز الإجازات'!$E$5:$E$104)&gt;=MQ$3)*('حجز الإجازات'!$G$5:$G$104="معتمد")*ROW('حجز الإجازات'!$B$5:$B$104))=0,IF(MQ$3&lt;'الموظفون'!$D$8,"",IF(ISNUMBER(MATCH(MQ$3,Holidays,0)),"عطلة",IF(MOD(MQ$3-'الموظفون'!$D$8,CycleWork+CycleRest)&lt;CycleWork,INDEX('الإعدادات والقوائم'!$H$2:$H$4,MOD(INT(MOD(MQ$3-'الموظفون'!$D$8,CycleWork+CycleRest)*3/CycleWork)+MATCH(StartShift,'الإعدادات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الإجازات'!$D$5:$D$104&lt;=MQ$3)*(('حجز الإجازات'!$E$5:$E$104)&gt;=MQ$3)*('حجز الإجازات'!$G$5:$G$104="معتمد")*ROW('حجز الإجازات'!$B$5:$B$104)))-5+1))</f>
        <v/>
      </c>
      <c r="MR10" s="62">
        <f>IF(SUMPRODUCT(('حجز الإجازات'!$B$5:$B$104='الموظفون'!$B$8)*('حجز الإجازات'!$D$5:$D$104&lt;=MR$3)*(('حجز الإجازات'!$E$5:$E$104)&gt;=MR$3)*('حجز الإجازات'!$G$5:$G$104="معتمد")*ROW('حجز الإجازات'!$B$5:$B$104))=0,IF(MR$3&lt;'الموظفون'!$D$8,"",IF(ISNUMBER(MATCH(MR$3,Holidays,0)),"عطلة",IF(MOD(MR$3-'الموظفون'!$D$8,CycleWork+CycleRest)&lt;CycleWork,INDEX('الإعدادات والقوائم'!$H$2:$H$4,MOD(INT(MOD(MR$3-'الموظفون'!$D$8,CycleWork+CycleRest)*3/CycleWork)+MATCH(StartShift,'الإعدادات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الإجازات'!$D$5:$D$104&lt;=MR$3)*(('حجز الإجازات'!$E$5:$E$104)&gt;=MR$3)*('حجز الإجازات'!$G$5:$G$104="معتمد")*ROW('حجز الإجازات'!$B$5:$B$104)))-5+1))</f>
        <v/>
      </c>
      <c r="MS10" s="62">
        <f>IF(SUMPRODUCT(('حجز الإجازات'!$B$5:$B$104='الموظفون'!$B$8)*('حجز الإجازات'!$D$5:$D$104&lt;=MS$3)*(('حجز الإجازات'!$E$5:$E$104)&gt;=MS$3)*('حجز الإجازات'!$G$5:$G$104="معتمد")*ROW('حجز الإجازات'!$B$5:$B$104))=0,IF(MS$3&lt;'الموظفون'!$D$8,"",IF(ISNUMBER(MATCH(MS$3,Holidays,0)),"عطلة",IF(MOD(MS$3-'الموظفون'!$D$8,CycleWork+CycleRest)&lt;CycleWork,INDEX('الإعدادات والقوائم'!$H$2:$H$4,MOD(INT(MOD(MS$3-'الموظفون'!$D$8,CycleWork+CycleRest)*3/CycleWork)+MATCH(StartShift,'الإعدادات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الإجازات'!$D$5:$D$104&lt;=MS$3)*(('حجز الإجازات'!$E$5:$E$104)&gt;=MS$3)*('حجز الإجازات'!$G$5:$G$104="معتمد")*ROW('حجز الإجازات'!$B$5:$B$104)))-5+1))</f>
        <v/>
      </c>
      <c r="MT10" s="62">
        <f>IF(SUMPRODUCT(('حجز الإجازات'!$B$5:$B$104='الموظفون'!$B$8)*('حجز الإجازات'!$D$5:$D$104&lt;=MT$3)*(('حجز الإجازات'!$E$5:$E$104)&gt;=MT$3)*('حجز الإجازات'!$G$5:$G$104="معتمد")*ROW('حجز الإجازات'!$B$5:$B$104))=0,IF(MT$3&lt;'الموظفون'!$D$8,"",IF(ISNUMBER(MATCH(MT$3,Holidays,0)),"عطلة",IF(MOD(MT$3-'الموظفون'!$D$8,CycleWork+CycleRest)&lt;CycleWork,INDEX('الإعدادات والقوائم'!$H$2:$H$4,MOD(INT(MOD(MT$3-'الموظفون'!$D$8,CycleWork+CycleRest)*3/CycleWork)+MATCH(StartShift,'الإعدادات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الإجازات'!$D$5:$D$104&lt;=MT$3)*(('حجز الإجازات'!$E$5:$E$104)&gt;=MT$3)*('حجز الإجازات'!$G$5:$G$104="معتمد")*ROW('حجز الإجازات'!$B$5:$B$104)))-5+1))</f>
        <v/>
      </c>
      <c r="MU10" s="62">
        <f>IF(SUMPRODUCT(('حجز الإجازات'!$B$5:$B$104='الموظفون'!$B$8)*('حجز الإجازات'!$D$5:$D$104&lt;=MU$3)*(('حجز الإجازات'!$E$5:$E$104)&gt;=MU$3)*('حجز الإجازات'!$G$5:$G$104="معتمد")*ROW('حجز الإجازات'!$B$5:$B$104))=0,IF(MU$3&lt;'الموظفون'!$D$8,"",IF(ISNUMBER(MATCH(MU$3,Holidays,0)),"عطلة",IF(MOD(MU$3-'الموظفون'!$D$8,CycleWork+CycleRest)&lt;CycleWork,INDEX('الإعدادات والقوائم'!$H$2:$H$4,MOD(INT(MOD(MU$3-'الموظفون'!$D$8,CycleWork+CycleRest)*3/CycleWork)+MATCH(StartShift,'الإعدادات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الإجازات'!$D$5:$D$104&lt;=MU$3)*(('حجز الإجازات'!$E$5:$E$104)&gt;=MU$3)*('حجز الإجازات'!$G$5:$G$104="معتمد")*ROW('حجز الإجازات'!$B$5:$B$104)))-5+1))</f>
        <v/>
      </c>
      <c r="MV10" s="62">
        <f>IF(SUMPRODUCT(('حجز الإجازات'!$B$5:$B$104='الموظفون'!$B$8)*('حجز الإجازات'!$D$5:$D$104&lt;=MV$3)*(('حجز الإجازات'!$E$5:$E$104)&gt;=MV$3)*('حجز الإجازات'!$G$5:$G$104="معتمد")*ROW('حجز الإجازات'!$B$5:$B$104))=0,IF(MV$3&lt;'الموظفون'!$D$8,"",IF(ISNUMBER(MATCH(MV$3,Holidays,0)),"عطلة",IF(MOD(MV$3-'الموظفون'!$D$8,CycleWork+CycleRest)&lt;CycleWork,INDEX('الإعدادات والقوائم'!$H$2:$H$4,MOD(INT(MOD(MV$3-'الموظفون'!$D$8,CycleWork+CycleRest)*3/CycleWork)+MATCH(StartShift,'الإعدادات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الإجازات'!$D$5:$D$104&lt;=MV$3)*(('حجز الإجازات'!$E$5:$E$104)&gt;=MV$3)*('حجز الإجازات'!$G$5:$G$104="معتمد")*ROW('حجز الإجازات'!$B$5:$B$104)))-5+1))</f>
        <v/>
      </c>
      <c r="MW10" s="62">
        <f>IF(SUMPRODUCT(('حجز الإجازات'!$B$5:$B$104='الموظفون'!$B$8)*('حجز الإجازات'!$D$5:$D$104&lt;=MW$3)*(('حجز الإجازات'!$E$5:$E$104)&gt;=MW$3)*('حجز الإجازات'!$G$5:$G$104="معتمد")*ROW('حجز الإجازات'!$B$5:$B$104))=0,IF(MW$3&lt;'الموظفون'!$D$8,"",IF(ISNUMBER(MATCH(MW$3,Holidays,0)),"عطلة",IF(MOD(MW$3-'الموظفون'!$D$8,CycleWork+CycleRest)&lt;CycleWork,INDEX('الإعدادات والقوائم'!$H$2:$H$4,MOD(INT(MOD(MW$3-'الموظفون'!$D$8,CycleWork+CycleRest)*3/CycleWork)+MATCH(StartShift,'الإعدادات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الإجازات'!$D$5:$D$104&lt;=MW$3)*(('حجز الإجازات'!$E$5:$E$104)&gt;=MW$3)*('حجز الإجازات'!$G$5:$G$104="معتمد")*ROW('حجز الإجازات'!$B$5:$B$104)))-5+1))</f>
        <v/>
      </c>
      <c r="MX10" s="62">
        <f>IF(SUMPRODUCT(('حجز الإجازات'!$B$5:$B$104='الموظفون'!$B$8)*('حجز الإجازات'!$D$5:$D$104&lt;=MX$3)*(('حجز الإجازات'!$E$5:$E$104)&gt;=MX$3)*('حجز الإجازات'!$G$5:$G$104="معتمد")*ROW('حجز الإجازات'!$B$5:$B$104))=0,IF(MX$3&lt;'الموظفون'!$D$8,"",IF(ISNUMBER(MATCH(MX$3,Holidays,0)),"عطلة",IF(MOD(MX$3-'الموظفون'!$D$8,CycleWork+CycleRest)&lt;CycleWork,INDEX('الإعدادات والقوائم'!$H$2:$H$4,MOD(INT(MOD(MX$3-'الموظفون'!$D$8,CycleWork+CycleRest)*3/CycleWork)+MATCH(StartShift,'الإعدادات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الإجازات'!$D$5:$D$104&lt;=MX$3)*(('حجز الإجازات'!$E$5:$E$104)&gt;=MX$3)*('حجز الإجازات'!$G$5:$G$104="معتمد")*ROW('حجز الإجازات'!$B$5:$B$104)))-5+1))</f>
        <v/>
      </c>
      <c r="MY10" s="62">
        <f>IF(SUMPRODUCT(('حجز الإجازات'!$B$5:$B$104='الموظفون'!$B$8)*('حجز الإجازات'!$D$5:$D$104&lt;=MY$3)*(('حجز الإجازات'!$E$5:$E$104)&gt;=MY$3)*('حجز الإجازات'!$G$5:$G$104="معتمد")*ROW('حجز الإجازات'!$B$5:$B$104))=0,IF(MY$3&lt;'الموظفون'!$D$8,"",IF(ISNUMBER(MATCH(MY$3,Holidays,0)),"عطلة",IF(MOD(MY$3-'الموظفون'!$D$8,CycleWork+CycleRest)&lt;CycleWork,INDEX('الإعدادات والقوائم'!$H$2:$H$4,MOD(INT(MOD(MY$3-'الموظفون'!$D$8,CycleWork+CycleRest)*3/CycleWork)+MATCH(StartShift,'الإعدادات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الإجازات'!$D$5:$D$104&lt;=MY$3)*(('حجز الإجازات'!$E$5:$E$104)&gt;=MY$3)*('حجز الإجازات'!$G$5:$G$104="معتمد")*ROW('حجز الإجازات'!$B$5:$B$104)))-5+1))</f>
        <v/>
      </c>
      <c r="MZ10" s="62">
        <f>IF(SUMPRODUCT(('حجز الإجازات'!$B$5:$B$104='الموظفون'!$B$8)*('حجز الإجازات'!$D$5:$D$104&lt;=MZ$3)*(('حجز الإجازات'!$E$5:$E$104)&gt;=MZ$3)*('حجز الإجازات'!$G$5:$G$104="معتمد")*ROW('حجز الإجازات'!$B$5:$B$104))=0,IF(MZ$3&lt;'الموظفون'!$D$8,"",IF(ISNUMBER(MATCH(MZ$3,Holidays,0)),"عطلة",IF(MOD(MZ$3-'الموظفون'!$D$8,CycleWork+CycleRest)&lt;CycleWork,INDEX('الإعدادات والقوائم'!$H$2:$H$4,MOD(INT(MOD(MZ$3-'الموظفون'!$D$8,CycleWork+CycleRest)*3/CycleWork)+MATCH(StartShift,'الإعدادات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الإجازات'!$D$5:$D$104&lt;=MZ$3)*(('حجز الإجازات'!$E$5:$E$104)&gt;=MZ$3)*('حجز الإجازات'!$G$5:$G$104="معتمد")*ROW('حجز الإجازات'!$B$5:$B$104)))-5+1))</f>
        <v/>
      </c>
      <c r="NA10" s="62">
        <f>IF(SUMPRODUCT(('حجز الإجازات'!$B$5:$B$104='الموظفون'!$B$8)*('حجز الإجازات'!$D$5:$D$104&lt;=NA$3)*(('حجز الإجازات'!$E$5:$E$104)&gt;=NA$3)*('حجز الإجازات'!$G$5:$G$104="معتمد")*ROW('حجز الإجازات'!$B$5:$B$104))=0,IF(NA$3&lt;'الموظفون'!$D$8,"",IF(ISNUMBER(MATCH(NA$3,Holidays,0)),"عطلة",IF(MOD(NA$3-'الموظفون'!$D$8,CycleWork+CycleRest)&lt;CycleWork,INDEX('الإعدادات والقوائم'!$H$2:$H$4,MOD(INT(MOD(NA$3-'الموظفون'!$D$8,CycleWork+CycleRest)*3/CycleWork)+MATCH(StartShift,'الإعدادات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الإجازات'!$D$5:$D$104&lt;=NA$3)*(('حجز الإجازات'!$E$5:$E$104)&gt;=NA$3)*('حجز الإجازات'!$G$5:$G$104="معتمد")*ROW('حجز الإجازات'!$B$5:$B$104)))-5+1))</f>
        <v/>
      </c>
      <c r="NB10" s="62">
        <f>IF(SUMPRODUCT(('حجز الإجازات'!$B$5:$B$104='الموظفون'!$B$8)*('حجز الإجازات'!$D$5:$D$104&lt;=NB$3)*(('حجز الإجازات'!$E$5:$E$104)&gt;=NB$3)*('حجز الإجازات'!$G$5:$G$104="معتمد")*ROW('حجز الإجازات'!$B$5:$B$104))=0,IF(NB$3&lt;'الموظفون'!$D$8,"",IF(ISNUMBER(MATCH(NB$3,Holidays,0)),"عطلة",IF(MOD(NB$3-'الموظفون'!$D$8,CycleWork+CycleRest)&lt;CycleWork,INDEX('الإعدادات والقوائم'!$H$2:$H$4,MOD(INT(MOD(NB$3-'الموظفون'!$D$8,CycleWork+CycleRest)*3/CycleWork)+MATCH(StartShift,'الإعدادات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الإجازات'!$D$5:$D$104&lt;=NB$3)*(('حجز الإجازات'!$E$5:$E$104)&gt;=NB$3)*('حجز الإجازات'!$G$5:$G$104="معتمد")*ROW('حجز الإجازات'!$B$5:$B$104)))-5+1))</f>
        <v/>
      </c>
      <c r="NC10" s="62">
        <f>IF(SUMPRODUCT(('حجز الإجازات'!$B$5:$B$104='الموظفون'!$B$8)*('حجز الإجازات'!$D$5:$D$104&lt;=NC$3)*(('حجز الإجازات'!$E$5:$E$104)&gt;=NC$3)*('حجز الإجازات'!$G$5:$G$104="معتمد")*ROW('حجز الإجازات'!$B$5:$B$104))=0,IF(NC$3&lt;'الموظفون'!$D$8,"",IF(ISNUMBER(MATCH(NC$3,Holidays,0)),"عطلة",IF(MOD(NC$3-'الموظفون'!$D$8,CycleWork+CycleRest)&lt;CycleWork,INDEX('الإعدادات والقوائم'!$H$2:$H$4,MOD(INT(MOD(NC$3-'الموظفون'!$D$8,CycleWork+CycleRest)*3/CycleWork)+MATCH(StartShift,'الإعدادات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الإجازات'!$D$5:$D$104&lt;=NC$3)*(('حجز الإجازات'!$E$5:$E$104)&gt;=NC$3)*('حجز الإجازات'!$G$5:$G$104="معتمد")*ROW('حجز الإجازات'!$B$5:$B$104)))-5+1))</f>
        <v/>
      </c>
      <c r="ND10" s="62">
        <f>IF(SUMPRODUCT(('حجز الإجازات'!$B$5:$B$104='الموظفون'!$B$8)*('حجز الإجازات'!$D$5:$D$104&lt;=ND$3)*(('حجز الإجازات'!$E$5:$E$104)&gt;=ND$3)*('حجز الإجازات'!$G$5:$G$104="معتمد")*ROW('حجز الإجازات'!$B$5:$B$104))=0,IF(ND$3&lt;'الموظفون'!$D$8,"",IF(ISNUMBER(MATCH(ND$3,Holidays,0)),"عطلة",IF(MOD(ND$3-'الموظفون'!$D$8,CycleWork+CycleRest)&lt;CycleWork,INDEX('الإعدادات والقوائم'!$H$2:$H$4,MOD(INT(MOD(ND$3-'الموظفون'!$D$8,CycleWork+CycleRest)*3/CycleWork)+MATCH(StartShift,'الإعدادات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الإجازات'!$D$5:$D$104&lt;=ND$3)*(('حجز الإجازات'!$E$5:$E$104)&gt;=ND$3)*('حجز الإجازات'!$G$5:$G$104="معتمد")*ROW('حجز الإجازات'!$B$5:$B$104)))-5+1))</f>
        <v/>
      </c>
    </row>
    <row r="11">
      <c r="A11" s="16" t="n">
        <v>8</v>
      </c>
      <c r="B11" s="22">
        <f>'الموظفون'!B9</f>
        <v/>
      </c>
      <c r="C11" s="16">
        <f>'الموظفون'!C9</f>
        <v/>
      </c>
      <c r="D11" s="62">
        <f>IF(SUMPRODUCT(('حجز الإجازات'!$B$5:$B$104='الموظفون'!$B$9)*('حجز الإجازات'!$D$5:$D$104&lt;=D$3)*(('حجز الإجازات'!$E$5:$E$104)&gt;=D$3)*('حجز الإجازات'!$G$5:$G$104="معتمد")*ROW('حجز الإجازات'!$B$5:$B$104))=0,IF(D$3&lt;'الموظفون'!$D$9,"",IF(ISNUMBER(MATCH(D$3,Holidays,0)),"عطلة",IF(MOD(D$3-'الموظفون'!$D$9,CycleWork+CycleRest)&lt;CycleWork,INDEX('الإعدادات والقوائم'!$H$2:$H$4,MOD(INT(MOD(D$3-'الموظفون'!$D$9,CycleWork+CycleRest)*3/CycleWork)+MATCH(StartShift,'الإعدادات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الإجازات'!$D$5:$D$104&lt;=D$3)*(('حجز الإجازات'!$E$5:$E$104)&gt;=D$3)*('حجز الإجازات'!$G$5:$G$104="معتمد")*ROW('حجز الإجازات'!$B$5:$B$104)))-5+1))</f>
        <v/>
      </c>
      <c r="E11" s="62">
        <f>IF(SUMPRODUCT(('حجز الإجازات'!$B$5:$B$104='الموظفون'!$B$9)*('حجز الإجازات'!$D$5:$D$104&lt;=E$3)*(('حجز الإجازات'!$E$5:$E$104)&gt;=E$3)*('حجز الإجازات'!$G$5:$G$104="معتمد")*ROW('حجز الإجازات'!$B$5:$B$104))=0,IF(E$3&lt;'الموظفون'!$D$9,"",IF(ISNUMBER(MATCH(E$3,Holidays,0)),"عطلة",IF(MOD(E$3-'الموظفون'!$D$9,CycleWork+CycleRest)&lt;CycleWork,INDEX('الإعدادات والقوائم'!$H$2:$H$4,MOD(INT(MOD(E$3-'الموظفون'!$D$9,CycleWork+CycleRest)*3/CycleWork)+MATCH(StartShift,'الإعدادات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الإجازات'!$D$5:$D$104&lt;=E$3)*(('حجز الإجازات'!$E$5:$E$104)&gt;=E$3)*('حجز الإجازات'!$G$5:$G$104="معتمد")*ROW('حجز الإجازات'!$B$5:$B$104)))-5+1))</f>
        <v/>
      </c>
      <c r="F11" s="62">
        <f>IF(SUMPRODUCT(('حجز الإجازات'!$B$5:$B$104='الموظفون'!$B$9)*('حجز الإجازات'!$D$5:$D$104&lt;=F$3)*(('حجز الإجازات'!$E$5:$E$104)&gt;=F$3)*('حجز الإجازات'!$G$5:$G$104="معتمد")*ROW('حجز الإجازات'!$B$5:$B$104))=0,IF(F$3&lt;'الموظفون'!$D$9,"",IF(ISNUMBER(MATCH(F$3,Holidays,0)),"عطلة",IF(MOD(F$3-'الموظفون'!$D$9,CycleWork+CycleRest)&lt;CycleWork,INDEX('الإعدادات والقوائم'!$H$2:$H$4,MOD(INT(MOD(F$3-'الموظفون'!$D$9,CycleWork+CycleRest)*3/CycleWork)+MATCH(StartShift,'الإعدادات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الإجازات'!$D$5:$D$104&lt;=F$3)*(('حجز الإجازات'!$E$5:$E$104)&gt;=F$3)*('حجز الإجازات'!$G$5:$G$104="معتمد")*ROW('حجز الإجازات'!$B$5:$B$104)))-5+1))</f>
        <v/>
      </c>
      <c r="G11" s="62">
        <f>IF(SUMPRODUCT(('حجز الإجازات'!$B$5:$B$104='الموظفون'!$B$9)*('حجز الإجازات'!$D$5:$D$104&lt;=G$3)*(('حجز الإجازات'!$E$5:$E$104)&gt;=G$3)*('حجز الإجازات'!$G$5:$G$104="معتمد")*ROW('حجز الإجازات'!$B$5:$B$104))=0,IF(G$3&lt;'الموظفون'!$D$9,"",IF(ISNUMBER(MATCH(G$3,Holidays,0)),"عطلة",IF(MOD(G$3-'الموظفون'!$D$9,CycleWork+CycleRest)&lt;CycleWork,INDEX('الإعدادات والقوائم'!$H$2:$H$4,MOD(INT(MOD(G$3-'الموظفون'!$D$9,CycleWork+CycleRest)*3/CycleWork)+MATCH(StartShift,'الإعدادات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الإجازات'!$D$5:$D$104&lt;=G$3)*(('حجز الإجازات'!$E$5:$E$104)&gt;=G$3)*('حجز الإجازات'!$G$5:$G$104="معتمد")*ROW('حجز الإجازات'!$B$5:$B$104)))-5+1))</f>
        <v/>
      </c>
      <c r="H11" s="62">
        <f>IF(SUMPRODUCT(('حجز الإجازات'!$B$5:$B$104='الموظفون'!$B$9)*('حجز الإجازات'!$D$5:$D$104&lt;=H$3)*(('حجز الإجازات'!$E$5:$E$104)&gt;=H$3)*('حجز الإجازات'!$G$5:$G$104="معتمد")*ROW('حجز الإجازات'!$B$5:$B$104))=0,IF(H$3&lt;'الموظفون'!$D$9,"",IF(ISNUMBER(MATCH(H$3,Holidays,0)),"عطلة",IF(MOD(H$3-'الموظفون'!$D$9,CycleWork+CycleRest)&lt;CycleWork,INDEX('الإعدادات والقوائم'!$H$2:$H$4,MOD(INT(MOD(H$3-'الموظفون'!$D$9,CycleWork+CycleRest)*3/CycleWork)+MATCH(StartShift,'الإعدادات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الإجازات'!$D$5:$D$104&lt;=H$3)*(('حجز الإجازات'!$E$5:$E$104)&gt;=H$3)*('حجز الإجازات'!$G$5:$G$104="معتمد")*ROW('حجز الإجازات'!$B$5:$B$104)))-5+1))</f>
        <v/>
      </c>
      <c r="I11" s="62">
        <f>IF(SUMPRODUCT(('حجز الإجازات'!$B$5:$B$104='الموظفون'!$B$9)*('حجز الإجازات'!$D$5:$D$104&lt;=I$3)*(('حجز الإجازات'!$E$5:$E$104)&gt;=I$3)*('حجز الإجازات'!$G$5:$G$104="معتمد")*ROW('حجز الإجازات'!$B$5:$B$104))=0,IF(I$3&lt;'الموظفون'!$D$9,"",IF(ISNUMBER(MATCH(I$3,Holidays,0)),"عطلة",IF(MOD(I$3-'الموظفون'!$D$9,CycleWork+CycleRest)&lt;CycleWork,INDEX('الإعدادات والقوائم'!$H$2:$H$4,MOD(INT(MOD(I$3-'الموظفون'!$D$9,CycleWork+CycleRest)*3/CycleWork)+MATCH(StartShift,'الإعدادات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الإجازات'!$D$5:$D$104&lt;=I$3)*(('حجز الإجازات'!$E$5:$E$104)&gt;=I$3)*('حجز الإجازات'!$G$5:$G$104="معتمد")*ROW('حجز الإجازات'!$B$5:$B$104)))-5+1))</f>
        <v/>
      </c>
      <c r="J11" s="62">
        <f>IF(SUMPRODUCT(('حجز الإجازات'!$B$5:$B$104='الموظفون'!$B$9)*('حجز الإجازات'!$D$5:$D$104&lt;=J$3)*(('حجز الإجازات'!$E$5:$E$104)&gt;=J$3)*('حجز الإجازات'!$G$5:$G$104="معتمد")*ROW('حجز الإجازات'!$B$5:$B$104))=0,IF(J$3&lt;'الموظفون'!$D$9,"",IF(ISNUMBER(MATCH(J$3,Holidays,0)),"عطلة",IF(MOD(J$3-'الموظفون'!$D$9,CycleWork+CycleRest)&lt;CycleWork,INDEX('الإعدادات والقوائم'!$H$2:$H$4,MOD(INT(MOD(J$3-'الموظفون'!$D$9,CycleWork+CycleRest)*3/CycleWork)+MATCH(StartShift,'الإعدادات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الإجازات'!$D$5:$D$104&lt;=J$3)*(('حجز الإجازات'!$E$5:$E$104)&gt;=J$3)*('حجز الإجازات'!$G$5:$G$104="معتمد")*ROW('حجز الإجازات'!$B$5:$B$104)))-5+1))</f>
        <v/>
      </c>
      <c r="K11" s="62">
        <f>IF(SUMPRODUCT(('حجز الإجازات'!$B$5:$B$104='الموظفون'!$B$9)*('حجز الإجازات'!$D$5:$D$104&lt;=K$3)*(('حجز الإجازات'!$E$5:$E$104)&gt;=K$3)*('حجز الإجازات'!$G$5:$G$104="معتمد")*ROW('حجز الإجازات'!$B$5:$B$104))=0,IF(K$3&lt;'الموظفون'!$D$9,"",IF(ISNUMBER(MATCH(K$3,Holidays,0)),"عطلة",IF(MOD(K$3-'الموظفون'!$D$9,CycleWork+CycleRest)&lt;CycleWork,INDEX('الإعدادات والقوائم'!$H$2:$H$4,MOD(INT(MOD(K$3-'الموظفون'!$D$9,CycleWork+CycleRest)*3/CycleWork)+MATCH(StartShift,'الإعدادات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الإجازات'!$D$5:$D$104&lt;=K$3)*(('حجز الإجازات'!$E$5:$E$104)&gt;=K$3)*('حجز الإجازات'!$G$5:$G$104="معتمد")*ROW('حجز الإجازات'!$B$5:$B$104)))-5+1))</f>
        <v/>
      </c>
      <c r="L11" s="62">
        <f>IF(SUMPRODUCT(('حجز الإجازات'!$B$5:$B$104='الموظفون'!$B$9)*('حجز الإجازات'!$D$5:$D$104&lt;=L$3)*(('حجز الإجازات'!$E$5:$E$104)&gt;=L$3)*('حجز الإجازات'!$G$5:$G$104="معتمد")*ROW('حجز الإجازات'!$B$5:$B$104))=0,IF(L$3&lt;'الموظفون'!$D$9,"",IF(ISNUMBER(MATCH(L$3,Holidays,0)),"عطلة",IF(MOD(L$3-'الموظفون'!$D$9,CycleWork+CycleRest)&lt;CycleWork,INDEX('الإعدادات والقوائم'!$H$2:$H$4,MOD(INT(MOD(L$3-'الموظفون'!$D$9,CycleWork+CycleRest)*3/CycleWork)+MATCH(StartShift,'الإعدادات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الإجازات'!$D$5:$D$104&lt;=L$3)*(('حجز الإجازات'!$E$5:$E$104)&gt;=L$3)*('حجز الإجازات'!$G$5:$G$104="معتمد")*ROW('حجز الإجازات'!$B$5:$B$104)))-5+1))</f>
        <v/>
      </c>
      <c r="M11" s="62">
        <f>IF(SUMPRODUCT(('حجز الإجازات'!$B$5:$B$104='الموظفون'!$B$9)*('حجز الإجازات'!$D$5:$D$104&lt;=M$3)*(('حجز الإجازات'!$E$5:$E$104)&gt;=M$3)*('حجز الإجازات'!$G$5:$G$104="معتمد")*ROW('حجز الإجازات'!$B$5:$B$104))=0,IF(M$3&lt;'الموظفون'!$D$9,"",IF(ISNUMBER(MATCH(M$3,Holidays,0)),"عطلة",IF(MOD(M$3-'الموظفون'!$D$9,CycleWork+CycleRest)&lt;CycleWork,INDEX('الإعدادات والقوائم'!$H$2:$H$4,MOD(INT(MOD(M$3-'الموظفون'!$D$9,CycleWork+CycleRest)*3/CycleWork)+MATCH(StartShift,'الإعدادات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الإجازات'!$D$5:$D$104&lt;=M$3)*(('حجز الإجازات'!$E$5:$E$104)&gt;=M$3)*('حجز الإجازات'!$G$5:$G$104="معتمد")*ROW('حجز الإجازات'!$B$5:$B$104)))-5+1))</f>
        <v/>
      </c>
      <c r="N11" s="62">
        <f>IF(SUMPRODUCT(('حجز الإجازات'!$B$5:$B$104='الموظفون'!$B$9)*('حجز الإجازات'!$D$5:$D$104&lt;=N$3)*(('حجز الإجازات'!$E$5:$E$104)&gt;=N$3)*('حجز الإجازات'!$G$5:$G$104="معتمد")*ROW('حجز الإجازات'!$B$5:$B$104))=0,IF(N$3&lt;'الموظفون'!$D$9,"",IF(ISNUMBER(MATCH(N$3,Holidays,0)),"عطلة",IF(MOD(N$3-'الموظفون'!$D$9,CycleWork+CycleRest)&lt;CycleWork,INDEX('الإعدادات والقوائم'!$H$2:$H$4,MOD(INT(MOD(N$3-'الموظفون'!$D$9,CycleWork+CycleRest)*3/CycleWork)+MATCH(StartShift,'الإعدادات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الإجازات'!$D$5:$D$104&lt;=N$3)*(('حجز الإجازات'!$E$5:$E$104)&gt;=N$3)*('حجز الإجازات'!$G$5:$G$104="معتمد")*ROW('حجز الإجازات'!$B$5:$B$104)))-5+1))</f>
        <v/>
      </c>
      <c r="O11" s="62">
        <f>IF(SUMPRODUCT(('حجز الإجازات'!$B$5:$B$104='الموظفون'!$B$9)*('حجز الإجازات'!$D$5:$D$104&lt;=O$3)*(('حجز الإجازات'!$E$5:$E$104)&gt;=O$3)*('حجز الإجازات'!$G$5:$G$104="معتمد")*ROW('حجز الإجازات'!$B$5:$B$104))=0,IF(O$3&lt;'الموظفون'!$D$9,"",IF(ISNUMBER(MATCH(O$3,Holidays,0)),"عطلة",IF(MOD(O$3-'الموظفون'!$D$9,CycleWork+CycleRest)&lt;CycleWork,INDEX('الإعدادات والقوائم'!$H$2:$H$4,MOD(INT(MOD(O$3-'الموظفون'!$D$9,CycleWork+CycleRest)*3/CycleWork)+MATCH(StartShift,'الإعدادات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الإجازات'!$D$5:$D$104&lt;=O$3)*(('حجز الإجازات'!$E$5:$E$104)&gt;=O$3)*('حجز الإجازات'!$G$5:$G$104="معتمد")*ROW('حجز الإجازات'!$B$5:$B$104)))-5+1))</f>
        <v/>
      </c>
      <c r="P11" s="62">
        <f>IF(SUMPRODUCT(('حجز الإجازات'!$B$5:$B$104='الموظفون'!$B$9)*('حجز الإجازات'!$D$5:$D$104&lt;=P$3)*(('حجز الإجازات'!$E$5:$E$104)&gt;=P$3)*('حجز الإجازات'!$G$5:$G$104="معتمد")*ROW('حجز الإجازات'!$B$5:$B$104))=0,IF(P$3&lt;'الموظفون'!$D$9,"",IF(ISNUMBER(MATCH(P$3,Holidays,0)),"عطلة",IF(MOD(P$3-'الموظفون'!$D$9,CycleWork+CycleRest)&lt;CycleWork,INDEX('الإعدادات والقوائم'!$H$2:$H$4,MOD(INT(MOD(P$3-'الموظفون'!$D$9,CycleWork+CycleRest)*3/CycleWork)+MATCH(StartShift,'الإعدادات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الإجازات'!$D$5:$D$104&lt;=P$3)*(('حجز الإجازات'!$E$5:$E$104)&gt;=P$3)*('حجز الإجازات'!$G$5:$G$104="معتمد")*ROW('حجز الإجازات'!$B$5:$B$104)))-5+1))</f>
        <v/>
      </c>
      <c r="Q11" s="62">
        <f>IF(SUMPRODUCT(('حجز الإجازات'!$B$5:$B$104='الموظفون'!$B$9)*('حجز الإجازات'!$D$5:$D$104&lt;=Q$3)*(('حجز الإجازات'!$E$5:$E$104)&gt;=Q$3)*('حجز الإجازات'!$G$5:$G$104="معتمد")*ROW('حجز الإجازات'!$B$5:$B$104))=0,IF(Q$3&lt;'الموظفون'!$D$9,"",IF(ISNUMBER(MATCH(Q$3,Holidays,0)),"عطلة",IF(MOD(Q$3-'الموظفون'!$D$9,CycleWork+CycleRest)&lt;CycleWork,INDEX('الإعدادات والقوائم'!$H$2:$H$4,MOD(INT(MOD(Q$3-'الموظفون'!$D$9,CycleWork+CycleRest)*3/CycleWork)+MATCH(StartShift,'الإعدادات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الإجازات'!$D$5:$D$104&lt;=Q$3)*(('حجز الإجازات'!$E$5:$E$104)&gt;=Q$3)*('حجز الإجازات'!$G$5:$G$104="معتمد")*ROW('حجز الإجازات'!$B$5:$B$104)))-5+1))</f>
        <v/>
      </c>
      <c r="R11" s="62">
        <f>IF(SUMPRODUCT(('حجز الإجازات'!$B$5:$B$104='الموظفون'!$B$9)*('حجز الإجازات'!$D$5:$D$104&lt;=R$3)*(('حجز الإجازات'!$E$5:$E$104)&gt;=R$3)*('حجز الإجازات'!$G$5:$G$104="معتمد")*ROW('حجز الإجازات'!$B$5:$B$104))=0,IF(R$3&lt;'الموظفون'!$D$9,"",IF(ISNUMBER(MATCH(R$3,Holidays,0)),"عطلة",IF(MOD(R$3-'الموظفون'!$D$9,CycleWork+CycleRest)&lt;CycleWork,INDEX('الإعدادات والقوائم'!$H$2:$H$4,MOD(INT(MOD(R$3-'الموظفون'!$D$9,CycleWork+CycleRest)*3/CycleWork)+MATCH(StartShift,'الإعدادات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الإجازات'!$D$5:$D$104&lt;=R$3)*(('حجز الإجازات'!$E$5:$E$104)&gt;=R$3)*('حجز الإجازات'!$G$5:$G$104="معتمد")*ROW('حجز الإجازات'!$B$5:$B$104)))-5+1))</f>
        <v/>
      </c>
      <c r="S11" s="62">
        <f>IF(SUMPRODUCT(('حجز الإجازات'!$B$5:$B$104='الموظفون'!$B$9)*('حجز الإجازات'!$D$5:$D$104&lt;=S$3)*(('حجز الإجازات'!$E$5:$E$104)&gt;=S$3)*('حجز الإجازات'!$G$5:$G$104="معتمد")*ROW('حجز الإجازات'!$B$5:$B$104))=0,IF(S$3&lt;'الموظفون'!$D$9,"",IF(ISNUMBER(MATCH(S$3,Holidays,0)),"عطلة",IF(MOD(S$3-'الموظفون'!$D$9,CycleWork+CycleRest)&lt;CycleWork,INDEX('الإعدادات والقوائم'!$H$2:$H$4,MOD(INT(MOD(S$3-'الموظفون'!$D$9,CycleWork+CycleRest)*3/CycleWork)+MATCH(StartShift,'الإعدادات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الإجازات'!$D$5:$D$104&lt;=S$3)*(('حجز الإجازات'!$E$5:$E$104)&gt;=S$3)*('حجز الإجازات'!$G$5:$G$104="معتمد")*ROW('حجز الإجازات'!$B$5:$B$104)))-5+1))</f>
        <v/>
      </c>
      <c r="T11" s="62">
        <f>IF(SUMPRODUCT(('حجز الإجازات'!$B$5:$B$104='الموظفون'!$B$9)*('حجز الإجازات'!$D$5:$D$104&lt;=T$3)*(('حجز الإجازات'!$E$5:$E$104)&gt;=T$3)*('حجز الإجازات'!$G$5:$G$104="معتمد")*ROW('حجز الإجازات'!$B$5:$B$104))=0,IF(T$3&lt;'الموظفون'!$D$9,"",IF(ISNUMBER(MATCH(T$3,Holidays,0)),"عطلة",IF(MOD(T$3-'الموظفون'!$D$9,CycleWork+CycleRest)&lt;CycleWork,INDEX('الإعدادات والقوائم'!$H$2:$H$4,MOD(INT(MOD(T$3-'الموظفون'!$D$9,CycleWork+CycleRest)*3/CycleWork)+MATCH(StartShift,'الإعدادات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الإجازات'!$D$5:$D$104&lt;=T$3)*(('حجز الإجازات'!$E$5:$E$104)&gt;=T$3)*('حجز الإجازات'!$G$5:$G$104="معتمد")*ROW('حجز الإجازات'!$B$5:$B$104)))-5+1))</f>
        <v/>
      </c>
      <c r="U11" s="62">
        <f>IF(SUMPRODUCT(('حجز الإجازات'!$B$5:$B$104='الموظفون'!$B$9)*('حجز الإجازات'!$D$5:$D$104&lt;=U$3)*(('حجز الإجازات'!$E$5:$E$104)&gt;=U$3)*('حجز الإجازات'!$G$5:$G$104="معتمد")*ROW('حجز الإجازات'!$B$5:$B$104))=0,IF(U$3&lt;'الموظفون'!$D$9,"",IF(ISNUMBER(MATCH(U$3,Holidays,0)),"عطلة",IF(MOD(U$3-'الموظفون'!$D$9,CycleWork+CycleRest)&lt;CycleWork,INDEX('الإعدادات والقوائم'!$H$2:$H$4,MOD(INT(MOD(U$3-'الموظفون'!$D$9,CycleWork+CycleRest)*3/CycleWork)+MATCH(StartShift,'الإعدادات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الإجازات'!$D$5:$D$104&lt;=U$3)*(('حجز الإجازات'!$E$5:$E$104)&gt;=U$3)*('حجز الإجازات'!$G$5:$G$104="معتمد")*ROW('حجز الإجازات'!$B$5:$B$104)))-5+1))</f>
        <v/>
      </c>
      <c r="V11" s="62">
        <f>IF(SUMPRODUCT(('حجز الإجازات'!$B$5:$B$104='الموظفون'!$B$9)*('حجز الإجازات'!$D$5:$D$104&lt;=V$3)*(('حجز الإجازات'!$E$5:$E$104)&gt;=V$3)*('حجز الإجازات'!$G$5:$G$104="معتمد")*ROW('حجز الإجازات'!$B$5:$B$104))=0,IF(V$3&lt;'الموظفون'!$D$9,"",IF(ISNUMBER(MATCH(V$3,Holidays,0)),"عطلة",IF(MOD(V$3-'الموظفون'!$D$9,CycleWork+CycleRest)&lt;CycleWork,INDEX('الإعدادات والقوائم'!$H$2:$H$4,MOD(INT(MOD(V$3-'الموظفون'!$D$9,CycleWork+CycleRest)*3/CycleWork)+MATCH(StartShift,'الإعدادات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الإجازات'!$D$5:$D$104&lt;=V$3)*(('حجز الإجازات'!$E$5:$E$104)&gt;=V$3)*('حجز الإجازات'!$G$5:$G$104="معتمد")*ROW('حجز الإجازات'!$B$5:$B$104)))-5+1))</f>
        <v/>
      </c>
      <c r="W11" s="62">
        <f>IF(SUMPRODUCT(('حجز الإجازات'!$B$5:$B$104='الموظفون'!$B$9)*('حجز الإجازات'!$D$5:$D$104&lt;=W$3)*(('حجز الإجازات'!$E$5:$E$104)&gt;=W$3)*('حجز الإجازات'!$G$5:$G$104="معتمد")*ROW('حجز الإجازات'!$B$5:$B$104))=0,IF(W$3&lt;'الموظفون'!$D$9,"",IF(ISNUMBER(MATCH(W$3,Holidays,0)),"عطلة",IF(MOD(W$3-'الموظفون'!$D$9,CycleWork+CycleRest)&lt;CycleWork,INDEX('الإعدادات والقوائم'!$H$2:$H$4,MOD(INT(MOD(W$3-'الموظفون'!$D$9,CycleWork+CycleRest)*3/CycleWork)+MATCH(StartShift,'الإعدادات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الإجازات'!$D$5:$D$104&lt;=W$3)*(('حجز الإجازات'!$E$5:$E$104)&gt;=W$3)*('حجز الإجازات'!$G$5:$G$104="معتمد")*ROW('حجز الإجازات'!$B$5:$B$104)))-5+1))</f>
        <v/>
      </c>
      <c r="X11" s="62">
        <f>IF(SUMPRODUCT(('حجز الإجازات'!$B$5:$B$104='الموظفون'!$B$9)*('حجز الإجازات'!$D$5:$D$104&lt;=X$3)*(('حجز الإجازات'!$E$5:$E$104)&gt;=X$3)*('حجز الإجازات'!$G$5:$G$104="معتمد")*ROW('حجز الإجازات'!$B$5:$B$104))=0,IF(X$3&lt;'الموظفون'!$D$9,"",IF(ISNUMBER(MATCH(X$3,Holidays,0)),"عطلة",IF(MOD(X$3-'الموظفون'!$D$9,CycleWork+CycleRest)&lt;CycleWork,INDEX('الإعدادات والقوائم'!$H$2:$H$4,MOD(INT(MOD(X$3-'الموظفون'!$D$9,CycleWork+CycleRest)*3/CycleWork)+MATCH(StartShift,'الإعدادات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الإجازات'!$D$5:$D$104&lt;=X$3)*(('حجز الإجازات'!$E$5:$E$104)&gt;=X$3)*('حجز الإجازات'!$G$5:$G$104="معتمد")*ROW('حجز الإجازات'!$B$5:$B$104)))-5+1))</f>
        <v/>
      </c>
      <c r="Y11" s="62">
        <f>IF(SUMPRODUCT(('حجز الإجازات'!$B$5:$B$104='الموظفون'!$B$9)*('حجز الإجازات'!$D$5:$D$104&lt;=Y$3)*(('حجز الإجازات'!$E$5:$E$104)&gt;=Y$3)*('حجز الإجازات'!$G$5:$G$104="معتمد")*ROW('حجز الإجازات'!$B$5:$B$104))=0,IF(Y$3&lt;'الموظفون'!$D$9,"",IF(ISNUMBER(MATCH(Y$3,Holidays,0)),"عطلة",IF(MOD(Y$3-'الموظفون'!$D$9,CycleWork+CycleRest)&lt;CycleWork,INDEX('الإعدادات والقوائم'!$H$2:$H$4,MOD(INT(MOD(Y$3-'الموظفون'!$D$9,CycleWork+CycleRest)*3/CycleWork)+MATCH(StartShift,'الإعدادات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الإجازات'!$D$5:$D$104&lt;=Y$3)*(('حجز الإجازات'!$E$5:$E$104)&gt;=Y$3)*('حجز الإجازات'!$G$5:$G$104="معتمد")*ROW('حجز الإجازات'!$B$5:$B$104)))-5+1))</f>
        <v/>
      </c>
      <c r="Z11" s="62">
        <f>IF(SUMPRODUCT(('حجز الإجازات'!$B$5:$B$104='الموظفون'!$B$9)*('حجز الإجازات'!$D$5:$D$104&lt;=Z$3)*(('حجز الإجازات'!$E$5:$E$104)&gt;=Z$3)*('حجز الإجازات'!$G$5:$G$104="معتمد")*ROW('حجز الإجازات'!$B$5:$B$104))=0,IF(Z$3&lt;'الموظفون'!$D$9,"",IF(ISNUMBER(MATCH(Z$3,Holidays,0)),"عطلة",IF(MOD(Z$3-'الموظفون'!$D$9,CycleWork+CycleRest)&lt;CycleWork,INDEX('الإعدادات والقوائم'!$H$2:$H$4,MOD(INT(MOD(Z$3-'الموظفون'!$D$9,CycleWork+CycleRest)*3/CycleWork)+MATCH(StartShift,'الإعدادات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الإجازات'!$D$5:$D$104&lt;=Z$3)*(('حجز الإجازات'!$E$5:$E$104)&gt;=Z$3)*('حجز الإجازات'!$G$5:$G$104="معتمد")*ROW('حجز الإجازات'!$B$5:$B$104)))-5+1))</f>
        <v/>
      </c>
      <c r="AA11" s="62">
        <f>IF(SUMPRODUCT(('حجز الإجازات'!$B$5:$B$104='الموظفون'!$B$9)*('حجز الإجازات'!$D$5:$D$104&lt;=AA$3)*(('حجز الإجازات'!$E$5:$E$104)&gt;=AA$3)*('حجز الإجازات'!$G$5:$G$104="معتمد")*ROW('حجز الإجازات'!$B$5:$B$104))=0,IF(AA$3&lt;'الموظفون'!$D$9,"",IF(ISNUMBER(MATCH(AA$3,Holidays,0)),"عطلة",IF(MOD(AA$3-'الموظفون'!$D$9,CycleWork+CycleRest)&lt;CycleWork,INDEX('الإعدادات والقوائم'!$H$2:$H$4,MOD(INT(MOD(AA$3-'الموظفون'!$D$9,CycleWork+CycleRest)*3/CycleWork)+MATCH(StartShift,'الإعدادات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الإجازات'!$D$5:$D$104&lt;=AA$3)*(('حجز الإجازات'!$E$5:$E$104)&gt;=AA$3)*('حجز الإجازات'!$G$5:$G$104="معتمد")*ROW('حجز الإجازات'!$B$5:$B$104)))-5+1))</f>
        <v/>
      </c>
      <c r="AB11" s="62">
        <f>IF(SUMPRODUCT(('حجز الإجازات'!$B$5:$B$104='الموظفون'!$B$9)*('حجز الإجازات'!$D$5:$D$104&lt;=AB$3)*(('حجز الإجازات'!$E$5:$E$104)&gt;=AB$3)*('حجز الإجازات'!$G$5:$G$104="معتمد")*ROW('حجز الإجازات'!$B$5:$B$104))=0,IF(AB$3&lt;'الموظفون'!$D$9,"",IF(ISNUMBER(MATCH(AB$3,Holidays,0)),"عطلة",IF(MOD(AB$3-'الموظفون'!$D$9,CycleWork+CycleRest)&lt;CycleWork,INDEX('الإعدادات والقوائم'!$H$2:$H$4,MOD(INT(MOD(AB$3-'الموظفون'!$D$9,CycleWork+CycleRest)*3/CycleWork)+MATCH(StartShift,'الإعدادات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الإجازات'!$D$5:$D$104&lt;=AB$3)*(('حجز الإجازات'!$E$5:$E$104)&gt;=AB$3)*('حجز الإجازات'!$G$5:$G$104="معتمد")*ROW('حجز الإجازات'!$B$5:$B$104)))-5+1))</f>
        <v/>
      </c>
      <c r="AC11" s="62">
        <f>IF(SUMPRODUCT(('حجز الإجازات'!$B$5:$B$104='الموظفون'!$B$9)*('حجز الإجازات'!$D$5:$D$104&lt;=AC$3)*(('حجز الإجازات'!$E$5:$E$104)&gt;=AC$3)*('حجز الإجازات'!$G$5:$G$104="معتمد")*ROW('حجز الإجازات'!$B$5:$B$104))=0,IF(AC$3&lt;'الموظفون'!$D$9,"",IF(ISNUMBER(MATCH(AC$3,Holidays,0)),"عطلة",IF(MOD(AC$3-'الموظفون'!$D$9,CycleWork+CycleRest)&lt;CycleWork,INDEX('الإعدادات والقوائم'!$H$2:$H$4,MOD(INT(MOD(AC$3-'الموظفون'!$D$9,CycleWork+CycleRest)*3/CycleWork)+MATCH(StartShift,'الإعدادات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الإجازات'!$D$5:$D$104&lt;=AC$3)*(('حجز الإجازات'!$E$5:$E$104)&gt;=AC$3)*('حجز الإجازات'!$G$5:$G$104="معتمد")*ROW('حجز الإجازات'!$B$5:$B$104)))-5+1))</f>
        <v/>
      </c>
      <c r="AD11" s="62">
        <f>IF(SUMPRODUCT(('حجز الإجازات'!$B$5:$B$104='الموظفون'!$B$9)*('حجز الإجازات'!$D$5:$D$104&lt;=AD$3)*(('حجز الإجازات'!$E$5:$E$104)&gt;=AD$3)*('حجز الإجازات'!$G$5:$G$104="معتمد")*ROW('حجز الإجازات'!$B$5:$B$104))=0,IF(AD$3&lt;'الموظفون'!$D$9,"",IF(ISNUMBER(MATCH(AD$3,Holidays,0)),"عطلة",IF(MOD(AD$3-'الموظفون'!$D$9,CycleWork+CycleRest)&lt;CycleWork,INDEX('الإعدادات والقوائم'!$H$2:$H$4,MOD(INT(MOD(AD$3-'الموظفون'!$D$9,CycleWork+CycleRest)*3/CycleWork)+MATCH(StartShift,'الإعدادات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الإجازات'!$D$5:$D$104&lt;=AD$3)*(('حجز الإجازات'!$E$5:$E$104)&gt;=AD$3)*('حجز الإجازات'!$G$5:$G$104="معتمد")*ROW('حجز الإجازات'!$B$5:$B$104)))-5+1))</f>
        <v/>
      </c>
      <c r="AE11" s="62">
        <f>IF(SUMPRODUCT(('حجز الإجازات'!$B$5:$B$104='الموظفون'!$B$9)*('حجز الإجازات'!$D$5:$D$104&lt;=AE$3)*(('حجز الإجازات'!$E$5:$E$104)&gt;=AE$3)*('حجز الإجازات'!$G$5:$G$104="معتمد")*ROW('حجز الإجازات'!$B$5:$B$104))=0,IF(AE$3&lt;'الموظفون'!$D$9,"",IF(ISNUMBER(MATCH(AE$3,Holidays,0)),"عطلة",IF(MOD(AE$3-'الموظفون'!$D$9,CycleWork+CycleRest)&lt;CycleWork,INDEX('الإعدادات والقوائم'!$H$2:$H$4,MOD(INT(MOD(AE$3-'الموظفون'!$D$9,CycleWork+CycleRest)*3/CycleWork)+MATCH(StartShift,'الإعدادات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الإجازات'!$D$5:$D$104&lt;=AE$3)*(('حجز الإجازات'!$E$5:$E$104)&gt;=AE$3)*('حجز الإجازات'!$G$5:$G$104="معتمد")*ROW('حجز الإجازات'!$B$5:$B$104)))-5+1))</f>
        <v/>
      </c>
      <c r="AF11" s="62">
        <f>IF(SUMPRODUCT(('حجز الإجازات'!$B$5:$B$104='الموظفون'!$B$9)*('حجز الإجازات'!$D$5:$D$104&lt;=AF$3)*(('حجز الإجازات'!$E$5:$E$104)&gt;=AF$3)*('حجز الإجازات'!$G$5:$G$104="معتمد")*ROW('حجز الإجازات'!$B$5:$B$104))=0,IF(AF$3&lt;'الموظفون'!$D$9,"",IF(ISNUMBER(MATCH(AF$3,Holidays,0)),"عطلة",IF(MOD(AF$3-'الموظفون'!$D$9,CycleWork+CycleRest)&lt;CycleWork,INDEX('الإعدادات والقوائم'!$H$2:$H$4,MOD(INT(MOD(AF$3-'الموظفون'!$D$9,CycleWork+CycleRest)*3/CycleWork)+MATCH(StartShift,'الإعدادات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الإجازات'!$D$5:$D$104&lt;=AF$3)*(('حجز الإجازات'!$E$5:$E$104)&gt;=AF$3)*('حجز الإجازات'!$G$5:$G$104="معتمد")*ROW('حجز الإجازات'!$B$5:$B$104)))-5+1))</f>
        <v/>
      </c>
      <c r="AG11" s="62">
        <f>IF(SUMPRODUCT(('حجز الإجازات'!$B$5:$B$104='الموظفون'!$B$9)*('حجز الإجازات'!$D$5:$D$104&lt;=AG$3)*(('حجز الإجازات'!$E$5:$E$104)&gt;=AG$3)*('حجز الإجازات'!$G$5:$G$104="معتمد")*ROW('حجز الإجازات'!$B$5:$B$104))=0,IF(AG$3&lt;'الموظفون'!$D$9,"",IF(ISNUMBER(MATCH(AG$3,Holidays,0)),"عطلة",IF(MOD(AG$3-'الموظفون'!$D$9,CycleWork+CycleRest)&lt;CycleWork,INDEX('الإعدادات والقوائم'!$H$2:$H$4,MOD(INT(MOD(AG$3-'الموظفون'!$D$9,CycleWork+CycleRest)*3/CycleWork)+MATCH(StartShift,'الإعدادات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الإجازات'!$D$5:$D$104&lt;=AG$3)*(('حجز الإجازات'!$E$5:$E$104)&gt;=AG$3)*('حجز الإجازات'!$G$5:$G$104="معتمد")*ROW('حجز الإجازات'!$B$5:$B$104)))-5+1))</f>
        <v/>
      </c>
      <c r="AH11" s="62">
        <f>IF(SUMPRODUCT(('حجز الإجازات'!$B$5:$B$104='الموظفون'!$B$9)*('حجز الإجازات'!$D$5:$D$104&lt;=AH$3)*(('حجز الإجازات'!$E$5:$E$104)&gt;=AH$3)*('حجز الإجازات'!$G$5:$G$104="معتمد")*ROW('حجز الإجازات'!$B$5:$B$104))=0,IF(AH$3&lt;'الموظفون'!$D$9,"",IF(ISNUMBER(MATCH(AH$3,Holidays,0)),"عطلة",IF(MOD(AH$3-'الموظفون'!$D$9,CycleWork+CycleRest)&lt;CycleWork,INDEX('الإعدادات والقوائم'!$H$2:$H$4,MOD(INT(MOD(AH$3-'الموظفون'!$D$9,CycleWork+CycleRest)*3/CycleWork)+MATCH(StartShift,'الإعدادات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الإجازات'!$D$5:$D$104&lt;=AH$3)*(('حجز الإجازات'!$E$5:$E$104)&gt;=AH$3)*('حجز الإجازات'!$G$5:$G$104="معتمد")*ROW('حجز الإجازات'!$B$5:$B$104)))-5+1))</f>
        <v/>
      </c>
      <c r="AI11" s="62">
        <f>IF(SUMPRODUCT(('حجز الإجازات'!$B$5:$B$104='الموظفون'!$B$9)*('حجز الإجازات'!$D$5:$D$104&lt;=AI$3)*(('حجز الإجازات'!$E$5:$E$104)&gt;=AI$3)*('حجز الإجازات'!$G$5:$G$104="معتمد")*ROW('حجز الإجازات'!$B$5:$B$104))=0,IF(AI$3&lt;'الموظفون'!$D$9,"",IF(ISNUMBER(MATCH(AI$3,Holidays,0)),"عطلة",IF(MOD(AI$3-'الموظفون'!$D$9,CycleWork+CycleRest)&lt;CycleWork,INDEX('الإعدادات والقوائم'!$H$2:$H$4,MOD(INT(MOD(AI$3-'الموظفون'!$D$9,CycleWork+CycleRest)*3/CycleWork)+MATCH(StartShift,'الإعدادات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الإجازات'!$D$5:$D$104&lt;=AI$3)*(('حجز الإجازات'!$E$5:$E$104)&gt;=AI$3)*('حجز الإجازات'!$G$5:$G$104="معتمد")*ROW('حجز الإجازات'!$B$5:$B$104)))-5+1))</f>
        <v/>
      </c>
      <c r="AJ11" s="62">
        <f>IF(SUMPRODUCT(('حجز الإجازات'!$B$5:$B$104='الموظفون'!$B$9)*('حجز الإجازات'!$D$5:$D$104&lt;=AJ$3)*(('حجز الإجازات'!$E$5:$E$104)&gt;=AJ$3)*('حجز الإجازات'!$G$5:$G$104="معتمد")*ROW('حجز الإجازات'!$B$5:$B$104))=0,IF(AJ$3&lt;'الموظفون'!$D$9,"",IF(ISNUMBER(MATCH(AJ$3,Holidays,0)),"عطلة",IF(MOD(AJ$3-'الموظفون'!$D$9,CycleWork+CycleRest)&lt;CycleWork,INDEX('الإعدادات والقوائم'!$H$2:$H$4,MOD(INT(MOD(AJ$3-'الموظفون'!$D$9,CycleWork+CycleRest)*3/CycleWork)+MATCH(StartShift,'الإعدادات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الإجازات'!$D$5:$D$104&lt;=AJ$3)*(('حجز الإجازات'!$E$5:$E$104)&gt;=AJ$3)*('حجز الإجازات'!$G$5:$G$104="معتمد")*ROW('حجز الإجازات'!$B$5:$B$104)))-5+1))</f>
        <v/>
      </c>
      <c r="AK11" s="62">
        <f>IF(SUMPRODUCT(('حجز الإجازات'!$B$5:$B$104='الموظفون'!$B$9)*('حجز الإجازات'!$D$5:$D$104&lt;=AK$3)*(('حجز الإجازات'!$E$5:$E$104)&gt;=AK$3)*('حجز الإجازات'!$G$5:$G$104="معتمد")*ROW('حجز الإجازات'!$B$5:$B$104))=0,IF(AK$3&lt;'الموظفون'!$D$9,"",IF(ISNUMBER(MATCH(AK$3,Holidays,0)),"عطلة",IF(MOD(AK$3-'الموظفون'!$D$9,CycleWork+CycleRest)&lt;CycleWork,INDEX('الإعدادات والقوائم'!$H$2:$H$4,MOD(INT(MOD(AK$3-'الموظفون'!$D$9,CycleWork+CycleRest)*3/CycleWork)+MATCH(StartShift,'الإعدادات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الإجازات'!$D$5:$D$104&lt;=AK$3)*(('حجز الإجازات'!$E$5:$E$104)&gt;=AK$3)*('حجز الإجازات'!$G$5:$G$104="معتمد")*ROW('حجز الإجازات'!$B$5:$B$104)))-5+1))</f>
        <v/>
      </c>
      <c r="AL11" s="62">
        <f>IF(SUMPRODUCT(('حجز الإجازات'!$B$5:$B$104='الموظفون'!$B$9)*('حجز الإجازات'!$D$5:$D$104&lt;=AL$3)*(('حجز الإجازات'!$E$5:$E$104)&gt;=AL$3)*('حجز الإجازات'!$G$5:$G$104="معتمد")*ROW('حجز الإجازات'!$B$5:$B$104))=0,IF(AL$3&lt;'الموظفون'!$D$9,"",IF(ISNUMBER(MATCH(AL$3,Holidays,0)),"عطلة",IF(MOD(AL$3-'الموظفون'!$D$9,CycleWork+CycleRest)&lt;CycleWork,INDEX('الإعدادات والقوائم'!$H$2:$H$4,MOD(INT(MOD(AL$3-'الموظفون'!$D$9,CycleWork+CycleRest)*3/CycleWork)+MATCH(StartShift,'الإعدادات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الإجازات'!$D$5:$D$104&lt;=AL$3)*(('حجز الإجازات'!$E$5:$E$104)&gt;=AL$3)*('حجز الإجازات'!$G$5:$G$104="معتمد")*ROW('حجز الإجازات'!$B$5:$B$104)))-5+1))</f>
        <v/>
      </c>
      <c r="AM11" s="62">
        <f>IF(SUMPRODUCT(('حجز الإجازات'!$B$5:$B$104='الموظفون'!$B$9)*('حجز الإجازات'!$D$5:$D$104&lt;=AM$3)*(('حجز الإجازات'!$E$5:$E$104)&gt;=AM$3)*('حجز الإجازات'!$G$5:$G$104="معتمد")*ROW('حجز الإجازات'!$B$5:$B$104))=0,IF(AM$3&lt;'الموظفون'!$D$9,"",IF(ISNUMBER(MATCH(AM$3,Holidays,0)),"عطلة",IF(MOD(AM$3-'الموظفون'!$D$9,CycleWork+CycleRest)&lt;CycleWork,INDEX('الإعدادات والقوائم'!$H$2:$H$4,MOD(INT(MOD(AM$3-'الموظفون'!$D$9,CycleWork+CycleRest)*3/CycleWork)+MATCH(StartShift,'الإعدادات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الإجازات'!$D$5:$D$104&lt;=AM$3)*(('حجز الإجازات'!$E$5:$E$104)&gt;=AM$3)*('حجز الإجازات'!$G$5:$G$104="معتمد")*ROW('حجز الإجازات'!$B$5:$B$104)))-5+1))</f>
        <v/>
      </c>
      <c r="AN11" s="62">
        <f>IF(SUMPRODUCT(('حجز الإجازات'!$B$5:$B$104='الموظفون'!$B$9)*('حجز الإجازات'!$D$5:$D$104&lt;=AN$3)*(('حجز الإجازات'!$E$5:$E$104)&gt;=AN$3)*('حجز الإجازات'!$G$5:$G$104="معتمد")*ROW('حجز الإجازات'!$B$5:$B$104))=0,IF(AN$3&lt;'الموظفون'!$D$9,"",IF(ISNUMBER(MATCH(AN$3,Holidays,0)),"عطلة",IF(MOD(AN$3-'الموظفون'!$D$9,CycleWork+CycleRest)&lt;CycleWork,INDEX('الإعدادات والقوائم'!$H$2:$H$4,MOD(INT(MOD(AN$3-'الموظفون'!$D$9,CycleWork+CycleRest)*3/CycleWork)+MATCH(StartShift,'الإعدادات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الإجازات'!$D$5:$D$104&lt;=AN$3)*(('حجز الإجازات'!$E$5:$E$104)&gt;=AN$3)*('حجز الإجازات'!$G$5:$G$104="معتمد")*ROW('حجز الإجازات'!$B$5:$B$104)))-5+1))</f>
        <v/>
      </c>
      <c r="AO11" s="62">
        <f>IF(SUMPRODUCT(('حجز الإجازات'!$B$5:$B$104='الموظفون'!$B$9)*('حجز الإجازات'!$D$5:$D$104&lt;=AO$3)*(('حجز الإجازات'!$E$5:$E$104)&gt;=AO$3)*('حجز الإجازات'!$G$5:$G$104="معتمد")*ROW('حجز الإجازات'!$B$5:$B$104))=0,IF(AO$3&lt;'الموظفون'!$D$9,"",IF(ISNUMBER(MATCH(AO$3,Holidays,0)),"عطلة",IF(MOD(AO$3-'الموظفون'!$D$9,CycleWork+CycleRest)&lt;CycleWork,INDEX('الإعدادات والقوائم'!$H$2:$H$4,MOD(INT(MOD(AO$3-'الموظفون'!$D$9,CycleWork+CycleRest)*3/CycleWork)+MATCH(StartShift,'الإعدادات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الإجازات'!$D$5:$D$104&lt;=AO$3)*(('حجز الإجازات'!$E$5:$E$104)&gt;=AO$3)*('حجز الإجازات'!$G$5:$G$104="معتمد")*ROW('حجز الإجازات'!$B$5:$B$104)))-5+1))</f>
        <v/>
      </c>
      <c r="AP11" s="62">
        <f>IF(SUMPRODUCT(('حجز الإجازات'!$B$5:$B$104='الموظفون'!$B$9)*('حجز الإجازات'!$D$5:$D$104&lt;=AP$3)*(('حجز الإجازات'!$E$5:$E$104)&gt;=AP$3)*('حجز الإجازات'!$G$5:$G$104="معتمد")*ROW('حجز الإجازات'!$B$5:$B$104))=0,IF(AP$3&lt;'الموظفون'!$D$9,"",IF(ISNUMBER(MATCH(AP$3,Holidays,0)),"عطلة",IF(MOD(AP$3-'الموظفون'!$D$9,CycleWork+CycleRest)&lt;CycleWork,INDEX('الإعدادات والقوائم'!$H$2:$H$4,MOD(INT(MOD(AP$3-'الموظفون'!$D$9,CycleWork+CycleRest)*3/CycleWork)+MATCH(StartShift,'الإعدادات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الإجازات'!$D$5:$D$104&lt;=AP$3)*(('حجز الإجازات'!$E$5:$E$104)&gt;=AP$3)*('حجز الإجازات'!$G$5:$G$104="معتمد")*ROW('حجز الإجازات'!$B$5:$B$104)))-5+1))</f>
        <v/>
      </c>
      <c r="AQ11" s="62">
        <f>IF(SUMPRODUCT(('حجز الإجازات'!$B$5:$B$104='الموظفون'!$B$9)*('حجز الإجازات'!$D$5:$D$104&lt;=AQ$3)*(('حجز الإجازات'!$E$5:$E$104)&gt;=AQ$3)*('حجز الإجازات'!$G$5:$G$104="معتمد")*ROW('حجز الإجازات'!$B$5:$B$104))=0,IF(AQ$3&lt;'الموظفون'!$D$9,"",IF(ISNUMBER(MATCH(AQ$3,Holidays,0)),"عطلة",IF(MOD(AQ$3-'الموظفون'!$D$9,CycleWork+CycleRest)&lt;CycleWork,INDEX('الإعدادات والقوائم'!$H$2:$H$4,MOD(INT(MOD(AQ$3-'الموظفون'!$D$9,CycleWork+CycleRest)*3/CycleWork)+MATCH(StartShift,'الإعدادات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الإجازات'!$D$5:$D$104&lt;=AQ$3)*(('حجز الإجازات'!$E$5:$E$104)&gt;=AQ$3)*('حجز الإجازات'!$G$5:$G$104="معتمد")*ROW('حجز الإجازات'!$B$5:$B$104)))-5+1))</f>
        <v/>
      </c>
      <c r="AR11" s="62">
        <f>IF(SUMPRODUCT(('حجز الإجازات'!$B$5:$B$104='الموظفون'!$B$9)*('حجز الإجازات'!$D$5:$D$104&lt;=AR$3)*(('حجز الإجازات'!$E$5:$E$104)&gt;=AR$3)*('حجز الإجازات'!$G$5:$G$104="معتمد")*ROW('حجز الإجازات'!$B$5:$B$104))=0,IF(AR$3&lt;'الموظفون'!$D$9,"",IF(ISNUMBER(MATCH(AR$3,Holidays,0)),"عطلة",IF(MOD(AR$3-'الموظفون'!$D$9,CycleWork+CycleRest)&lt;CycleWork,INDEX('الإعدادات والقوائم'!$H$2:$H$4,MOD(INT(MOD(AR$3-'الموظفون'!$D$9,CycleWork+CycleRest)*3/CycleWork)+MATCH(StartShift,'الإعدادات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الإجازات'!$D$5:$D$104&lt;=AR$3)*(('حجز الإجازات'!$E$5:$E$104)&gt;=AR$3)*('حجز الإجازات'!$G$5:$G$104="معتمد")*ROW('حجز الإجازات'!$B$5:$B$104)))-5+1))</f>
        <v/>
      </c>
      <c r="AS11" s="62">
        <f>IF(SUMPRODUCT(('حجز الإجازات'!$B$5:$B$104='الموظفون'!$B$9)*('حجز الإجازات'!$D$5:$D$104&lt;=AS$3)*(('حجز الإجازات'!$E$5:$E$104)&gt;=AS$3)*('حجز الإجازات'!$G$5:$G$104="معتمد")*ROW('حجز الإجازات'!$B$5:$B$104))=0,IF(AS$3&lt;'الموظفون'!$D$9,"",IF(ISNUMBER(MATCH(AS$3,Holidays,0)),"عطلة",IF(MOD(AS$3-'الموظفون'!$D$9,CycleWork+CycleRest)&lt;CycleWork,INDEX('الإعدادات والقوائم'!$H$2:$H$4,MOD(INT(MOD(AS$3-'الموظفون'!$D$9,CycleWork+CycleRest)*3/CycleWork)+MATCH(StartShift,'الإعدادات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الإجازات'!$D$5:$D$104&lt;=AS$3)*(('حجز الإجازات'!$E$5:$E$104)&gt;=AS$3)*('حجز الإجازات'!$G$5:$G$104="معتمد")*ROW('حجز الإجازات'!$B$5:$B$104)))-5+1))</f>
        <v/>
      </c>
      <c r="AT11" s="62">
        <f>IF(SUMPRODUCT(('حجز الإجازات'!$B$5:$B$104='الموظفون'!$B$9)*('حجز الإجازات'!$D$5:$D$104&lt;=AT$3)*(('حجز الإجازات'!$E$5:$E$104)&gt;=AT$3)*('حجز الإجازات'!$G$5:$G$104="معتمد")*ROW('حجز الإجازات'!$B$5:$B$104))=0,IF(AT$3&lt;'الموظفون'!$D$9,"",IF(ISNUMBER(MATCH(AT$3,Holidays,0)),"عطلة",IF(MOD(AT$3-'الموظفون'!$D$9,CycleWork+CycleRest)&lt;CycleWork,INDEX('الإعدادات والقوائم'!$H$2:$H$4,MOD(INT(MOD(AT$3-'الموظفون'!$D$9,CycleWork+CycleRest)*3/CycleWork)+MATCH(StartShift,'الإعدادات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الإجازات'!$D$5:$D$104&lt;=AT$3)*(('حجز الإجازات'!$E$5:$E$104)&gt;=AT$3)*('حجز الإجازات'!$G$5:$G$104="معتمد")*ROW('حجز الإجازات'!$B$5:$B$104)))-5+1))</f>
        <v/>
      </c>
      <c r="AU11" s="62">
        <f>IF(SUMPRODUCT(('حجز الإجازات'!$B$5:$B$104='الموظفون'!$B$9)*('حجز الإجازات'!$D$5:$D$104&lt;=AU$3)*(('حجز الإجازات'!$E$5:$E$104)&gt;=AU$3)*('حجز الإجازات'!$G$5:$G$104="معتمد")*ROW('حجز الإجازات'!$B$5:$B$104))=0,IF(AU$3&lt;'الموظفون'!$D$9,"",IF(ISNUMBER(MATCH(AU$3,Holidays,0)),"عطلة",IF(MOD(AU$3-'الموظفون'!$D$9,CycleWork+CycleRest)&lt;CycleWork,INDEX('الإعدادات والقوائم'!$H$2:$H$4,MOD(INT(MOD(AU$3-'الموظفون'!$D$9,CycleWork+CycleRest)*3/CycleWork)+MATCH(StartShift,'الإعدادات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الإجازات'!$D$5:$D$104&lt;=AU$3)*(('حجز الإجازات'!$E$5:$E$104)&gt;=AU$3)*('حجز الإجازات'!$G$5:$G$104="معتمد")*ROW('حجز الإجازات'!$B$5:$B$104)))-5+1))</f>
        <v/>
      </c>
      <c r="AV11" s="62">
        <f>IF(SUMPRODUCT(('حجز الإجازات'!$B$5:$B$104='الموظفون'!$B$9)*('حجز الإجازات'!$D$5:$D$104&lt;=AV$3)*(('حجز الإجازات'!$E$5:$E$104)&gt;=AV$3)*('حجز الإجازات'!$G$5:$G$104="معتمد")*ROW('حجز الإجازات'!$B$5:$B$104))=0,IF(AV$3&lt;'الموظفون'!$D$9,"",IF(ISNUMBER(MATCH(AV$3,Holidays,0)),"عطلة",IF(MOD(AV$3-'الموظفون'!$D$9,CycleWork+CycleRest)&lt;CycleWork,INDEX('الإعدادات والقوائم'!$H$2:$H$4,MOD(INT(MOD(AV$3-'الموظفون'!$D$9,CycleWork+CycleRest)*3/CycleWork)+MATCH(StartShift,'الإعدادات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الإجازات'!$D$5:$D$104&lt;=AV$3)*(('حجز الإجازات'!$E$5:$E$104)&gt;=AV$3)*('حجز الإجازات'!$G$5:$G$104="معتمد")*ROW('حجز الإجازات'!$B$5:$B$104)))-5+1))</f>
        <v/>
      </c>
      <c r="AW11" s="62">
        <f>IF(SUMPRODUCT(('حجز الإجازات'!$B$5:$B$104='الموظفون'!$B$9)*('حجز الإجازات'!$D$5:$D$104&lt;=AW$3)*(('حجز الإجازات'!$E$5:$E$104)&gt;=AW$3)*('حجز الإجازات'!$G$5:$G$104="معتمد")*ROW('حجز الإجازات'!$B$5:$B$104))=0,IF(AW$3&lt;'الموظفون'!$D$9,"",IF(ISNUMBER(MATCH(AW$3,Holidays,0)),"عطلة",IF(MOD(AW$3-'الموظفون'!$D$9,CycleWork+CycleRest)&lt;CycleWork,INDEX('الإعدادات والقوائم'!$H$2:$H$4,MOD(INT(MOD(AW$3-'الموظفون'!$D$9,CycleWork+CycleRest)*3/CycleWork)+MATCH(StartShift,'الإعدادات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الإجازات'!$D$5:$D$104&lt;=AW$3)*(('حجز الإجازات'!$E$5:$E$104)&gt;=AW$3)*('حجز الإجازات'!$G$5:$G$104="معتمد")*ROW('حجز الإجازات'!$B$5:$B$104)))-5+1))</f>
        <v/>
      </c>
      <c r="AX11" s="62">
        <f>IF(SUMPRODUCT(('حجز الإجازات'!$B$5:$B$104='الموظفون'!$B$9)*('حجز الإجازات'!$D$5:$D$104&lt;=AX$3)*(('حجز الإجازات'!$E$5:$E$104)&gt;=AX$3)*('حجز الإجازات'!$G$5:$G$104="معتمد")*ROW('حجز الإجازات'!$B$5:$B$104))=0,IF(AX$3&lt;'الموظفون'!$D$9,"",IF(ISNUMBER(MATCH(AX$3,Holidays,0)),"عطلة",IF(MOD(AX$3-'الموظفون'!$D$9,CycleWork+CycleRest)&lt;CycleWork,INDEX('الإعدادات والقوائم'!$H$2:$H$4,MOD(INT(MOD(AX$3-'الموظفون'!$D$9,CycleWork+CycleRest)*3/CycleWork)+MATCH(StartShift,'الإعدادات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الإجازات'!$D$5:$D$104&lt;=AX$3)*(('حجز الإجازات'!$E$5:$E$104)&gt;=AX$3)*('حجز الإجازات'!$G$5:$G$104="معتمد")*ROW('حجز الإجازات'!$B$5:$B$104)))-5+1))</f>
        <v/>
      </c>
      <c r="AY11" s="62">
        <f>IF(SUMPRODUCT(('حجز الإجازات'!$B$5:$B$104='الموظفون'!$B$9)*('حجز الإجازات'!$D$5:$D$104&lt;=AY$3)*(('حجز الإجازات'!$E$5:$E$104)&gt;=AY$3)*('حجز الإجازات'!$G$5:$G$104="معتمد")*ROW('حجز الإجازات'!$B$5:$B$104))=0,IF(AY$3&lt;'الموظفون'!$D$9,"",IF(ISNUMBER(MATCH(AY$3,Holidays,0)),"عطلة",IF(MOD(AY$3-'الموظفون'!$D$9,CycleWork+CycleRest)&lt;CycleWork,INDEX('الإعدادات والقوائم'!$H$2:$H$4,MOD(INT(MOD(AY$3-'الموظفون'!$D$9,CycleWork+CycleRest)*3/CycleWork)+MATCH(StartShift,'الإعدادات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الإجازات'!$D$5:$D$104&lt;=AY$3)*(('حجز الإجازات'!$E$5:$E$104)&gt;=AY$3)*('حجز الإجازات'!$G$5:$G$104="معتمد")*ROW('حجز الإجازات'!$B$5:$B$104)))-5+1))</f>
        <v/>
      </c>
      <c r="AZ11" s="62">
        <f>IF(SUMPRODUCT(('حجز الإجازات'!$B$5:$B$104='الموظفون'!$B$9)*('حجز الإجازات'!$D$5:$D$104&lt;=AZ$3)*(('حجز الإجازات'!$E$5:$E$104)&gt;=AZ$3)*('حجز الإجازات'!$G$5:$G$104="معتمد")*ROW('حجز الإجازات'!$B$5:$B$104))=0,IF(AZ$3&lt;'الموظفون'!$D$9,"",IF(ISNUMBER(MATCH(AZ$3,Holidays,0)),"عطلة",IF(MOD(AZ$3-'الموظفون'!$D$9,CycleWork+CycleRest)&lt;CycleWork,INDEX('الإعدادات والقوائم'!$H$2:$H$4,MOD(INT(MOD(AZ$3-'الموظفون'!$D$9,CycleWork+CycleRest)*3/CycleWork)+MATCH(StartShift,'الإعدادات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الإجازات'!$D$5:$D$104&lt;=AZ$3)*(('حجز الإجازات'!$E$5:$E$104)&gt;=AZ$3)*('حجز الإجازات'!$G$5:$G$104="معتمد")*ROW('حجز الإجازات'!$B$5:$B$104)))-5+1))</f>
        <v/>
      </c>
      <c r="BA11" s="62">
        <f>IF(SUMPRODUCT(('حجز الإجازات'!$B$5:$B$104='الموظفون'!$B$9)*('حجز الإجازات'!$D$5:$D$104&lt;=BA$3)*(('حجز الإجازات'!$E$5:$E$104)&gt;=BA$3)*('حجز الإجازات'!$G$5:$G$104="معتمد")*ROW('حجز الإجازات'!$B$5:$B$104))=0,IF(BA$3&lt;'الموظفون'!$D$9,"",IF(ISNUMBER(MATCH(BA$3,Holidays,0)),"عطلة",IF(MOD(BA$3-'الموظفون'!$D$9,CycleWork+CycleRest)&lt;CycleWork,INDEX('الإعدادات والقوائم'!$H$2:$H$4,MOD(INT(MOD(BA$3-'الموظفون'!$D$9,CycleWork+CycleRest)*3/CycleWork)+MATCH(StartShift,'الإعدادات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الإجازات'!$D$5:$D$104&lt;=BA$3)*(('حجز الإجازات'!$E$5:$E$104)&gt;=BA$3)*('حجز الإجازات'!$G$5:$G$104="معتمد")*ROW('حجز الإجازات'!$B$5:$B$104)))-5+1))</f>
        <v/>
      </c>
      <c r="BB11" s="62">
        <f>IF(SUMPRODUCT(('حجز الإجازات'!$B$5:$B$104='الموظفون'!$B$9)*('حجز الإجازات'!$D$5:$D$104&lt;=BB$3)*(('حجز الإجازات'!$E$5:$E$104)&gt;=BB$3)*('حجز الإجازات'!$G$5:$G$104="معتمد")*ROW('حجز الإجازات'!$B$5:$B$104))=0,IF(BB$3&lt;'الموظفون'!$D$9,"",IF(ISNUMBER(MATCH(BB$3,Holidays,0)),"عطلة",IF(MOD(BB$3-'الموظفون'!$D$9,CycleWork+CycleRest)&lt;CycleWork,INDEX('الإعدادات والقوائم'!$H$2:$H$4,MOD(INT(MOD(BB$3-'الموظفون'!$D$9,CycleWork+CycleRest)*3/CycleWork)+MATCH(StartShift,'الإعدادات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الإجازات'!$D$5:$D$104&lt;=BB$3)*(('حجز الإجازات'!$E$5:$E$104)&gt;=BB$3)*('حجز الإجازات'!$G$5:$G$104="معتمد")*ROW('حجز الإجازات'!$B$5:$B$104)))-5+1))</f>
        <v/>
      </c>
      <c r="BC11" s="62">
        <f>IF(SUMPRODUCT(('حجز الإجازات'!$B$5:$B$104='الموظفون'!$B$9)*('حجز الإجازات'!$D$5:$D$104&lt;=BC$3)*(('حجز الإجازات'!$E$5:$E$104)&gt;=BC$3)*('حجز الإجازات'!$G$5:$G$104="معتمد")*ROW('حجز الإجازات'!$B$5:$B$104))=0,IF(BC$3&lt;'الموظفون'!$D$9,"",IF(ISNUMBER(MATCH(BC$3,Holidays,0)),"عطلة",IF(MOD(BC$3-'الموظفون'!$D$9,CycleWork+CycleRest)&lt;CycleWork,INDEX('الإعدادات والقوائم'!$H$2:$H$4,MOD(INT(MOD(BC$3-'الموظفون'!$D$9,CycleWork+CycleRest)*3/CycleWork)+MATCH(StartShift,'الإعدادات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الإجازات'!$D$5:$D$104&lt;=BC$3)*(('حجز الإجازات'!$E$5:$E$104)&gt;=BC$3)*('حجز الإجازات'!$G$5:$G$104="معتمد")*ROW('حجز الإجازات'!$B$5:$B$104)))-5+1))</f>
        <v/>
      </c>
      <c r="BD11" s="62">
        <f>IF(SUMPRODUCT(('حجز الإجازات'!$B$5:$B$104='الموظفون'!$B$9)*('حجز الإجازات'!$D$5:$D$104&lt;=BD$3)*(('حجز الإجازات'!$E$5:$E$104)&gt;=BD$3)*('حجز الإجازات'!$G$5:$G$104="معتمد")*ROW('حجز الإجازات'!$B$5:$B$104))=0,IF(BD$3&lt;'الموظفون'!$D$9,"",IF(ISNUMBER(MATCH(BD$3,Holidays,0)),"عطلة",IF(MOD(BD$3-'الموظفون'!$D$9,CycleWork+CycleRest)&lt;CycleWork,INDEX('الإعدادات والقوائم'!$H$2:$H$4,MOD(INT(MOD(BD$3-'الموظفون'!$D$9,CycleWork+CycleRest)*3/CycleWork)+MATCH(StartShift,'الإعدادات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الإجازات'!$D$5:$D$104&lt;=BD$3)*(('حجز الإجازات'!$E$5:$E$104)&gt;=BD$3)*('حجز الإجازات'!$G$5:$G$104="معتمد")*ROW('حجز الإجازات'!$B$5:$B$104)))-5+1))</f>
        <v/>
      </c>
      <c r="BE11" s="62">
        <f>IF(SUMPRODUCT(('حجز الإجازات'!$B$5:$B$104='الموظفون'!$B$9)*('حجز الإجازات'!$D$5:$D$104&lt;=BE$3)*(('حجز الإجازات'!$E$5:$E$104)&gt;=BE$3)*('حجز الإجازات'!$G$5:$G$104="معتمد")*ROW('حجز الإجازات'!$B$5:$B$104))=0,IF(BE$3&lt;'الموظفون'!$D$9,"",IF(ISNUMBER(MATCH(BE$3,Holidays,0)),"عطلة",IF(MOD(BE$3-'الموظفون'!$D$9,CycleWork+CycleRest)&lt;CycleWork,INDEX('الإعدادات والقوائم'!$H$2:$H$4,MOD(INT(MOD(BE$3-'الموظفون'!$D$9,CycleWork+CycleRest)*3/CycleWork)+MATCH(StartShift,'الإعدادات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الإجازات'!$D$5:$D$104&lt;=BE$3)*(('حجز الإجازات'!$E$5:$E$104)&gt;=BE$3)*('حجز الإجازات'!$G$5:$G$104="معتمد")*ROW('حجز الإجازات'!$B$5:$B$104)))-5+1))</f>
        <v/>
      </c>
      <c r="BF11" s="62">
        <f>IF(SUMPRODUCT(('حجز الإجازات'!$B$5:$B$104='الموظفون'!$B$9)*('حجز الإجازات'!$D$5:$D$104&lt;=BF$3)*(('حجز الإجازات'!$E$5:$E$104)&gt;=BF$3)*('حجز الإجازات'!$G$5:$G$104="معتمد")*ROW('حجز الإجازات'!$B$5:$B$104))=0,IF(BF$3&lt;'الموظفون'!$D$9,"",IF(ISNUMBER(MATCH(BF$3,Holidays,0)),"عطلة",IF(MOD(BF$3-'الموظفون'!$D$9,CycleWork+CycleRest)&lt;CycleWork,INDEX('الإعدادات والقوائم'!$H$2:$H$4,MOD(INT(MOD(BF$3-'الموظفون'!$D$9,CycleWork+CycleRest)*3/CycleWork)+MATCH(StartShift,'الإعدادات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الإجازات'!$D$5:$D$104&lt;=BF$3)*(('حجز الإجازات'!$E$5:$E$104)&gt;=BF$3)*('حجز الإجازات'!$G$5:$G$104="معتمد")*ROW('حجز الإجازات'!$B$5:$B$104)))-5+1))</f>
        <v/>
      </c>
      <c r="BG11" s="62">
        <f>IF(SUMPRODUCT(('حجز الإجازات'!$B$5:$B$104='الموظفون'!$B$9)*('حجز الإجازات'!$D$5:$D$104&lt;=BG$3)*(('حجز الإجازات'!$E$5:$E$104)&gt;=BG$3)*('حجز الإجازات'!$G$5:$G$104="معتمد")*ROW('حجز الإجازات'!$B$5:$B$104))=0,IF(BG$3&lt;'الموظفون'!$D$9,"",IF(ISNUMBER(MATCH(BG$3,Holidays,0)),"عطلة",IF(MOD(BG$3-'الموظفون'!$D$9,CycleWork+CycleRest)&lt;CycleWork,INDEX('الإعدادات والقوائم'!$H$2:$H$4,MOD(INT(MOD(BG$3-'الموظفون'!$D$9,CycleWork+CycleRest)*3/CycleWork)+MATCH(StartShift,'الإعدادات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الإجازات'!$D$5:$D$104&lt;=BG$3)*(('حجز الإجازات'!$E$5:$E$104)&gt;=BG$3)*('حجز الإجازات'!$G$5:$G$104="معتمد")*ROW('حجز الإجازات'!$B$5:$B$104)))-5+1))</f>
        <v/>
      </c>
      <c r="BH11" s="62">
        <f>IF(SUMPRODUCT(('حجز الإجازات'!$B$5:$B$104='الموظفون'!$B$9)*('حجز الإجازات'!$D$5:$D$104&lt;=BH$3)*(('حجز الإجازات'!$E$5:$E$104)&gt;=BH$3)*('حجز الإجازات'!$G$5:$G$104="معتمد")*ROW('حجز الإجازات'!$B$5:$B$104))=0,IF(BH$3&lt;'الموظفون'!$D$9,"",IF(ISNUMBER(MATCH(BH$3,Holidays,0)),"عطلة",IF(MOD(BH$3-'الموظفون'!$D$9,CycleWork+CycleRest)&lt;CycleWork,INDEX('الإعدادات والقوائم'!$H$2:$H$4,MOD(INT(MOD(BH$3-'الموظفون'!$D$9,CycleWork+CycleRest)*3/CycleWork)+MATCH(StartShift,'الإعدادات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الإجازات'!$D$5:$D$104&lt;=BH$3)*(('حجز الإجازات'!$E$5:$E$104)&gt;=BH$3)*('حجز الإجازات'!$G$5:$G$104="معتمد")*ROW('حجز الإجازات'!$B$5:$B$104)))-5+1))</f>
        <v/>
      </c>
      <c r="BI11" s="62">
        <f>IF(SUMPRODUCT(('حجز الإجازات'!$B$5:$B$104='الموظفون'!$B$9)*('حجز الإجازات'!$D$5:$D$104&lt;=BI$3)*(('حجز الإجازات'!$E$5:$E$104)&gt;=BI$3)*('حجز الإجازات'!$G$5:$G$104="معتمد")*ROW('حجز الإجازات'!$B$5:$B$104))=0,IF(BI$3&lt;'الموظفون'!$D$9,"",IF(ISNUMBER(MATCH(BI$3,Holidays,0)),"عطلة",IF(MOD(BI$3-'الموظفون'!$D$9,CycleWork+CycleRest)&lt;CycleWork,INDEX('الإعدادات والقوائم'!$H$2:$H$4,MOD(INT(MOD(BI$3-'الموظفون'!$D$9,CycleWork+CycleRest)*3/CycleWork)+MATCH(StartShift,'الإعدادات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الإجازات'!$D$5:$D$104&lt;=BI$3)*(('حجز الإجازات'!$E$5:$E$104)&gt;=BI$3)*('حجز الإجازات'!$G$5:$G$104="معتمد")*ROW('حجز الإجازات'!$B$5:$B$104)))-5+1))</f>
        <v/>
      </c>
      <c r="BJ11" s="62">
        <f>IF(SUMPRODUCT(('حجز الإجازات'!$B$5:$B$104='الموظفون'!$B$9)*('حجز الإجازات'!$D$5:$D$104&lt;=BJ$3)*(('حجز الإجازات'!$E$5:$E$104)&gt;=BJ$3)*('حجز الإجازات'!$G$5:$G$104="معتمد")*ROW('حجز الإجازات'!$B$5:$B$104))=0,IF(BJ$3&lt;'الموظفون'!$D$9,"",IF(ISNUMBER(MATCH(BJ$3,Holidays,0)),"عطلة",IF(MOD(BJ$3-'الموظفون'!$D$9,CycleWork+CycleRest)&lt;CycleWork,INDEX('الإعدادات والقوائم'!$H$2:$H$4,MOD(INT(MOD(BJ$3-'الموظفون'!$D$9,CycleWork+CycleRest)*3/CycleWork)+MATCH(StartShift,'الإعدادات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الإجازات'!$D$5:$D$104&lt;=BJ$3)*(('حجز الإجازات'!$E$5:$E$104)&gt;=BJ$3)*('حجز الإجازات'!$G$5:$G$104="معتمد")*ROW('حجز الإجازات'!$B$5:$B$104)))-5+1))</f>
        <v/>
      </c>
      <c r="BK11" s="62">
        <f>IF(SUMPRODUCT(('حجز الإجازات'!$B$5:$B$104='الموظفون'!$B$9)*('حجز الإجازات'!$D$5:$D$104&lt;=BK$3)*(('حجز الإجازات'!$E$5:$E$104)&gt;=BK$3)*('حجز الإجازات'!$G$5:$G$104="معتمد")*ROW('حجز الإجازات'!$B$5:$B$104))=0,IF(BK$3&lt;'الموظفون'!$D$9,"",IF(ISNUMBER(MATCH(BK$3,Holidays,0)),"عطلة",IF(MOD(BK$3-'الموظفون'!$D$9,CycleWork+CycleRest)&lt;CycleWork,INDEX('الإعدادات والقوائم'!$H$2:$H$4,MOD(INT(MOD(BK$3-'الموظفون'!$D$9,CycleWork+CycleRest)*3/CycleWork)+MATCH(StartShift,'الإعدادات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الإجازات'!$D$5:$D$104&lt;=BK$3)*(('حجز الإجازات'!$E$5:$E$104)&gt;=BK$3)*('حجز الإجازات'!$G$5:$G$104="معتمد")*ROW('حجز الإجازات'!$B$5:$B$104)))-5+1))</f>
        <v/>
      </c>
      <c r="BL11" s="62">
        <f>IF(SUMPRODUCT(('حجز الإجازات'!$B$5:$B$104='الموظفون'!$B$9)*('حجز الإجازات'!$D$5:$D$104&lt;=BL$3)*(('حجز الإجازات'!$E$5:$E$104)&gt;=BL$3)*('حجز الإجازات'!$G$5:$G$104="معتمد")*ROW('حجز الإجازات'!$B$5:$B$104))=0,IF(BL$3&lt;'الموظفون'!$D$9,"",IF(ISNUMBER(MATCH(BL$3,Holidays,0)),"عطلة",IF(MOD(BL$3-'الموظفون'!$D$9,CycleWork+CycleRest)&lt;CycleWork,INDEX('الإعدادات والقوائم'!$H$2:$H$4,MOD(INT(MOD(BL$3-'الموظفون'!$D$9,CycleWork+CycleRest)*3/CycleWork)+MATCH(StartShift,'الإعدادات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الإجازات'!$D$5:$D$104&lt;=BL$3)*(('حجز الإجازات'!$E$5:$E$104)&gt;=BL$3)*('حجز الإجازات'!$G$5:$G$104="معتمد")*ROW('حجز الإجازات'!$B$5:$B$104)))-5+1))</f>
        <v/>
      </c>
      <c r="BM11" s="62">
        <f>IF(SUMPRODUCT(('حجز الإجازات'!$B$5:$B$104='الموظفون'!$B$9)*('حجز الإجازات'!$D$5:$D$104&lt;=BM$3)*(('حجز الإجازات'!$E$5:$E$104)&gt;=BM$3)*('حجز الإجازات'!$G$5:$G$104="معتمد")*ROW('حجز الإجازات'!$B$5:$B$104))=0,IF(BM$3&lt;'الموظفون'!$D$9,"",IF(ISNUMBER(MATCH(BM$3,Holidays,0)),"عطلة",IF(MOD(BM$3-'الموظفون'!$D$9,CycleWork+CycleRest)&lt;CycleWork,INDEX('الإعدادات والقوائم'!$H$2:$H$4,MOD(INT(MOD(BM$3-'الموظفون'!$D$9,CycleWork+CycleRest)*3/CycleWork)+MATCH(StartShift,'الإعدادات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الإجازات'!$D$5:$D$104&lt;=BM$3)*(('حجز الإجازات'!$E$5:$E$104)&gt;=BM$3)*('حجز الإجازات'!$G$5:$G$104="معتمد")*ROW('حجز الإجازات'!$B$5:$B$104)))-5+1))</f>
        <v/>
      </c>
      <c r="BN11" s="62">
        <f>IF(SUMPRODUCT(('حجز الإجازات'!$B$5:$B$104='الموظفون'!$B$9)*('حجز الإجازات'!$D$5:$D$104&lt;=BN$3)*(('حجز الإجازات'!$E$5:$E$104)&gt;=BN$3)*('حجز الإجازات'!$G$5:$G$104="معتمد")*ROW('حجز الإجازات'!$B$5:$B$104))=0,IF(BN$3&lt;'الموظفون'!$D$9,"",IF(ISNUMBER(MATCH(BN$3,Holidays,0)),"عطلة",IF(MOD(BN$3-'الموظفون'!$D$9,CycleWork+CycleRest)&lt;CycleWork,INDEX('الإعدادات والقوائم'!$H$2:$H$4,MOD(INT(MOD(BN$3-'الموظفون'!$D$9,CycleWork+CycleRest)*3/CycleWork)+MATCH(StartShift,'الإعدادات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الإجازات'!$D$5:$D$104&lt;=BN$3)*(('حجز الإجازات'!$E$5:$E$104)&gt;=BN$3)*('حجز الإجازات'!$G$5:$G$104="معتمد")*ROW('حجز الإجازات'!$B$5:$B$104)))-5+1))</f>
        <v/>
      </c>
      <c r="BO11" s="62">
        <f>IF(SUMPRODUCT(('حجز الإجازات'!$B$5:$B$104='الموظفون'!$B$9)*('حجز الإجازات'!$D$5:$D$104&lt;=BO$3)*(('حجز الإجازات'!$E$5:$E$104)&gt;=BO$3)*('حجز الإجازات'!$G$5:$G$104="معتمد")*ROW('حجز الإجازات'!$B$5:$B$104))=0,IF(BO$3&lt;'الموظفون'!$D$9,"",IF(ISNUMBER(MATCH(BO$3,Holidays,0)),"عطلة",IF(MOD(BO$3-'الموظفون'!$D$9,CycleWork+CycleRest)&lt;CycleWork,INDEX('الإعدادات والقوائم'!$H$2:$H$4,MOD(INT(MOD(BO$3-'الموظفون'!$D$9,CycleWork+CycleRest)*3/CycleWork)+MATCH(StartShift,'الإعدادات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الإجازات'!$D$5:$D$104&lt;=BO$3)*(('حجز الإجازات'!$E$5:$E$104)&gt;=BO$3)*('حجز الإجازات'!$G$5:$G$104="معتمد")*ROW('حجز الإجازات'!$B$5:$B$104)))-5+1))</f>
        <v/>
      </c>
      <c r="BP11" s="62">
        <f>IF(SUMPRODUCT(('حجز الإجازات'!$B$5:$B$104='الموظفون'!$B$9)*('حجز الإجازات'!$D$5:$D$104&lt;=BP$3)*(('حجز الإجازات'!$E$5:$E$104)&gt;=BP$3)*('حجز الإجازات'!$G$5:$G$104="معتمد")*ROW('حجز الإجازات'!$B$5:$B$104))=0,IF(BP$3&lt;'الموظفون'!$D$9,"",IF(ISNUMBER(MATCH(BP$3,Holidays,0)),"عطلة",IF(MOD(BP$3-'الموظفون'!$D$9,CycleWork+CycleRest)&lt;CycleWork,INDEX('الإعدادات والقوائم'!$H$2:$H$4,MOD(INT(MOD(BP$3-'الموظفون'!$D$9,CycleWork+CycleRest)*3/CycleWork)+MATCH(StartShift,'الإعدادات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الإجازات'!$D$5:$D$104&lt;=BP$3)*(('حجز الإجازات'!$E$5:$E$104)&gt;=BP$3)*('حجز الإجازات'!$G$5:$G$104="معتمد")*ROW('حجز الإجازات'!$B$5:$B$104)))-5+1))</f>
        <v/>
      </c>
      <c r="BQ11" s="62">
        <f>IF(SUMPRODUCT(('حجز الإجازات'!$B$5:$B$104='الموظفون'!$B$9)*('حجز الإجازات'!$D$5:$D$104&lt;=BQ$3)*(('حجز الإجازات'!$E$5:$E$104)&gt;=BQ$3)*('حجز الإجازات'!$G$5:$G$104="معتمد")*ROW('حجز الإجازات'!$B$5:$B$104))=0,IF(BQ$3&lt;'الموظفون'!$D$9,"",IF(ISNUMBER(MATCH(BQ$3,Holidays,0)),"عطلة",IF(MOD(BQ$3-'الموظفون'!$D$9,CycleWork+CycleRest)&lt;CycleWork,INDEX('الإعدادات والقوائم'!$H$2:$H$4,MOD(INT(MOD(BQ$3-'الموظفون'!$D$9,CycleWork+CycleRest)*3/CycleWork)+MATCH(StartShift,'الإعدادات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الإجازات'!$D$5:$D$104&lt;=BQ$3)*(('حجز الإجازات'!$E$5:$E$104)&gt;=BQ$3)*('حجز الإجازات'!$G$5:$G$104="معتمد")*ROW('حجز الإجازات'!$B$5:$B$104)))-5+1))</f>
        <v/>
      </c>
      <c r="BR11" s="62">
        <f>IF(SUMPRODUCT(('حجز الإجازات'!$B$5:$B$104='الموظفون'!$B$9)*('حجز الإجازات'!$D$5:$D$104&lt;=BR$3)*(('حجز الإجازات'!$E$5:$E$104)&gt;=BR$3)*('حجز الإجازات'!$G$5:$G$104="معتمد")*ROW('حجز الإجازات'!$B$5:$B$104))=0,IF(BR$3&lt;'الموظفون'!$D$9,"",IF(ISNUMBER(MATCH(BR$3,Holidays,0)),"عطلة",IF(MOD(BR$3-'الموظفون'!$D$9,CycleWork+CycleRest)&lt;CycleWork,INDEX('الإعدادات والقوائم'!$H$2:$H$4,MOD(INT(MOD(BR$3-'الموظفون'!$D$9,CycleWork+CycleRest)*3/CycleWork)+MATCH(StartShift,'الإعدادات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الإجازات'!$D$5:$D$104&lt;=BR$3)*(('حجز الإجازات'!$E$5:$E$104)&gt;=BR$3)*('حجز الإجازات'!$G$5:$G$104="معتمد")*ROW('حجز الإجازات'!$B$5:$B$104)))-5+1))</f>
        <v/>
      </c>
      <c r="BS11" s="62">
        <f>IF(SUMPRODUCT(('حجز الإجازات'!$B$5:$B$104='الموظفون'!$B$9)*('حجز الإجازات'!$D$5:$D$104&lt;=BS$3)*(('حجز الإجازات'!$E$5:$E$104)&gt;=BS$3)*('حجز الإجازات'!$G$5:$G$104="معتمد")*ROW('حجز الإجازات'!$B$5:$B$104))=0,IF(BS$3&lt;'الموظفون'!$D$9,"",IF(ISNUMBER(MATCH(BS$3,Holidays,0)),"عطلة",IF(MOD(BS$3-'الموظفون'!$D$9,CycleWork+CycleRest)&lt;CycleWork,INDEX('الإعدادات والقوائم'!$H$2:$H$4,MOD(INT(MOD(BS$3-'الموظفون'!$D$9,CycleWork+CycleRest)*3/CycleWork)+MATCH(StartShift,'الإعدادات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الإجازات'!$D$5:$D$104&lt;=BS$3)*(('حجز الإجازات'!$E$5:$E$104)&gt;=BS$3)*('حجز الإجازات'!$G$5:$G$104="معتمد")*ROW('حجز الإجازات'!$B$5:$B$104)))-5+1))</f>
        <v/>
      </c>
      <c r="BT11" s="62">
        <f>IF(SUMPRODUCT(('حجز الإجازات'!$B$5:$B$104='الموظفون'!$B$9)*('حجز الإجازات'!$D$5:$D$104&lt;=BT$3)*(('حجز الإجازات'!$E$5:$E$104)&gt;=BT$3)*('حجز الإجازات'!$G$5:$G$104="معتمد")*ROW('حجز الإجازات'!$B$5:$B$104))=0,IF(BT$3&lt;'الموظفون'!$D$9,"",IF(ISNUMBER(MATCH(BT$3,Holidays,0)),"عطلة",IF(MOD(BT$3-'الموظفون'!$D$9,CycleWork+CycleRest)&lt;CycleWork,INDEX('الإعدادات والقوائم'!$H$2:$H$4,MOD(INT(MOD(BT$3-'الموظفون'!$D$9,CycleWork+CycleRest)*3/CycleWork)+MATCH(StartShift,'الإعدادات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الإجازات'!$D$5:$D$104&lt;=BT$3)*(('حجز الإجازات'!$E$5:$E$104)&gt;=BT$3)*('حجز الإجازات'!$G$5:$G$104="معتمد")*ROW('حجز الإجازات'!$B$5:$B$104)))-5+1))</f>
        <v/>
      </c>
      <c r="BU11" s="62">
        <f>IF(SUMPRODUCT(('حجز الإجازات'!$B$5:$B$104='الموظفون'!$B$9)*('حجز الإجازات'!$D$5:$D$104&lt;=BU$3)*(('حجز الإجازات'!$E$5:$E$104)&gt;=BU$3)*('حجز الإجازات'!$G$5:$G$104="معتمد")*ROW('حجز الإجازات'!$B$5:$B$104))=0,IF(BU$3&lt;'الموظفون'!$D$9,"",IF(ISNUMBER(MATCH(BU$3,Holidays,0)),"عطلة",IF(MOD(BU$3-'الموظفون'!$D$9,CycleWork+CycleRest)&lt;CycleWork,INDEX('الإعدادات والقوائم'!$H$2:$H$4,MOD(INT(MOD(BU$3-'الموظفون'!$D$9,CycleWork+CycleRest)*3/CycleWork)+MATCH(StartShift,'الإعدادات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الإجازات'!$D$5:$D$104&lt;=BU$3)*(('حجز الإجازات'!$E$5:$E$104)&gt;=BU$3)*('حجز الإجازات'!$G$5:$G$104="معتمد")*ROW('حجز الإجازات'!$B$5:$B$104)))-5+1))</f>
        <v/>
      </c>
      <c r="BV11" s="62">
        <f>IF(SUMPRODUCT(('حجز الإجازات'!$B$5:$B$104='الموظفون'!$B$9)*('حجز الإجازات'!$D$5:$D$104&lt;=BV$3)*(('حجز الإجازات'!$E$5:$E$104)&gt;=BV$3)*('حجز الإجازات'!$G$5:$G$104="معتمد")*ROW('حجز الإجازات'!$B$5:$B$104))=0,IF(BV$3&lt;'الموظفون'!$D$9,"",IF(ISNUMBER(MATCH(BV$3,Holidays,0)),"عطلة",IF(MOD(BV$3-'الموظفون'!$D$9,CycleWork+CycleRest)&lt;CycleWork,INDEX('الإعدادات والقوائم'!$H$2:$H$4,MOD(INT(MOD(BV$3-'الموظفون'!$D$9,CycleWork+CycleRest)*3/CycleWork)+MATCH(StartShift,'الإعدادات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الإجازات'!$D$5:$D$104&lt;=BV$3)*(('حجز الإجازات'!$E$5:$E$104)&gt;=BV$3)*('حجز الإجازات'!$G$5:$G$104="معتمد")*ROW('حجز الإجازات'!$B$5:$B$104)))-5+1))</f>
        <v/>
      </c>
      <c r="BW11" s="62">
        <f>IF(SUMPRODUCT(('حجز الإجازات'!$B$5:$B$104='الموظفون'!$B$9)*('حجز الإجازات'!$D$5:$D$104&lt;=BW$3)*(('حجز الإجازات'!$E$5:$E$104)&gt;=BW$3)*('حجز الإجازات'!$G$5:$G$104="معتمد")*ROW('حجز الإجازات'!$B$5:$B$104))=0,IF(BW$3&lt;'الموظفون'!$D$9,"",IF(ISNUMBER(MATCH(BW$3,Holidays,0)),"عطلة",IF(MOD(BW$3-'الموظفون'!$D$9,CycleWork+CycleRest)&lt;CycleWork,INDEX('الإعدادات والقوائم'!$H$2:$H$4,MOD(INT(MOD(BW$3-'الموظفون'!$D$9,CycleWork+CycleRest)*3/CycleWork)+MATCH(StartShift,'الإعدادات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الإجازات'!$D$5:$D$104&lt;=BW$3)*(('حجز الإجازات'!$E$5:$E$104)&gt;=BW$3)*('حجز الإجازات'!$G$5:$G$104="معتمد")*ROW('حجز الإجازات'!$B$5:$B$104)))-5+1))</f>
        <v/>
      </c>
      <c r="BX11" s="62">
        <f>IF(SUMPRODUCT(('حجز الإجازات'!$B$5:$B$104='الموظفون'!$B$9)*('حجز الإجازات'!$D$5:$D$104&lt;=BX$3)*(('حجز الإجازات'!$E$5:$E$104)&gt;=BX$3)*('حجز الإجازات'!$G$5:$G$104="معتمد")*ROW('حجز الإجازات'!$B$5:$B$104))=0,IF(BX$3&lt;'الموظفون'!$D$9,"",IF(ISNUMBER(MATCH(BX$3,Holidays,0)),"عطلة",IF(MOD(BX$3-'الموظفون'!$D$9,CycleWork+CycleRest)&lt;CycleWork,INDEX('الإعدادات والقوائم'!$H$2:$H$4,MOD(INT(MOD(BX$3-'الموظفون'!$D$9,CycleWork+CycleRest)*3/CycleWork)+MATCH(StartShift,'الإعدادات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الإجازات'!$D$5:$D$104&lt;=BX$3)*(('حجز الإجازات'!$E$5:$E$104)&gt;=BX$3)*('حجز الإجازات'!$G$5:$G$104="معتمد")*ROW('حجز الإجازات'!$B$5:$B$104)))-5+1))</f>
        <v/>
      </c>
      <c r="BY11" s="62">
        <f>IF(SUMPRODUCT(('حجز الإجازات'!$B$5:$B$104='الموظفون'!$B$9)*('حجز الإجازات'!$D$5:$D$104&lt;=BY$3)*(('حجز الإجازات'!$E$5:$E$104)&gt;=BY$3)*('حجز الإجازات'!$G$5:$G$104="معتمد")*ROW('حجز الإجازات'!$B$5:$B$104))=0,IF(BY$3&lt;'الموظفون'!$D$9,"",IF(ISNUMBER(MATCH(BY$3,Holidays,0)),"عطلة",IF(MOD(BY$3-'الموظفون'!$D$9,CycleWork+CycleRest)&lt;CycleWork,INDEX('الإعدادات والقوائم'!$H$2:$H$4,MOD(INT(MOD(BY$3-'الموظفون'!$D$9,CycleWork+CycleRest)*3/CycleWork)+MATCH(StartShift,'الإعدادات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الإجازات'!$D$5:$D$104&lt;=BY$3)*(('حجز الإجازات'!$E$5:$E$104)&gt;=BY$3)*('حجز الإجازات'!$G$5:$G$104="معتمد")*ROW('حجز الإجازات'!$B$5:$B$104)))-5+1))</f>
        <v/>
      </c>
      <c r="BZ11" s="62">
        <f>IF(SUMPRODUCT(('حجز الإجازات'!$B$5:$B$104='الموظفون'!$B$9)*('حجز الإجازات'!$D$5:$D$104&lt;=BZ$3)*(('حجز الإجازات'!$E$5:$E$104)&gt;=BZ$3)*('حجز الإجازات'!$G$5:$G$104="معتمد")*ROW('حجز الإجازات'!$B$5:$B$104))=0,IF(BZ$3&lt;'الموظفون'!$D$9,"",IF(ISNUMBER(MATCH(BZ$3,Holidays,0)),"عطلة",IF(MOD(BZ$3-'الموظفون'!$D$9,CycleWork+CycleRest)&lt;CycleWork,INDEX('الإعدادات والقوائم'!$H$2:$H$4,MOD(INT(MOD(BZ$3-'الموظفون'!$D$9,CycleWork+CycleRest)*3/CycleWork)+MATCH(StartShift,'الإعدادات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الإجازات'!$D$5:$D$104&lt;=BZ$3)*(('حجز الإجازات'!$E$5:$E$104)&gt;=BZ$3)*('حجز الإجازات'!$G$5:$G$104="معتمد")*ROW('حجز الإجازات'!$B$5:$B$104)))-5+1))</f>
        <v/>
      </c>
      <c r="CA11" s="62">
        <f>IF(SUMPRODUCT(('حجز الإجازات'!$B$5:$B$104='الموظفون'!$B$9)*('حجز الإجازات'!$D$5:$D$104&lt;=CA$3)*(('حجز الإجازات'!$E$5:$E$104)&gt;=CA$3)*('حجز الإجازات'!$G$5:$G$104="معتمد")*ROW('حجز الإجازات'!$B$5:$B$104))=0,IF(CA$3&lt;'الموظفون'!$D$9,"",IF(ISNUMBER(MATCH(CA$3,Holidays,0)),"عطلة",IF(MOD(CA$3-'الموظفون'!$D$9,CycleWork+CycleRest)&lt;CycleWork,INDEX('الإعدادات والقوائم'!$H$2:$H$4,MOD(INT(MOD(CA$3-'الموظفون'!$D$9,CycleWork+CycleRest)*3/CycleWork)+MATCH(StartShift,'الإعدادات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الإجازات'!$D$5:$D$104&lt;=CA$3)*(('حجز الإجازات'!$E$5:$E$104)&gt;=CA$3)*('حجز الإجازات'!$G$5:$G$104="معتمد")*ROW('حجز الإجازات'!$B$5:$B$104)))-5+1))</f>
        <v/>
      </c>
      <c r="CB11" s="62">
        <f>IF(SUMPRODUCT(('حجز الإجازات'!$B$5:$B$104='الموظفون'!$B$9)*('حجز الإجازات'!$D$5:$D$104&lt;=CB$3)*(('حجز الإجازات'!$E$5:$E$104)&gt;=CB$3)*('حجز الإجازات'!$G$5:$G$104="معتمد")*ROW('حجز الإجازات'!$B$5:$B$104))=0,IF(CB$3&lt;'الموظفون'!$D$9,"",IF(ISNUMBER(MATCH(CB$3,Holidays,0)),"عطلة",IF(MOD(CB$3-'الموظفون'!$D$9,CycleWork+CycleRest)&lt;CycleWork,INDEX('الإعدادات والقوائم'!$H$2:$H$4,MOD(INT(MOD(CB$3-'الموظفون'!$D$9,CycleWork+CycleRest)*3/CycleWork)+MATCH(StartShift,'الإعدادات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الإجازات'!$D$5:$D$104&lt;=CB$3)*(('حجز الإجازات'!$E$5:$E$104)&gt;=CB$3)*('حجز الإجازات'!$G$5:$G$104="معتمد")*ROW('حجز الإجازات'!$B$5:$B$104)))-5+1))</f>
        <v/>
      </c>
      <c r="CC11" s="62">
        <f>IF(SUMPRODUCT(('حجز الإجازات'!$B$5:$B$104='الموظفون'!$B$9)*('حجز الإجازات'!$D$5:$D$104&lt;=CC$3)*(('حجز الإجازات'!$E$5:$E$104)&gt;=CC$3)*('حجز الإجازات'!$G$5:$G$104="معتمد")*ROW('حجز الإجازات'!$B$5:$B$104))=0,IF(CC$3&lt;'الموظفون'!$D$9,"",IF(ISNUMBER(MATCH(CC$3,Holidays,0)),"عطلة",IF(MOD(CC$3-'الموظفون'!$D$9,CycleWork+CycleRest)&lt;CycleWork,INDEX('الإعدادات والقوائم'!$H$2:$H$4,MOD(INT(MOD(CC$3-'الموظفون'!$D$9,CycleWork+CycleRest)*3/CycleWork)+MATCH(StartShift,'الإعدادات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الإجازات'!$D$5:$D$104&lt;=CC$3)*(('حجز الإجازات'!$E$5:$E$104)&gt;=CC$3)*('حجز الإجازات'!$G$5:$G$104="معتمد")*ROW('حجز الإجازات'!$B$5:$B$104)))-5+1))</f>
        <v/>
      </c>
      <c r="CD11" s="62">
        <f>IF(SUMPRODUCT(('حجز الإجازات'!$B$5:$B$104='الموظفون'!$B$9)*('حجز الإجازات'!$D$5:$D$104&lt;=CD$3)*(('حجز الإجازات'!$E$5:$E$104)&gt;=CD$3)*('حجز الإجازات'!$G$5:$G$104="معتمد")*ROW('حجز الإجازات'!$B$5:$B$104))=0,IF(CD$3&lt;'الموظفون'!$D$9,"",IF(ISNUMBER(MATCH(CD$3,Holidays,0)),"عطلة",IF(MOD(CD$3-'الموظفون'!$D$9,CycleWork+CycleRest)&lt;CycleWork,INDEX('الإعدادات والقوائم'!$H$2:$H$4,MOD(INT(MOD(CD$3-'الموظفون'!$D$9,CycleWork+CycleRest)*3/CycleWork)+MATCH(StartShift,'الإعدادات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الإجازات'!$D$5:$D$104&lt;=CD$3)*(('حجز الإجازات'!$E$5:$E$104)&gt;=CD$3)*('حجز الإجازات'!$G$5:$G$104="معتمد")*ROW('حجز الإجازات'!$B$5:$B$104)))-5+1))</f>
        <v/>
      </c>
      <c r="CE11" s="62">
        <f>IF(SUMPRODUCT(('حجز الإجازات'!$B$5:$B$104='الموظفون'!$B$9)*('حجز الإجازات'!$D$5:$D$104&lt;=CE$3)*(('حجز الإجازات'!$E$5:$E$104)&gt;=CE$3)*('حجز الإجازات'!$G$5:$G$104="معتمد")*ROW('حجز الإجازات'!$B$5:$B$104))=0,IF(CE$3&lt;'الموظفون'!$D$9,"",IF(ISNUMBER(MATCH(CE$3,Holidays,0)),"عطلة",IF(MOD(CE$3-'الموظفون'!$D$9,CycleWork+CycleRest)&lt;CycleWork,INDEX('الإعدادات والقوائم'!$H$2:$H$4,MOD(INT(MOD(CE$3-'الموظفون'!$D$9,CycleWork+CycleRest)*3/CycleWork)+MATCH(StartShift,'الإعدادات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الإجازات'!$D$5:$D$104&lt;=CE$3)*(('حجز الإجازات'!$E$5:$E$104)&gt;=CE$3)*('حجز الإجازات'!$G$5:$G$104="معتمد")*ROW('حجز الإجازات'!$B$5:$B$104)))-5+1))</f>
        <v/>
      </c>
      <c r="CF11" s="62">
        <f>IF(SUMPRODUCT(('حجز الإجازات'!$B$5:$B$104='الموظفون'!$B$9)*('حجز الإجازات'!$D$5:$D$104&lt;=CF$3)*(('حجز الإجازات'!$E$5:$E$104)&gt;=CF$3)*('حجز الإجازات'!$G$5:$G$104="معتمد")*ROW('حجز الإجازات'!$B$5:$B$104))=0,IF(CF$3&lt;'الموظفون'!$D$9,"",IF(ISNUMBER(MATCH(CF$3,Holidays,0)),"عطلة",IF(MOD(CF$3-'الموظفون'!$D$9,CycleWork+CycleRest)&lt;CycleWork,INDEX('الإعدادات والقوائم'!$H$2:$H$4,MOD(INT(MOD(CF$3-'الموظفون'!$D$9,CycleWork+CycleRest)*3/CycleWork)+MATCH(StartShift,'الإعدادات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الإجازات'!$D$5:$D$104&lt;=CF$3)*(('حجز الإجازات'!$E$5:$E$104)&gt;=CF$3)*('حجز الإجازات'!$G$5:$G$104="معتمد")*ROW('حجز الإجازات'!$B$5:$B$104)))-5+1))</f>
        <v/>
      </c>
      <c r="CG11" s="62">
        <f>IF(SUMPRODUCT(('حجز الإجازات'!$B$5:$B$104='الموظفون'!$B$9)*('حجز الإجازات'!$D$5:$D$104&lt;=CG$3)*(('حجز الإجازات'!$E$5:$E$104)&gt;=CG$3)*('حجز الإجازات'!$G$5:$G$104="معتمد")*ROW('حجز الإجازات'!$B$5:$B$104))=0,IF(CG$3&lt;'الموظفون'!$D$9,"",IF(ISNUMBER(MATCH(CG$3,Holidays,0)),"عطلة",IF(MOD(CG$3-'الموظفون'!$D$9,CycleWork+CycleRest)&lt;CycleWork,INDEX('الإعدادات والقوائم'!$H$2:$H$4,MOD(INT(MOD(CG$3-'الموظفون'!$D$9,CycleWork+CycleRest)*3/CycleWork)+MATCH(StartShift,'الإعدادات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الإجازات'!$D$5:$D$104&lt;=CG$3)*(('حجز الإجازات'!$E$5:$E$104)&gt;=CG$3)*('حجز الإجازات'!$G$5:$G$104="معتمد")*ROW('حجز الإجازات'!$B$5:$B$104)))-5+1))</f>
        <v/>
      </c>
      <c r="CH11" s="62">
        <f>IF(SUMPRODUCT(('حجز الإجازات'!$B$5:$B$104='الموظفون'!$B$9)*('حجز الإجازات'!$D$5:$D$104&lt;=CH$3)*(('حجز الإجازات'!$E$5:$E$104)&gt;=CH$3)*('حجز الإجازات'!$G$5:$G$104="معتمد")*ROW('حجز الإجازات'!$B$5:$B$104))=0,IF(CH$3&lt;'الموظفون'!$D$9,"",IF(ISNUMBER(MATCH(CH$3,Holidays,0)),"عطلة",IF(MOD(CH$3-'الموظفون'!$D$9,CycleWork+CycleRest)&lt;CycleWork,INDEX('الإعدادات والقوائم'!$H$2:$H$4,MOD(INT(MOD(CH$3-'الموظفون'!$D$9,CycleWork+CycleRest)*3/CycleWork)+MATCH(StartShift,'الإعدادات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الإجازات'!$D$5:$D$104&lt;=CH$3)*(('حجز الإجازات'!$E$5:$E$104)&gt;=CH$3)*('حجز الإجازات'!$G$5:$G$104="معتمد")*ROW('حجز الإجازات'!$B$5:$B$104)))-5+1))</f>
        <v/>
      </c>
      <c r="CI11" s="62">
        <f>IF(SUMPRODUCT(('حجز الإجازات'!$B$5:$B$104='الموظفون'!$B$9)*('حجز الإجازات'!$D$5:$D$104&lt;=CI$3)*(('حجز الإجازات'!$E$5:$E$104)&gt;=CI$3)*('حجز الإجازات'!$G$5:$G$104="معتمد")*ROW('حجز الإجازات'!$B$5:$B$104))=0,IF(CI$3&lt;'الموظفون'!$D$9,"",IF(ISNUMBER(MATCH(CI$3,Holidays,0)),"عطلة",IF(MOD(CI$3-'الموظفون'!$D$9,CycleWork+CycleRest)&lt;CycleWork,INDEX('الإعدادات والقوائم'!$H$2:$H$4,MOD(INT(MOD(CI$3-'الموظفون'!$D$9,CycleWork+CycleRest)*3/CycleWork)+MATCH(StartShift,'الإعدادات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الإجازات'!$D$5:$D$104&lt;=CI$3)*(('حجز الإجازات'!$E$5:$E$104)&gt;=CI$3)*('حجز الإجازات'!$G$5:$G$104="معتمد")*ROW('حجز الإجازات'!$B$5:$B$104)))-5+1))</f>
        <v/>
      </c>
      <c r="CJ11" s="62">
        <f>IF(SUMPRODUCT(('حجز الإجازات'!$B$5:$B$104='الموظفون'!$B$9)*('حجز الإجازات'!$D$5:$D$104&lt;=CJ$3)*(('حجز الإجازات'!$E$5:$E$104)&gt;=CJ$3)*('حجز الإجازات'!$G$5:$G$104="معتمد")*ROW('حجز الإجازات'!$B$5:$B$104))=0,IF(CJ$3&lt;'الموظفون'!$D$9,"",IF(ISNUMBER(MATCH(CJ$3,Holidays,0)),"عطلة",IF(MOD(CJ$3-'الموظفون'!$D$9,CycleWork+CycleRest)&lt;CycleWork,INDEX('الإعدادات والقوائم'!$H$2:$H$4,MOD(INT(MOD(CJ$3-'الموظفون'!$D$9,CycleWork+CycleRest)*3/CycleWork)+MATCH(StartShift,'الإعدادات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الإجازات'!$D$5:$D$104&lt;=CJ$3)*(('حجز الإجازات'!$E$5:$E$104)&gt;=CJ$3)*('حجز الإجازات'!$G$5:$G$104="معتمد")*ROW('حجز الإجازات'!$B$5:$B$104)))-5+1))</f>
        <v/>
      </c>
      <c r="CK11" s="62">
        <f>IF(SUMPRODUCT(('حجز الإجازات'!$B$5:$B$104='الموظفون'!$B$9)*('حجز الإجازات'!$D$5:$D$104&lt;=CK$3)*(('حجز الإجازات'!$E$5:$E$104)&gt;=CK$3)*('حجز الإجازات'!$G$5:$G$104="معتمد")*ROW('حجز الإجازات'!$B$5:$B$104))=0,IF(CK$3&lt;'الموظفون'!$D$9,"",IF(ISNUMBER(MATCH(CK$3,Holidays,0)),"عطلة",IF(MOD(CK$3-'الموظفون'!$D$9,CycleWork+CycleRest)&lt;CycleWork,INDEX('الإعدادات والقوائم'!$H$2:$H$4,MOD(INT(MOD(CK$3-'الموظفون'!$D$9,CycleWork+CycleRest)*3/CycleWork)+MATCH(StartShift,'الإعدادات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الإجازات'!$D$5:$D$104&lt;=CK$3)*(('حجز الإجازات'!$E$5:$E$104)&gt;=CK$3)*('حجز الإجازات'!$G$5:$G$104="معتمد")*ROW('حجز الإجازات'!$B$5:$B$104)))-5+1))</f>
        <v/>
      </c>
      <c r="CL11" s="62">
        <f>IF(SUMPRODUCT(('حجز الإجازات'!$B$5:$B$104='الموظفون'!$B$9)*('حجز الإجازات'!$D$5:$D$104&lt;=CL$3)*(('حجز الإجازات'!$E$5:$E$104)&gt;=CL$3)*('حجز الإجازات'!$G$5:$G$104="معتمد")*ROW('حجز الإجازات'!$B$5:$B$104))=0,IF(CL$3&lt;'الموظفون'!$D$9,"",IF(ISNUMBER(MATCH(CL$3,Holidays,0)),"عطلة",IF(MOD(CL$3-'الموظفون'!$D$9,CycleWork+CycleRest)&lt;CycleWork,INDEX('الإعدادات والقوائم'!$H$2:$H$4,MOD(INT(MOD(CL$3-'الموظفون'!$D$9,CycleWork+CycleRest)*3/CycleWork)+MATCH(StartShift,'الإعدادات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الإجازات'!$D$5:$D$104&lt;=CL$3)*(('حجز الإجازات'!$E$5:$E$104)&gt;=CL$3)*('حجز الإجازات'!$G$5:$G$104="معتمد")*ROW('حجز الإجازات'!$B$5:$B$104)))-5+1))</f>
        <v/>
      </c>
      <c r="CM11" s="62">
        <f>IF(SUMPRODUCT(('حجز الإجازات'!$B$5:$B$104='الموظفون'!$B$9)*('حجز الإجازات'!$D$5:$D$104&lt;=CM$3)*(('حجز الإجازات'!$E$5:$E$104)&gt;=CM$3)*('حجز الإجازات'!$G$5:$G$104="معتمد")*ROW('حجز الإجازات'!$B$5:$B$104))=0,IF(CM$3&lt;'الموظفون'!$D$9,"",IF(ISNUMBER(MATCH(CM$3,Holidays,0)),"عطلة",IF(MOD(CM$3-'الموظفون'!$D$9,CycleWork+CycleRest)&lt;CycleWork,INDEX('الإعدادات والقوائم'!$H$2:$H$4,MOD(INT(MOD(CM$3-'الموظفون'!$D$9,CycleWork+CycleRest)*3/CycleWork)+MATCH(StartShift,'الإعدادات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الإجازات'!$D$5:$D$104&lt;=CM$3)*(('حجز الإجازات'!$E$5:$E$104)&gt;=CM$3)*('حجز الإجازات'!$G$5:$G$104="معتمد")*ROW('حجز الإجازات'!$B$5:$B$104)))-5+1))</f>
        <v/>
      </c>
      <c r="CN11" s="62">
        <f>IF(SUMPRODUCT(('حجز الإجازات'!$B$5:$B$104='الموظفون'!$B$9)*('حجز الإجازات'!$D$5:$D$104&lt;=CN$3)*(('حجز الإجازات'!$E$5:$E$104)&gt;=CN$3)*('حجز الإجازات'!$G$5:$G$104="معتمد")*ROW('حجز الإجازات'!$B$5:$B$104))=0,IF(CN$3&lt;'الموظفون'!$D$9,"",IF(ISNUMBER(MATCH(CN$3,Holidays,0)),"عطلة",IF(MOD(CN$3-'الموظفون'!$D$9,CycleWork+CycleRest)&lt;CycleWork,INDEX('الإعدادات والقوائم'!$H$2:$H$4,MOD(INT(MOD(CN$3-'الموظفون'!$D$9,CycleWork+CycleRest)*3/CycleWork)+MATCH(StartShift,'الإعدادات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الإجازات'!$D$5:$D$104&lt;=CN$3)*(('حجز الإجازات'!$E$5:$E$104)&gt;=CN$3)*('حجز الإجازات'!$G$5:$G$104="معتمد")*ROW('حجز الإجازات'!$B$5:$B$104)))-5+1))</f>
        <v/>
      </c>
      <c r="CO11" s="62">
        <f>IF(SUMPRODUCT(('حجز الإجازات'!$B$5:$B$104='الموظفون'!$B$9)*('حجز الإجازات'!$D$5:$D$104&lt;=CO$3)*(('حجز الإجازات'!$E$5:$E$104)&gt;=CO$3)*('حجز الإجازات'!$G$5:$G$104="معتمد")*ROW('حجز الإجازات'!$B$5:$B$104))=0,IF(CO$3&lt;'الموظفون'!$D$9,"",IF(ISNUMBER(MATCH(CO$3,Holidays,0)),"عطلة",IF(MOD(CO$3-'الموظفون'!$D$9,CycleWork+CycleRest)&lt;CycleWork,INDEX('الإعدادات والقوائم'!$H$2:$H$4,MOD(INT(MOD(CO$3-'الموظفون'!$D$9,CycleWork+CycleRest)*3/CycleWork)+MATCH(StartShift,'الإعدادات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الإجازات'!$D$5:$D$104&lt;=CO$3)*(('حجز الإجازات'!$E$5:$E$104)&gt;=CO$3)*('حجز الإجازات'!$G$5:$G$104="معتمد")*ROW('حجز الإجازات'!$B$5:$B$104)))-5+1))</f>
        <v/>
      </c>
      <c r="CP11" s="62">
        <f>IF(SUMPRODUCT(('حجز الإجازات'!$B$5:$B$104='الموظفون'!$B$9)*('حجز الإجازات'!$D$5:$D$104&lt;=CP$3)*(('حجز الإجازات'!$E$5:$E$104)&gt;=CP$3)*('حجز الإجازات'!$G$5:$G$104="معتمد")*ROW('حجز الإجازات'!$B$5:$B$104))=0,IF(CP$3&lt;'الموظفون'!$D$9,"",IF(ISNUMBER(MATCH(CP$3,Holidays,0)),"عطلة",IF(MOD(CP$3-'الموظفون'!$D$9,CycleWork+CycleRest)&lt;CycleWork,INDEX('الإعدادات والقوائم'!$H$2:$H$4,MOD(INT(MOD(CP$3-'الموظفون'!$D$9,CycleWork+CycleRest)*3/CycleWork)+MATCH(StartShift,'الإعدادات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الإجازات'!$D$5:$D$104&lt;=CP$3)*(('حجز الإجازات'!$E$5:$E$104)&gt;=CP$3)*('حجز الإجازات'!$G$5:$G$104="معتمد")*ROW('حجز الإجازات'!$B$5:$B$104)))-5+1))</f>
        <v/>
      </c>
      <c r="CQ11" s="62">
        <f>IF(SUMPRODUCT(('حجز الإجازات'!$B$5:$B$104='الموظفون'!$B$9)*('حجز الإجازات'!$D$5:$D$104&lt;=CQ$3)*(('حجز الإجازات'!$E$5:$E$104)&gt;=CQ$3)*('حجز الإجازات'!$G$5:$G$104="معتمد")*ROW('حجز الإجازات'!$B$5:$B$104))=0,IF(CQ$3&lt;'الموظفون'!$D$9,"",IF(ISNUMBER(MATCH(CQ$3,Holidays,0)),"عطلة",IF(MOD(CQ$3-'الموظفون'!$D$9,CycleWork+CycleRest)&lt;CycleWork,INDEX('الإعدادات والقوائم'!$H$2:$H$4,MOD(INT(MOD(CQ$3-'الموظفون'!$D$9,CycleWork+CycleRest)*3/CycleWork)+MATCH(StartShift,'الإعدادات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الإجازات'!$D$5:$D$104&lt;=CQ$3)*(('حجز الإجازات'!$E$5:$E$104)&gt;=CQ$3)*('حجز الإجازات'!$G$5:$G$104="معتمد")*ROW('حجز الإجازات'!$B$5:$B$104)))-5+1))</f>
        <v/>
      </c>
      <c r="CR11" s="62">
        <f>IF(SUMPRODUCT(('حجز الإجازات'!$B$5:$B$104='الموظفون'!$B$9)*('حجز الإجازات'!$D$5:$D$104&lt;=CR$3)*(('حجز الإجازات'!$E$5:$E$104)&gt;=CR$3)*('حجز الإجازات'!$G$5:$G$104="معتمد")*ROW('حجز الإجازات'!$B$5:$B$104))=0,IF(CR$3&lt;'الموظفون'!$D$9,"",IF(ISNUMBER(MATCH(CR$3,Holidays,0)),"عطلة",IF(MOD(CR$3-'الموظفون'!$D$9,CycleWork+CycleRest)&lt;CycleWork,INDEX('الإعدادات والقوائم'!$H$2:$H$4,MOD(INT(MOD(CR$3-'الموظفون'!$D$9,CycleWork+CycleRest)*3/CycleWork)+MATCH(StartShift,'الإعدادات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الإجازات'!$D$5:$D$104&lt;=CR$3)*(('حجز الإجازات'!$E$5:$E$104)&gt;=CR$3)*('حجز الإجازات'!$G$5:$G$104="معتمد")*ROW('حجز الإجازات'!$B$5:$B$104)))-5+1))</f>
        <v/>
      </c>
      <c r="CS11" s="62">
        <f>IF(SUMPRODUCT(('حجز الإجازات'!$B$5:$B$104='الموظفون'!$B$9)*('حجز الإجازات'!$D$5:$D$104&lt;=CS$3)*(('حجز الإجازات'!$E$5:$E$104)&gt;=CS$3)*('حجز الإجازات'!$G$5:$G$104="معتمد")*ROW('حجز الإجازات'!$B$5:$B$104))=0,IF(CS$3&lt;'الموظفون'!$D$9,"",IF(ISNUMBER(MATCH(CS$3,Holidays,0)),"عطلة",IF(MOD(CS$3-'الموظفون'!$D$9,CycleWork+CycleRest)&lt;CycleWork,INDEX('الإعدادات والقوائم'!$H$2:$H$4,MOD(INT(MOD(CS$3-'الموظفون'!$D$9,CycleWork+CycleRest)*3/CycleWork)+MATCH(StartShift,'الإعدادات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الإجازات'!$D$5:$D$104&lt;=CS$3)*(('حجز الإجازات'!$E$5:$E$104)&gt;=CS$3)*('حجز الإجازات'!$G$5:$G$104="معتمد")*ROW('حجز الإجازات'!$B$5:$B$104)))-5+1))</f>
        <v/>
      </c>
      <c r="CT11" s="62">
        <f>IF(SUMPRODUCT(('حجز الإجازات'!$B$5:$B$104='الموظفون'!$B$9)*('حجز الإجازات'!$D$5:$D$104&lt;=CT$3)*(('حجز الإجازات'!$E$5:$E$104)&gt;=CT$3)*('حجز الإجازات'!$G$5:$G$104="معتمد")*ROW('حجز الإجازات'!$B$5:$B$104))=0,IF(CT$3&lt;'الموظفون'!$D$9,"",IF(ISNUMBER(MATCH(CT$3,Holidays,0)),"عطلة",IF(MOD(CT$3-'الموظفون'!$D$9,CycleWork+CycleRest)&lt;CycleWork,INDEX('الإعدادات والقوائم'!$H$2:$H$4,MOD(INT(MOD(CT$3-'الموظفون'!$D$9,CycleWork+CycleRest)*3/CycleWork)+MATCH(StartShift,'الإعدادات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الإجازات'!$D$5:$D$104&lt;=CT$3)*(('حجز الإجازات'!$E$5:$E$104)&gt;=CT$3)*('حجز الإجازات'!$G$5:$G$104="معتمد")*ROW('حجز الإجازات'!$B$5:$B$104)))-5+1))</f>
        <v/>
      </c>
      <c r="CU11" s="62">
        <f>IF(SUMPRODUCT(('حجز الإجازات'!$B$5:$B$104='الموظفون'!$B$9)*('حجز الإجازات'!$D$5:$D$104&lt;=CU$3)*(('حجز الإجازات'!$E$5:$E$104)&gt;=CU$3)*('حجز الإجازات'!$G$5:$G$104="معتمد")*ROW('حجز الإجازات'!$B$5:$B$104))=0,IF(CU$3&lt;'الموظفون'!$D$9,"",IF(ISNUMBER(MATCH(CU$3,Holidays,0)),"عطلة",IF(MOD(CU$3-'الموظفون'!$D$9,CycleWork+CycleRest)&lt;CycleWork,INDEX('الإعدادات والقوائم'!$H$2:$H$4,MOD(INT(MOD(CU$3-'الموظفون'!$D$9,CycleWork+CycleRest)*3/CycleWork)+MATCH(StartShift,'الإعدادات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الإجازات'!$D$5:$D$104&lt;=CU$3)*(('حجز الإجازات'!$E$5:$E$104)&gt;=CU$3)*('حجز الإجازات'!$G$5:$G$104="معتمد")*ROW('حجز الإجازات'!$B$5:$B$104)))-5+1))</f>
        <v/>
      </c>
      <c r="CV11" s="62">
        <f>IF(SUMPRODUCT(('حجز الإجازات'!$B$5:$B$104='الموظفون'!$B$9)*('حجز الإجازات'!$D$5:$D$104&lt;=CV$3)*(('حجز الإجازات'!$E$5:$E$104)&gt;=CV$3)*('حجز الإجازات'!$G$5:$G$104="معتمد")*ROW('حجز الإجازات'!$B$5:$B$104))=0,IF(CV$3&lt;'الموظفون'!$D$9,"",IF(ISNUMBER(MATCH(CV$3,Holidays,0)),"عطلة",IF(MOD(CV$3-'الموظفون'!$D$9,CycleWork+CycleRest)&lt;CycleWork,INDEX('الإعدادات والقوائم'!$H$2:$H$4,MOD(INT(MOD(CV$3-'الموظفون'!$D$9,CycleWork+CycleRest)*3/CycleWork)+MATCH(StartShift,'الإعدادات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الإجازات'!$D$5:$D$104&lt;=CV$3)*(('حجز الإجازات'!$E$5:$E$104)&gt;=CV$3)*('حجز الإجازات'!$G$5:$G$104="معتمد")*ROW('حجز الإجازات'!$B$5:$B$104)))-5+1))</f>
        <v/>
      </c>
      <c r="CW11" s="62">
        <f>IF(SUMPRODUCT(('حجز الإجازات'!$B$5:$B$104='الموظفون'!$B$9)*('حجز الإجازات'!$D$5:$D$104&lt;=CW$3)*(('حجز الإجازات'!$E$5:$E$104)&gt;=CW$3)*('حجز الإجازات'!$G$5:$G$104="معتمد")*ROW('حجز الإجازات'!$B$5:$B$104))=0,IF(CW$3&lt;'الموظفون'!$D$9,"",IF(ISNUMBER(MATCH(CW$3,Holidays,0)),"عطلة",IF(MOD(CW$3-'الموظفون'!$D$9,CycleWork+CycleRest)&lt;CycleWork,INDEX('الإعدادات والقوائم'!$H$2:$H$4,MOD(INT(MOD(CW$3-'الموظفون'!$D$9,CycleWork+CycleRest)*3/CycleWork)+MATCH(StartShift,'الإعدادات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الإجازات'!$D$5:$D$104&lt;=CW$3)*(('حجز الإجازات'!$E$5:$E$104)&gt;=CW$3)*('حجز الإجازات'!$G$5:$G$104="معتمد")*ROW('حجز الإجازات'!$B$5:$B$104)))-5+1))</f>
        <v/>
      </c>
      <c r="CX11" s="62">
        <f>IF(SUMPRODUCT(('حجز الإجازات'!$B$5:$B$104='الموظفون'!$B$9)*('حجز الإجازات'!$D$5:$D$104&lt;=CX$3)*(('حجز الإجازات'!$E$5:$E$104)&gt;=CX$3)*('حجز الإجازات'!$G$5:$G$104="معتمد")*ROW('حجز الإجازات'!$B$5:$B$104))=0,IF(CX$3&lt;'الموظفون'!$D$9,"",IF(ISNUMBER(MATCH(CX$3,Holidays,0)),"عطلة",IF(MOD(CX$3-'الموظفون'!$D$9,CycleWork+CycleRest)&lt;CycleWork,INDEX('الإعدادات والقوائم'!$H$2:$H$4,MOD(INT(MOD(CX$3-'الموظفون'!$D$9,CycleWork+CycleRest)*3/CycleWork)+MATCH(StartShift,'الإعدادات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الإجازات'!$D$5:$D$104&lt;=CX$3)*(('حجز الإجازات'!$E$5:$E$104)&gt;=CX$3)*('حجز الإجازات'!$G$5:$G$104="معتمد")*ROW('حجز الإجازات'!$B$5:$B$104)))-5+1))</f>
        <v/>
      </c>
      <c r="CY11" s="62">
        <f>IF(SUMPRODUCT(('حجز الإجازات'!$B$5:$B$104='الموظفون'!$B$9)*('حجز الإجازات'!$D$5:$D$104&lt;=CY$3)*(('حجز الإجازات'!$E$5:$E$104)&gt;=CY$3)*('حجز الإجازات'!$G$5:$G$104="معتمد")*ROW('حجز الإجازات'!$B$5:$B$104))=0,IF(CY$3&lt;'الموظفون'!$D$9,"",IF(ISNUMBER(MATCH(CY$3,Holidays,0)),"عطلة",IF(MOD(CY$3-'الموظفون'!$D$9,CycleWork+CycleRest)&lt;CycleWork,INDEX('الإعدادات والقوائم'!$H$2:$H$4,MOD(INT(MOD(CY$3-'الموظفون'!$D$9,CycleWork+CycleRest)*3/CycleWork)+MATCH(StartShift,'الإعدادات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الإجازات'!$D$5:$D$104&lt;=CY$3)*(('حجز الإجازات'!$E$5:$E$104)&gt;=CY$3)*('حجز الإجازات'!$G$5:$G$104="معتمد")*ROW('حجز الإجازات'!$B$5:$B$104)))-5+1))</f>
        <v/>
      </c>
      <c r="CZ11" s="62">
        <f>IF(SUMPRODUCT(('حجز الإجازات'!$B$5:$B$104='الموظفون'!$B$9)*('حجز الإجازات'!$D$5:$D$104&lt;=CZ$3)*(('حجز الإجازات'!$E$5:$E$104)&gt;=CZ$3)*('حجز الإجازات'!$G$5:$G$104="معتمد")*ROW('حجز الإجازات'!$B$5:$B$104))=0,IF(CZ$3&lt;'الموظفون'!$D$9,"",IF(ISNUMBER(MATCH(CZ$3,Holidays,0)),"عطلة",IF(MOD(CZ$3-'الموظفون'!$D$9,CycleWork+CycleRest)&lt;CycleWork,INDEX('الإعدادات والقوائم'!$H$2:$H$4,MOD(INT(MOD(CZ$3-'الموظفون'!$D$9,CycleWork+CycleRest)*3/CycleWork)+MATCH(StartShift,'الإعدادات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الإجازات'!$D$5:$D$104&lt;=CZ$3)*(('حجز الإجازات'!$E$5:$E$104)&gt;=CZ$3)*('حجز الإجازات'!$G$5:$G$104="معتمد")*ROW('حجز الإجازات'!$B$5:$B$104)))-5+1))</f>
        <v/>
      </c>
      <c r="DA11" s="62">
        <f>IF(SUMPRODUCT(('حجز الإجازات'!$B$5:$B$104='الموظفون'!$B$9)*('حجز الإجازات'!$D$5:$D$104&lt;=DA$3)*(('حجز الإجازات'!$E$5:$E$104)&gt;=DA$3)*('حجز الإجازات'!$G$5:$G$104="معتمد")*ROW('حجز الإجازات'!$B$5:$B$104))=0,IF(DA$3&lt;'الموظفون'!$D$9,"",IF(ISNUMBER(MATCH(DA$3,Holidays,0)),"عطلة",IF(MOD(DA$3-'الموظفون'!$D$9,CycleWork+CycleRest)&lt;CycleWork,INDEX('الإعدادات والقوائم'!$H$2:$H$4,MOD(INT(MOD(DA$3-'الموظفون'!$D$9,CycleWork+CycleRest)*3/CycleWork)+MATCH(StartShift,'الإعدادات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الإجازات'!$D$5:$D$104&lt;=DA$3)*(('حجز الإجازات'!$E$5:$E$104)&gt;=DA$3)*('حجز الإجازات'!$G$5:$G$104="معتمد")*ROW('حجز الإجازات'!$B$5:$B$104)))-5+1))</f>
        <v/>
      </c>
      <c r="DB11" s="62">
        <f>IF(SUMPRODUCT(('حجز الإجازات'!$B$5:$B$104='الموظفون'!$B$9)*('حجز الإجازات'!$D$5:$D$104&lt;=DB$3)*(('حجز الإجازات'!$E$5:$E$104)&gt;=DB$3)*('حجز الإجازات'!$G$5:$G$104="معتمد")*ROW('حجز الإجازات'!$B$5:$B$104))=0,IF(DB$3&lt;'الموظفون'!$D$9,"",IF(ISNUMBER(MATCH(DB$3,Holidays,0)),"عطلة",IF(MOD(DB$3-'الموظفون'!$D$9,CycleWork+CycleRest)&lt;CycleWork,INDEX('الإعدادات والقوائم'!$H$2:$H$4,MOD(INT(MOD(DB$3-'الموظفون'!$D$9,CycleWork+CycleRest)*3/CycleWork)+MATCH(StartShift,'الإعدادات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الإجازات'!$D$5:$D$104&lt;=DB$3)*(('حجز الإجازات'!$E$5:$E$104)&gt;=DB$3)*('حجز الإجازات'!$G$5:$G$104="معتمد")*ROW('حجز الإجازات'!$B$5:$B$104)))-5+1))</f>
        <v/>
      </c>
      <c r="DC11" s="62">
        <f>IF(SUMPRODUCT(('حجز الإجازات'!$B$5:$B$104='الموظفون'!$B$9)*('حجز الإجازات'!$D$5:$D$104&lt;=DC$3)*(('حجز الإجازات'!$E$5:$E$104)&gt;=DC$3)*('حجز الإجازات'!$G$5:$G$104="معتمد")*ROW('حجز الإجازات'!$B$5:$B$104))=0,IF(DC$3&lt;'الموظفون'!$D$9,"",IF(ISNUMBER(MATCH(DC$3,Holidays,0)),"عطلة",IF(MOD(DC$3-'الموظفون'!$D$9,CycleWork+CycleRest)&lt;CycleWork,INDEX('الإعدادات والقوائم'!$H$2:$H$4,MOD(INT(MOD(DC$3-'الموظفون'!$D$9,CycleWork+CycleRest)*3/CycleWork)+MATCH(StartShift,'الإعدادات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الإجازات'!$D$5:$D$104&lt;=DC$3)*(('حجز الإجازات'!$E$5:$E$104)&gt;=DC$3)*('حجز الإجازات'!$G$5:$G$104="معتمد")*ROW('حجز الإجازات'!$B$5:$B$104)))-5+1))</f>
        <v/>
      </c>
      <c r="DD11" s="62">
        <f>IF(SUMPRODUCT(('حجز الإجازات'!$B$5:$B$104='الموظفون'!$B$9)*('حجز الإجازات'!$D$5:$D$104&lt;=DD$3)*(('حجز الإجازات'!$E$5:$E$104)&gt;=DD$3)*('حجز الإجازات'!$G$5:$G$104="معتمد")*ROW('حجز الإجازات'!$B$5:$B$104))=0,IF(DD$3&lt;'الموظفون'!$D$9,"",IF(ISNUMBER(MATCH(DD$3,Holidays,0)),"عطلة",IF(MOD(DD$3-'الموظفون'!$D$9,CycleWork+CycleRest)&lt;CycleWork,INDEX('الإعدادات والقوائم'!$H$2:$H$4,MOD(INT(MOD(DD$3-'الموظفون'!$D$9,CycleWork+CycleRest)*3/CycleWork)+MATCH(StartShift,'الإعدادات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الإجازات'!$D$5:$D$104&lt;=DD$3)*(('حجز الإجازات'!$E$5:$E$104)&gt;=DD$3)*('حجز الإجازات'!$G$5:$G$104="معتمد")*ROW('حجز الإجازات'!$B$5:$B$104)))-5+1))</f>
        <v/>
      </c>
      <c r="DE11" s="62">
        <f>IF(SUMPRODUCT(('حجز الإجازات'!$B$5:$B$104='الموظفون'!$B$9)*('حجز الإجازات'!$D$5:$D$104&lt;=DE$3)*(('حجز الإجازات'!$E$5:$E$104)&gt;=DE$3)*('حجز الإجازات'!$G$5:$G$104="معتمد")*ROW('حجز الإجازات'!$B$5:$B$104))=0,IF(DE$3&lt;'الموظفون'!$D$9,"",IF(ISNUMBER(MATCH(DE$3,Holidays,0)),"عطلة",IF(MOD(DE$3-'الموظفون'!$D$9,CycleWork+CycleRest)&lt;CycleWork,INDEX('الإعدادات والقوائم'!$H$2:$H$4,MOD(INT(MOD(DE$3-'الموظفون'!$D$9,CycleWork+CycleRest)*3/CycleWork)+MATCH(StartShift,'الإعدادات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الإجازات'!$D$5:$D$104&lt;=DE$3)*(('حجز الإجازات'!$E$5:$E$104)&gt;=DE$3)*('حجز الإجازات'!$G$5:$G$104="معتمد")*ROW('حجز الإجازات'!$B$5:$B$104)))-5+1))</f>
        <v/>
      </c>
      <c r="DF11" s="62">
        <f>IF(SUMPRODUCT(('حجز الإجازات'!$B$5:$B$104='الموظفون'!$B$9)*('حجز الإجازات'!$D$5:$D$104&lt;=DF$3)*(('حجز الإجازات'!$E$5:$E$104)&gt;=DF$3)*('حجز الإجازات'!$G$5:$G$104="معتمد")*ROW('حجز الإجازات'!$B$5:$B$104))=0,IF(DF$3&lt;'الموظفون'!$D$9,"",IF(ISNUMBER(MATCH(DF$3,Holidays,0)),"عطلة",IF(MOD(DF$3-'الموظفون'!$D$9,CycleWork+CycleRest)&lt;CycleWork,INDEX('الإعدادات والقوائم'!$H$2:$H$4,MOD(INT(MOD(DF$3-'الموظفون'!$D$9,CycleWork+CycleRest)*3/CycleWork)+MATCH(StartShift,'الإعدادات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الإجازات'!$D$5:$D$104&lt;=DF$3)*(('حجز الإجازات'!$E$5:$E$104)&gt;=DF$3)*('حجز الإجازات'!$G$5:$G$104="معتمد")*ROW('حجز الإجازات'!$B$5:$B$104)))-5+1))</f>
        <v/>
      </c>
      <c r="DG11" s="62">
        <f>IF(SUMPRODUCT(('حجز الإجازات'!$B$5:$B$104='الموظفون'!$B$9)*('حجز الإجازات'!$D$5:$D$104&lt;=DG$3)*(('حجز الإجازات'!$E$5:$E$104)&gt;=DG$3)*('حجز الإجازات'!$G$5:$G$104="معتمد")*ROW('حجز الإجازات'!$B$5:$B$104))=0,IF(DG$3&lt;'الموظفون'!$D$9,"",IF(ISNUMBER(MATCH(DG$3,Holidays,0)),"عطلة",IF(MOD(DG$3-'الموظفون'!$D$9,CycleWork+CycleRest)&lt;CycleWork,INDEX('الإعدادات والقوائم'!$H$2:$H$4,MOD(INT(MOD(DG$3-'الموظفون'!$D$9,CycleWork+CycleRest)*3/CycleWork)+MATCH(StartShift,'الإعدادات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الإجازات'!$D$5:$D$104&lt;=DG$3)*(('حجز الإجازات'!$E$5:$E$104)&gt;=DG$3)*('حجز الإجازات'!$G$5:$G$104="معتمد")*ROW('حجز الإجازات'!$B$5:$B$104)))-5+1))</f>
        <v/>
      </c>
      <c r="DH11" s="62">
        <f>IF(SUMPRODUCT(('حجز الإجازات'!$B$5:$B$104='الموظفون'!$B$9)*('حجز الإجازات'!$D$5:$D$104&lt;=DH$3)*(('حجز الإجازات'!$E$5:$E$104)&gt;=DH$3)*('حجز الإجازات'!$G$5:$G$104="معتمد")*ROW('حجز الإجازات'!$B$5:$B$104))=0,IF(DH$3&lt;'الموظفون'!$D$9,"",IF(ISNUMBER(MATCH(DH$3,Holidays,0)),"عطلة",IF(MOD(DH$3-'الموظفون'!$D$9,CycleWork+CycleRest)&lt;CycleWork,INDEX('الإعدادات والقوائم'!$H$2:$H$4,MOD(INT(MOD(DH$3-'الموظفون'!$D$9,CycleWork+CycleRest)*3/CycleWork)+MATCH(StartShift,'الإعدادات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الإجازات'!$D$5:$D$104&lt;=DH$3)*(('حجز الإجازات'!$E$5:$E$104)&gt;=DH$3)*('حجز الإجازات'!$G$5:$G$104="معتمد")*ROW('حجز الإجازات'!$B$5:$B$104)))-5+1))</f>
        <v/>
      </c>
      <c r="DI11" s="62">
        <f>IF(SUMPRODUCT(('حجز الإجازات'!$B$5:$B$104='الموظفون'!$B$9)*('حجز الإجازات'!$D$5:$D$104&lt;=DI$3)*(('حجز الإجازات'!$E$5:$E$104)&gt;=DI$3)*('حجز الإجازات'!$G$5:$G$104="معتمد")*ROW('حجز الإجازات'!$B$5:$B$104))=0,IF(DI$3&lt;'الموظفون'!$D$9,"",IF(ISNUMBER(MATCH(DI$3,Holidays,0)),"عطلة",IF(MOD(DI$3-'الموظفون'!$D$9,CycleWork+CycleRest)&lt;CycleWork,INDEX('الإعدادات والقوائم'!$H$2:$H$4,MOD(INT(MOD(DI$3-'الموظفون'!$D$9,CycleWork+CycleRest)*3/CycleWork)+MATCH(StartShift,'الإعدادات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الإجازات'!$D$5:$D$104&lt;=DI$3)*(('حجز الإجازات'!$E$5:$E$104)&gt;=DI$3)*('حجز الإجازات'!$G$5:$G$104="معتمد")*ROW('حجز الإجازات'!$B$5:$B$104)))-5+1))</f>
        <v/>
      </c>
      <c r="DJ11" s="62">
        <f>IF(SUMPRODUCT(('حجز الإجازات'!$B$5:$B$104='الموظفون'!$B$9)*('حجز الإجازات'!$D$5:$D$104&lt;=DJ$3)*(('حجز الإجازات'!$E$5:$E$104)&gt;=DJ$3)*('حجز الإجازات'!$G$5:$G$104="معتمد")*ROW('حجز الإجازات'!$B$5:$B$104))=0,IF(DJ$3&lt;'الموظفون'!$D$9,"",IF(ISNUMBER(MATCH(DJ$3,Holidays,0)),"عطلة",IF(MOD(DJ$3-'الموظفون'!$D$9,CycleWork+CycleRest)&lt;CycleWork,INDEX('الإعدادات والقوائم'!$H$2:$H$4,MOD(INT(MOD(DJ$3-'الموظفون'!$D$9,CycleWork+CycleRest)*3/CycleWork)+MATCH(StartShift,'الإعدادات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الإجازات'!$D$5:$D$104&lt;=DJ$3)*(('حجز الإجازات'!$E$5:$E$104)&gt;=DJ$3)*('حجز الإجازات'!$G$5:$G$104="معتمد")*ROW('حجز الإجازات'!$B$5:$B$104)))-5+1))</f>
        <v/>
      </c>
      <c r="DK11" s="62">
        <f>IF(SUMPRODUCT(('حجز الإجازات'!$B$5:$B$104='الموظفون'!$B$9)*('حجز الإجازات'!$D$5:$D$104&lt;=DK$3)*(('حجز الإجازات'!$E$5:$E$104)&gt;=DK$3)*('حجز الإجازات'!$G$5:$G$104="معتمد")*ROW('حجز الإجازات'!$B$5:$B$104))=0,IF(DK$3&lt;'الموظفون'!$D$9,"",IF(ISNUMBER(MATCH(DK$3,Holidays,0)),"عطلة",IF(MOD(DK$3-'الموظفون'!$D$9,CycleWork+CycleRest)&lt;CycleWork,INDEX('الإعدادات والقوائم'!$H$2:$H$4,MOD(INT(MOD(DK$3-'الموظفون'!$D$9,CycleWork+CycleRest)*3/CycleWork)+MATCH(StartShift,'الإعدادات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الإجازات'!$D$5:$D$104&lt;=DK$3)*(('حجز الإجازات'!$E$5:$E$104)&gt;=DK$3)*('حجز الإجازات'!$G$5:$G$104="معتمد")*ROW('حجز الإجازات'!$B$5:$B$104)))-5+1))</f>
        <v/>
      </c>
      <c r="DL11" s="62">
        <f>IF(SUMPRODUCT(('حجز الإجازات'!$B$5:$B$104='الموظفون'!$B$9)*('حجز الإجازات'!$D$5:$D$104&lt;=DL$3)*(('حجز الإجازات'!$E$5:$E$104)&gt;=DL$3)*('حجز الإجازات'!$G$5:$G$104="معتمد")*ROW('حجز الإجازات'!$B$5:$B$104))=0,IF(DL$3&lt;'الموظفون'!$D$9,"",IF(ISNUMBER(MATCH(DL$3,Holidays,0)),"عطلة",IF(MOD(DL$3-'الموظفون'!$D$9,CycleWork+CycleRest)&lt;CycleWork,INDEX('الإعدادات والقوائم'!$H$2:$H$4,MOD(INT(MOD(DL$3-'الموظفون'!$D$9,CycleWork+CycleRest)*3/CycleWork)+MATCH(StartShift,'الإعدادات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الإجازات'!$D$5:$D$104&lt;=DL$3)*(('حجز الإجازات'!$E$5:$E$104)&gt;=DL$3)*('حجز الإجازات'!$G$5:$G$104="معتمد")*ROW('حجز الإجازات'!$B$5:$B$104)))-5+1))</f>
        <v/>
      </c>
      <c r="DM11" s="62">
        <f>IF(SUMPRODUCT(('حجز الإجازات'!$B$5:$B$104='الموظفون'!$B$9)*('حجز الإجازات'!$D$5:$D$104&lt;=DM$3)*(('حجز الإجازات'!$E$5:$E$104)&gt;=DM$3)*('حجز الإجازات'!$G$5:$G$104="معتمد")*ROW('حجز الإجازات'!$B$5:$B$104))=0,IF(DM$3&lt;'الموظفون'!$D$9,"",IF(ISNUMBER(MATCH(DM$3,Holidays,0)),"عطلة",IF(MOD(DM$3-'الموظفون'!$D$9,CycleWork+CycleRest)&lt;CycleWork,INDEX('الإعدادات والقوائم'!$H$2:$H$4,MOD(INT(MOD(DM$3-'الموظفون'!$D$9,CycleWork+CycleRest)*3/CycleWork)+MATCH(StartShift,'الإعدادات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الإجازات'!$D$5:$D$104&lt;=DM$3)*(('حجز الإجازات'!$E$5:$E$104)&gt;=DM$3)*('حجز الإجازات'!$G$5:$G$104="معتمد")*ROW('حجز الإجازات'!$B$5:$B$104)))-5+1))</f>
        <v/>
      </c>
      <c r="DN11" s="62">
        <f>IF(SUMPRODUCT(('حجز الإجازات'!$B$5:$B$104='الموظفون'!$B$9)*('حجز الإجازات'!$D$5:$D$104&lt;=DN$3)*(('حجز الإجازات'!$E$5:$E$104)&gt;=DN$3)*('حجز الإجازات'!$G$5:$G$104="معتمد")*ROW('حجز الإجازات'!$B$5:$B$104))=0,IF(DN$3&lt;'الموظفون'!$D$9,"",IF(ISNUMBER(MATCH(DN$3,Holidays,0)),"عطلة",IF(MOD(DN$3-'الموظفون'!$D$9,CycleWork+CycleRest)&lt;CycleWork,INDEX('الإعدادات والقوائم'!$H$2:$H$4,MOD(INT(MOD(DN$3-'الموظفون'!$D$9,CycleWork+CycleRest)*3/CycleWork)+MATCH(StartShift,'الإعدادات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الإجازات'!$D$5:$D$104&lt;=DN$3)*(('حجز الإجازات'!$E$5:$E$104)&gt;=DN$3)*('حجز الإجازات'!$G$5:$G$104="معتمد")*ROW('حجز الإجازات'!$B$5:$B$104)))-5+1))</f>
        <v/>
      </c>
      <c r="DO11" s="62">
        <f>IF(SUMPRODUCT(('حجز الإجازات'!$B$5:$B$104='الموظفون'!$B$9)*('حجز الإجازات'!$D$5:$D$104&lt;=DO$3)*(('حجز الإجازات'!$E$5:$E$104)&gt;=DO$3)*('حجز الإجازات'!$G$5:$G$104="معتمد")*ROW('حجز الإجازات'!$B$5:$B$104))=0,IF(DO$3&lt;'الموظفون'!$D$9,"",IF(ISNUMBER(MATCH(DO$3,Holidays,0)),"عطلة",IF(MOD(DO$3-'الموظفون'!$D$9,CycleWork+CycleRest)&lt;CycleWork,INDEX('الإعدادات والقوائم'!$H$2:$H$4,MOD(INT(MOD(DO$3-'الموظفون'!$D$9,CycleWork+CycleRest)*3/CycleWork)+MATCH(StartShift,'الإعدادات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الإجازات'!$D$5:$D$104&lt;=DO$3)*(('حجز الإجازات'!$E$5:$E$104)&gt;=DO$3)*('حجز الإجازات'!$G$5:$G$104="معتمد")*ROW('حجز الإجازات'!$B$5:$B$104)))-5+1))</f>
        <v/>
      </c>
      <c r="DP11" s="62">
        <f>IF(SUMPRODUCT(('حجز الإجازات'!$B$5:$B$104='الموظفون'!$B$9)*('حجز الإجازات'!$D$5:$D$104&lt;=DP$3)*(('حجز الإجازات'!$E$5:$E$104)&gt;=DP$3)*('حجز الإجازات'!$G$5:$G$104="معتمد")*ROW('حجز الإجازات'!$B$5:$B$104))=0,IF(DP$3&lt;'الموظفون'!$D$9,"",IF(ISNUMBER(MATCH(DP$3,Holidays,0)),"عطلة",IF(MOD(DP$3-'الموظفون'!$D$9,CycleWork+CycleRest)&lt;CycleWork,INDEX('الإعدادات والقوائم'!$H$2:$H$4,MOD(INT(MOD(DP$3-'الموظفون'!$D$9,CycleWork+CycleRest)*3/CycleWork)+MATCH(StartShift,'الإعدادات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الإجازات'!$D$5:$D$104&lt;=DP$3)*(('حجز الإجازات'!$E$5:$E$104)&gt;=DP$3)*('حجز الإجازات'!$G$5:$G$104="معتمد")*ROW('حجز الإجازات'!$B$5:$B$104)))-5+1))</f>
        <v/>
      </c>
      <c r="DQ11" s="62">
        <f>IF(SUMPRODUCT(('حجز الإجازات'!$B$5:$B$104='الموظفون'!$B$9)*('حجز الإجازات'!$D$5:$D$104&lt;=DQ$3)*(('حجز الإجازات'!$E$5:$E$104)&gt;=DQ$3)*('حجز الإجازات'!$G$5:$G$104="معتمد")*ROW('حجز الإجازات'!$B$5:$B$104))=0,IF(DQ$3&lt;'الموظفون'!$D$9,"",IF(ISNUMBER(MATCH(DQ$3,Holidays,0)),"عطلة",IF(MOD(DQ$3-'الموظفون'!$D$9,CycleWork+CycleRest)&lt;CycleWork,INDEX('الإعدادات والقوائم'!$H$2:$H$4,MOD(INT(MOD(DQ$3-'الموظفون'!$D$9,CycleWork+CycleRest)*3/CycleWork)+MATCH(StartShift,'الإعدادات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الإجازات'!$D$5:$D$104&lt;=DQ$3)*(('حجز الإجازات'!$E$5:$E$104)&gt;=DQ$3)*('حجز الإجازات'!$G$5:$G$104="معتمد")*ROW('حجز الإجازات'!$B$5:$B$104)))-5+1))</f>
        <v/>
      </c>
      <c r="DR11" s="62">
        <f>IF(SUMPRODUCT(('حجز الإجازات'!$B$5:$B$104='الموظفون'!$B$9)*('حجز الإجازات'!$D$5:$D$104&lt;=DR$3)*(('حجز الإجازات'!$E$5:$E$104)&gt;=DR$3)*('حجز الإجازات'!$G$5:$G$104="معتمد")*ROW('حجز الإجازات'!$B$5:$B$104))=0,IF(DR$3&lt;'الموظفون'!$D$9,"",IF(ISNUMBER(MATCH(DR$3,Holidays,0)),"عطلة",IF(MOD(DR$3-'الموظفون'!$D$9,CycleWork+CycleRest)&lt;CycleWork,INDEX('الإعدادات والقوائم'!$H$2:$H$4,MOD(INT(MOD(DR$3-'الموظفون'!$D$9,CycleWork+CycleRest)*3/CycleWork)+MATCH(StartShift,'الإعدادات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الإجازات'!$D$5:$D$104&lt;=DR$3)*(('حجز الإجازات'!$E$5:$E$104)&gt;=DR$3)*('حجز الإجازات'!$G$5:$G$104="معتمد")*ROW('حجز الإجازات'!$B$5:$B$104)))-5+1))</f>
        <v/>
      </c>
      <c r="DS11" s="62">
        <f>IF(SUMPRODUCT(('حجز الإجازات'!$B$5:$B$104='الموظفون'!$B$9)*('حجز الإجازات'!$D$5:$D$104&lt;=DS$3)*(('حجز الإجازات'!$E$5:$E$104)&gt;=DS$3)*('حجز الإجازات'!$G$5:$G$104="معتمد")*ROW('حجز الإجازات'!$B$5:$B$104))=0,IF(DS$3&lt;'الموظفون'!$D$9,"",IF(ISNUMBER(MATCH(DS$3,Holidays,0)),"عطلة",IF(MOD(DS$3-'الموظفون'!$D$9,CycleWork+CycleRest)&lt;CycleWork,INDEX('الإعدادات والقوائم'!$H$2:$H$4,MOD(INT(MOD(DS$3-'الموظفون'!$D$9,CycleWork+CycleRest)*3/CycleWork)+MATCH(StartShift,'الإعدادات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الإجازات'!$D$5:$D$104&lt;=DS$3)*(('حجز الإجازات'!$E$5:$E$104)&gt;=DS$3)*('حجز الإجازات'!$G$5:$G$104="معتمد")*ROW('حجز الإجازات'!$B$5:$B$104)))-5+1))</f>
        <v/>
      </c>
      <c r="DT11" s="62">
        <f>IF(SUMPRODUCT(('حجز الإجازات'!$B$5:$B$104='الموظفون'!$B$9)*('حجز الإجازات'!$D$5:$D$104&lt;=DT$3)*(('حجز الإجازات'!$E$5:$E$104)&gt;=DT$3)*('حجز الإجازات'!$G$5:$G$104="معتمد")*ROW('حجز الإجازات'!$B$5:$B$104))=0,IF(DT$3&lt;'الموظفون'!$D$9,"",IF(ISNUMBER(MATCH(DT$3,Holidays,0)),"عطلة",IF(MOD(DT$3-'الموظفون'!$D$9,CycleWork+CycleRest)&lt;CycleWork,INDEX('الإعدادات والقوائم'!$H$2:$H$4,MOD(INT(MOD(DT$3-'الموظفون'!$D$9,CycleWork+CycleRest)*3/CycleWork)+MATCH(StartShift,'الإعدادات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الإجازات'!$D$5:$D$104&lt;=DT$3)*(('حجز الإجازات'!$E$5:$E$104)&gt;=DT$3)*('حجز الإجازات'!$G$5:$G$104="معتمد")*ROW('حجز الإجازات'!$B$5:$B$104)))-5+1))</f>
        <v/>
      </c>
      <c r="DU11" s="62">
        <f>IF(SUMPRODUCT(('حجز الإجازات'!$B$5:$B$104='الموظفون'!$B$9)*('حجز الإجازات'!$D$5:$D$104&lt;=DU$3)*(('حجز الإجازات'!$E$5:$E$104)&gt;=DU$3)*('حجز الإجازات'!$G$5:$G$104="معتمد")*ROW('حجز الإجازات'!$B$5:$B$104))=0,IF(DU$3&lt;'الموظفون'!$D$9,"",IF(ISNUMBER(MATCH(DU$3,Holidays,0)),"عطلة",IF(MOD(DU$3-'الموظفون'!$D$9,CycleWork+CycleRest)&lt;CycleWork,INDEX('الإعدادات والقوائم'!$H$2:$H$4,MOD(INT(MOD(DU$3-'الموظفون'!$D$9,CycleWork+CycleRest)*3/CycleWork)+MATCH(StartShift,'الإعدادات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الإجازات'!$D$5:$D$104&lt;=DU$3)*(('حجز الإجازات'!$E$5:$E$104)&gt;=DU$3)*('حجز الإجازات'!$G$5:$G$104="معتمد")*ROW('حجز الإجازات'!$B$5:$B$104)))-5+1))</f>
        <v/>
      </c>
      <c r="DV11" s="62">
        <f>IF(SUMPRODUCT(('حجز الإجازات'!$B$5:$B$104='الموظفون'!$B$9)*('حجز الإجازات'!$D$5:$D$104&lt;=DV$3)*(('حجز الإجازات'!$E$5:$E$104)&gt;=DV$3)*('حجز الإجازات'!$G$5:$G$104="معتمد")*ROW('حجز الإجازات'!$B$5:$B$104))=0,IF(DV$3&lt;'الموظفون'!$D$9,"",IF(ISNUMBER(MATCH(DV$3,Holidays,0)),"عطلة",IF(MOD(DV$3-'الموظفون'!$D$9,CycleWork+CycleRest)&lt;CycleWork,INDEX('الإعدادات والقوائم'!$H$2:$H$4,MOD(INT(MOD(DV$3-'الموظفون'!$D$9,CycleWork+CycleRest)*3/CycleWork)+MATCH(StartShift,'الإعدادات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الإجازات'!$D$5:$D$104&lt;=DV$3)*(('حجز الإجازات'!$E$5:$E$104)&gt;=DV$3)*('حجز الإجازات'!$G$5:$G$104="معتمد")*ROW('حجز الإجازات'!$B$5:$B$104)))-5+1))</f>
        <v/>
      </c>
      <c r="DW11" s="62">
        <f>IF(SUMPRODUCT(('حجز الإجازات'!$B$5:$B$104='الموظفون'!$B$9)*('حجز الإجازات'!$D$5:$D$104&lt;=DW$3)*(('حجز الإجازات'!$E$5:$E$104)&gt;=DW$3)*('حجز الإجازات'!$G$5:$G$104="معتمد")*ROW('حجز الإجازات'!$B$5:$B$104))=0,IF(DW$3&lt;'الموظفون'!$D$9,"",IF(ISNUMBER(MATCH(DW$3,Holidays,0)),"عطلة",IF(MOD(DW$3-'الموظفون'!$D$9,CycleWork+CycleRest)&lt;CycleWork,INDEX('الإعدادات والقوائم'!$H$2:$H$4,MOD(INT(MOD(DW$3-'الموظفون'!$D$9,CycleWork+CycleRest)*3/CycleWork)+MATCH(StartShift,'الإعدادات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الإجازات'!$D$5:$D$104&lt;=DW$3)*(('حجز الإجازات'!$E$5:$E$104)&gt;=DW$3)*('حجز الإجازات'!$G$5:$G$104="معتمد")*ROW('حجز الإجازات'!$B$5:$B$104)))-5+1))</f>
        <v/>
      </c>
      <c r="DX11" s="62">
        <f>IF(SUMPRODUCT(('حجز الإجازات'!$B$5:$B$104='الموظفون'!$B$9)*('حجز الإجازات'!$D$5:$D$104&lt;=DX$3)*(('حجز الإجازات'!$E$5:$E$104)&gt;=DX$3)*('حجز الإجازات'!$G$5:$G$104="معتمد")*ROW('حجز الإجازات'!$B$5:$B$104))=0,IF(DX$3&lt;'الموظفون'!$D$9,"",IF(ISNUMBER(MATCH(DX$3,Holidays,0)),"عطلة",IF(MOD(DX$3-'الموظفون'!$D$9,CycleWork+CycleRest)&lt;CycleWork,INDEX('الإعدادات والقوائم'!$H$2:$H$4,MOD(INT(MOD(DX$3-'الموظفون'!$D$9,CycleWork+CycleRest)*3/CycleWork)+MATCH(StartShift,'الإعدادات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الإجازات'!$D$5:$D$104&lt;=DX$3)*(('حجز الإجازات'!$E$5:$E$104)&gt;=DX$3)*('حجز الإجازات'!$G$5:$G$104="معتمد")*ROW('حجز الإجازات'!$B$5:$B$104)))-5+1))</f>
        <v/>
      </c>
      <c r="DY11" s="62">
        <f>IF(SUMPRODUCT(('حجز الإجازات'!$B$5:$B$104='الموظفون'!$B$9)*('حجز الإجازات'!$D$5:$D$104&lt;=DY$3)*(('حجز الإجازات'!$E$5:$E$104)&gt;=DY$3)*('حجز الإجازات'!$G$5:$G$104="معتمد")*ROW('حجز الإجازات'!$B$5:$B$104))=0,IF(DY$3&lt;'الموظفون'!$D$9,"",IF(ISNUMBER(MATCH(DY$3,Holidays,0)),"عطلة",IF(MOD(DY$3-'الموظفون'!$D$9,CycleWork+CycleRest)&lt;CycleWork,INDEX('الإعدادات والقوائم'!$H$2:$H$4,MOD(INT(MOD(DY$3-'الموظفون'!$D$9,CycleWork+CycleRest)*3/CycleWork)+MATCH(StartShift,'الإعدادات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الإجازات'!$D$5:$D$104&lt;=DY$3)*(('حجز الإجازات'!$E$5:$E$104)&gt;=DY$3)*('حجز الإجازات'!$G$5:$G$104="معتمد")*ROW('حجز الإجازات'!$B$5:$B$104)))-5+1))</f>
        <v/>
      </c>
      <c r="DZ11" s="62">
        <f>IF(SUMPRODUCT(('حجز الإجازات'!$B$5:$B$104='الموظفون'!$B$9)*('حجز الإجازات'!$D$5:$D$104&lt;=DZ$3)*(('حجز الإجازات'!$E$5:$E$104)&gt;=DZ$3)*('حجز الإجازات'!$G$5:$G$104="معتمد")*ROW('حجز الإجازات'!$B$5:$B$104))=0,IF(DZ$3&lt;'الموظفون'!$D$9,"",IF(ISNUMBER(MATCH(DZ$3,Holidays,0)),"عطلة",IF(MOD(DZ$3-'الموظفون'!$D$9,CycleWork+CycleRest)&lt;CycleWork,INDEX('الإعدادات والقوائم'!$H$2:$H$4,MOD(INT(MOD(DZ$3-'الموظفون'!$D$9,CycleWork+CycleRest)*3/CycleWork)+MATCH(StartShift,'الإعدادات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الإجازات'!$D$5:$D$104&lt;=DZ$3)*(('حجز الإجازات'!$E$5:$E$104)&gt;=DZ$3)*('حجز الإجازات'!$G$5:$G$104="معتمد")*ROW('حجز الإجازات'!$B$5:$B$104)))-5+1))</f>
        <v/>
      </c>
      <c r="EA11" s="62">
        <f>IF(SUMPRODUCT(('حجز الإجازات'!$B$5:$B$104='الموظفون'!$B$9)*('حجز الإجازات'!$D$5:$D$104&lt;=EA$3)*(('حجز الإجازات'!$E$5:$E$104)&gt;=EA$3)*('حجز الإجازات'!$G$5:$G$104="معتمد")*ROW('حجز الإجازات'!$B$5:$B$104))=0,IF(EA$3&lt;'الموظفون'!$D$9,"",IF(ISNUMBER(MATCH(EA$3,Holidays,0)),"عطلة",IF(MOD(EA$3-'الموظفون'!$D$9,CycleWork+CycleRest)&lt;CycleWork,INDEX('الإعدادات والقوائم'!$H$2:$H$4,MOD(INT(MOD(EA$3-'الموظفون'!$D$9,CycleWork+CycleRest)*3/CycleWork)+MATCH(StartShift,'الإعدادات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الإجازات'!$D$5:$D$104&lt;=EA$3)*(('حجز الإجازات'!$E$5:$E$104)&gt;=EA$3)*('حجز الإجازات'!$G$5:$G$104="معتمد")*ROW('حجز الإجازات'!$B$5:$B$104)))-5+1))</f>
        <v/>
      </c>
      <c r="EB11" s="62">
        <f>IF(SUMPRODUCT(('حجز الإجازات'!$B$5:$B$104='الموظفون'!$B$9)*('حجز الإجازات'!$D$5:$D$104&lt;=EB$3)*(('حجز الإجازات'!$E$5:$E$104)&gt;=EB$3)*('حجز الإجازات'!$G$5:$G$104="معتمد")*ROW('حجز الإجازات'!$B$5:$B$104))=0,IF(EB$3&lt;'الموظفون'!$D$9,"",IF(ISNUMBER(MATCH(EB$3,Holidays,0)),"عطلة",IF(MOD(EB$3-'الموظفون'!$D$9,CycleWork+CycleRest)&lt;CycleWork,INDEX('الإعدادات والقوائم'!$H$2:$H$4,MOD(INT(MOD(EB$3-'الموظفون'!$D$9,CycleWork+CycleRest)*3/CycleWork)+MATCH(StartShift,'الإعدادات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الإجازات'!$D$5:$D$104&lt;=EB$3)*(('حجز الإجازات'!$E$5:$E$104)&gt;=EB$3)*('حجز الإجازات'!$G$5:$G$104="معتمد")*ROW('حجز الإجازات'!$B$5:$B$104)))-5+1))</f>
        <v/>
      </c>
      <c r="EC11" s="62">
        <f>IF(SUMPRODUCT(('حجز الإجازات'!$B$5:$B$104='الموظفون'!$B$9)*('حجز الإجازات'!$D$5:$D$104&lt;=EC$3)*(('حجز الإجازات'!$E$5:$E$104)&gt;=EC$3)*('حجز الإجازات'!$G$5:$G$104="معتمد")*ROW('حجز الإجازات'!$B$5:$B$104))=0,IF(EC$3&lt;'الموظفون'!$D$9,"",IF(ISNUMBER(MATCH(EC$3,Holidays,0)),"عطلة",IF(MOD(EC$3-'الموظفون'!$D$9,CycleWork+CycleRest)&lt;CycleWork,INDEX('الإعدادات والقوائم'!$H$2:$H$4,MOD(INT(MOD(EC$3-'الموظفون'!$D$9,CycleWork+CycleRest)*3/CycleWork)+MATCH(StartShift,'الإعدادات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الإجازات'!$D$5:$D$104&lt;=EC$3)*(('حجز الإجازات'!$E$5:$E$104)&gt;=EC$3)*('حجز الإجازات'!$G$5:$G$104="معتمد")*ROW('حجز الإجازات'!$B$5:$B$104)))-5+1))</f>
        <v/>
      </c>
      <c r="ED11" s="62">
        <f>IF(SUMPRODUCT(('حجز الإجازات'!$B$5:$B$104='الموظفون'!$B$9)*('حجز الإجازات'!$D$5:$D$104&lt;=ED$3)*(('حجز الإجازات'!$E$5:$E$104)&gt;=ED$3)*('حجز الإجازات'!$G$5:$G$104="معتمد")*ROW('حجز الإجازات'!$B$5:$B$104))=0,IF(ED$3&lt;'الموظفون'!$D$9,"",IF(ISNUMBER(MATCH(ED$3,Holidays,0)),"عطلة",IF(MOD(ED$3-'الموظفون'!$D$9,CycleWork+CycleRest)&lt;CycleWork,INDEX('الإعدادات والقوائم'!$H$2:$H$4,MOD(INT(MOD(ED$3-'الموظفون'!$D$9,CycleWork+CycleRest)*3/CycleWork)+MATCH(StartShift,'الإعدادات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الإجازات'!$D$5:$D$104&lt;=ED$3)*(('حجز الإجازات'!$E$5:$E$104)&gt;=ED$3)*('حجز الإجازات'!$G$5:$G$104="معتمد")*ROW('حجز الإجازات'!$B$5:$B$104)))-5+1))</f>
        <v/>
      </c>
      <c r="EE11" s="62">
        <f>IF(SUMPRODUCT(('حجز الإجازات'!$B$5:$B$104='الموظفون'!$B$9)*('حجز الإجازات'!$D$5:$D$104&lt;=EE$3)*(('حجز الإجازات'!$E$5:$E$104)&gt;=EE$3)*('حجز الإجازات'!$G$5:$G$104="معتمد")*ROW('حجز الإجازات'!$B$5:$B$104))=0,IF(EE$3&lt;'الموظفون'!$D$9,"",IF(ISNUMBER(MATCH(EE$3,Holidays,0)),"عطلة",IF(MOD(EE$3-'الموظفون'!$D$9,CycleWork+CycleRest)&lt;CycleWork,INDEX('الإعدادات والقوائم'!$H$2:$H$4,MOD(INT(MOD(EE$3-'الموظفون'!$D$9,CycleWork+CycleRest)*3/CycleWork)+MATCH(StartShift,'الإعدادات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الإجازات'!$D$5:$D$104&lt;=EE$3)*(('حجز الإجازات'!$E$5:$E$104)&gt;=EE$3)*('حجز الإجازات'!$G$5:$G$104="معتمد")*ROW('حجز الإجازات'!$B$5:$B$104)))-5+1))</f>
        <v/>
      </c>
      <c r="EF11" s="62">
        <f>IF(SUMPRODUCT(('حجز الإجازات'!$B$5:$B$104='الموظفون'!$B$9)*('حجز الإجازات'!$D$5:$D$104&lt;=EF$3)*(('حجز الإجازات'!$E$5:$E$104)&gt;=EF$3)*('حجز الإجازات'!$G$5:$G$104="معتمد")*ROW('حجز الإجازات'!$B$5:$B$104))=0,IF(EF$3&lt;'الموظفون'!$D$9,"",IF(ISNUMBER(MATCH(EF$3,Holidays,0)),"عطلة",IF(MOD(EF$3-'الموظفون'!$D$9,CycleWork+CycleRest)&lt;CycleWork,INDEX('الإعدادات والقوائم'!$H$2:$H$4,MOD(INT(MOD(EF$3-'الموظفون'!$D$9,CycleWork+CycleRest)*3/CycleWork)+MATCH(StartShift,'الإعدادات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الإجازات'!$D$5:$D$104&lt;=EF$3)*(('حجز الإجازات'!$E$5:$E$104)&gt;=EF$3)*('حجز الإجازات'!$G$5:$G$104="معتمد")*ROW('حجز الإجازات'!$B$5:$B$104)))-5+1))</f>
        <v/>
      </c>
      <c r="EG11" s="62">
        <f>IF(SUMPRODUCT(('حجز الإجازات'!$B$5:$B$104='الموظفون'!$B$9)*('حجز الإجازات'!$D$5:$D$104&lt;=EG$3)*(('حجز الإجازات'!$E$5:$E$104)&gt;=EG$3)*('حجز الإجازات'!$G$5:$G$104="معتمد")*ROW('حجز الإجازات'!$B$5:$B$104))=0,IF(EG$3&lt;'الموظفون'!$D$9,"",IF(ISNUMBER(MATCH(EG$3,Holidays,0)),"عطلة",IF(MOD(EG$3-'الموظفون'!$D$9,CycleWork+CycleRest)&lt;CycleWork,INDEX('الإعدادات والقوائم'!$H$2:$H$4,MOD(INT(MOD(EG$3-'الموظفون'!$D$9,CycleWork+CycleRest)*3/CycleWork)+MATCH(StartShift,'الإعدادات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الإجازات'!$D$5:$D$104&lt;=EG$3)*(('حجز الإجازات'!$E$5:$E$104)&gt;=EG$3)*('حجز الإجازات'!$G$5:$G$104="معتمد")*ROW('حجز الإجازات'!$B$5:$B$104)))-5+1))</f>
        <v/>
      </c>
      <c r="EH11" s="62">
        <f>IF(SUMPRODUCT(('حجز الإجازات'!$B$5:$B$104='الموظفون'!$B$9)*('حجز الإجازات'!$D$5:$D$104&lt;=EH$3)*(('حجز الإجازات'!$E$5:$E$104)&gt;=EH$3)*('حجز الإجازات'!$G$5:$G$104="معتمد")*ROW('حجز الإجازات'!$B$5:$B$104))=0,IF(EH$3&lt;'الموظفون'!$D$9,"",IF(ISNUMBER(MATCH(EH$3,Holidays,0)),"عطلة",IF(MOD(EH$3-'الموظفون'!$D$9,CycleWork+CycleRest)&lt;CycleWork,INDEX('الإعدادات والقوائم'!$H$2:$H$4,MOD(INT(MOD(EH$3-'الموظفون'!$D$9,CycleWork+CycleRest)*3/CycleWork)+MATCH(StartShift,'الإعدادات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الإجازات'!$D$5:$D$104&lt;=EH$3)*(('حجز الإجازات'!$E$5:$E$104)&gt;=EH$3)*('حجز الإجازات'!$G$5:$G$104="معتمد")*ROW('حجز الإجازات'!$B$5:$B$104)))-5+1))</f>
        <v/>
      </c>
      <c r="EI11" s="62">
        <f>IF(SUMPRODUCT(('حجز الإجازات'!$B$5:$B$104='الموظفون'!$B$9)*('حجز الإجازات'!$D$5:$D$104&lt;=EI$3)*(('حجز الإجازات'!$E$5:$E$104)&gt;=EI$3)*('حجز الإجازات'!$G$5:$G$104="معتمد")*ROW('حجز الإجازات'!$B$5:$B$104))=0,IF(EI$3&lt;'الموظفون'!$D$9,"",IF(ISNUMBER(MATCH(EI$3,Holidays,0)),"عطلة",IF(MOD(EI$3-'الموظفون'!$D$9,CycleWork+CycleRest)&lt;CycleWork,INDEX('الإعدادات والقوائم'!$H$2:$H$4,MOD(INT(MOD(EI$3-'الموظفون'!$D$9,CycleWork+CycleRest)*3/CycleWork)+MATCH(StartShift,'الإعدادات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الإجازات'!$D$5:$D$104&lt;=EI$3)*(('حجز الإجازات'!$E$5:$E$104)&gt;=EI$3)*('حجز الإجازات'!$G$5:$G$104="معتمد")*ROW('حجز الإجازات'!$B$5:$B$104)))-5+1))</f>
        <v/>
      </c>
      <c r="EJ11" s="62">
        <f>IF(SUMPRODUCT(('حجز الإجازات'!$B$5:$B$104='الموظفون'!$B$9)*('حجز الإجازات'!$D$5:$D$104&lt;=EJ$3)*(('حجز الإجازات'!$E$5:$E$104)&gt;=EJ$3)*('حجز الإجازات'!$G$5:$G$104="معتمد")*ROW('حجز الإجازات'!$B$5:$B$104))=0,IF(EJ$3&lt;'الموظفون'!$D$9,"",IF(ISNUMBER(MATCH(EJ$3,Holidays,0)),"عطلة",IF(MOD(EJ$3-'الموظفون'!$D$9,CycleWork+CycleRest)&lt;CycleWork,INDEX('الإعدادات والقوائم'!$H$2:$H$4,MOD(INT(MOD(EJ$3-'الموظفون'!$D$9,CycleWork+CycleRest)*3/CycleWork)+MATCH(StartShift,'الإعدادات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الإجازات'!$D$5:$D$104&lt;=EJ$3)*(('حجز الإجازات'!$E$5:$E$104)&gt;=EJ$3)*('حجز الإجازات'!$G$5:$G$104="معتمد")*ROW('حجز الإجازات'!$B$5:$B$104)))-5+1))</f>
        <v/>
      </c>
      <c r="EK11" s="62">
        <f>IF(SUMPRODUCT(('حجز الإجازات'!$B$5:$B$104='الموظفون'!$B$9)*('حجز الإجازات'!$D$5:$D$104&lt;=EK$3)*(('حجز الإجازات'!$E$5:$E$104)&gt;=EK$3)*('حجز الإجازات'!$G$5:$G$104="معتمد")*ROW('حجز الإجازات'!$B$5:$B$104))=0,IF(EK$3&lt;'الموظفون'!$D$9,"",IF(ISNUMBER(MATCH(EK$3,Holidays,0)),"عطلة",IF(MOD(EK$3-'الموظفون'!$D$9,CycleWork+CycleRest)&lt;CycleWork,INDEX('الإعدادات والقوائم'!$H$2:$H$4,MOD(INT(MOD(EK$3-'الموظفون'!$D$9,CycleWork+CycleRest)*3/CycleWork)+MATCH(StartShift,'الإعدادات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الإجازات'!$D$5:$D$104&lt;=EK$3)*(('حجز الإجازات'!$E$5:$E$104)&gt;=EK$3)*('حجز الإجازات'!$G$5:$G$104="معتمد")*ROW('حجز الإجازات'!$B$5:$B$104)))-5+1))</f>
        <v/>
      </c>
      <c r="EL11" s="62">
        <f>IF(SUMPRODUCT(('حجز الإجازات'!$B$5:$B$104='الموظفون'!$B$9)*('حجز الإجازات'!$D$5:$D$104&lt;=EL$3)*(('حجز الإجازات'!$E$5:$E$104)&gt;=EL$3)*('حجز الإجازات'!$G$5:$G$104="معتمد")*ROW('حجز الإجازات'!$B$5:$B$104))=0,IF(EL$3&lt;'الموظفون'!$D$9,"",IF(ISNUMBER(MATCH(EL$3,Holidays,0)),"عطلة",IF(MOD(EL$3-'الموظفون'!$D$9,CycleWork+CycleRest)&lt;CycleWork,INDEX('الإعدادات والقوائم'!$H$2:$H$4,MOD(INT(MOD(EL$3-'الموظفون'!$D$9,CycleWork+CycleRest)*3/CycleWork)+MATCH(StartShift,'الإعدادات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الإجازات'!$D$5:$D$104&lt;=EL$3)*(('حجز الإجازات'!$E$5:$E$104)&gt;=EL$3)*('حجز الإجازات'!$G$5:$G$104="معتمد")*ROW('حجز الإجازات'!$B$5:$B$104)))-5+1))</f>
        <v/>
      </c>
      <c r="EM11" s="62">
        <f>IF(SUMPRODUCT(('حجز الإجازات'!$B$5:$B$104='الموظفون'!$B$9)*('حجز الإجازات'!$D$5:$D$104&lt;=EM$3)*(('حجز الإجازات'!$E$5:$E$104)&gt;=EM$3)*('حجز الإجازات'!$G$5:$G$104="معتمد")*ROW('حجز الإجازات'!$B$5:$B$104))=0,IF(EM$3&lt;'الموظفون'!$D$9,"",IF(ISNUMBER(MATCH(EM$3,Holidays,0)),"عطلة",IF(MOD(EM$3-'الموظفون'!$D$9,CycleWork+CycleRest)&lt;CycleWork,INDEX('الإعدادات والقوائم'!$H$2:$H$4,MOD(INT(MOD(EM$3-'الموظفون'!$D$9,CycleWork+CycleRest)*3/CycleWork)+MATCH(StartShift,'الإعدادات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الإجازات'!$D$5:$D$104&lt;=EM$3)*(('حجز الإجازات'!$E$5:$E$104)&gt;=EM$3)*('حجز الإجازات'!$G$5:$G$104="معتمد")*ROW('حجز الإجازات'!$B$5:$B$104)))-5+1))</f>
        <v/>
      </c>
      <c r="EN11" s="62">
        <f>IF(SUMPRODUCT(('حجز الإجازات'!$B$5:$B$104='الموظفون'!$B$9)*('حجز الإجازات'!$D$5:$D$104&lt;=EN$3)*(('حجز الإجازات'!$E$5:$E$104)&gt;=EN$3)*('حجز الإجازات'!$G$5:$G$104="معتمد")*ROW('حجز الإجازات'!$B$5:$B$104))=0,IF(EN$3&lt;'الموظفون'!$D$9,"",IF(ISNUMBER(MATCH(EN$3,Holidays,0)),"عطلة",IF(MOD(EN$3-'الموظفون'!$D$9,CycleWork+CycleRest)&lt;CycleWork,INDEX('الإعدادات والقوائم'!$H$2:$H$4,MOD(INT(MOD(EN$3-'الموظفون'!$D$9,CycleWork+CycleRest)*3/CycleWork)+MATCH(StartShift,'الإعدادات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الإجازات'!$D$5:$D$104&lt;=EN$3)*(('حجز الإجازات'!$E$5:$E$104)&gt;=EN$3)*('حجز الإجازات'!$G$5:$G$104="معتمد")*ROW('حجز الإجازات'!$B$5:$B$104)))-5+1))</f>
        <v/>
      </c>
      <c r="EO11" s="62">
        <f>IF(SUMPRODUCT(('حجز الإجازات'!$B$5:$B$104='الموظفون'!$B$9)*('حجز الإجازات'!$D$5:$D$104&lt;=EO$3)*(('حجز الإجازات'!$E$5:$E$104)&gt;=EO$3)*('حجز الإجازات'!$G$5:$G$104="معتمد")*ROW('حجز الإجازات'!$B$5:$B$104))=0,IF(EO$3&lt;'الموظفون'!$D$9,"",IF(ISNUMBER(MATCH(EO$3,Holidays,0)),"عطلة",IF(MOD(EO$3-'الموظفون'!$D$9,CycleWork+CycleRest)&lt;CycleWork,INDEX('الإعدادات والقوائم'!$H$2:$H$4,MOD(INT(MOD(EO$3-'الموظفون'!$D$9,CycleWork+CycleRest)*3/CycleWork)+MATCH(StartShift,'الإعدادات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الإجازات'!$D$5:$D$104&lt;=EO$3)*(('حجز الإجازات'!$E$5:$E$104)&gt;=EO$3)*('حجز الإجازات'!$G$5:$G$104="معتمد")*ROW('حجز الإجازات'!$B$5:$B$104)))-5+1))</f>
        <v/>
      </c>
      <c r="EP11" s="62">
        <f>IF(SUMPRODUCT(('حجز الإجازات'!$B$5:$B$104='الموظفون'!$B$9)*('حجز الإجازات'!$D$5:$D$104&lt;=EP$3)*(('حجز الإجازات'!$E$5:$E$104)&gt;=EP$3)*('حجز الإجازات'!$G$5:$G$104="معتمد")*ROW('حجز الإجازات'!$B$5:$B$104))=0,IF(EP$3&lt;'الموظفون'!$D$9,"",IF(ISNUMBER(MATCH(EP$3,Holidays,0)),"عطلة",IF(MOD(EP$3-'الموظفون'!$D$9,CycleWork+CycleRest)&lt;CycleWork,INDEX('الإعدادات والقوائم'!$H$2:$H$4,MOD(INT(MOD(EP$3-'الموظفون'!$D$9,CycleWork+CycleRest)*3/CycleWork)+MATCH(StartShift,'الإعدادات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الإجازات'!$D$5:$D$104&lt;=EP$3)*(('حجز الإجازات'!$E$5:$E$104)&gt;=EP$3)*('حجز الإجازات'!$G$5:$G$104="معتمد")*ROW('حجز الإجازات'!$B$5:$B$104)))-5+1))</f>
        <v/>
      </c>
      <c r="EQ11" s="62">
        <f>IF(SUMPRODUCT(('حجز الإجازات'!$B$5:$B$104='الموظفون'!$B$9)*('حجز الإجازات'!$D$5:$D$104&lt;=EQ$3)*(('حجز الإجازات'!$E$5:$E$104)&gt;=EQ$3)*('حجز الإجازات'!$G$5:$G$104="معتمد")*ROW('حجز الإجازات'!$B$5:$B$104))=0,IF(EQ$3&lt;'الموظفون'!$D$9,"",IF(ISNUMBER(MATCH(EQ$3,Holidays,0)),"عطلة",IF(MOD(EQ$3-'الموظفون'!$D$9,CycleWork+CycleRest)&lt;CycleWork,INDEX('الإعدادات والقوائم'!$H$2:$H$4,MOD(INT(MOD(EQ$3-'الموظفون'!$D$9,CycleWork+CycleRest)*3/CycleWork)+MATCH(StartShift,'الإعدادات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الإجازات'!$D$5:$D$104&lt;=EQ$3)*(('حجز الإجازات'!$E$5:$E$104)&gt;=EQ$3)*('حجز الإجازات'!$G$5:$G$104="معتمد")*ROW('حجز الإجازات'!$B$5:$B$104)))-5+1))</f>
        <v/>
      </c>
      <c r="ER11" s="62">
        <f>IF(SUMPRODUCT(('حجز الإجازات'!$B$5:$B$104='الموظفون'!$B$9)*('حجز الإجازات'!$D$5:$D$104&lt;=ER$3)*(('حجز الإجازات'!$E$5:$E$104)&gt;=ER$3)*('حجز الإجازات'!$G$5:$G$104="معتمد")*ROW('حجز الإجازات'!$B$5:$B$104))=0,IF(ER$3&lt;'الموظفون'!$D$9,"",IF(ISNUMBER(MATCH(ER$3,Holidays,0)),"عطلة",IF(MOD(ER$3-'الموظفون'!$D$9,CycleWork+CycleRest)&lt;CycleWork,INDEX('الإعدادات والقوائم'!$H$2:$H$4,MOD(INT(MOD(ER$3-'الموظفون'!$D$9,CycleWork+CycleRest)*3/CycleWork)+MATCH(StartShift,'الإعدادات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الإجازات'!$D$5:$D$104&lt;=ER$3)*(('حجز الإجازات'!$E$5:$E$104)&gt;=ER$3)*('حجز الإجازات'!$G$5:$G$104="معتمد")*ROW('حجز الإجازات'!$B$5:$B$104)))-5+1))</f>
        <v/>
      </c>
      <c r="ES11" s="62">
        <f>IF(SUMPRODUCT(('حجز الإجازات'!$B$5:$B$104='الموظفون'!$B$9)*('حجز الإجازات'!$D$5:$D$104&lt;=ES$3)*(('حجز الإجازات'!$E$5:$E$104)&gt;=ES$3)*('حجز الإجازات'!$G$5:$G$104="معتمد")*ROW('حجز الإجازات'!$B$5:$B$104))=0,IF(ES$3&lt;'الموظفون'!$D$9,"",IF(ISNUMBER(MATCH(ES$3,Holidays,0)),"عطلة",IF(MOD(ES$3-'الموظفون'!$D$9,CycleWork+CycleRest)&lt;CycleWork,INDEX('الإعدادات والقوائم'!$H$2:$H$4,MOD(INT(MOD(ES$3-'الموظفون'!$D$9,CycleWork+CycleRest)*3/CycleWork)+MATCH(StartShift,'الإعدادات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الإجازات'!$D$5:$D$104&lt;=ES$3)*(('حجز الإجازات'!$E$5:$E$104)&gt;=ES$3)*('حجز الإجازات'!$G$5:$G$104="معتمد")*ROW('حجز الإجازات'!$B$5:$B$104)))-5+1))</f>
        <v/>
      </c>
      <c r="ET11" s="62">
        <f>IF(SUMPRODUCT(('حجز الإجازات'!$B$5:$B$104='الموظفون'!$B$9)*('حجز الإجازات'!$D$5:$D$104&lt;=ET$3)*(('حجز الإجازات'!$E$5:$E$104)&gt;=ET$3)*('حجز الإجازات'!$G$5:$G$104="معتمد")*ROW('حجز الإجازات'!$B$5:$B$104))=0,IF(ET$3&lt;'الموظفون'!$D$9,"",IF(ISNUMBER(MATCH(ET$3,Holidays,0)),"عطلة",IF(MOD(ET$3-'الموظفون'!$D$9,CycleWork+CycleRest)&lt;CycleWork,INDEX('الإعدادات والقوائم'!$H$2:$H$4,MOD(INT(MOD(ET$3-'الموظفون'!$D$9,CycleWork+CycleRest)*3/CycleWork)+MATCH(StartShift,'الإعدادات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الإجازات'!$D$5:$D$104&lt;=ET$3)*(('حجز الإجازات'!$E$5:$E$104)&gt;=ET$3)*('حجز الإجازات'!$G$5:$G$104="معتمد")*ROW('حجز الإجازات'!$B$5:$B$104)))-5+1))</f>
        <v/>
      </c>
      <c r="EU11" s="62">
        <f>IF(SUMPRODUCT(('حجز الإجازات'!$B$5:$B$104='الموظفون'!$B$9)*('حجز الإجازات'!$D$5:$D$104&lt;=EU$3)*(('حجز الإجازات'!$E$5:$E$104)&gt;=EU$3)*('حجز الإجازات'!$G$5:$G$104="معتمد")*ROW('حجز الإجازات'!$B$5:$B$104))=0,IF(EU$3&lt;'الموظفون'!$D$9,"",IF(ISNUMBER(MATCH(EU$3,Holidays,0)),"عطلة",IF(MOD(EU$3-'الموظفون'!$D$9,CycleWork+CycleRest)&lt;CycleWork,INDEX('الإعدادات والقوائم'!$H$2:$H$4,MOD(INT(MOD(EU$3-'الموظفون'!$D$9,CycleWork+CycleRest)*3/CycleWork)+MATCH(StartShift,'الإعدادات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الإجازات'!$D$5:$D$104&lt;=EU$3)*(('حجز الإجازات'!$E$5:$E$104)&gt;=EU$3)*('حجز الإجازات'!$G$5:$G$104="معتمد")*ROW('حجز الإجازات'!$B$5:$B$104)))-5+1))</f>
        <v/>
      </c>
      <c r="EV11" s="62">
        <f>IF(SUMPRODUCT(('حجز الإجازات'!$B$5:$B$104='الموظفون'!$B$9)*('حجز الإجازات'!$D$5:$D$104&lt;=EV$3)*(('حجز الإجازات'!$E$5:$E$104)&gt;=EV$3)*('حجز الإجازات'!$G$5:$G$104="معتمد")*ROW('حجز الإجازات'!$B$5:$B$104))=0,IF(EV$3&lt;'الموظفون'!$D$9,"",IF(ISNUMBER(MATCH(EV$3,Holidays,0)),"عطلة",IF(MOD(EV$3-'الموظفون'!$D$9,CycleWork+CycleRest)&lt;CycleWork,INDEX('الإعدادات والقوائم'!$H$2:$H$4,MOD(INT(MOD(EV$3-'الموظفون'!$D$9,CycleWork+CycleRest)*3/CycleWork)+MATCH(StartShift,'الإعدادات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الإجازات'!$D$5:$D$104&lt;=EV$3)*(('حجز الإجازات'!$E$5:$E$104)&gt;=EV$3)*('حجز الإجازات'!$G$5:$G$104="معتمد")*ROW('حجز الإجازات'!$B$5:$B$104)))-5+1))</f>
        <v/>
      </c>
      <c r="EW11" s="62">
        <f>IF(SUMPRODUCT(('حجز الإجازات'!$B$5:$B$104='الموظفون'!$B$9)*('حجز الإجازات'!$D$5:$D$104&lt;=EW$3)*(('حجز الإجازات'!$E$5:$E$104)&gt;=EW$3)*('حجز الإجازات'!$G$5:$G$104="معتمد")*ROW('حجز الإجازات'!$B$5:$B$104))=0,IF(EW$3&lt;'الموظفون'!$D$9,"",IF(ISNUMBER(MATCH(EW$3,Holidays,0)),"عطلة",IF(MOD(EW$3-'الموظفون'!$D$9,CycleWork+CycleRest)&lt;CycleWork,INDEX('الإعدادات والقوائم'!$H$2:$H$4,MOD(INT(MOD(EW$3-'الموظفون'!$D$9,CycleWork+CycleRest)*3/CycleWork)+MATCH(StartShift,'الإعدادات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الإجازات'!$D$5:$D$104&lt;=EW$3)*(('حجز الإجازات'!$E$5:$E$104)&gt;=EW$3)*('حجز الإجازات'!$G$5:$G$104="معتمد")*ROW('حجز الإجازات'!$B$5:$B$104)))-5+1))</f>
        <v/>
      </c>
      <c r="EX11" s="62">
        <f>IF(SUMPRODUCT(('حجز الإجازات'!$B$5:$B$104='الموظفون'!$B$9)*('حجز الإجازات'!$D$5:$D$104&lt;=EX$3)*(('حجز الإجازات'!$E$5:$E$104)&gt;=EX$3)*('حجز الإجازات'!$G$5:$G$104="معتمد")*ROW('حجز الإجازات'!$B$5:$B$104))=0,IF(EX$3&lt;'الموظفون'!$D$9,"",IF(ISNUMBER(MATCH(EX$3,Holidays,0)),"عطلة",IF(MOD(EX$3-'الموظفون'!$D$9,CycleWork+CycleRest)&lt;CycleWork,INDEX('الإعدادات والقوائم'!$H$2:$H$4,MOD(INT(MOD(EX$3-'الموظفون'!$D$9,CycleWork+CycleRest)*3/CycleWork)+MATCH(StartShift,'الإعدادات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الإجازات'!$D$5:$D$104&lt;=EX$3)*(('حجز الإجازات'!$E$5:$E$104)&gt;=EX$3)*('حجز الإجازات'!$G$5:$G$104="معتمد")*ROW('حجز الإجازات'!$B$5:$B$104)))-5+1))</f>
        <v/>
      </c>
      <c r="EY11" s="62">
        <f>IF(SUMPRODUCT(('حجز الإجازات'!$B$5:$B$104='الموظفون'!$B$9)*('حجز الإجازات'!$D$5:$D$104&lt;=EY$3)*(('حجز الإجازات'!$E$5:$E$104)&gt;=EY$3)*('حجز الإجازات'!$G$5:$G$104="معتمد")*ROW('حجز الإجازات'!$B$5:$B$104))=0,IF(EY$3&lt;'الموظفون'!$D$9,"",IF(ISNUMBER(MATCH(EY$3,Holidays,0)),"عطلة",IF(MOD(EY$3-'الموظفون'!$D$9,CycleWork+CycleRest)&lt;CycleWork,INDEX('الإعدادات والقوائم'!$H$2:$H$4,MOD(INT(MOD(EY$3-'الموظفون'!$D$9,CycleWork+CycleRest)*3/CycleWork)+MATCH(StartShift,'الإعدادات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الإجازات'!$D$5:$D$104&lt;=EY$3)*(('حجز الإجازات'!$E$5:$E$104)&gt;=EY$3)*('حجز الإجازات'!$G$5:$G$104="معتمد")*ROW('حجز الإجازات'!$B$5:$B$104)))-5+1))</f>
        <v/>
      </c>
      <c r="EZ11" s="62">
        <f>IF(SUMPRODUCT(('حجز الإجازات'!$B$5:$B$104='الموظفون'!$B$9)*('حجز الإجازات'!$D$5:$D$104&lt;=EZ$3)*(('حجز الإجازات'!$E$5:$E$104)&gt;=EZ$3)*('حجز الإجازات'!$G$5:$G$104="معتمد")*ROW('حجز الإجازات'!$B$5:$B$104))=0,IF(EZ$3&lt;'الموظفون'!$D$9,"",IF(ISNUMBER(MATCH(EZ$3,Holidays,0)),"عطلة",IF(MOD(EZ$3-'الموظفون'!$D$9,CycleWork+CycleRest)&lt;CycleWork,INDEX('الإعدادات والقوائم'!$H$2:$H$4,MOD(INT(MOD(EZ$3-'الموظفون'!$D$9,CycleWork+CycleRest)*3/CycleWork)+MATCH(StartShift,'الإعدادات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الإجازات'!$D$5:$D$104&lt;=EZ$3)*(('حجز الإجازات'!$E$5:$E$104)&gt;=EZ$3)*('حجز الإجازات'!$G$5:$G$104="معتمد")*ROW('حجز الإجازات'!$B$5:$B$104)))-5+1))</f>
        <v/>
      </c>
      <c r="FA11" s="62">
        <f>IF(SUMPRODUCT(('حجز الإجازات'!$B$5:$B$104='الموظفون'!$B$9)*('حجز الإجازات'!$D$5:$D$104&lt;=FA$3)*(('حجز الإجازات'!$E$5:$E$104)&gt;=FA$3)*('حجز الإجازات'!$G$5:$G$104="معتمد")*ROW('حجز الإجازات'!$B$5:$B$104))=0,IF(FA$3&lt;'الموظفون'!$D$9,"",IF(ISNUMBER(MATCH(FA$3,Holidays,0)),"عطلة",IF(MOD(FA$3-'الموظفون'!$D$9,CycleWork+CycleRest)&lt;CycleWork,INDEX('الإعدادات والقوائم'!$H$2:$H$4,MOD(INT(MOD(FA$3-'الموظفون'!$D$9,CycleWork+CycleRest)*3/CycleWork)+MATCH(StartShift,'الإعدادات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الإجازات'!$D$5:$D$104&lt;=FA$3)*(('حجز الإجازات'!$E$5:$E$104)&gt;=FA$3)*('حجز الإجازات'!$G$5:$G$104="معتمد")*ROW('حجز الإجازات'!$B$5:$B$104)))-5+1))</f>
        <v/>
      </c>
      <c r="FB11" s="62">
        <f>IF(SUMPRODUCT(('حجز الإجازات'!$B$5:$B$104='الموظفون'!$B$9)*('حجز الإجازات'!$D$5:$D$104&lt;=FB$3)*(('حجز الإجازات'!$E$5:$E$104)&gt;=FB$3)*('حجز الإجازات'!$G$5:$G$104="معتمد")*ROW('حجز الإجازات'!$B$5:$B$104))=0,IF(FB$3&lt;'الموظفون'!$D$9,"",IF(ISNUMBER(MATCH(FB$3,Holidays,0)),"عطلة",IF(MOD(FB$3-'الموظفون'!$D$9,CycleWork+CycleRest)&lt;CycleWork,INDEX('الإعدادات والقوائم'!$H$2:$H$4,MOD(INT(MOD(FB$3-'الموظفون'!$D$9,CycleWork+CycleRest)*3/CycleWork)+MATCH(StartShift,'الإعدادات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الإجازات'!$D$5:$D$104&lt;=FB$3)*(('حجز الإجازات'!$E$5:$E$104)&gt;=FB$3)*('حجز الإجازات'!$G$5:$G$104="معتمد")*ROW('حجز الإجازات'!$B$5:$B$104)))-5+1))</f>
        <v/>
      </c>
      <c r="FC11" s="62">
        <f>IF(SUMPRODUCT(('حجز الإجازات'!$B$5:$B$104='الموظفون'!$B$9)*('حجز الإجازات'!$D$5:$D$104&lt;=FC$3)*(('حجز الإجازات'!$E$5:$E$104)&gt;=FC$3)*('حجز الإجازات'!$G$5:$G$104="معتمد")*ROW('حجز الإجازات'!$B$5:$B$104))=0,IF(FC$3&lt;'الموظفون'!$D$9,"",IF(ISNUMBER(MATCH(FC$3,Holidays,0)),"عطلة",IF(MOD(FC$3-'الموظفون'!$D$9,CycleWork+CycleRest)&lt;CycleWork,INDEX('الإعدادات والقوائم'!$H$2:$H$4,MOD(INT(MOD(FC$3-'الموظفون'!$D$9,CycleWork+CycleRest)*3/CycleWork)+MATCH(StartShift,'الإعدادات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الإجازات'!$D$5:$D$104&lt;=FC$3)*(('حجز الإجازات'!$E$5:$E$104)&gt;=FC$3)*('حجز الإجازات'!$G$5:$G$104="معتمد")*ROW('حجز الإجازات'!$B$5:$B$104)))-5+1))</f>
        <v/>
      </c>
      <c r="FD11" s="62">
        <f>IF(SUMPRODUCT(('حجز الإجازات'!$B$5:$B$104='الموظفون'!$B$9)*('حجز الإجازات'!$D$5:$D$104&lt;=FD$3)*(('حجز الإجازات'!$E$5:$E$104)&gt;=FD$3)*('حجز الإجازات'!$G$5:$G$104="معتمد")*ROW('حجز الإجازات'!$B$5:$B$104))=0,IF(FD$3&lt;'الموظفون'!$D$9,"",IF(ISNUMBER(MATCH(FD$3,Holidays,0)),"عطلة",IF(MOD(FD$3-'الموظفون'!$D$9,CycleWork+CycleRest)&lt;CycleWork,INDEX('الإعدادات والقوائم'!$H$2:$H$4,MOD(INT(MOD(FD$3-'الموظفون'!$D$9,CycleWork+CycleRest)*3/CycleWork)+MATCH(StartShift,'الإعدادات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الإجازات'!$D$5:$D$104&lt;=FD$3)*(('حجز الإجازات'!$E$5:$E$104)&gt;=FD$3)*('حجز الإجازات'!$G$5:$G$104="معتمد")*ROW('حجز الإجازات'!$B$5:$B$104)))-5+1))</f>
        <v/>
      </c>
      <c r="FE11" s="62">
        <f>IF(SUMPRODUCT(('حجز الإجازات'!$B$5:$B$104='الموظفون'!$B$9)*('حجز الإجازات'!$D$5:$D$104&lt;=FE$3)*(('حجز الإجازات'!$E$5:$E$104)&gt;=FE$3)*('حجز الإجازات'!$G$5:$G$104="معتمد")*ROW('حجز الإجازات'!$B$5:$B$104))=0,IF(FE$3&lt;'الموظفون'!$D$9,"",IF(ISNUMBER(MATCH(FE$3,Holidays,0)),"عطلة",IF(MOD(FE$3-'الموظفون'!$D$9,CycleWork+CycleRest)&lt;CycleWork,INDEX('الإعدادات والقوائم'!$H$2:$H$4,MOD(INT(MOD(FE$3-'الموظفون'!$D$9,CycleWork+CycleRest)*3/CycleWork)+MATCH(StartShift,'الإعدادات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الإجازات'!$D$5:$D$104&lt;=FE$3)*(('حجز الإجازات'!$E$5:$E$104)&gt;=FE$3)*('حجز الإجازات'!$G$5:$G$104="معتمد")*ROW('حجز الإجازات'!$B$5:$B$104)))-5+1))</f>
        <v/>
      </c>
      <c r="FF11" s="62">
        <f>IF(SUMPRODUCT(('حجز الإجازات'!$B$5:$B$104='الموظفون'!$B$9)*('حجز الإجازات'!$D$5:$D$104&lt;=FF$3)*(('حجز الإجازات'!$E$5:$E$104)&gt;=FF$3)*('حجز الإجازات'!$G$5:$G$104="معتمد")*ROW('حجز الإجازات'!$B$5:$B$104))=0,IF(FF$3&lt;'الموظفون'!$D$9,"",IF(ISNUMBER(MATCH(FF$3,Holidays,0)),"عطلة",IF(MOD(FF$3-'الموظفون'!$D$9,CycleWork+CycleRest)&lt;CycleWork,INDEX('الإعدادات والقوائم'!$H$2:$H$4,MOD(INT(MOD(FF$3-'الموظفون'!$D$9,CycleWork+CycleRest)*3/CycleWork)+MATCH(StartShift,'الإعدادات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الإجازات'!$D$5:$D$104&lt;=FF$3)*(('حجز الإجازات'!$E$5:$E$104)&gt;=FF$3)*('حجز الإجازات'!$G$5:$G$104="معتمد")*ROW('حجز الإجازات'!$B$5:$B$104)))-5+1))</f>
        <v/>
      </c>
      <c r="FG11" s="62">
        <f>IF(SUMPRODUCT(('حجز الإجازات'!$B$5:$B$104='الموظفون'!$B$9)*('حجز الإجازات'!$D$5:$D$104&lt;=FG$3)*(('حجز الإجازات'!$E$5:$E$104)&gt;=FG$3)*('حجز الإجازات'!$G$5:$G$104="معتمد")*ROW('حجز الإجازات'!$B$5:$B$104))=0,IF(FG$3&lt;'الموظفون'!$D$9,"",IF(ISNUMBER(MATCH(FG$3,Holidays,0)),"عطلة",IF(MOD(FG$3-'الموظفون'!$D$9,CycleWork+CycleRest)&lt;CycleWork,INDEX('الإعدادات والقوائم'!$H$2:$H$4,MOD(INT(MOD(FG$3-'الموظفون'!$D$9,CycleWork+CycleRest)*3/CycleWork)+MATCH(StartShift,'الإعدادات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الإجازات'!$D$5:$D$104&lt;=FG$3)*(('حجز الإجازات'!$E$5:$E$104)&gt;=FG$3)*('حجز الإجازات'!$G$5:$G$104="معتمد")*ROW('حجز الإجازات'!$B$5:$B$104)))-5+1))</f>
        <v/>
      </c>
      <c r="FH11" s="62">
        <f>IF(SUMPRODUCT(('حجز الإجازات'!$B$5:$B$104='الموظفون'!$B$9)*('حجز الإجازات'!$D$5:$D$104&lt;=FH$3)*(('حجز الإجازات'!$E$5:$E$104)&gt;=FH$3)*('حجز الإجازات'!$G$5:$G$104="معتمد")*ROW('حجز الإجازات'!$B$5:$B$104))=0,IF(FH$3&lt;'الموظفون'!$D$9,"",IF(ISNUMBER(MATCH(FH$3,Holidays,0)),"عطلة",IF(MOD(FH$3-'الموظفون'!$D$9,CycleWork+CycleRest)&lt;CycleWork,INDEX('الإعدادات والقوائم'!$H$2:$H$4,MOD(INT(MOD(FH$3-'الموظفون'!$D$9,CycleWork+CycleRest)*3/CycleWork)+MATCH(StartShift,'الإعدادات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الإجازات'!$D$5:$D$104&lt;=FH$3)*(('حجز الإجازات'!$E$5:$E$104)&gt;=FH$3)*('حجز الإجازات'!$G$5:$G$104="معتمد")*ROW('حجز الإجازات'!$B$5:$B$104)))-5+1))</f>
        <v/>
      </c>
      <c r="FI11" s="62">
        <f>IF(SUMPRODUCT(('حجز الإجازات'!$B$5:$B$104='الموظفون'!$B$9)*('حجز الإجازات'!$D$5:$D$104&lt;=FI$3)*(('حجز الإجازات'!$E$5:$E$104)&gt;=FI$3)*('حجز الإجازات'!$G$5:$G$104="معتمد")*ROW('حجز الإجازات'!$B$5:$B$104))=0,IF(FI$3&lt;'الموظفون'!$D$9,"",IF(ISNUMBER(MATCH(FI$3,Holidays,0)),"عطلة",IF(MOD(FI$3-'الموظفون'!$D$9,CycleWork+CycleRest)&lt;CycleWork,INDEX('الإعدادات والقوائم'!$H$2:$H$4,MOD(INT(MOD(FI$3-'الموظفون'!$D$9,CycleWork+CycleRest)*3/CycleWork)+MATCH(StartShift,'الإعدادات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الإجازات'!$D$5:$D$104&lt;=FI$3)*(('حجز الإجازات'!$E$5:$E$104)&gt;=FI$3)*('حجز الإجازات'!$G$5:$G$104="معتمد")*ROW('حجز الإجازات'!$B$5:$B$104)))-5+1))</f>
        <v/>
      </c>
      <c r="FJ11" s="62">
        <f>IF(SUMPRODUCT(('حجز الإجازات'!$B$5:$B$104='الموظفون'!$B$9)*('حجز الإجازات'!$D$5:$D$104&lt;=FJ$3)*(('حجز الإجازات'!$E$5:$E$104)&gt;=FJ$3)*('حجز الإجازات'!$G$5:$G$104="معتمد")*ROW('حجز الإجازات'!$B$5:$B$104))=0,IF(FJ$3&lt;'الموظفون'!$D$9,"",IF(ISNUMBER(MATCH(FJ$3,Holidays,0)),"عطلة",IF(MOD(FJ$3-'الموظفون'!$D$9,CycleWork+CycleRest)&lt;CycleWork,INDEX('الإعدادات والقوائم'!$H$2:$H$4,MOD(INT(MOD(FJ$3-'الموظفون'!$D$9,CycleWork+CycleRest)*3/CycleWork)+MATCH(StartShift,'الإعدادات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الإجازات'!$D$5:$D$104&lt;=FJ$3)*(('حجز الإجازات'!$E$5:$E$104)&gt;=FJ$3)*('حجز الإجازات'!$G$5:$G$104="معتمد")*ROW('حجز الإجازات'!$B$5:$B$104)))-5+1))</f>
        <v/>
      </c>
      <c r="FK11" s="62">
        <f>IF(SUMPRODUCT(('حجز الإجازات'!$B$5:$B$104='الموظفون'!$B$9)*('حجز الإجازات'!$D$5:$D$104&lt;=FK$3)*(('حجز الإجازات'!$E$5:$E$104)&gt;=FK$3)*('حجز الإجازات'!$G$5:$G$104="معتمد")*ROW('حجز الإجازات'!$B$5:$B$104))=0,IF(FK$3&lt;'الموظفون'!$D$9,"",IF(ISNUMBER(MATCH(FK$3,Holidays,0)),"عطلة",IF(MOD(FK$3-'الموظفون'!$D$9,CycleWork+CycleRest)&lt;CycleWork,INDEX('الإعدادات والقوائم'!$H$2:$H$4,MOD(INT(MOD(FK$3-'الموظفون'!$D$9,CycleWork+CycleRest)*3/CycleWork)+MATCH(StartShift,'الإعدادات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الإجازات'!$D$5:$D$104&lt;=FK$3)*(('حجز الإجازات'!$E$5:$E$104)&gt;=FK$3)*('حجز الإجازات'!$G$5:$G$104="معتمد")*ROW('حجز الإجازات'!$B$5:$B$104)))-5+1))</f>
        <v/>
      </c>
      <c r="FL11" s="62">
        <f>IF(SUMPRODUCT(('حجز الإجازات'!$B$5:$B$104='الموظفون'!$B$9)*('حجز الإجازات'!$D$5:$D$104&lt;=FL$3)*(('حجز الإجازات'!$E$5:$E$104)&gt;=FL$3)*('حجز الإجازات'!$G$5:$G$104="معتمد")*ROW('حجز الإجازات'!$B$5:$B$104))=0,IF(FL$3&lt;'الموظفون'!$D$9,"",IF(ISNUMBER(MATCH(FL$3,Holidays,0)),"عطلة",IF(MOD(FL$3-'الموظفون'!$D$9,CycleWork+CycleRest)&lt;CycleWork,INDEX('الإعدادات والقوائم'!$H$2:$H$4,MOD(INT(MOD(FL$3-'الموظفون'!$D$9,CycleWork+CycleRest)*3/CycleWork)+MATCH(StartShift,'الإعدادات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الإجازات'!$D$5:$D$104&lt;=FL$3)*(('حجز الإجازات'!$E$5:$E$104)&gt;=FL$3)*('حجز الإجازات'!$G$5:$G$104="معتمد")*ROW('حجز الإجازات'!$B$5:$B$104)))-5+1))</f>
        <v/>
      </c>
      <c r="FM11" s="62">
        <f>IF(SUMPRODUCT(('حجز الإجازات'!$B$5:$B$104='الموظفون'!$B$9)*('حجز الإجازات'!$D$5:$D$104&lt;=FM$3)*(('حجز الإجازات'!$E$5:$E$104)&gt;=FM$3)*('حجز الإجازات'!$G$5:$G$104="معتمد")*ROW('حجز الإجازات'!$B$5:$B$104))=0,IF(FM$3&lt;'الموظفون'!$D$9,"",IF(ISNUMBER(MATCH(FM$3,Holidays,0)),"عطلة",IF(MOD(FM$3-'الموظفون'!$D$9,CycleWork+CycleRest)&lt;CycleWork,INDEX('الإعدادات والقوائم'!$H$2:$H$4,MOD(INT(MOD(FM$3-'الموظفون'!$D$9,CycleWork+CycleRest)*3/CycleWork)+MATCH(StartShift,'الإعدادات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الإجازات'!$D$5:$D$104&lt;=FM$3)*(('حجز الإجازات'!$E$5:$E$104)&gt;=FM$3)*('حجز الإجازات'!$G$5:$G$104="معتمد")*ROW('حجز الإجازات'!$B$5:$B$104)))-5+1))</f>
        <v/>
      </c>
      <c r="FN11" s="62">
        <f>IF(SUMPRODUCT(('حجز الإجازات'!$B$5:$B$104='الموظفون'!$B$9)*('حجز الإجازات'!$D$5:$D$104&lt;=FN$3)*(('حجز الإجازات'!$E$5:$E$104)&gt;=FN$3)*('حجز الإجازات'!$G$5:$G$104="معتمد")*ROW('حجز الإجازات'!$B$5:$B$104))=0,IF(FN$3&lt;'الموظفون'!$D$9,"",IF(ISNUMBER(MATCH(FN$3,Holidays,0)),"عطلة",IF(MOD(FN$3-'الموظفون'!$D$9,CycleWork+CycleRest)&lt;CycleWork,INDEX('الإعدادات والقوائم'!$H$2:$H$4,MOD(INT(MOD(FN$3-'الموظفون'!$D$9,CycleWork+CycleRest)*3/CycleWork)+MATCH(StartShift,'الإعدادات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الإجازات'!$D$5:$D$104&lt;=FN$3)*(('حجز الإجازات'!$E$5:$E$104)&gt;=FN$3)*('حجز الإجازات'!$G$5:$G$104="معتمد")*ROW('حجز الإجازات'!$B$5:$B$104)))-5+1))</f>
        <v/>
      </c>
      <c r="FO11" s="62">
        <f>IF(SUMPRODUCT(('حجز الإجازات'!$B$5:$B$104='الموظفون'!$B$9)*('حجز الإجازات'!$D$5:$D$104&lt;=FO$3)*(('حجز الإجازات'!$E$5:$E$104)&gt;=FO$3)*('حجز الإجازات'!$G$5:$G$104="معتمد")*ROW('حجز الإجازات'!$B$5:$B$104))=0,IF(FO$3&lt;'الموظفون'!$D$9,"",IF(ISNUMBER(MATCH(FO$3,Holidays,0)),"عطلة",IF(MOD(FO$3-'الموظفون'!$D$9,CycleWork+CycleRest)&lt;CycleWork,INDEX('الإعدادات والقوائم'!$H$2:$H$4,MOD(INT(MOD(FO$3-'الموظفون'!$D$9,CycleWork+CycleRest)*3/CycleWork)+MATCH(StartShift,'الإعدادات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الإجازات'!$D$5:$D$104&lt;=FO$3)*(('حجز الإجازات'!$E$5:$E$104)&gt;=FO$3)*('حجز الإجازات'!$G$5:$G$104="معتمد")*ROW('حجز الإجازات'!$B$5:$B$104)))-5+1))</f>
        <v/>
      </c>
      <c r="FP11" s="62">
        <f>IF(SUMPRODUCT(('حجز الإجازات'!$B$5:$B$104='الموظفون'!$B$9)*('حجز الإجازات'!$D$5:$D$104&lt;=FP$3)*(('حجز الإجازات'!$E$5:$E$104)&gt;=FP$3)*('حجز الإجازات'!$G$5:$G$104="معتمد")*ROW('حجز الإجازات'!$B$5:$B$104))=0,IF(FP$3&lt;'الموظفون'!$D$9,"",IF(ISNUMBER(MATCH(FP$3,Holidays,0)),"عطلة",IF(MOD(FP$3-'الموظفون'!$D$9,CycleWork+CycleRest)&lt;CycleWork,INDEX('الإعدادات والقوائم'!$H$2:$H$4,MOD(INT(MOD(FP$3-'الموظفون'!$D$9,CycleWork+CycleRest)*3/CycleWork)+MATCH(StartShift,'الإعدادات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الإجازات'!$D$5:$D$104&lt;=FP$3)*(('حجز الإجازات'!$E$5:$E$104)&gt;=FP$3)*('حجز الإجازات'!$G$5:$G$104="معتمد")*ROW('حجز الإجازات'!$B$5:$B$104)))-5+1))</f>
        <v/>
      </c>
      <c r="FQ11" s="62">
        <f>IF(SUMPRODUCT(('حجز الإجازات'!$B$5:$B$104='الموظفون'!$B$9)*('حجز الإجازات'!$D$5:$D$104&lt;=FQ$3)*(('حجز الإجازات'!$E$5:$E$104)&gt;=FQ$3)*('حجز الإجازات'!$G$5:$G$104="معتمد")*ROW('حجز الإجازات'!$B$5:$B$104))=0,IF(FQ$3&lt;'الموظفون'!$D$9,"",IF(ISNUMBER(MATCH(FQ$3,Holidays,0)),"عطلة",IF(MOD(FQ$3-'الموظفون'!$D$9,CycleWork+CycleRest)&lt;CycleWork,INDEX('الإعدادات والقوائم'!$H$2:$H$4,MOD(INT(MOD(FQ$3-'الموظفون'!$D$9,CycleWork+CycleRest)*3/CycleWork)+MATCH(StartShift,'الإعدادات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الإجازات'!$D$5:$D$104&lt;=FQ$3)*(('حجز الإجازات'!$E$5:$E$104)&gt;=FQ$3)*('حجز الإجازات'!$G$5:$G$104="معتمد")*ROW('حجز الإجازات'!$B$5:$B$104)))-5+1))</f>
        <v/>
      </c>
      <c r="FR11" s="62">
        <f>IF(SUMPRODUCT(('حجز الإجازات'!$B$5:$B$104='الموظفون'!$B$9)*('حجز الإجازات'!$D$5:$D$104&lt;=FR$3)*(('حجز الإجازات'!$E$5:$E$104)&gt;=FR$3)*('حجز الإجازات'!$G$5:$G$104="معتمد")*ROW('حجز الإجازات'!$B$5:$B$104))=0,IF(FR$3&lt;'الموظفون'!$D$9,"",IF(ISNUMBER(MATCH(FR$3,Holidays,0)),"عطلة",IF(MOD(FR$3-'الموظفون'!$D$9,CycleWork+CycleRest)&lt;CycleWork,INDEX('الإعدادات والقوائم'!$H$2:$H$4,MOD(INT(MOD(FR$3-'الموظفون'!$D$9,CycleWork+CycleRest)*3/CycleWork)+MATCH(StartShift,'الإعدادات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الإجازات'!$D$5:$D$104&lt;=FR$3)*(('حجز الإجازات'!$E$5:$E$104)&gt;=FR$3)*('حجز الإجازات'!$G$5:$G$104="معتمد")*ROW('حجز الإجازات'!$B$5:$B$104)))-5+1))</f>
        <v/>
      </c>
      <c r="FS11" s="62">
        <f>IF(SUMPRODUCT(('حجز الإجازات'!$B$5:$B$104='الموظفون'!$B$9)*('حجز الإجازات'!$D$5:$D$104&lt;=FS$3)*(('حجز الإجازات'!$E$5:$E$104)&gt;=FS$3)*('حجز الإجازات'!$G$5:$G$104="معتمد")*ROW('حجز الإجازات'!$B$5:$B$104))=0,IF(FS$3&lt;'الموظفون'!$D$9,"",IF(ISNUMBER(MATCH(FS$3,Holidays,0)),"عطلة",IF(MOD(FS$3-'الموظفون'!$D$9,CycleWork+CycleRest)&lt;CycleWork,INDEX('الإعدادات والقوائم'!$H$2:$H$4,MOD(INT(MOD(FS$3-'الموظفون'!$D$9,CycleWork+CycleRest)*3/CycleWork)+MATCH(StartShift,'الإعدادات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الإجازات'!$D$5:$D$104&lt;=FS$3)*(('حجز الإجازات'!$E$5:$E$104)&gt;=FS$3)*('حجز الإجازات'!$G$5:$G$104="معتمد")*ROW('حجز الإجازات'!$B$5:$B$104)))-5+1))</f>
        <v/>
      </c>
      <c r="FT11" s="62">
        <f>IF(SUMPRODUCT(('حجز الإجازات'!$B$5:$B$104='الموظفون'!$B$9)*('حجز الإجازات'!$D$5:$D$104&lt;=FT$3)*(('حجز الإجازات'!$E$5:$E$104)&gt;=FT$3)*('حجز الإجازات'!$G$5:$G$104="معتمد")*ROW('حجز الإجازات'!$B$5:$B$104))=0,IF(FT$3&lt;'الموظفون'!$D$9,"",IF(ISNUMBER(MATCH(FT$3,Holidays,0)),"عطلة",IF(MOD(FT$3-'الموظفون'!$D$9,CycleWork+CycleRest)&lt;CycleWork,INDEX('الإعدادات والقوائم'!$H$2:$H$4,MOD(INT(MOD(FT$3-'الموظفون'!$D$9,CycleWork+CycleRest)*3/CycleWork)+MATCH(StartShift,'الإعدادات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الإجازات'!$D$5:$D$104&lt;=FT$3)*(('حجز الإجازات'!$E$5:$E$104)&gt;=FT$3)*('حجز الإجازات'!$G$5:$G$104="معتمد")*ROW('حجز الإجازات'!$B$5:$B$104)))-5+1))</f>
        <v/>
      </c>
      <c r="FU11" s="62">
        <f>IF(SUMPRODUCT(('حجز الإجازات'!$B$5:$B$104='الموظفون'!$B$9)*('حجز الإجازات'!$D$5:$D$104&lt;=FU$3)*(('حجز الإجازات'!$E$5:$E$104)&gt;=FU$3)*('حجز الإجازات'!$G$5:$G$104="معتمد")*ROW('حجز الإجازات'!$B$5:$B$104))=0,IF(FU$3&lt;'الموظفون'!$D$9,"",IF(ISNUMBER(MATCH(FU$3,Holidays,0)),"عطلة",IF(MOD(FU$3-'الموظفون'!$D$9,CycleWork+CycleRest)&lt;CycleWork,INDEX('الإعدادات والقوائم'!$H$2:$H$4,MOD(INT(MOD(FU$3-'الموظفون'!$D$9,CycleWork+CycleRest)*3/CycleWork)+MATCH(StartShift,'الإعدادات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الإجازات'!$D$5:$D$104&lt;=FU$3)*(('حجز الإجازات'!$E$5:$E$104)&gt;=FU$3)*('حجز الإجازات'!$G$5:$G$104="معتمد")*ROW('حجز الإجازات'!$B$5:$B$104)))-5+1))</f>
        <v/>
      </c>
      <c r="FV11" s="62">
        <f>IF(SUMPRODUCT(('حجز الإجازات'!$B$5:$B$104='الموظفون'!$B$9)*('حجز الإجازات'!$D$5:$D$104&lt;=FV$3)*(('حجز الإجازات'!$E$5:$E$104)&gt;=FV$3)*('حجز الإجازات'!$G$5:$G$104="معتمد")*ROW('حجز الإجازات'!$B$5:$B$104))=0,IF(FV$3&lt;'الموظفون'!$D$9,"",IF(ISNUMBER(MATCH(FV$3,Holidays,0)),"عطلة",IF(MOD(FV$3-'الموظفون'!$D$9,CycleWork+CycleRest)&lt;CycleWork,INDEX('الإعدادات والقوائم'!$H$2:$H$4,MOD(INT(MOD(FV$3-'الموظفون'!$D$9,CycleWork+CycleRest)*3/CycleWork)+MATCH(StartShift,'الإعدادات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الإجازات'!$D$5:$D$104&lt;=FV$3)*(('حجز الإجازات'!$E$5:$E$104)&gt;=FV$3)*('حجز الإجازات'!$G$5:$G$104="معتمد")*ROW('حجز الإجازات'!$B$5:$B$104)))-5+1))</f>
        <v/>
      </c>
      <c r="FW11" s="62">
        <f>IF(SUMPRODUCT(('حجز الإجازات'!$B$5:$B$104='الموظفون'!$B$9)*('حجز الإجازات'!$D$5:$D$104&lt;=FW$3)*(('حجز الإجازات'!$E$5:$E$104)&gt;=FW$3)*('حجز الإجازات'!$G$5:$G$104="معتمد")*ROW('حجز الإجازات'!$B$5:$B$104))=0,IF(FW$3&lt;'الموظفون'!$D$9,"",IF(ISNUMBER(MATCH(FW$3,Holidays,0)),"عطلة",IF(MOD(FW$3-'الموظفون'!$D$9,CycleWork+CycleRest)&lt;CycleWork,INDEX('الإعدادات والقوائم'!$H$2:$H$4,MOD(INT(MOD(FW$3-'الموظفون'!$D$9,CycleWork+CycleRest)*3/CycleWork)+MATCH(StartShift,'الإعدادات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الإجازات'!$D$5:$D$104&lt;=FW$3)*(('حجز الإجازات'!$E$5:$E$104)&gt;=FW$3)*('حجز الإجازات'!$G$5:$G$104="معتمد")*ROW('حجز الإجازات'!$B$5:$B$104)))-5+1))</f>
        <v/>
      </c>
      <c r="FX11" s="62">
        <f>IF(SUMPRODUCT(('حجز الإجازات'!$B$5:$B$104='الموظفون'!$B$9)*('حجز الإجازات'!$D$5:$D$104&lt;=FX$3)*(('حجز الإجازات'!$E$5:$E$104)&gt;=FX$3)*('حجز الإجازات'!$G$5:$G$104="معتمد")*ROW('حجز الإجازات'!$B$5:$B$104))=0,IF(FX$3&lt;'الموظفون'!$D$9,"",IF(ISNUMBER(MATCH(FX$3,Holidays,0)),"عطلة",IF(MOD(FX$3-'الموظفون'!$D$9,CycleWork+CycleRest)&lt;CycleWork,INDEX('الإعدادات والقوائم'!$H$2:$H$4,MOD(INT(MOD(FX$3-'الموظفون'!$D$9,CycleWork+CycleRest)*3/CycleWork)+MATCH(StartShift,'الإعدادات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الإجازات'!$D$5:$D$104&lt;=FX$3)*(('حجز الإجازات'!$E$5:$E$104)&gt;=FX$3)*('حجز الإجازات'!$G$5:$G$104="معتمد")*ROW('حجز الإجازات'!$B$5:$B$104)))-5+1))</f>
        <v/>
      </c>
      <c r="FY11" s="62">
        <f>IF(SUMPRODUCT(('حجز الإجازات'!$B$5:$B$104='الموظفون'!$B$9)*('حجز الإجازات'!$D$5:$D$104&lt;=FY$3)*(('حجز الإجازات'!$E$5:$E$104)&gt;=FY$3)*('حجز الإجازات'!$G$5:$G$104="معتمد")*ROW('حجز الإجازات'!$B$5:$B$104))=0,IF(FY$3&lt;'الموظفون'!$D$9,"",IF(ISNUMBER(MATCH(FY$3,Holidays,0)),"عطلة",IF(MOD(FY$3-'الموظفون'!$D$9,CycleWork+CycleRest)&lt;CycleWork,INDEX('الإعدادات والقوائم'!$H$2:$H$4,MOD(INT(MOD(FY$3-'الموظفون'!$D$9,CycleWork+CycleRest)*3/CycleWork)+MATCH(StartShift,'الإعدادات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الإجازات'!$D$5:$D$104&lt;=FY$3)*(('حجز الإجازات'!$E$5:$E$104)&gt;=FY$3)*('حجز الإجازات'!$G$5:$G$104="معتمد")*ROW('حجز الإجازات'!$B$5:$B$104)))-5+1))</f>
        <v/>
      </c>
      <c r="FZ11" s="62">
        <f>IF(SUMPRODUCT(('حجز الإجازات'!$B$5:$B$104='الموظفون'!$B$9)*('حجز الإجازات'!$D$5:$D$104&lt;=FZ$3)*(('حجز الإجازات'!$E$5:$E$104)&gt;=FZ$3)*('حجز الإجازات'!$G$5:$G$104="معتمد")*ROW('حجز الإجازات'!$B$5:$B$104))=0,IF(FZ$3&lt;'الموظفون'!$D$9,"",IF(ISNUMBER(MATCH(FZ$3,Holidays,0)),"عطلة",IF(MOD(FZ$3-'الموظفون'!$D$9,CycleWork+CycleRest)&lt;CycleWork,INDEX('الإعدادات والقوائم'!$H$2:$H$4,MOD(INT(MOD(FZ$3-'الموظفون'!$D$9,CycleWork+CycleRest)*3/CycleWork)+MATCH(StartShift,'الإعدادات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الإجازات'!$D$5:$D$104&lt;=FZ$3)*(('حجز الإجازات'!$E$5:$E$104)&gt;=FZ$3)*('حجز الإجازات'!$G$5:$G$104="معتمد")*ROW('حجز الإجازات'!$B$5:$B$104)))-5+1))</f>
        <v/>
      </c>
      <c r="GA11" s="62">
        <f>IF(SUMPRODUCT(('حجز الإجازات'!$B$5:$B$104='الموظفون'!$B$9)*('حجز الإجازات'!$D$5:$D$104&lt;=GA$3)*(('حجز الإجازات'!$E$5:$E$104)&gt;=GA$3)*('حجز الإجازات'!$G$5:$G$104="معتمد")*ROW('حجز الإجازات'!$B$5:$B$104))=0,IF(GA$3&lt;'الموظفون'!$D$9,"",IF(ISNUMBER(MATCH(GA$3,Holidays,0)),"عطلة",IF(MOD(GA$3-'الموظفون'!$D$9,CycleWork+CycleRest)&lt;CycleWork,INDEX('الإعدادات والقوائم'!$H$2:$H$4,MOD(INT(MOD(GA$3-'الموظفون'!$D$9,CycleWork+CycleRest)*3/CycleWork)+MATCH(StartShift,'الإعدادات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الإجازات'!$D$5:$D$104&lt;=GA$3)*(('حجز الإجازات'!$E$5:$E$104)&gt;=GA$3)*('حجز الإجازات'!$G$5:$G$104="معتمد")*ROW('حجز الإجازات'!$B$5:$B$104)))-5+1))</f>
        <v/>
      </c>
      <c r="GB11" s="62">
        <f>IF(SUMPRODUCT(('حجز الإجازات'!$B$5:$B$104='الموظفون'!$B$9)*('حجز الإجازات'!$D$5:$D$104&lt;=GB$3)*(('حجز الإجازات'!$E$5:$E$104)&gt;=GB$3)*('حجز الإجازات'!$G$5:$G$104="معتمد")*ROW('حجز الإجازات'!$B$5:$B$104))=0,IF(GB$3&lt;'الموظفون'!$D$9,"",IF(ISNUMBER(MATCH(GB$3,Holidays,0)),"عطلة",IF(MOD(GB$3-'الموظفون'!$D$9,CycleWork+CycleRest)&lt;CycleWork,INDEX('الإعدادات والقوائم'!$H$2:$H$4,MOD(INT(MOD(GB$3-'الموظفون'!$D$9,CycleWork+CycleRest)*3/CycleWork)+MATCH(StartShift,'الإعدادات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الإجازات'!$D$5:$D$104&lt;=GB$3)*(('حجز الإجازات'!$E$5:$E$104)&gt;=GB$3)*('حجز الإجازات'!$G$5:$G$104="معتمد")*ROW('حجز الإجازات'!$B$5:$B$104)))-5+1))</f>
        <v/>
      </c>
      <c r="GC11" s="62">
        <f>IF(SUMPRODUCT(('حجز الإجازات'!$B$5:$B$104='الموظفون'!$B$9)*('حجز الإجازات'!$D$5:$D$104&lt;=GC$3)*(('حجز الإجازات'!$E$5:$E$104)&gt;=GC$3)*('حجز الإجازات'!$G$5:$G$104="معتمد")*ROW('حجز الإجازات'!$B$5:$B$104))=0,IF(GC$3&lt;'الموظفون'!$D$9,"",IF(ISNUMBER(MATCH(GC$3,Holidays,0)),"عطلة",IF(MOD(GC$3-'الموظفون'!$D$9,CycleWork+CycleRest)&lt;CycleWork,INDEX('الإعدادات والقوائم'!$H$2:$H$4,MOD(INT(MOD(GC$3-'الموظفون'!$D$9,CycleWork+CycleRest)*3/CycleWork)+MATCH(StartShift,'الإعدادات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الإجازات'!$D$5:$D$104&lt;=GC$3)*(('حجز الإجازات'!$E$5:$E$104)&gt;=GC$3)*('حجز الإجازات'!$G$5:$G$104="معتمد")*ROW('حجز الإجازات'!$B$5:$B$104)))-5+1))</f>
        <v/>
      </c>
      <c r="GD11" s="62">
        <f>IF(SUMPRODUCT(('حجز الإجازات'!$B$5:$B$104='الموظفون'!$B$9)*('حجز الإجازات'!$D$5:$D$104&lt;=GD$3)*(('حجز الإجازات'!$E$5:$E$104)&gt;=GD$3)*('حجز الإجازات'!$G$5:$G$104="معتمد")*ROW('حجز الإجازات'!$B$5:$B$104))=0,IF(GD$3&lt;'الموظفون'!$D$9,"",IF(ISNUMBER(MATCH(GD$3,Holidays,0)),"عطلة",IF(MOD(GD$3-'الموظفون'!$D$9,CycleWork+CycleRest)&lt;CycleWork,INDEX('الإعدادات والقوائم'!$H$2:$H$4,MOD(INT(MOD(GD$3-'الموظفون'!$D$9,CycleWork+CycleRest)*3/CycleWork)+MATCH(StartShift,'الإعدادات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الإجازات'!$D$5:$D$104&lt;=GD$3)*(('حجز الإجازات'!$E$5:$E$104)&gt;=GD$3)*('حجز الإجازات'!$G$5:$G$104="معتمد")*ROW('حجز الإجازات'!$B$5:$B$104)))-5+1))</f>
        <v/>
      </c>
      <c r="GE11" s="62">
        <f>IF(SUMPRODUCT(('حجز الإجازات'!$B$5:$B$104='الموظفون'!$B$9)*('حجز الإجازات'!$D$5:$D$104&lt;=GE$3)*(('حجز الإجازات'!$E$5:$E$104)&gt;=GE$3)*('حجز الإجازات'!$G$5:$G$104="معتمد")*ROW('حجز الإجازات'!$B$5:$B$104))=0,IF(GE$3&lt;'الموظفون'!$D$9,"",IF(ISNUMBER(MATCH(GE$3,Holidays,0)),"عطلة",IF(MOD(GE$3-'الموظفون'!$D$9,CycleWork+CycleRest)&lt;CycleWork,INDEX('الإعدادات والقوائم'!$H$2:$H$4,MOD(INT(MOD(GE$3-'الموظفون'!$D$9,CycleWork+CycleRest)*3/CycleWork)+MATCH(StartShift,'الإعدادات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الإجازات'!$D$5:$D$104&lt;=GE$3)*(('حجز الإجازات'!$E$5:$E$104)&gt;=GE$3)*('حجز الإجازات'!$G$5:$G$104="معتمد")*ROW('حجز الإجازات'!$B$5:$B$104)))-5+1))</f>
        <v/>
      </c>
      <c r="GF11" s="62">
        <f>IF(SUMPRODUCT(('حجز الإجازات'!$B$5:$B$104='الموظفون'!$B$9)*('حجز الإجازات'!$D$5:$D$104&lt;=GF$3)*(('حجز الإجازات'!$E$5:$E$104)&gt;=GF$3)*('حجز الإجازات'!$G$5:$G$104="معتمد")*ROW('حجز الإجازات'!$B$5:$B$104))=0,IF(GF$3&lt;'الموظفون'!$D$9,"",IF(ISNUMBER(MATCH(GF$3,Holidays,0)),"عطلة",IF(MOD(GF$3-'الموظفون'!$D$9,CycleWork+CycleRest)&lt;CycleWork,INDEX('الإعدادات والقوائم'!$H$2:$H$4,MOD(INT(MOD(GF$3-'الموظفون'!$D$9,CycleWork+CycleRest)*3/CycleWork)+MATCH(StartShift,'الإعدادات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الإجازات'!$D$5:$D$104&lt;=GF$3)*(('حجز الإجازات'!$E$5:$E$104)&gt;=GF$3)*('حجز الإجازات'!$G$5:$G$104="معتمد")*ROW('حجز الإجازات'!$B$5:$B$104)))-5+1))</f>
        <v/>
      </c>
      <c r="GG11" s="62">
        <f>IF(SUMPRODUCT(('حجز الإجازات'!$B$5:$B$104='الموظفون'!$B$9)*('حجز الإجازات'!$D$5:$D$104&lt;=GG$3)*(('حجز الإجازات'!$E$5:$E$104)&gt;=GG$3)*('حجز الإجازات'!$G$5:$G$104="معتمد")*ROW('حجز الإجازات'!$B$5:$B$104))=0,IF(GG$3&lt;'الموظفون'!$D$9,"",IF(ISNUMBER(MATCH(GG$3,Holidays,0)),"عطلة",IF(MOD(GG$3-'الموظفون'!$D$9,CycleWork+CycleRest)&lt;CycleWork,INDEX('الإعدادات والقوائم'!$H$2:$H$4,MOD(INT(MOD(GG$3-'الموظفون'!$D$9,CycleWork+CycleRest)*3/CycleWork)+MATCH(StartShift,'الإعدادات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الإجازات'!$D$5:$D$104&lt;=GG$3)*(('حجز الإجازات'!$E$5:$E$104)&gt;=GG$3)*('حجز الإجازات'!$G$5:$G$104="معتمد")*ROW('حجز الإجازات'!$B$5:$B$104)))-5+1))</f>
        <v/>
      </c>
      <c r="GH11" s="62">
        <f>IF(SUMPRODUCT(('حجز الإجازات'!$B$5:$B$104='الموظفون'!$B$9)*('حجز الإجازات'!$D$5:$D$104&lt;=GH$3)*(('حجز الإجازات'!$E$5:$E$104)&gt;=GH$3)*('حجز الإجازات'!$G$5:$G$104="معتمد")*ROW('حجز الإجازات'!$B$5:$B$104))=0,IF(GH$3&lt;'الموظفون'!$D$9,"",IF(ISNUMBER(MATCH(GH$3,Holidays,0)),"عطلة",IF(MOD(GH$3-'الموظفون'!$D$9,CycleWork+CycleRest)&lt;CycleWork,INDEX('الإعدادات والقوائم'!$H$2:$H$4,MOD(INT(MOD(GH$3-'الموظفون'!$D$9,CycleWork+CycleRest)*3/CycleWork)+MATCH(StartShift,'الإعدادات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الإجازات'!$D$5:$D$104&lt;=GH$3)*(('حجز الإجازات'!$E$5:$E$104)&gt;=GH$3)*('حجز الإجازات'!$G$5:$G$104="معتمد")*ROW('حجز الإجازات'!$B$5:$B$104)))-5+1))</f>
        <v/>
      </c>
      <c r="GI11" s="62">
        <f>IF(SUMPRODUCT(('حجز الإجازات'!$B$5:$B$104='الموظفون'!$B$9)*('حجز الإجازات'!$D$5:$D$104&lt;=GI$3)*(('حجز الإجازات'!$E$5:$E$104)&gt;=GI$3)*('حجز الإجازات'!$G$5:$G$104="معتمد")*ROW('حجز الإجازات'!$B$5:$B$104))=0,IF(GI$3&lt;'الموظفون'!$D$9,"",IF(ISNUMBER(MATCH(GI$3,Holidays,0)),"عطلة",IF(MOD(GI$3-'الموظفون'!$D$9,CycleWork+CycleRest)&lt;CycleWork,INDEX('الإعدادات والقوائم'!$H$2:$H$4,MOD(INT(MOD(GI$3-'الموظفون'!$D$9,CycleWork+CycleRest)*3/CycleWork)+MATCH(StartShift,'الإعدادات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الإجازات'!$D$5:$D$104&lt;=GI$3)*(('حجز الإجازات'!$E$5:$E$104)&gt;=GI$3)*('حجز الإجازات'!$G$5:$G$104="معتمد")*ROW('حجز الإجازات'!$B$5:$B$104)))-5+1))</f>
        <v/>
      </c>
      <c r="GJ11" s="62">
        <f>IF(SUMPRODUCT(('حجز الإجازات'!$B$5:$B$104='الموظفون'!$B$9)*('حجز الإجازات'!$D$5:$D$104&lt;=GJ$3)*(('حجز الإجازات'!$E$5:$E$104)&gt;=GJ$3)*('حجز الإجازات'!$G$5:$G$104="معتمد")*ROW('حجز الإجازات'!$B$5:$B$104))=0,IF(GJ$3&lt;'الموظفون'!$D$9,"",IF(ISNUMBER(MATCH(GJ$3,Holidays,0)),"عطلة",IF(MOD(GJ$3-'الموظفون'!$D$9,CycleWork+CycleRest)&lt;CycleWork,INDEX('الإعدادات والقوائم'!$H$2:$H$4,MOD(INT(MOD(GJ$3-'الموظفون'!$D$9,CycleWork+CycleRest)*3/CycleWork)+MATCH(StartShift,'الإعدادات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الإجازات'!$D$5:$D$104&lt;=GJ$3)*(('حجز الإجازات'!$E$5:$E$104)&gt;=GJ$3)*('حجز الإجازات'!$G$5:$G$104="معتمد")*ROW('حجز الإجازات'!$B$5:$B$104)))-5+1))</f>
        <v/>
      </c>
      <c r="GK11" s="62">
        <f>IF(SUMPRODUCT(('حجز الإجازات'!$B$5:$B$104='الموظفون'!$B$9)*('حجز الإجازات'!$D$5:$D$104&lt;=GK$3)*(('حجز الإجازات'!$E$5:$E$104)&gt;=GK$3)*('حجز الإجازات'!$G$5:$G$104="معتمد")*ROW('حجز الإجازات'!$B$5:$B$104))=0,IF(GK$3&lt;'الموظفون'!$D$9,"",IF(ISNUMBER(MATCH(GK$3,Holidays,0)),"عطلة",IF(MOD(GK$3-'الموظفون'!$D$9,CycleWork+CycleRest)&lt;CycleWork,INDEX('الإعدادات والقوائم'!$H$2:$H$4,MOD(INT(MOD(GK$3-'الموظفون'!$D$9,CycleWork+CycleRest)*3/CycleWork)+MATCH(StartShift,'الإعدادات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الإجازات'!$D$5:$D$104&lt;=GK$3)*(('حجز الإجازات'!$E$5:$E$104)&gt;=GK$3)*('حجز الإجازات'!$G$5:$G$104="معتمد")*ROW('حجز الإجازات'!$B$5:$B$104)))-5+1))</f>
        <v/>
      </c>
      <c r="GL11" s="62">
        <f>IF(SUMPRODUCT(('حجز الإجازات'!$B$5:$B$104='الموظفون'!$B$9)*('حجز الإجازات'!$D$5:$D$104&lt;=GL$3)*(('حجز الإجازات'!$E$5:$E$104)&gt;=GL$3)*('حجز الإجازات'!$G$5:$G$104="معتمد")*ROW('حجز الإجازات'!$B$5:$B$104))=0,IF(GL$3&lt;'الموظفون'!$D$9,"",IF(ISNUMBER(MATCH(GL$3,Holidays,0)),"عطلة",IF(MOD(GL$3-'الموظفون'!$D$9,CycleWork+CycleRest)&lt;CycleWork,INDEX('الإعدادات والقوائم'!$H$2:$H$4,MOD(INT(MOD(GL$3-'الموظفون'!$D$9,CycleWork+CycleRest)*3/CycleWork)+MATCH(StartShift,'الإعدادات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الإجازات'!$D$5:$D$104&lt;=GL$3)*(('حجز الإجازات'!$E$5:$E$104)&gt;=GL$3)*('حجز الإجازات'!$G$5:$G$104="معتمد")*ROW('حجز الإجازات'!$B$5:$B$104)))-5+1))</f>
        <v/>
      </c>
      <c r="GM11" s="62">
        <f>IF(SUMPRODUCT(('حجز الإجازات'!$B$5:$B$104='الموظفون'!$B$9)*('حجز الإجازات'!$D$5:$D$104&lt;=GM$3)*(('حجز الإجازات'!$E$5:$E$104)&gt;=GM$3)*('حجز الإجازات'!$G$5:$G$104="معتمد")*ROW('حجز الإجازات'!$B$5:$B$104))=0,IF(GM$3&lt;'الموظفون'!$D$9,"",IF(ISNUMBER(MATCH(GM$3,Holidays,0)),"عطلة",IF(MOD(GM$3-'الموظفون'!$D$9,CycleWork+CycleRest)&lt;CycleWork,INDEX('الإعدادات والقوائم'!$H$2:$H$4,MOD(INT(MOD(GM$3-'الموظفون'!$D$9,CycleWork+CycleRest)*3/CycleWork)+MATCH(StartShift,'الإعدادات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الإجازات'!$D$5:$D$104&lt;=GM$3)*(('حجز الإجازات'!$E$5:$E$104)&gt;=GM$3)*('حجز الإجازات'!$G$5:$G$104="معتمد")*ROW('حجز الإجازات'!$B$5:$B$104)))-5+1))</f>
        <v/>
      </c>
      <c r="GN11" s="62">
        <f>IF(SUMPRODUCT(('حجز الإجازات'!$B$5:$B$104='الموظفون'!$B$9)*('حجز الإجازات'!$D$5:$D$104&lt;=GN$3)*(('حجز الإجازات'!$E$5:$E$104)&gt;=GN$3)*('حجز الإجازات'!$G$5:$G$104="معتمد")*ROW('حجز الإجازات'!$B$5:$B$104))=0,IF(GN$3&lt;'الموظفون'!$D$9,"",IF(ISNUMBER(MATCH(GN$3,Holidays,0)),"عطلة",IF(MOD(GN$3-'الموظفون'!$D$9,CycleWork+CycleRest)&lt;CycleWork,INDEX('الإعدادات والقوائم'!$H$2:$H$4,MOD(INT(MOD(GN$3-'الموظفون'!$D$9,CycleWork+CycleRest)*3/CycleWork)+MATCH(StartShift,'الإعدادات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الإجازات'!$D$5:$D$104&lt;=GN$3)*(('حجز الإجازات'!$E$5:$E$104)&gt;=GN$3)*('حجز الإجازات'!$G$5:$G$104="معتمد")*ROW('حجز الإجازات'!$B$5:$B$104)))-5+1))</f>
        <v/>
      </c>
      <c r="GO11" s="62">
        <f>IF(SUMPRODUCT(('حجز الإجازات'!$B$5:$B$104='الموظفون'!$B$9)*('حجز الإجازات'!$D$5:$D$104&lt;=GO$3)*(('حجز الإجازات'!$E$5:$E$104)&gt;=GO$3)*('حجز الإجازات'!$G$5:$G$104="معتمد")*ROW('حجز الإجازات'!$B$5:$B$104))=0,IF(GO$3&lt;'الموظفون'!$D$9,"",IF(ISNUMBER(MATCH(GO$3,Holidays,0)),"عطلة",IF(MOD(GO$3-'الموظفون'!$D$9,CycleWork+CycleRest)&lt;CycleWork,INDEX('الإعدادات والقوائم'!$H$2:$H$4,MOD(INT(MOD(GO$3-'الموظفون'!$D$9,CycleWork+CycleRest)*3/CycleWork)+MATCH(StartShift,'الإعدادات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الإجازات'!$D$5:$D$104&lt;=GO$3)*(('حجز الإجازات'!$E$5:$E$104)&gt;=GO$3)*('حجز الإجازات'!$G$5:$G$104="معتمد")*ROW('حجز الإجازات'!$B$5:$B$104)))-5+1))</f>
        <v/>
      </c>
      <c r="GP11" s="62">
        <f>IF(SUMPRODUCT(('حجز الإجازات'!$B$5:$B$104='الموظفون'!$B$9)*('حجز الإجازات'!$D$5:$D$104&lt;=GP$3)*(('حجز الإجازات'!$E$5:$E$104)&gt;=GP$3)*('حجز الإجازات'!$G$5:$G$104="معتمد")*ROW('حجز الإجازات'!$B$5:$B$104))=0,IF(GP$3&lt;'الموظفون'!$D$9,"",IF(ISNUMBER(MATCH(GP$3,Holidays,0)),"عطلة",IF(MOD(GP$3-'الموظفون'!$D$9,CycleWork+CycleRest)&lt;CycleWork,INDEX('الإعدادات والقوائم'!$H$2:$H$4,MOD(INT(MOD(GP$3-'الموظفون'!$D$9,CycleWork+CycleRest)*3/CycleWork)+MATCH(StartShift,'الإعدادات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الإجازات'!$D$5:$D$104&lt;=GP$3)*(('حجز الإجازات'!$E$5:$E$104)&gt;=GP$3)*('حجز الإجازات'!$G$5:$G$104="معتمد")*ROW('حجز الإجازات'!$B$5:$B$104)))-5+1))</f>
        <v/>
      </c>
      <c r="GQ11" s="62">
        <f>IF(SUMPRODUCT(('حجز الإجازات'!$B$5:$B$104='الموظفون'!$B$9)*('حجز الإجازات'!$D$5:$D$104&lt;=GQ$3)*(('حجز الإجازات'!$E$5:$E$104)&gt;=GQ$3)*('حجز الإجازات'!$G$5:$G$104="معتمد")*ROW('حجز الإجازات'!$B$5:$B$104))=0,IF(GQ$3&lt;'الموظفون'!$D$9,"",IF(ISNUMBER(MATCH(GQ$3,Holidays,0)),"عطلة",IF(MOD(GQ$3-'الموظفون'!$D$9,CycleWork+CycleRest)&lt;CycleWork,INDEX('الإعدادات والقوائم'!$H$2:$H$4,MOD(INT(MOD(GQ$3-'الموظفون'!$D$9,CycleWork+CycleRest)*3/CycleWork)+MATCH(StartShift,'الإعدادات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الإجازات'!$D$5:$D$104&lt;=GQ$3)*(('حجز الإجازات'!$E$5:$E$104)&gt;=GQ$3)*('حجز الإجازات'!$G$5:$G$104="معتمد")*ROW('حجز الإجازات'!$B$5:$B$104)))-5+1))</f>
        <v/>
      </c>
      <c r="GR11" s="62">
        <f>IF(SUMPRODUCT(('حجز الإجازات'!$B$5:$B$104='الموظفون'!$B$9)*('حجز الإجازات'!$D$5:$D$104&lt;=GR$3)*(('حجز الإجازات'!$E$5:$E$104)&gt;=GR$3)*('حجز الإجازات'!$G$5:$G$104="معتمد")*ROW('حجز الإجازات'!$B$5:$B$104))=0,IF(GR$3&lt;'الموظفون'!$D$9,"",IF(ISNUMBER(MATCH(GR$3,Holidays,0)),"عطلة",IF(MOD(GR$3-'الموظفون'!$D$9,CycleWork+CycleRest)&lt;CycleWork,INDEX('الإعدادات والقوائم'!$H$2:$H$4,MOD(INT(MOD(GR$3-'الموظفون'!$D$9,CycleWork+CycleRest)*3/CycleWork)+MATCH(StartShift,'الإعدادات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الإجازات'!$D$5:$D$104&lt;=GR$3)*(('حجز الإجازات'!$E$5:$E$104)&gt;=GR$3)*('حجز الإجازات'!$G$5:$G$104="معتمد")*ROW('حجز الإجازات'!$B$5:$B$104)))-5+1))</f>
        <v/>
      </c>
      <c r="GS11" s="62">
        <f>IF(SUMPRODUCT(('حجز الإجازات'!$B$5:$B$104='الموظفون'!$B$9)*('حجز الإجازات'!$D$5:$D$104&lt;=GS$3)*(('حجز الإجازات'!$E$5:$E$104)&gt;=GS$3)*('حجز الإجازات'!$G$5:$G$104="معتمد")*ROW('حجز الإجازات'!$B$5:$B$104))=0,IF(GS$3&lt;'الموظفون'!$D$9,"",IF(ISNUMBER(MATCH(GS$3,Holidays,0)),"عطلة",IF(MOD(GS$3-'الموظفون'!$D$9,CycleWork+CycleRest)&lt;CycleWork,INDEX('الإعدادات والقوائم'!$H$2:$H$4,MOD(INT(MOD(GS$3-'الموظفون'!$D$9,CycleWork+CycleRest)*3/CycleWork)+MATCH(StartShift,'الإعدادات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الإجازات'!$D$5:$D$104&lt;=GS$3)*(('حجز الإجازات'!$E$5:$E$104)&gt;=GS$3)*('حجز الإجازات'!$G$5:$G$104="معتمد")*ROW('حجز الإجازات'!$B$5:$B$104)))-5+1))</f>
        <v/>
      </c>
      <c r="GT11" s="62">
        <f>IF(SUMPRODUCT(('حجز الإجازات'!$B$5:$B$104='الموظفون'!$B$9)*('حجز الإجازات'!$D$5:$D$104&lt;=GT$3)*(('حجز الإجازات'!$E$5:$E$104)&gt;=GT$3)*('حجز الإجازات'!$G$5:$G$104="معتمد")*ROW('حجز الإجازات'!$B$5:$B$104))=0,IF(GT$3&lt;'الموظفون'!$D$9,"",IF(ISNUMBER(MATCH(GT$3,Holidays,0)),"عطلة",IF(MOD(GT$3-'الموظفون'!$D$9,CycleWork+CycleRest)&lt;CycleWork,INDEX('الإعدادات والقوائم'!$H$2:$H$4,MOD(INT(MOD(GT$3-'الموظفون'!$D$9,CycleWork+CycleRest)*3/CycleWork)+MATCH(StartShift,'الإعدادات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الإجازات'!$D$5:$D$104&lt;=GT$3)*(('حجز الإجازات'!$E$5:$E$104)&gt;=GT$3)*('حجز الإجازات'!$G$5:$G$104="معتمد")*ROW('حجز الإجازات'!$B$5:$B$104)))-5+1))</f>
        <v/>
      </c>
      <c r="GU11" s="62">
        <f>IF(SUMPRODUCT(('حجز الإجازات'!$B$5:$B$104='الموظفون'!$B$9)*('حجز الإجازات'!$D$5:$D$104&lt;=GU$3)*(('حجز الإجازات'!$E$5:$E$104)&gt;=GU$3)*('حجز الإجازات'!$G$5:$G$104="معتمد")*ROW('حجز الإجازات'!$B$5:$B$104))=0,IF(GU$3&lt;'الموظفون'!$D$9,"",IF(ISNUMBER(MATCH(GU$3,Holidays,0)),"عطلة",IF(MOD(GU$3-'الموظفون'!$D$9,CycleWork+CycleRest)&lt;CycleWork,INDEX('الإعدادات والقوائم'!$H$2:$H$4,MOD(INT(MOD(GU$3-'الموظفون'!$D$9,CycleWork+CycleRest)*3/CycleWork)+MATCH(StartShift,'الإعدادات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الإجازات'!$D$5:$D$104&lt;=GU$3)*(('حجز الإجازات'!$E$5:$E$104)&gt;=GU$3)*('حجز الإجازات'!$G$5:$G$104="معتمد")*ROW('حجز الإجازات'!$B$5:$B$104)))-5+1))</f>
        <v/>
      </c>
      <c r="GV11" s="62">
        <f>IF(SUMPRODUCT(('حجز الإجازات'!$B$5:$B$104='الموظفون'!$B$9)*('حجز الإجازات'!$D$5:$D$104&lt;=GV$3)*(('حجز الإجازات'!$E$5:$E$104)&gt;=GV$3)*('حجز الإجازات'!$G$5:$G$104="معتمد")*ROW('حجز الإجازات'!$B$5:$B$104))=0,IF(GV$3&lt;'الموظفون'!$D$9,"",IF(ISNUMBER(MATCH(GV$3,Holidays,0)),"عطلة",IF(MOD(GV$3-'الموظفون'!$D$9,CycleWork+CycleRest)&lt;CycleWork,INDEX('الإعدادات والقوائم'!$H$2:$H$4,MOD(INT(MOD(GV$3-'الموظفون'!$D$9,CycleWork+CycleRest)*3/CycleWork)+MATCH(StartShift,'الإعدادات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الإجازات'!$D$5:$D$104&lt;=GV$3)*(('حجز الإجازات'!$E$5:$E$104)&gt;=GV$3)*('حجز الإجازات'!$G$5:$G$104="معتمد")*ROW('حجز الإجازات'!$B$5:$B$104)))-5+1))</f>
        <v/>
      </c>
      <c r="GW11" s="62">
        <f>IF(SUMPRODUCT(('حجز الإجازات'!$B$5:$B$104='الموظفون'!$B$9)*('حجز الإجازات'!$D$5:$D$104&lt;=GW$3)*(('حجز الإجازات'!$E$5:$E$104)&gt;=GW$3)*('حجز الإجازات'!$G$5:$G$104="معتمد")*ROW('حجز الإجازات'!$B$5:$B$104))=0,IF(GW$3&lt;'الموظفون'!$D$9,"",IF(ISNUMBER(MATCH(GW$3,Holidays,0)),"عطلة",IF(MOD(GW$3-'الموظفون'!$D$9,CycleWork+CycleRest)&lt;CycleWork,INDEX('الإعدادات والقوائم'!$H$2:$H$4,MOD(INT(MOD(GW$3-'الموظفون'!$D$9,CycleWork+CycleRest)*3/CycleWork)+MATCH(StartShift,'الإعدادات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الإجازات'!$D$5:$D$104&lt;=GW$3)*(('حجز الإجازات'!$E$5:$E$104)&gt;=GW$3)*('حجز الإجازات'!$G$5:$G$104="معتمد")*ROW('حجز الإجازات'!$B$5:$B$104)))-5+1))</f>
        <v/>
      </c>
      <c r="GX11" s="62">
        <f>IF(SUMPRODUCT(('حجز الإجازات'!$B$5:$B$104='الموظفون'!$B$9)*('حجز الإجازات'!$D$5:$D$104&lt;=GX$3)*(('حجز الإجازات'!$E$5:$E$104)&gt;=GX$3)*('حجز الإجازات'!$G$5:$G$104="معتمد")*ROW('حجز الإجازات'!$B$5:$B$104))=0,IF(GX$3&lt;'الموظفون'!$D$9,"",IF(ISNUMBER(MATCH(GX$3,Holidays,0)),"عطلة",IF(MOD(GX$3-'الموظفون'!$D$9,CycleWork+CycleRest)&lt;CycleWork,INDEX('الإعدادات والقوائم'!$H$2:$H$4,MOD(INT(MOD(GX$3-'الموظفون'!$D$9,CycleWork+CycleRest)*3/CycleWork)+MATCH(StartShift,'الإعدادات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الإجازات'!$D$5:$D$104&lt;=GX$3)*(('حجز الإجازات'!$E$5:$E$104)&gt;=GX$3)*('حجز الإجازات'!$G$5:$G$104="معتمد")*ROW('حجز الإجازات'!$B$5:$B$104)))-5+1))</f>
        <v/>
      </c>
      <c r="GY11" s="62">
        <f>IF(SUMPRODUCT(('حجز الإجازات'!$B$5:$B$104='الموظفون'!$B$9)*('حجز الإجازات'!$D$5:$D$104&lt;=GY$3)*(('حجز الإجازات'!$E$5:$E$104)&gt;=GY$3)*('حجز الإجازات'!$G$5:$G$104="معتمد")*ROW('حجز الإجازات'!$B$5:$B$104))=0,IF(GY$3&lt;'الموظفون'!$D$9,"",IF(ISNUMBER(MATCH(GY$3,Holidays,0)),"عطلة",IF(MOD(GY$3-'الموظفون'!$D$9,CycleWork+CycleRest)&lt;CycleWork,INDEX('الإعدادات والقوائم'!$H$2:$H$4,MOD(INT(MOD(GY$3-'الموظفون'!$D$9,CycleWork+CycleRest)*3/CycleWork)+MATCH(StartShift,'الإعدادات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الإجازات'!$D$5:$D$104&lt;=GY$3)*(('حجز الإجازات'!$E$5:$E$104)&gt;=GY$3)*('حجز الإجازات'!$G$5:$G$104="معتمد")*ROW('حجز الإجازات'!$B$5:$B$104)))-5+1))</f>
        <v/>
      </c>
      <c r="GZ11" s="62">
        <f>IF(SUMPRODUCT(('حجز الإجازات'!$B$5:$B$104='الموظفون'!$B$9)*('حجز الإجازات'!$D$5:$D$104&lt;=GZ$3)*(('حجز الإجازات'!$E$5:$E$104)&gt;=GZ$3)*('حجز الإجازات'!$G$5:$G$104="معتمد")*ROW('حجز الإجازات'!$B$5:$B$104))=0,IF(GZ$3&lt;'الموظفون'!$D$9,"",IF(ISNUMBER(MATCH(GZ$3,Holidays,0)),"عطلة",IF(MOD(GZ$3-'الموظفون'!$D$9,CycleWork+CycleRest)&lt;CycleWork,INDEX('الإعدادات والقوائم'!$H$2:$H$4,MOD(INT(MOD(GZ$3-'الموظفون'!$D$9,CycleWork+CycleRest)*3/CycleWork)+MATCH(StartShift,'الإعدادات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الإجازات'!$D$5:$D$104&lt;=GZ$3)*(('حجز الإجازات'!$E$5:$E$104)&gt;=GZ$3)*('حجز الإجازات'!$G$5:$G$104="معتمد")*ROW('حجز الإجازات'!$B$5:$B$104)))-5+1))</f>
        <v/>
      </c>
      <c r="HA11" s="62">
        <f>IF(SUMPRODUCT(('حجز الإجازات'!$B$5:$B$104='الموظفون'!$B$9)*('حجز الإجازات'!$D$5:$D$104&lt;=HA$3)*(('حجز الإجازات'!$E$5:$E$104)&gt;=HA$3)*('حجز الإجازات'!$G$5:$G$104="معتمد")*ROW('حجز الإجازات'!$B$5:$B$104))=0,IF(HA$3&lt;'الموظفون'!$D$9,"",IF(ISNUMBER(MATCH(HA$3,Holidays,0)),"عطلة",IF(MOD(HA$3-'الموظفون'!$D$9,CycleWork+CycleRest)&lt;CycleWork,INDEX('الإعدادات والقوائم'!$H$2:$H$4,MOD(INT(MOD(HA$3-'الموظفون'!$D$9,CycleWork+CycleRest)*3/CycleWork)+MATCH(StartShift,'الإعدادات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الإجازات'!$D$5:$D$104&lt;=HA$3)*(('حجز الإجازات'!$E$5:$E$104)&gt;=HA$3)*('حجز الإجازات'!$G$5:$G$104="معتمد")*ROW('حجز الإجازات'!$B$5:$B$104)))-5+1))</f>
        <v/>
      </c>
      <c r="HB11" s="62">
        <f>IF(SUMPRODUCT(('حجز الإجازات'!$B$5:$B$104='الموظفون'!$B$9)*('حجز الإجازات'!$D$5:$D$104&lt;=HB$3)*(('حجز الإجازات'!$E$5:$E$104)&gt;=HB$3)*('حجز الإجازات'!$G$5:$G$104="معتمد")*ROW('حجز الإجازات'!$B$5:$B$104))=0,IF(HB$3&lt;'الموظفون'!$D$9,"",IF(ISNUMBER(MATCH(HB$3,Holidays,0)),"عطلة",IF(MOD(HB$3-'الموظفون'!$D$9,CycleWork+CycleRest)&lt;CycleWork,INDEX('الإعدادات والقوائم'!$H$2:$H$4,MOD(INT(MOD(HB$3-'الموظفون'!$D$9,CycleWork+CycleRest)*3/CycleWork)+MATCH(StartShift,'الإعدادات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الإجازات'!$D$5:$D$104&lt;=HB$3)*(('حجز الإجازات'!$E$5:$E$104)&gt;=HB$3)*('حجز الإجازات'!$G$5:$G$104="معتمد")*ROW('حجز الإجازات'!$B$5:$B$104)))-5+1))</f>
        <v/>
      </c>
      <c r="HC11" s="62">
        <f>IF(SUMPRODUCT(('حجز الإجازات'!$B$5:$B$104='الموظفون'!$B$9)*('حجز الإجازات'!$D$5:$D$104&lt;=HC$3)*(('حجز الإجازات'!$E$5:$E$104)&gt;=HC$3)*('حجز الإجازات'!$G$5:$G$104="معتمد")*ROW('حجز الإجازات'!$B$5:$B$104))=0,IF(HC$3&lt;'الموظفون'!$D$9,"",IF(ISNUMBER(MATCH(HC$3,Holidays,0)),"عطلة",IF(MOD(HC$3-'الموظفون'!$D$9,CycleWork+CycleRest)&lt;CycleWork,INDEX('الإعدادات والقوائم'!$H$2:$H$4,MOD(INT(MOD(HC$3-'الموظفون'!$D$9,CycleWork+CycleRest)*3/CycleWork)+MATCH(StartShift,'الإعدادات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الإجازات'!$D$5:$D$104&lt;=HC$3)*(('حجز الإجازات'!$E$5:$E$104)&gt;=HC$3)*('حجز الإجازات'!$G$5:$G$104="معتمد")*ROW('حجز الإجازات'!$B$5:$B$104)))-5+1))</f>
        <v/>
      </c>
      <c r="HD11" s="62">
        <f>IF(SUMPRODUCT(('حجز الإجازات'!$B$5:$B$104='الموظفون'!$B$9)*('حجز الإجازات'!$D$5:$D$104&lt;=HD$3)*(('حجز الإجازات'!$E$5:$E$104)&gt;=HD$3)*('حجز الإجازات'!$G$5:$G$104="معتمد")*ROW('حجز الإجازات'!$B$5:$B$104))=0,IF(HD$3&lt;'الموظفون'!$D$9,"",IF(ISNUMBER(MATCH(HD$3,Holidays,0)),"عطلة",IF(MOD(HD$3-'الموظفون'!$D$9,CycleWork+CycleRest)&lt;CycleWork,INDEX('الإعدادات والقوائم'!$H$2:$H$4,MOD(INT(MOD(HD$3-'الموظفون'!$D$9,CycleWork+CycleRest)*3/CycleWork)+MATCH(StartShift,'الإعدادات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الإجازات'!$D$5:$D$104&lt;=HD$3)*(('حجز الإجازات'!$E$5:$E$104)&gt;=HD$3)*('حجز الإجازات'!$G$5:$G$104="معتمد")*ROW('حجز الإجازات'!$B$5:$B$104)))-5+1))</f>
        <v/>
      </c>
      <c r="HE11" s="62">
        <f>IF(SUMPRODUCT(('حجز الإجازات'!$B$5:$B$104='الموظفون'!$B$9)*('حجز الإجازات'!$D$5:$D$104&lt;=HE$3)*(('حجز الإجازات'!$E$5:$E$104)&gt;=HE$3)*('حجز الإجازات'!$G$5:$G$104="معتمد")*ROW('حجز الإجازات'!$B$5:$B$104))=0,IF(HE$3&lt;'الموظفون'!$D$9,"",IF(ISNUMBER(MATCH(HE$3,Holidays,0)),"عطلة",IF(MOD(HE$3-'الموظفون'!$D$9,CycleWork+CycleRest)&lt;CycleWork,INDEX('الإعدادات والقوائم'!$H$2:$H$4,MOD(INT(MOD(HE$3-'الموظفون'!$D$9,CycleWork+CycleRest)*3/CycleWork)+MATCH(StartShift,'الإعدادات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الإجازات'!$D$5:$D$104&lt;=HE$3)*(('حجز الإجازات'!$E$5:$E$104)&gt;=HE$3)*('حجز الإجازات'!$G$5:$G$104="معتمد")*ROW('حجز الإجازات'!$B$5:$B$104)))-5+1))</f>
        <v/>
      </c>
      <c r="HF11" s="62">
        <f>IF(SUMPRODUCT(('حجز الإجازات'!$B$5:$B$104='الموظفون'!$B$9)*('حجز الإجازات'!$D$5:$D$104&lt;=HF$3)*(('حجز الإجازات'!$E$5:$E$104)&gt;=HF$3)*('حجز الإجازات'!$G$5:$G$104="معتمد")*ROW('حجز الإجازات'!$B$5:$B$104))=0,IF(HF$3&lt;'الموظفون'!$D$9,"",IF(ISNUMBER(MATCH(HF$3,Holidays,0)),"عطلة",IF(MOD(HF$3-'الموظفون'!$D$9,CycleWork+CycleRest)&lt;CycleWork,INDEX('الإعدادات والقوائم'!$H$2:$H$4,MOD(INT(MOD(HF$3-'الموظفون'!$D$9,CycleWork+CycleRest)*3/CycleWork)+MATCH(StartShift,'الإعدادات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الإجازات'!$D$5:$D$104&lt;=HF$3)*(('حجز الإجازات'!$E$5:$E$104)&gt;=HF$3)*('حجز الإجازات'!$G$5:$G$104="معتمد")*ROW('حجز الإجازات'!$B$5:$B$104)))-5+1))</f>
        <v/>
      </c>
      <c r="HG11" s="62">
        <f>IF(SUMPRODUCT(('حجز الإجازات'!$B$5:$B$104='الموظفون'!$B$9)*('حجز الإجازات'!$D$5:$D$104&lt;=HG$3)*(('حجز الإجازات'!$E$5:$E$104)&gt;=HG$3)*('حجز الإجازات'!$G$5:$G$104="معتمد")*ROW('حجز الإجازات'!$B$5:$B$104))=0,IF(HG$3&lt;'الموظفون'!$D$9,"",IF(ISNUMBER(MATCH(HG$3,Holidays,0)),"عطلة",IF(MOD(HG$3-'الموظفون'!$D$9,CycleWork+CycleRest)&lt;CycleWork,INDEX('الإعدادات والقوائم'!$H$2:$H$4,MOD(INT(MOD(HG$3-'الموظفون'!$D$9,CycleWork+CycleRest)*3/CycleWork)+MATCH(StartShift,'الإعدادات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الإجازات'!$D$5:$D$104&lt;=HG$3)*(('حجز الإجازات'!$E$5:$E$104)&gt;=HG$3)*('حجز الإجازات'!$G$5:$G$104="معتمد")*ROW('حجز الإجازات'!$B$5:$B$104)))-5+1))</f>
        <v/>
      </c>
      <c r="HH11" s="62">
        <f>IF(SUMPRODUCT(('حجز الإجازات'!$B$5:$B$104='الموظفون'!$B$9)*('حجز الإجازات'!$D$5:$D$104&lt;=HH$3)*(('حجز الإجازات'!$E$5:$E$104)&gt;=HH$3)*('حجز الإجازات'!$G$5:$G$104="معتمد")*ROW('حجز الإجازات'!$B$5:$B$104))=0,IF(HH$3&lt;'الموظفون'!$D$9,"",IF(ISNUMBER(MATCH(HH$3,Holidays,0)),"عطلة",IF(MOD(HH$3-'الموظفون'!$D$9,CycleWork+CycleRest)&lt;CycleWork,INDEX('الإعدادات والقوائم'!$H$2:$H$4,MOD(INT(MOD(HH$3-'الموظفون'!$D$9,CycleWork+CycleRest)*3/CycleWork)+MATCH(StartShift,'الإعدادات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الإجازات'!$D$5:$D$104&lt;=HH$3)*(('حجز الإجازات'!$E$5:$E$104)&gt;=HH$3)*('حجز الإجازات'!$G$5:$G$104="معتمد")*ROW('حجز الإجازات'!$B$5:$B$104)))-5+1))</f>
        <v/>
      </c>
      <c r="HI11" s="62">
        <f>IF(SUMPRODUCT(('حجز الإجازات'!$B$5:$B$104='الموظفون'!$B$9)*('حجز الإجازات'!$D$5:$D$104&lt;=HI$3)*(('حجز الإجازات'!$E$5:$E$104)&gt;=HI$3)*('حجز الإجازات'!$G$5:$G$104="معتمد")*ROW('حجز الإجازات'!$B$5:$B$104))=0,IF(HI$3&lt;'الموظفون'!$D$9,"",IF(ISNUMBER(MATCH(HI$3,Holidays,0)),"عطلة",IF(MOD(HI$3-'الموظفون'!$D$9,CycleWork+CycleRest)&lt;CycleWork,INDEX('الإعدادات والقوائم'!$H$2:$H$4,MOD(INT(MOD(HI$3-'الموظفون'!$D$9,CycleWork+CycleRest)*3/CycleWork)+MATCH(StartShift,'الإعدادات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الإجازات'!$D$5:$D$104&lt;=HI$3)*(('حجز الإجازات'!$E$5:$E$104)&gt;=HI$3)*('حجز الإجازات'!$G$5:$G$104="معتمد")*ROW('حجز الإجازات'!$B$5:$B$104)))-5+1))</f>
        <v/>
      </c>
      <c r="HJ11" s="62">
        <f>IF(SUMPRODUCT(('حجز الإجازات'!$B$5:$B$104='الموظفون'!$B$9)*('حجز الإجازات'!$D$5:$D$104&lt;=HJ$3)*(('حجز الإجازات'!$E$5:$E$104)&gt;=HJ$3)*('حجز الإجازات'!$G$5:$G$104="معتمد")*ROW('حجز الإجازات'!$B$5:$B$104))=0,IF(HJ$3&lt;'الموظفون'!$D$9,"",IF(ISNUMBER(MATCH(HJ$3,Holidays,0)),"عطلة",IF(MOD(HJ$3-'الموظفون'!$D$9,CycleWork+CycleRest)&lt;CycleWork,INDEX('الإعدادات والقوائم'!$H$2:$H$4,MOD(INT(MOD(HJ$3-'الموظفون'!$D$9,CycleWork+CycleRest)*3/CycleWork)+MATCH(StartShift,'الإعدادات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الإجازات'!$D$5:$D$104&lt;=HJ$3)*(('حجز الإجازات'!$E$5:$E$104)&gt;=HJ$3)*('حجز الإجازات'!$G$5:$G$104="معتمد")*ROW('حجز الإجازات'!$B$5:$B$104)))-5+1))</f>
        <v/>
      </c>
      <c r="HK11" s="62">
        <f>IF(SUMPRODUCT(('حجز الإجازات'!$B$5:$B$104='الموظفون'!$B$9)*('حجز الإجازات'!$D$5:$D$104&lt;=HK$3)*(('حجز الإجازات'!$E$5:$E$104)&gt;=HK$3)*('حجز الإجازات'!$G$5:$G$104="معتمد")*ROW('حجز الإجازات'!$B$5:$B$104))=0,IF(HK$3&lt;'الموظفون'!$D$9,"",IF(ISNUMBER(MATCH(HK$3,Holidays,0)),"عطلة",IF(MOD(HK$3-'الموظفون'!$D$9,CycleWork+CycleRest)&lt;CycleWork,INDEX('الإعدادات والقوائم'!$H$2:$H$4,MOD(INT(MOD(HK$3-'الموظفون'!$D$9,CycleWork+CycleRest)*3/CycleWork)+MATCH(StartShift,'الإعدادات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الإجازات'!$D$5:$D$104&lt;=HK$3)*(('حجز الإجازات'!$E$5:$E$104)&gt;=HK$3)*('حجز الإجازات'!$G$5:$G$104="معتمد")*ROW('حجز الإجازات'!$B$5:$B$104)))-5+1))</f>
        <v/>
      </c>
      <c r="HL11" s="62">
        <f>IF(SUMPRODUCT(('حجز الإجازات'!$B$5:$B$104='الموظفون'!$B$9)*('حجز الإجازات'!$D$5:$D$104&lt;=HL$3)*(('حجز الإجازات'!$E$5:$E$104)&gt;=HL$3)*('حجز الإجازات'!$G$5:$G$104="معتمد")*ROW('حجز الإجازات'!$B$5:$B$104))=0,IF(HL$3&lt;'الموظفون'!$D$9,"",IF(ISNUMBER(MATCH(HL$3,Holidays,0)),"عطلة",IF(MOD(HL$3-'الموظفون'!$D$9,CycleWork+CycleRest)&lt;CycleWork,INDEX('الإعدادات والقوائم'!$H$2:$H$4,MOD(INT(MOD(HL$3-'الموظفون'!$D$9,CycleWork+CycleRest)*3/CycleWork)+MATCH(StartShift,'الإعدادات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الإجازات'!$D$5:$D$104&lt;=HL$3)*(('حجز الإجازات'!$E$5:$E$104)&gt;=HL$3)*('حجز الإجازات'!$G$5:$G$104="معتمد")*ROW('حجز الإجازات'!$B$5:$B$104)))-5+1))</f>
        <v/>
      </c>
      <c r="HM11" s="62">
        <f>IF(SUMPRODUCT(('حجز الإجازات'!$B$5:$B$104='الموظفون'!$B$9)*('حجز الإجازات'!$D$5:$D$104&lt;=HM$3)*(('حجز الإجازات'!$E$5:$E$104)&gt;=HM$3)*('حجز الإجازات'!$G$5:$G$104="معتمد")*ROW('حجز الإجازات'!$B$5:$B$104))=0,IF(HM$3&lt;'الموظفون'!$D$9,"",IF(ISNUMBER(MATCH(HM$3,Holidays,0)),"عطلة",IF(MOD(HM$3-'الموظفون'!$D$9,CycleWork+CycleRest)&lt;CycleWork,INDEX('الإعدادات والقوائم'!$H$2:$H$4,MOD(INT(MOD(HM$3-'الموظفون'!$D$9,CycleWork+CycleRest)*3/CycleWork)+MATCH(StartShift,'الإعدادات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الإجازات'!$D$5:$D$104&lt;=HM$3)*(('حجز الإجازات'!$E$5:$E$104)&gt;=HM$3)*('حجز الإجازات'!$G$5:$G$104="معتمد")*ROW('حجز الإجازات'!$B$5:$B$104)))-5+1))</f>
        <v/>
      </c>
      <c r="HN11" s="62">
        <f>IF(SUMPRODUCT(('حجز الإجازات'!$B$5:$B$104='الموظفون'!$B$9)*('حجز الإجازات'!$D$5:$D$104&lt;=HN$3)*(('حجز الإجازات'!$E$5:$E$104)&gt;=HN$3)*('حجز الإجازات'!$G$5:$G$104="معتمد")*ROW('حجز الإجازات'!$B$5:$B$104))=0,IF(HN$3&lt;'الموظفون'!$D$9,"",IF(ISNUMBER(MATCH(HN$3,Holidays,0)),"عطلة",IF(MOD(HN$3-'الموظفون'!$D$9,CycleWork+CycleRest)&lt;CycleWork,INDEX('الإعدادات والقوائم'!$H$2:$H$4,MOD(INT(MOD(HN$3-'الموظفون'!$D$9,CycleWork+CycleRest)*3/CycleWork)+MATCH(StartShift,'الإعدادات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الإجازات'!$D$5:$D$104&lt;=HN$3)*(('حجز الإجازات'!$E$5:$E$104)&gt;=HN$3)*('حجز الإجازات'!$G$5:$G$104="معتمد")*ROW('حجز الإجازات'!$B$5:$B$104)))-5+1))</f>
        <v/>
      </c>
      <c r="HO11" s="62">
        <f>IF(SUMPRODUCT(('حجز الإجازات'!$B$5:$B$104='الموظفون'!$B$9)*('حجز الإجازات'!$D$5:$D$104&lt;=HO$3)*(('حجز الإجازات'!$E$5:$E$104)&gt;=HO$3)*('حجز الإجازات'!$G$5:$G$104="معتمد")*ROW('حجز الإجازات'!$B$5:$B$104))=0,IF(HO$3&lt;'الموظفون'!$D$9,"",IF(ISNUMBER(MATCH(HO$3,Holidays,0)),"عطلة",IF(MOD(HO$3-'الموظفون'!$D$9,CycleWork+CycleRest)&lt;CycleWork,INDEX('الإعدادات والقوائم'!$H$2:$H$4,MOD(INT(MOD(HO$3-'الموظفون'!$D$9,CycleWork+CycleRest)*3/CycleWork)+MATCH(StartShift,'الإعدادات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الإجازات'!$D$5:$D$104&lt;=HO$3)*(('حجز الإجازات'!$E$5:$E$104)&gt;=HO$3)*('حجز الإجازات'!$G$5:$G$104="معتمد")*ROW('حجز الإجازات'!$B$5:$B$104)))-5+1))</f>
        <v/>
      </c>
      <c r="HP11" s="62">
        <f>IF(SUMPRODUCT(('حجز الإجازات'!$B$5:$B$104='الموظفون'!$B$9)*('حجز الإجازات'!$D$5:$D$104&lt;=HP$3)*(('حجز الإجازات'!$E$5:$E$104)&gt;=HP$3)*('حجز الإجازات'!$G$5:$G$104="معتمد")*ROW('حجز الإجازات'!$B$5:$B$104))=0,IF(HP$3&lt;'الموظفون'!$D$9,"",IF(ISNUMBER(MATCH(HP$3,Holidays,0)),"عطلة",IF(MOD(HP$3-'الموظفون'!$D$9,CycleWork+CycleRest)&lt;CycleWork,INDEX('الإعدادات والقوائم'!$H$2:$H$4,MOD(INT(MOD(HP$3-'الموظفون'!$D$9,CycleWork+CycleRest)*3/CycleWork)+MATCH(StartShift,'الإعدادات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الإجازات'!$D$5:$D$104&lt;=HP$3)*(('حجز الإجازات'!$E$5:$E$104)&gt;=HP$3)*('حجز الإجازات'!$G$5:$G$104="معتمد")*ROW('حجز الإجازات'!$B$5:$B$104)))-5+1))</f>
        <v/>
      </c>
      <c r="HQ11" s="62">
        <f>IF(SUMPRODUCT(('حجز الإجازات'!$B$5:$B$104='الموظفون'!$B$9)*('حجز الإجازات'!$D$5:$D$104&lt;=HQ$3)*(('حجز الإجازات'!$E$5:$E$104)&gt;=HQ$3)*('حجز الإجازات'!$G$5:$G$104="معتمد")*ROW('حجز الإجازات'!$B$5:$B$104))=0,IF(HQ$3&lt;'الموظفون'!$D$9,"",IF(ISNUMBER(MATCH(HQ$3,Holidays,0)),"عطلة",IF(MOD(HQ$3-'الموظفون'!$D$9,CycleWork+CycleRest)&lt;CycleWork,INDEX('الإعدادات والقوائم'!$H$2:$H$4,MOD(INT(MOD(HQ$3-'الموظفون'!$D$9,CycleWork+CycleRest)*3/CycleWork)+MATCH(StartShift,'الإعدادات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الإجازات'!$D$5:$D$104&lt;=HQ$3)*(('حجز الإجازات'!$E$5:$E$104)&gt;=HQ$3)*('حجز الإجازات'!$G$5:$G$104="معتمد")*ROW('حجز الإجازات'!$B$5:$B$104)))-5+1))</f>
        <v/>
      </c>
      <c r="HR11" s="62">
        <f>IF(SUMPRODUCT(('حجز الإجازات'!$B$5:$B$104='الموظفون'!$B$9)*('حجز الإجازات'!$D$5:$D$104&lt;=HR$3)*(('حجز الإجازات'!$E$5:$E$104)&gt;=HR$3)*('حجز الإجازات'!$G$5:$G$104="معتمد")*ROW('حجز الإجازات'!$B$5:$B$104))=0,IF(HR$3&lt;'الموظفون'!$D$9,"",IF(ISNUMBER(MATCH(HR$3,Holidays,0)),"عطلة",IF(MOD(HR$3-'الموظفون'!$D$9,CycleWork+CycleRest)&lt;CycleWork,INDEX('الإعدادات والقوائم'!$H$2:$H$4,MOD(INT(MOD(HR$3-'الموظفون'!$D$9,CycleWork+CycleRest)*3/CycleWork)+MATCH(StartShift,'الإعدادات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الإجازات'!$D$5:$D$104&lt;=HR$3)*(('حجز الإجازات'!$E$5:$E$104)&gt;=HR$3)*('حجز الإجازات'!$G$5:$G$104="معتمد")*ROW('حجز الإجازات'!$B$5:$B$104)))-5+1))</f>
        <v/>
      </c>
      <c r="HS11" s="62">
        <f>IF(SUMPRODUCT(('حجز الإجازات'!$B$5:$B$104='الموظفون'!$B$9)*('حجز الإجازات'!$D$5:$D$104&lt;=HS$3)*(('حجز الإجازات'!$E$5:$E$104)&gt;=HS$3)*('حجز الإجازات'!$G$5:$G$104="معتمد")*ROW('حجز الإجازات'!$B$5:$B$104))=0,IF(HS$3&lt;'الموظفون'!$D$9,"",IF(ISNUMBER(MATCH(HS$3,Holidays,0)),"عطلة",IF(MOD(HS$3-'الموظفون'!$D$9,CycleWork+CycleRest)&lt;CycleWork,INDEX('الإعدادات والقوائم'!$H$2:$H$4,MOD(INT(MOD(HS$3-'الموظفون'!$D$9,CycleWork+CycleRest)*3/CycleWork)+MATCH(StartShift,'الإعدادات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الإجازات'!$D$5:$D$104&lt;=HS$3)*(('حجز الإجازات'!$E$5:$E$104)&gt;=HS$3)*('حجز الإجازات'!$G$5:$G$104="معتمد")*ROW('حجز الإجازات'!$B$5:$B$104)))-5+1))</f>
        <v/>
      </c>
      <c r="HT11" s="62">
        <f>IF(SUMPRODUCT(('حجز الإجازات'!$B$5:$B$104='الموظفون'!$B$9)*('حجز الإجازات'!$D$5:$D$104&lt;=HT$3)*(('حجز الإجازات'!$E$5:$E$104)&gt;=HT$3)*('حجز الإجازات'!$G$5:$G$104="معتمد")*ROW('حجز الإجازات'!$B$5:$B$104))=0,IF(HT$3&lt;'الموظفون'!$D$9,"",IF(ISNUMBER(MATCH(HT$3,Holidays,0)),"عطلة",IF(MOD(HT$3-'الموظفون'!$D$9,CycleWork+CycleRest)&lt;CycleWork,INDEX('الإعدادات والقوائم'!$H$2:$H$4,MOD(INT(MOD(HT$3-'الموظفون'!$D$9,CycleWork+CycleRest)*3/CycleWork)+MATCH(StartShift,'الإعدادات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الإجازات'!$D$5:$D$104&lt;=HT$3)*(('حجز الإجازات'!$E$5:$E$104)&gt;=HT$3)*('حجز الإجازات'!$G$5:$G$104="معتمد")*ROW('حجز الإجازات'!$B$5:$B$104)))-5+1))</f>
        <v/>
      </c>
      <c r="HU11" s="62">
        <f>IF(SUMPRODUCT(('حجز الإجازات'!$B$5:$B$104='الموظفون'!$B$9)*('حجز الإجازات'!$D$5:$D$104&lt;=HU$3)*(('حجز الإجازات'!$E$5:$E$104)&gt;=HU$3)*('حجز الإجازات'!$G$5:$G$104="معتمد")*ROW('حجز الإجازات'!$B$5:$B$104))=0,IF(HU$3&lt;'الموظفون'!$D$9,"",IF(ISNUMBER(MATCH(HU$3,Holidays,0)),"عطلة",IF(MOD(HU$3-'الموظفون'!$D$9,CycleWork+CycleRest)&lt;CycleWork,INDEX('الإعدادات والقوائم'!$H$2:$H$4,MOD(INT(MOD(HU$3-'الموظفون'!$D$9,CycleWork+CycleRest)*3/CycleWork)+MATCH(StartShift,'الإعدادات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الإجازات'!$D$5:$D$104&lt;=HU$3)*(('حجز الإجازات'!$E$5:$E$104)&gt;=HU$3)*('حجز الإجازات'!$G$5:$G$104="معتمد")*ROW('حجز الإجازات'!$B$5:$B$104)))-5+1))</f>
        <v/>
      </c>
      <c r="HV11" s="62">
        <f>IF(SUMPRODUCT(('حجز الإجازات'!$B$5:$B$104='الموظفون'!$B$9)*('حجز الإجازات'!$D$5:$D$104&lt;=HV$3)*(('حجز الإجازات'!$E$5:$E$104)&gt;=HV$3)*('حجز الإجازات'!$G$5:$G$104="معتمد")*ROW('حجز الإجازات'!$B$5:$B$104))=0,IF(HV$3&lt;'الموظفون'!$D$9,"",IF(ISNUMBER(MATCH(HV$3,Holidays,0)),"عطلة",IF(MOD(HV$3-'الموظفون'!$D$9,CycleWork+CycleRest)&lt;CycleWork,INDEX('الإعدادات والقوائم'!$H$2:$H$4,MOD(INT(MOD(HV$3-'الموظفون'!$D$9,CycleWork+CycleRest)*3/CycleWork)+MATCH(StartShift,'الإعدادات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الإجازات'!$D$5:$D$104&lt;=HV$3)*(('حجز الإجازات'!$E$5:$E$104)&gt;=HV$3)*('حجز الإجازات'!$G$5:$G$104="معتمد")*ROW('حجز الإجازات'!$B$5:$B$104)))-5+1))</f>
        <v/>
      </c>
      <c r="HW11" s="62">
        <f>IF(SUMPRODUCT(('حجز الإجازات'!$B$5:$B$104='الموظفون'!$B$9)*('حجز الإجازات'!$D$5:$D$104&lt;=HW$3)*(('حجز الإجازات'!$E$5:$E$104)&gt;=HW$3)*('حجز الإجازات'!$G$5:$G$104="معتمد")*ROW('حجز الإجازات'!$B$5:$B$104))=0,IF(HW$3&lt;'الموظفون'!$D$9,"",IF(ISNUMBER(MATCH(HW$3,Holidays,0)),"عطلة",IF(MOD(HW$3-'الموظفون'!$D$9,CycleWork+CycleRest)&lt;CycleWork,INDEX('الإعدادات والقوائم'!$H$2:$H$4,MOD(INT(MOD(HW$3-'الموظفون'!$D$9,CycleWork+CycleRest)*3/CycleWork)+MATCH(StartShift,'الإعدادات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الإجازات'!$D$5:$D$104&lt;=HW$3)*(('حجز الإجازات'!$E$5:$E$104)&gt;=HW$3)*('حجز الإجازات'!$G$5:$G$104="معتمد")*ROW('حجز الإجازات'!$B$5:$B$104)))-5+1))</f>
        <v/>
      </c>
      <c r="HX11" s="62">
        <f>IF(SUMPRODUCT(('حجز الإجازات'!$B$5:$B$104='الموظفون'!$B$9)*('حجز الإجازات'!$D$5:$D$104&lt;=HX$3)*(('حجز الإجازات'!$E$5:$E$104)&gt;=HX$3)*('حجز الإجازات'!$G$5:$G$104="معتمد")*ROW('حجز الإجازات'!$B$5:$B$104))=0,IF(HX$3&lt;'الموظفون'!$D$9,"",IF(ISNUMBER(MATCH(HX$3,Holidays,0)),"عطلة",IF(MOD(HX$3-'الموظفون'!$D$9,CycleWork+CycleRest)&lt;CycleWork,INDEX('الإعدادات والقوائم'!$H$2:$H$4,MOD(INT(MOD(HX$3-'الموظفون'!$D$9,CycleWork+CycleRest)*3/CycleWork)+MATCH(StartShift,'الإعدادات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الإجازات'!$D$5:$D$104&lt;=HX$3)*(('حجز الإجازات'!$E$5:$E$104)&gt;=HX$3)*('حجز الإجازات'!$G$5:$G$104="معتمد")*ROW('حجز الإجازات'!$B$5:$B$104)))-5+1))</f>
        <v/>
      </c>
      <c r="HY11" s="62">
        <f>IF(SUMPRODUCT(('حجز الإجازات'!$B$5:$B$104='الموظفون'!$B$9)*('حجز الإجازات'!$D$5:$D$104&lt;=HY$3)*(('حجز الإجازات'!$E$5:$E$104)&gt;=HY$3)*('حجز الإجازات'!$G$5:$G$104="معتمد")*ROW('حجز الإجازات'!$B$5:$B$104))=0,IF(HY$3&lt;'الموظفون'!$D$9,"",IF(ISNUMBER(MATCH(HY$3,Holidays,0)),"عطلة",IF(MOD(HY$3-'الموظفون'!$D$9,CycleWork+CycleRest)&lt;CycleWork,INDEX('الإعدادات والقوائم'!$H$2:$H$4,MOD(INT(MOD(HY$3-'الموظفون'!$D$9,CycleWork+CycleRest)*3/CycleWork)+MATCH(StartShift,'الإعدادات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الإجازات'!$D$5:$D$104&lt;=HY$3)*(('حجز الإجازات'!$E$5:$E$104)&gt;=HY$3)*('حجز الإجازات'!$G$5:$G$104="معتمد")*ROW('حجز الإجازات'!$B$5:$B$104)))-5+1))</f>
        <v/>
      </c>
      <c r="HZ11" s="62">
        <f>IF(SUMPRODUCT(('حجز الإجازات'!$B$5:$B$104='الموظفون'!$B$9)*('حجز الإجازات'!$D$5:$D$104&lt;=HZ$3)*(('حجز الإجازات'!$E$5:$E$104)&gt;=HZ$3)*('حجز الإجازات'!$G$5:$G$104="معتمد")*ROW('حجز الإجازات'!$B$5:$B$104))=0,IF(HZ$3&lt;'الموظفون'!$D$9,"",IF(ISNUMBER(MATCH(HZ$3,Holidays,0)),"عطلة",IF(MOD(HZ$3-'الموظفون'!$D$9,CycleWork+CycleRest)&lt;CycleWork,INDEX('الإعدادات والقوائم'!$H$2:$H$4,MOD(INT(MOD(HZ$3-'الموظفون'!$D$9,CycleWork+CycleRest)*3/CycleWork)+MATCH(StartShift,'الإعدادات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الإجازات'!$D$5:$D$104&lt;=HZ$3)*(('حجز الإجازات'!$E$5:$E$104)&gt;=HZ$3)*('حجز الإجازات'!$G$5:$G$104="معتمد")*ROW('حجز الإجازات'!$B$5:$B$104)))-5+1))</f>
        <v/>
      </c>
      <c r="IA11" s="62">
        <f>IF(SUMPRODUCT(('حجز الإجازات'!$B$5:$B$104='الموظفون'!$B$9)*('حجز الإجازات'!$D$5:$D$104&lt;=IA$3)*(('حجز الإجازات'!$E$5:$E$104)&gt;=IA$3)*('حجز الإجازات'!$G$5:$G$104="معتمد")*ROW('حجز الإجازات'!$B$5:$B$104))=0,IF(IA$3&lt;'الموظفون'!$D$9,"",IF(ISNUMBER(MATCH(IA$3,Holidays,0)),"عطلة",IF(MOD(IA$3-'الموظفون'!$D$9,CycleWork+CycleRest)&lt;CycleWork,INDEX('الإعدادات والقوائم'!$H$2:$H$4,MOD(INT(MOD(IA$3-'الموظفون'!$D$9,CycleWork+CycleRest)*3/CycleWork)+MATCH(StartShift,'الإعدادات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الإجازات'!$D$5:$D$104&lt;=IA$3)*(('حجز الإجازات'!$E$5:$E$104)&gt;=IA$3)*('حجز الإجازات'!$G$5:$G$104="معتمد")*ROW('حجز الإجازات'!$B$5:$B$104)))-5+1))</f>
        <v/>
      </c>
      <c r="IB11" s="62">
        <f>IF(SUMPRODUCT(('حجز الإجازات'!$B$5:$B$104='الموظفون'!$B$9)*('حجز الإجازات'!$D$5:$D$104&lt;=IB$3)*(('حجز الإجازات'!$E$5:$E$104)&gt;=IB$3)*('حجز الإجازات'!$G$5:$G$104="معتمد")*ROW('حجز الإجازات'!$B$5:$B$104))=0,IF(IB$3&lt;'الموظفون'!$D$9,"",IF(ISNUMBER(MATCH(IB$3,Holidays,0)),"عطلة",IF(MOD(IB$3-'الموظفون'!$D$9,CycleWork+CycleRest)&lt;CycleWork,INDEX('الإعدادات والقوائم'!$H$2:$H$4,MOD(INT(MOD(IB$3-'الموظفون'!$D$9,CycleWork+CycleRest)*3/CycleWork)+MATCH(StartShift,'الإعدادات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الإجازات'!$D$5:$D$104&lt;=IB$3)*(('حجز الإجازات'!$E$5:$E$104)&gt;=IB$3)*('حجز الإجازات'!$G$5:$G$104="معتمد")*ROW('حجز الإجازات'!$B$5:$B$104)))-5+1))</f>
        <v/>
      </c>
      <c r="IC11" s="62">
        <f>IF(SUMPRODUCT(('حجز الإجازات'!$B$5:$B$104='الموظفون'!$B$9)*('حجز الإجازات'!$D$5:$D$104&lt;=IC$3)*(('حجز الإجازات'!$E$5:$E$104)&gt;=IC$3)*('حجز الإجازات'!$G$5:$G$104="معتمد")*ROW('حجز الإجازات'!$B$5:$B$104))=0,IF(IC$3&lt;'الموظفون'!$D$9,"",IF(ISNUMBER(MATCH(IC$3,Holidays,0)),"عطلة",IF(MOD(IC$3-'الموظفون'!$D$9,CycleWork+CycleRest)&lt;CycleWork,INDEX('الإعدادات والقوائم'!$H$2:$H$4,MOD(INT(MOD(IC$3-'الموظفون'!$D$9,CycleWork+CycleRest)*3/CycleWork)+MATCH(StartShift,'الإعدادات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الإجازات'!$D$5:$D$104&lt;=IC$3)*(('حجز الإجازات'!$E$5:$E$104)&gt;=IC$3)*('حجز الإجازات'!$G$5:$G$104="معتمد")*ROW('حجز الإجازات'!$B$5:$B$104)))-5+1))</f>
        <v/>
      </c>
      <c r="ID11" s="62">
        <f>IF(SUMPRODUCT(('حجز الإجازات'!$B$5:$B$104='الموظفون'!$B$9)*('حجز الإجازات'!$D$5:$D$104&lt;=ID$3)*(('حجز الإجازات'!$E$5:$E$104)&gt;=ID$3)*('حجز الإجازات'!$G$5:$G$104="معتمد")*ROW('حجز الإجازات'!$B$5:$B$104))=0,IF(ID$3&lt;'الموظفون'!$D$9,"",IF(ISNUMBER(MATCH(ID$3,Holidays,0)),"عطلة",IF(MOD(ID$3-'الموظفون'!$D$9,CycleWork+CycleRest)&lt;CycleWork,INDEX('الإعدادات والقوائم'!$H$2:$H$4,MOD(INT(MOD(ID$3-'الموظفون'!$D$9,CycleWork+CycleRest)*3/CycleWork)+MATCH(StartShift,'الإعدادات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الإجازات'!$D$5:$D$104&lt;=ID$3)*(('حجز الإجازات'!$E$5:$E$104)&gt;=ID$3)*('حجز الإجازات'!$G$5:$G$104="معتمد")*ROW('حجز الإجازات'!$B$5:$B$104)))-5+1))</f>
        <v/>
      </c>
      <c r="IE11" s="62">
        <f>IF(SUMPRODUCT(('حجز الإجازات'!$B$5:$B$104='الموظفون'!$B$9)*('حجز الإجازات'!$D$5:$D$104&lt;=IE$3)*(('حجز الإجازات'!$E$5:$E$104)&gt;=IE$3)*('حجز الإجازات'!$G$5:$G$104="معتمد")*ROW('حجز الإجازات'!$B$5:$B$104))=0,IF(IE$3&lt;'الموظفون'!$D$9,"",IF(ISNUMBER(MATCH(IE$3,Holidays,0)),"عطلة",IF(MOD(IE$3-'الموظفون'!$D$9,CycleWork+CycleRest)&lt;CycleWork,INDEX('الإعدادات والقوائم'!$H$2:$H$4,MOD(INT(MOD(IE$3-'الموظفون'!$D$9,CycleWork+CycleRest)*3/CycleWork)+MATCH(StartShift,'الإعدادات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الإجازات'!$D$5:$D$104&lt;=IE$3)*(('حجز الإجازات'!$E$5:$E$104)&gt;=IE$3)*('حجز الإجازات'!$G$5:$G$104="معتمد")*ROW('حجز الإجازات'!$B$5:$B$104)))-5+1))</f>
        <v/>
      </c>
      <c r="IF11" s="62">
        <f>IF(SUMPRODUCT(('حجز الإجازات'!$B$5:$B$104='الموظفون'!$B$9)*('حجز الإجازات'!$D$5:$D$104&lt;=IF$3)*(('حجز الإجازات'!$E$5:$E$104)&gt;=IF$3)*('حجز الإجازات'!$G$5:$G$104="معتمد")*ROW('حجز الإجازات'!$B$5:$B$104))=0,IF(IF$3&lt;'الموظفون'!$D$9,"",IF(ISNUMBER(MATCH(IF$3,Holidays,0)),"عطلة",IF(MOD(IF$3-'الموظفون'!$D$9,CycleWork+CycleRest)&lt;CycleWork,INDEX('الإعدادات والقوائم'!$H$2:$H$4,MOD(INT(MOD(IF$3-'الموظفون'!$D$9,CycleWork+CycleRest)*3/CycleWork)+MATCH(StartShift,'الإعدادات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الإجازات'!$D$5:$D$104&lt;=IF$3)*(('حجز الإجازات'!$E$5:$E$104)&gt;=IF$3)*('حجز الإجازات'!$G$5:$G$104="معتمد")*ROW('حجز الإجازات'!$B$5:$B$104)))-5+1))</f>
        <v/>
      </c>
      <c r="IG11" s="62">
        <f>IF(SUMPRODUCT(('حجز الإجازات'!$B$5:$B$104='الموظفون'!$B$9)*('حجز الإجازات'!$D$5:$D$104&lt;=IG$3)*(('حجز الإجازات'!$E$5:$E$104)&gt;=IG$3)*('حجز الإجازات'!$G$5:$G$104="معتمد")*ROW('حجز الإجازات'!$B$5:$B$104))=0,IF(IG$3&lt;'الموظفون'!$D$9,"",IF(ISNUMBER(MATCH(IG$3,Holidays,0)),"عطلة",IF(MOD(IG$3-'الموظفون'!$D$9,CycleWork+CycleRest)&lt;CycleWork,INDEX('الإعدادات والقوائم'!$H$2:$H$4,MOD(INT(MOD(IG$3-'الموظفون'!$D$9,CycleWork+CycleRest)*3/CycleWork)+MATCH(StartShift,'الإعدادات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الإجازات'!$D$5:$D$104&lt;=IG$3)*(('حجز الإجازات'!$E$5:$E$104)&gt;=IG$3)*('حجز الإجازات'!$G$5:$G$104="معتمد")*ROW('حجز الإجازات'!$B$5:$B$104)))-5+1))</f>
        <v/>
      </c>
      <c r="IH11" s="62">
        <f>IF(SUMPRODUCT(('حجز الإجازات'!$B$5:$B$104='الموظفون'!$B$9)*('حجز الإجازات'!$D$5:$D$104&lt;=IH$3)*(('حجز الإجازات'!$E$5:$E$104)&gt;=IH$3)*('حجز الإجازات'!$G$5:$G$104="معتمد")*ROW('حجز الإجازات'!$B$5:$B$104))=0,IF(IH$3&lt;'الموظفون'!$D$9,"",IF(ISNUMBER(MATCH(IH$3,Holidays,0)),"عطلة",IF(MOD(IH$3-'الموظفون'!$D$9,CycleWork+CycleRest)&lt;CycleWork,INDEX('الإعدادات والقوائم'!$H$2:$H$4,MOD(INT(MOD(IH$3-'الموظفون'!$D$9,CycleWork+CycleRest)*3/CycleWork)+MATCH(StartShift,'الإعدادات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الإجازات'!$D$5:$D$104&lt;=IH$3)*(('حجز الإجازات'!$E$5:$E$104)&gt;=IH$3)*('حجز الإجازات'!$G$5:$G$104="معتمد")*ROW('حجز الإجازات'!$B$5:$B$104)))-5+1))</f>
        <v/>
      </c>
      <c r="II11" s="62">
        <f>IF(SUMPRODUCT(('حجز الإجازات'!$B$5:$B$104='الموظفون'!$B$9)*('حجز الإجازات'!$D$5:$D$104&lt;=II$3)*(('حجز الإجازات'!$E$5:$E$104)&gt;=II$3)*('حجز الإجازات'!$G$5:$G$104="معتمد")*ROW('حجز الإجازات'!$B$5:$B$104))=0,IF(II$3&lt;'الموظفون'!$D$9,"",IF(ISNUMBER(MATCH(II$3,Holidays,0)),"عطلة",IF(MOD(II$3-'الموظفون'!$D$9,CycleWork+CycleRest)&lt;CycleWork,INDEX('الإعدادات والقوائم'!$H$2:$H$4,MOD(INT(MOD(II$3-'الموظفون'!$D$9,CycleWork+CycleRest)*3/CycleWork)+MATCH(StartShift,'الإعدادات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الإجازات'!$D$5:$D$104&lt;=II$3)*(('حجز الإجازات'!$E$5:$E$104)&gt;=II$3)*('حجز الإجازات'!$G$5:$G$104="معتمد")*ROW('حجز الإجازات'!$B$5:$B$104)))-5+1))</f>
        <v/>
      </c>
      <c r="IJ11" s="62">
        <f>IF(SUMPRODUCT(('حجز الإجازات'!$B$5:$B$104='الموظفون'!$B$9)*('حجز الإجازات'!$D$5:$D$104&lt;=IJ$3)*(('حجز الإجازات'!$E$5:$E$104)&gt;=IJ$3)*('حجز الإجازات'!$G$5:$G$104="معتمد")*ROW('حجز الإجازات'!$B$5:$B$104))=0,IF(IJ$3&lt;'الموظفون'!$D$9,"",IF(ISNUMBER(MATCH(IJ$3,Holidays,0)),"عطلة",IF(MOD(IJ$3-'الموظفون'!$D$9,CycleWork+CycleRest)&lt;CycleWork,INDEX('الإعدادات والقوائم'!$H$2:$H$4,MOD(INT(MOD(IJ$3-'الموظفون'!$D$9,CycleWork+CycleRest)*3/CycleWork)+MATCH(StartShift,'الإعدادات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الإجازات'!$D$5:$D$104&lt;=IJ$3)*(('حجز الإجازات'!$E$5:$E$104)&gt;=IJ$3)*('حجز الإجازات'!$G$5:$G$104="معتمد")*ROW('حجز الإجازات'!$B$5:$B$104)))-5+1))</f>
        <v/>
      </c>
      <c r="IK11" s="62">
        <f>IF(SUMPRODUCT(('حجز الإجازات'!$B$5:$B$104='الموظفون'!$B$9)*('حجز الإجازات'!$D$5:$D$104&lt;=IK$3)*(('حجز الإجازات'!$E$5:$E$104)&gt;=IK$3)*('حجز الإجازات'!$G$5:$G$104="معتمد")*ROW('حجز الإجازات'!$B$5:$B$104))=0,IF(IK$3&lt;'الموظفون'!$D$9,"",IF(ISNUMBER(MATCH(IK$3,Holidays,0)),"عطلة",IF(MOD(IK$3-'الموظفون'!$D$9,CycleWork+CycleRest)&lt;CycleWork,INDEX('الإعدادات والقوائم'!$H$2:$H$4,MOD(INT(MOD(IK$3-'الموظفون'!$D$9,CycleWork+CycleRest)*3/CycleWork)+MATCH(StartShift,'الإعدادات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الإجازات'!$D$5:$D$104&lt;=IK$3)*(('حجز الإجازات'!$E$5:$E$104)&gt;=IK$3)*('حجز الإجازات'!$G$5:$G$104="معتمد")*ROW('حجز الإجازات'!$B$5:$B$104)))-5+1))</f>
        <v/>
      </c>
      <c r="IL11" s="62">
        <f>IF(SUMPRODUCT(('حجز الإجازات'!$B$5:$B$104='الموظفون'!$B$9)*('حجز الإجازات'!$D$5:$D$104&lt;=IL$3)*(('حجز الإجازات'!$E$5:$E$104)&gt;=IL$3)*('حجز الإجازات'!$G$5:$G$104="معتمد")*ROW('حجز الإجازات'!$B$5:$B$104))=0,IF(IL$3&lt;'الموظفون'!$D$9,"",IF(ISNUMBER(MATCH(IL$3,Holidays,0)),"عطلة",IF(MOD(IL$3-'الموظفون'!$D$9,CycleWork+CycleRest)&lt;CycleWork,INDEX('الإعدادات والقوائم'!$H$2:$H$4,MOD(INT(MOD(IL$3-'الموظفون'!$D$9,CycleWork+CycleRest)*3/CycleWork)+MATCH(StartShift,'الإعدادات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الإجازات'!$D$5:$D$104&lt;=IL$3)*(('حجز الإجازات'!$E$5:$E$104)&gt;=IL$3)*('حجز الإجازات'!$G$5:$G$104="معتمد")*ROW('حجز الإجازات'!$B$5:$B$104)))-5+1))</f>
        <v/>
      </c>
      <c r="IM11" s="62">
        <f>IF(SUMPRODUCT(('حجز الإجازات'!$B$5:$B$104='الموظفون'!$B$9)*('حجز الإجازات'!$D$5:$D$104&lt;=IM$3)*(('حجز الإجازات'!$E$5:$E$104)&gt;=IM$3)*('حجز الإجازات'!$G$5:$G$104="معتمد")*ROW('حجز الإجازات'!$B$5:$B$104))=0,IF(IM$3&lt;'الموظفون'!$D$9,"",IF(ISNUMBER(MATCH(IM$3,Holidays,0)),"عطلة",IF(MOD(IM$3-'الموظفون'!$D$9,CycleWork+CycleRest)&lt;CycleWork,INDEX('الإعدادات والقوائم'!$H$2:$H$4,MOD(INT(MOD(IM$3-'الموظفون'!$D$9,CycleWork+CycleRest)*3/CycleWork)+MATCH(StartShift,'الإعدادات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الإجازات'!$D$5:$D$104&lt;=IM$3)*(('حجز الإجازات'!$E$5:$E$104)&gt;=IM$3)*('حجز الإجازات'!$G$5:$G$104="معتمد")*ROW('حجز الإجازات'!$B$5:$B$104)))-5+1))</f>
        <v/>
      </c>
      <c r="IN11" s="62">
        <f>IF(SUMPRODUCT(('حجز الإجازات'!$B$5:$B$104='الموظفون'!$B$9)*('حجز الإجازات'!$D$5:$D$104&lt;=IN$3)*(('حجز الإجازات'!$E$5:$E$104)&gt;=IN$3)*('حجز الإجازات'!$G$5:$G$104="معتمد")*ROW('حجز الإجازات'!$B$5:$B$104))=0,IF(IN$3&lt;'الموظفون'!$D$9,"",IF(ISNUMBER(MATCH(IN$3,Holidays,0)),"عطلة",IF(MOD(IN$3-'الموظفون'!$D$9,CycleWork+CycleRest)&lt;CycleWork,INDEX('الإعدادات والقوائم'!$H$2:$H$4,MOD(INT(MOD(IN$3-'الموظفون'!$D$9,CycleWork+CycleRest)*3/CycleWork)+MATCH(StartShift,'الإعدادات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الإجازات'!$D$5:$D$104&lt;=IN$3)*(('حجز الإجازات'!$E$5:$E$104)&gt;=IN$3)*('حجز الإجازات'!$G$5:$G$104="معتمد")*ROW('حجز الإجازات'!$B$5:$B$104)))-5+1))</f>
        <v/>
      </c>
      <c r="IO11" s="62">
        <f>IF(SUMPRODUCT(('حجز الإجازات'!$B$5:$B$104='الموظفون'!$B$9)*('حجز الإجازات'!$D$5:$D$104&lt;=IO$3)*(('حجز الإجازات'!$E$5:$E$104)&gt;=IO$3)*('حجز الإجازات'!$G$5:$G$104="معتمد")*ROW('حجز الإجازات'!$B$5:$B$104))=0,IF(IO$3&lt;'الموظفون'!$D$9,"",IF(ISNUMBER(MATCH(IO$3,Holidays,0)),"عطلة",IF(MOD(IO$3-'الموظفون'!$D$9,CycleWork+CycleRest)&lt;CycleWork,INDEX('الإعدادات والقوائم'!$H$2:$H$4,MOD(INT(MOD(IO$3-'الموظفون'!$D$9,CycleWork+CycleRest)*3/CycleWork)+MATCH(StartShift,'الإعدادات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الإجازات'!$D$5:$D$104&lt;=IO$3)*(('حجز الإجازات'!$E$5:$E$104)&gt;=IO$3)*('حجز الإجازات'!$G$5:$G$104="معتمد")*ROW('حجز الإجازات'!$B$5:$B$104)))-5+1))</f>
        <v/>
      </c>
      <c r="IP11" s="62">
        <f>IF(SUMPRODUCT(('حجز الإجازات'!$B$5:$B$104='الموظفون'!$B$9)*('حجز الإجازات'!$D$5:$D$104&lt;=IP$3)*(('حجز الإجازات'!$E$5:$E$104)&gt;=IP$3)*('حجز الإجازات'!$G$5:$G$104="معتمد")*ROW('حجز الإجازات'!$B$5:$B$104))=0,IF(IP$3&lt;'الموظفون'!$D$9,"",IF(ISNUMBER(MATCH(IP$3,Holidays,0)),"عطلة",IF(MOD(IP$3-'الموظفون'!$D$9,CycleWork+CycleRest)&lt;CycleWork,INDEX('الإعدادات والقوائم'!$H$2:$H$4,MOD(INT(MOD(IP$3-'الموظفون'!$D$9,CycleWork+CycleRest)*3/CycleWork)+MATCH(StartShift,'الإعدادات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الإجازات'!$D$5:$D$104&lt;=IP$3)*(('حجز الإجازات'!$E$5:$E$104)&gt;=IP$3)*('حجز الإجازات'!$G$5:$G$104="معتمد")*ROW('حجز الإجازات'!$B$5:$B$104)))-5+1))</f>
        <v/>
      </c>
      <c r="IQ11" s="62">
        <f>IF(SUMPRODUCT(('حجز الإجازات'!$B$5:$B$104='الموظفون'!$B$9)*('حجز الإجازات'!$D$5:$D$104&lt;=IQ$3)*(('حجز الإجازات'!$E$5:$E$104)&gt;=IQ$3)*('حجز الإجازات'!$G$5:$G$104="معتمد")*ROW('حجز الإجازات'!$B$5:$B$104))=0,IF(IQ$3&lt;'الموظفون'!$D$9,"",IF(ISNUMBER(MATCH(IQ$3,Holidays,0)),"عطلة",IF(MOD(IQ$3-'الموظفون'!$D$9,CycleWork+CycleRest)&lt;CycleWork,INDEX('الإعدادات والقوائم'!$H$2:$H$4,MOD(INT(MOD(IQ$3-'الموظفون'!$D$9,CycleWork+CycleRest)*3/CycleWork)+MATCH(StartShift,'الإعدادات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الإجازات'!$D$5:$D$104&lt;=IQ$3)*(('حجز الإجازات'!$E$5:$E$104)&gt;=IQ$3)*('حجز الإجازات'!$G$5:$G$104="معتمد")*ROW('حجز الإجازات'!$B$5:$B$104)))-5+1))</f>
        <v/>
      </c>
      <c r="IR11" s="62">
        <f>IF(SUMPRODUCT(('حجز الإجازات'!$B$5:$B$104='الموظفون'!$B$9)*('حجز الإجازات'!$D$5:$D$104&lt;=IR$3)*(('حجز الإجازات'!$E$5:$E$104)&gt;=IR$3)*('حجز الإجازات'!$G$5:$G$104="معتمد")*ROW('حجز الإجازات'!$B$5:$B$104))=0,IF(IR$3&lt;'الموظفون'!$D$9,"",IF(ISNUMBER(MATCH(IR$3,Holidays,0)),"عطلة",IF(MOD(IR$3-'الموظفون'!$D$9,CycleWork+CycleRest)&lt;CycleWork,INDEX('الإعدادات والقوائم'!$H$2:$H$4,MOD(INT(MOD(IR$3-'الموظفون'!$D$9,CycleWork+CycleRest)*3/CycleWork)+MATCH(StartShift,'الإعدادات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الإجازات'!$D$5:$D$104&lt;=IR$3)*(('حجز الإجازات'!$E$5:$E$104)&gt;=IR$3)*('حجز الإجازات'!$G$5:$G$104="معتمد")*ROW('حجز الإجازات'!$B$5:$B$104)))-5+1))</f>
        <v/>
      </c>
      <c r="IS11" s="62">
        <f>IF(SUMPRODUCT(('حجز الإجازات'!$B$5:$B$104='الموظفون'!$B$9)*('حجز الإجازات'!$D$5:$D$104&lt;=IS$3)*(('حجز الإجازات'!$E$5:$E$104)&gt;=IS$3)*('حجز الإجازات'!$G$5:$G$104="معتمد")*ROW('حجز الإجازات'!$B$5:$B$104))=0,IF(IS$3&lt;'الموظفون'!$D$9,"",IF(ISNUMBER(MATCH(IS$3,Holidays,0)),"عطلة",IF(MOD(IS$3-'الموظفون'!$D$9,CycleWork+CycleRest)&lt;CycleWork,INDEX('الإعدادات والقوائم'!$H$2:$H$4,MOD(INT(MOD(IS$3-'الموظفون'!$D$9,CycleWork+CycleRest)*3/CycleWork)+MATCH(StartShift,'الإعدادات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الإجازات'!$D$5:$D$104&lt;=IS$3)*(('حجز الإجازات'!$E$5:$E$104)&gt;=IS$3)*('حجز الإجازات'!$G$5:$G$104="معتمد")*ROW('حجز الإجازات'!$B$5:$B$104)))-5+1))</f>
        <v/>
      </c>
      <c r="IT11" s="62">
        <f>IF(SUMPRODUCT(('حجز الإجازات'!$B$5:$B$104='الموظفون'!$B$9)*('حجز الإجازات'!$D$5:$D$104&lt;=IT$3)*(('حجز الإجازات'!$E$5:$E$104)&gt;=IT$3)*('حجز الإجازات'!$G$5:$G$104="معتمد")*ROW('حجز الإجازات'!$B$5:$B$104))=0,IF(IT$3&lt;'الموظفون'!$D$9,"",IF(ISNUMBER(MATCH(IT$3,Holidays,0)),"عطلة",IF(MOD(IT$3-'الموظفون'!$D$9,CycleWork+CycleRest)&lt;CycleWork,INDEX('الإعدادات والقوائم'!$H$2:$H$4,MOD(INT(MOD(IT$3-'الموظفون'!$D$9,CycleWork+CycleRest)*3/CycleWork)+MATCH(StartShift,'الإعدادات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الإجازات'!$D$5:$D$104&lt;=IT$3)*(('حجز الإجازات'!$E$5:$E$104)&gt;=IT$3)*('حجز الإجازات'!$G$5:$G$104="معتمد")*ROW('حجز الإجازات'!$B$5:$B$104)))-5+1))</f>
        <v/>
      </c>
      <c r="IU11" s="62">
        <f>IF(SUMPRODUCT(('حجز الإجازات'!$B$5:$B$104='الموظفون'!$B$9)*('حجز الإجازات'!$D$5:$D$104&lt;=IU$3)*(('حجز الإجازات'!$E$5:$E$104)&gt;=IU$3)*('حجز الإجازات'!$G$5:$G$104="معتمد")*ROW('حجز الإجازات'!$B$5:$B$104))=0,IF(IU$3&lt;'الموظفون'!$D$9,"",IF(ISNUMBER(MATCH(IU$3,Holidays,0)),"عطلة",IF(MOD(IU$3-'الموظفون'!$D$9,CycleWork+CycleRest)&lt;CycleWork,INDEX('الإعدادات والقوائم'!$H$2:$H$4,MOD(INT(MOD(IU$3-'الموظفون'!$D$9,CycleWork+CycleRest)*3/CycleWork)+MATCH(StartShift,'الإعدادات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الإجازات'!$D$5:$D$104&lt;=IU$3)*(('حجز الإجازات'!$E$5:$E$104)&gt;=IU$3)*('حجز الإجازات'!$G$5:$G$104="معتمد")*ROW('حجز الإجازات'!$B$5:$B$104)))-5+1))</f>
        <v/>
      </c>
      <c r="IV11" s="62">
        <f>IF(SUMPRODUCT(('حجز الإجازات'!$B$5:$B$104='الموظفون'!$B$9)*('حجز الإجازات'!$D$5:$D$104&lt;=IV$3)*(('حجز الإجازات'!$E$5:$E$104)&gt;=IV$3)*('حجز الإجازات'!$G$5:$G$104="معتمد")*ROW('حجز الإجازات'!$B$5:$B$104))=0,IF(IV$3&lt;'الموظفون'!$D$9,"",IF(ISNUMBER(MATCH(IV$3,Holidays,0)),"عطلة",IF(MOD(IV$3-'الموظفون'!$D$9,CycleWork+CycleRest)&lt;CycleWork,INDEX('الإعدادات والقوائم'!$H$2:$H$4,MOD(INT(MOD(IV$3-'الموظفون'!$D$9,CycleWork+CycleRest)*3/CycleWork)+MATCH(StartShift,'الإعدادات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الإجازات'!$D$5:$D$104&lt;=IV$3)*(('حجز الإجازات'!$E$5:$E$104)&gt;=IV$3)*('حجز الإجازات'!$G$5:$G$104="معتمد")*ROW('حجز الإجازات'!$B$5:$B$104)))-5+1))</f>
        <v/>
      </c>
      <c r="IW11" s="62">
        <f>IF(SUMPRODUCT(('حجز الإجازات'!$B$5:$B$104='الموظفون'!$B$9)*('حجز الإجازات'!$D$5:$D$104&lt;=IW$3)*(('حجز الإجازات'!$E$5:$E$104)&gt;=IW$3)*('حجز الإجازات'!$G$5:$G$104="معتمد")*ROW('حجز الإجازات'!$B$5:$B$104))=0,IF(IW$3&lt;'الموظفون'!$D$9,"",IF(ISNUMBER(MATCH(IW$3,Holidays,0)),"عطلة",IF(MOD(IW$3-'الموظفون'!$D$9,CycleWork+CycleRest)&lt;CycleWork,INDEX('الإعدادات والقوائم'!$H$2:$H$4,MOD(INT(MOD(IW$3-'الموظفون'!$D$9,CycleWork+CycleRest)*3/CycleWork)+MATCH(StartShift,'الإعدادات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الإجازات'!$D$5:$D$104&lt;=IW$3)*(('حجز الإجازات'!$E$5:$E$104)&gt;=IW$3)*('حجز الإجازات'!$G$5:$G$104="معتمد")*ROW('حجز الإجازات'!$B$5:$B$104)))-5+1))</f>
        <v/>
      </c>
      <c r="IX11" s="62">
        <f>IF(SUMPRODUCT(('حجز الإجازات'!$B$5:$B$104='الموظفون'!$B$9)*('حجز الإجازات'!$D$5:$D$104&lt;=IX$3)*(('حجز الإجازات'!$E$5:$E$104)&gt;=IX$3)*('حجز الإجازات'!$G$5:$G$104="معتمد")*ROW('حجز الإجازات'!$B$5:$B$104))=0,IF(IX$3&lt;'الموظفون'!$D$9,"",IF(ISNUMBER(MATCH(IX$3,Holidays,0)),"عطلة",IF(MOD(IX$3-'الموظفون'!$D$9,CycleWork+CycleRest)&lt;CycleWork,INDEX('الإعدادات والقوائم'!$H$2:$H$4,MOD(INT(MOD(IX$3-'الموظفون'!$D$9,CycleWork+CycleRest)*3/CycleWork)+MATCH(StartShift,'الإعدادات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الإجازات'!$D$5:$D$104&lt;=IX$3)*(('حجز الإجازات'!$E$5:$E$104)&gt;=IX$3)*('حجز الإجازات'!$G$5:$G$104="معتمد")*ROW('حجز الإجازات'!$B$5:$B$104)))-5+1))</f>
        <v/>
      </c>
      <c r="IY11" s="62">
        <f>IF(SUMPRODUCT(('حجز الإجازات'!$B$5:$B$104='الموظفون'!$B$9)*('حجز الإجازات'!$D$5:$D$104&lt;=IY$3)*(('حجز الإجازات'!$E$5:$E$104)&gt;=IY$3)*('حجز الإجازات'!$G$5:$G$104="معتمد")*ROW('حجز الإجازات'!$B$5:$B$104))=0,IF(IY$3&lt;'الموظفون'!$D$9,"",IF(ISNUMBER(MATCH(IY$3,Holidays,0)),"عطلة",IF(MOD(IY$3-'الموظفون'!$D$9,CycleWork+CycleRest)&lt;CycleWork,INDEX('الإعدادات والقوائم'!$H$2:$H$4,MOD(INT(MOD(IY$3-'الموظفون'!$D$9,CycleWork+CycleRest)*3/CycleWork)+MATCH(StartShift,'الإعدادات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الإجازات'!$D$5:$D$104&lt;=IY$3)*(('حجز الإجازات'!$E$5:$E$104)&gt;=IY$3)*('حجز الإجازات'!$G$5:$G$104="معتمد")*ROW('حجز الإجازات'!$B$5:$B$104)))-5+1))</f>
        <v/>
      </c>
      <c r="IZ11" s="62">
        <f>IF(SUMPRODUCT(('حجز الإجازات'!$B$5:$B$104='الموظفون'!$B$9)*('حجز الإجازات'!$D$5:$D$104&lt;=IZ$3)*(('حجز الإجازات'!$E$5:$E$104)&gt;=IZ$3)*('حجز الإجازات'!$G$5:$G$104="معتمد")*ROW('حجز الإجازات'!$B$5:$B$104))=0,IF(IZ$3&lt;'الموظفون'!$D$9,"",IF(ISNUMBER(MATCH(IZ$3,Holidays,0)),"عطلة",IF(MOD(IZ$3-'الموظفون'!$D$9,CycleWork+CycleRest)&lt;CycleWork,INDEX('الإعدادات والقوائم'!$H$2:$H$4,MOD(INT(MOD(IZ$3-'الموظفون'!$D$9,CycleWork+CycleRest)*3/CycleWork)+MATCH(StartShift,'الإعدادات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الإجازات'!$D$5:$D$104&lt;=IZ$3)*(('حجز الإجازات'!$E$5:$E$104)&gt;=IZ$3)*('حجز الإجازات'!$G$5:$G$104="معتمد")*ROW('حجز الإجازات'!$B$5:$B$104)))-5+1))</f>
        <v/>
      </c>
      <c r="JA11" s="62">
        <f>IF(SUMPRODUCT(('حجز الإجازات'!$B$5:$B$104='الموظفون'!$B$9)*('حجز الإجازات'!$D$5:$D$104&lt;=JA$3)*(('حجز الإجازات'!$E$5:$E$104)&gt;=JA$3)*('حجز الإجازات'!$G$5:$G$104="معتمد")*ROW('حجز الإجازات'!$B$5:$B$104))=0,IF(JA$3&lt;'الموظفون'!$D$9,"",IF(ISNUMBER(MATCH(JA$3,Holidays,0)),"عطلة",IF(MOD(JA$3-'الموظفون'!$D$9,CycleWork+CycleRest)&lt;CycleWork,INDEX('الإعدادات والقوائم'!$H$2:$H$4,MOD(INT(MOD(JA$3-'الموظفون'!$D$9,CycleWork+CycleRest)*3/CycleWork)+MATCH(StartShift,'الإعدادات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الإجازات'!$D$5:$D$104&lt;=JA$3)*(('حجز الإجازات'!$E$5:$E$104)&gt;=JA$3)*('حجز الإجازات'!$G$5:$G$104="معتمد")*ROW('حجز الإجازات'!$B$5:$B$104)))-5+1))</f>
        <v/>
      </c>
      <c r="JB11" s="62">
        <f>IF(SUMPRODUCT(('حجز الإجازات'!$B$5:$B$104='الموظفون'!$B$9)*('حجز الإجازات'!$D$5:$D$104&lt;=JB$3)*(('حجز الإجازات'!$E$5:$E$104)&gt;=JB$3)*('حجز الإجازات'!$G$5:$G$104="معتمد")*ROW('حجز الإجازات'!$B$5:$B$104))=0,IF(JB$3&lt;'الموظفون'!$D$9,"",IF(ISNUMBER(MATCH(JB$3,Holidays,0)),"عطلة",IF(MOD(JB$3-'الموظفون'!$D$9,CycleWork+CycleRest)&lt;CycleWork,INDEX('الإعدادات والقوائم'!$H$2:$H$4,MOD(INT(MOD(JB$3-'الموظفون'!$D$9,CycleWork+CycleRest)*3/CycleWork)+MATCH(StartShift,'الإعدادات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الإجازات'!$D$5:$D$104&lt;=JB$3)*(('حجز الإجازات'!$E$5:$E$104)&gt;=JB$3)*('حجز الإجازات'!$G$5:$G$104="معتمد")*ROW('حجز الإجازات'!$B$5:$B$104)))-5+1))</f>
        <v/>
      </c>
      <c r="JC11" s="62">
        <f>IF(SUMPRODUCT(('حجز الإجازات'!$B$5:$B$104='الموظفون'!$B$9)*('حجز الإجازات'!$D$5:$D$104&lt;=JC$3)*(('حجز الإجازات'!$E$5:$E$104)&gt;=JC$3)*('حجز الإجازات'!$G$5:$G$104="معتمد")*ROW('حجز الإجازات'!$B$5:$B$104))=0,IF(JC$3&lt;'الموظفون'!$D$9,"",IF(ISNUMBER(MATCH(JC$3,Holidays,0)),"عطلة",IF(MOD(JC$3-'الموظفون'!$D$9,CycleWork+CycleRest)&lt;CycleWork,INDEX('الإعدادات والقوائم'!$H$2:$H$4,MOD(INT(MOD(JC$3-'الموظفون'!$D$9,CycleWork+CycleRest)*3/CycleWork)+MATCH(StartShift,'الإعدادات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الإجازات'!$D$5:$D$104&lt;=JC$3)*(('حجز الإجازات'!$E$5:$E$104)&gt;=JC$3)*('حجز الإجازات'!$G$5:$G$104="معتمد")*ROW('حجز الإجازات'!$B$5:$B$104)))-5+1))</f>
        <v/>
      </c>
      <c r="JD11" s="62">
        <f>IF(SUMPRODUCT(('حجز الإجازات'!$B$5:$B$104='الموظفون'!$B$9)*('حجز الإجازات'!$D$5:$D$104&lt;=JD$3)*(('حجز الإجازات'!$E$5:$E$104)&gt;=JD$3)*('حجز الإجازات'!$G$5:$G$104="معتمد")*ROW('حجز الإجازات'!$B$5:$B$104))=0,IF(JD$3&lt;'الموظفون'!$D$9,"",IF(ISNUMBER(MATCH(JD$3,Holidays,0)),"عطلة",IF(MOD(JD$3-'الموظفون'!$D$9,CycleWork+CycleRest)&lt;CycleWork,INDEX('الإعدادات والقوائم'!$H$2:$H$4,MOD(INT(MOD(JD$3-'الموظفون'!$D$9,CycleWork+CycleRest)*3/CycleWork)+MATCH(StartShift,'الإعدادات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الإجازات'!$D$5:$D$104&lt;=JD$3)*(('حجز الإجازات'!$E$5:$E$104)&gt;=JD$3)*('حجز الإجازات'!$G$5:$G$104="معتمد")*ROW('حجز الإجازات'!$B$5:$B$104)))-5+1))</f>
        <v/>
      </c>
      <c r="JE11" s="62">
        <f>IF(SUMPRODUCT(('حجز الإجازات'!$B$5:$B$104='الموظفون'!$B$9)*('حجز الإجازات'!$D$5:$D$104&lt;=JE$3)*(('حجز الإجازات'!$E$5:$E$104)&gt;=JE$3)*('حجز الإجازات'!$G$5:$G$104="معتمد")*ROW('حجز الإجازات'!$B$5:$B$104))=0,IF(JE$3&lt;'الموظفون'!$D$9,"",IF(ISNUMBER(MATCH(JE$3,Holidays,0)),"عطلة",IF(MOD(JE$3-'الموظفون'!$D$9,CycleWork+CycleRest)&lt;CycleWork,INDEX('الإعدادات والقوائم'!$H$2:$H$4,MOD(INT(MOD(JE$3-'الموظفون'!$D$9,CycleWork+CycleRest)*3/CycleWork)+MATCH(StartShift,'الإعدادات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الإجازات'!$D$5:$D$104&lt;=JE$3)*(('حجز الإجازات'!$E$5:$E$104)&gt;=JE$3)*('حجز الإجازات'!$G$5:$G$104="معتمد")*ROW('حجز الإجازات'!$B$5:$B$104)))-5+1))</f>
        <v/>
      </c>
      <c r="JF11" s="62">
        <f>IF(SUMPRODUCT(('حجز الإجازات'!$B$5:$B$104='الموظفون'!$B$9)*('حجز الإجازات'!$D$5:$D$104&lt;=JF$3)*(('حجز الإجازات'!$E$5:$E$104)&gt;=JF$3)*('حجز الإجازات'!$G$5:$G$104="معتمد")*ROW('حجز الإجازات'!$B$5:$B$104))=0,IF(JF$3&lt;'الموظفون'!$D$9,"",IF(ISNUMBER(MATCH(JF$3,Holidays,0)),"عطلة",IF(MOD(JF$3-'الموظفون'!$D$9,CycleWork+CycleRest)&lt;CycleWork,INDEX('الإعدادات والقوائم'!$H$2:$H$4,MOD(INT(MOD(JF$3-'الموظفون'!$D$9,CycleWork+CycleRest)*3/CycleWork)+MATCH(StartShift,'الإعدادات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الإجازات'!$D$5:$D$104&lt;=JF$3)*(('حجز الإجازات'!$E$5:$E$104)&gt;=JF$3)*('حجز الإجازات'!$G$5:$G$104="معتمد")*ROW('حجز الإجازات'!$B$5:$B$104)))-5+1))</f>
        <v/>
      </c>
      <c r="JG11" s="62">
        <f>IF(SUMPRODUCT(('حجز الإجازات'!$B$5:$B$104='الموظفون'!$B$9)*('حجز الإجازات'!$D$5:$D$104&lt;=JG$3)*(('حجز الإجازات'!$E$5:$E$104)&gt;=JG$3)*('حجز الإجازات'!$G$5:$G$104="معتمد")*ROW('حجز الإجازات'!$B$5:$B$104))=0,IF(JG$3&lt;'الموظفون'!$D$9,"",IF(ISNUMBER(MATCH(JG$3,Holidays,0)),"عطلة",IF(MOD(JG$3-'الموظفون'!$D$9,CycleWork+CycleRest)&lt;CycleWork,INDEX('الإعدادات والقوائم'!$H$2:$H$4,MOD(INT(MOD(JG$3-'الموظفون'!$D$9,CycleWork+CycleRest)*3/CycleWork)+MATCH(StartShift,'الإعدادات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الإجازات'!$D$5:$D$104&lt;=JG$3)*(('حجز الإجازات'!$E$5:$E$104)&gt;=JG$3)*('حجز الإجازات'!$G$5:$G$104="معتمد")*ROW('حجز الإجازات'!$B$5:$B$104)))-5+1))</f>
        <v/>
      </c>
      <c r="JH11" s="62">
        <f>IF(SUMPRODUCT(('حجز الإجازات'!$B$5:$B$104='الموظفون'!$B$9)*('حجز الإجازات'!$D$5:$D$104&lt;=JH$3)*(('حجز الإجازات'!$E$5:$E$104)&gt;=JH$3)*('حجز الإجازات'!$G$5:$G$104="معتمد")*ROW('حجز الإجازات'!$B$5:$B$104))=0,IF(JH$3&lt;'الموظفون'!$D$9,"",IF(ISNUMBER(MATCH(JH$3,Holidays,0)),"عطلة",IF(MOD(JH$3-'الموظفون'!$D$9,CycleWork+CycleRest)&lt;CycleWork,INDEX('الإعدادات والقوائم'!$H$2:$H$4,MOD(INT(MOD(JH$3-'الموظفون'!$D$9,CycleWork+CycleRest)*3/CycleWork)+MATCH(StartShift,'الإعدادات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الإجازات'!$D$5:$D$104&lt;=JH$3)*(('حجز الإجازات'!$E$5:$E$104)&gt;=JH$3)*('حجز الإجازات'!$G$5:$G$104="معتمد")*ROW('حجز الإجازات'!$B$5:$B$104)))-5+1))</f>
        <v/>
      </c>
      <c r="JI11" s="62">
        <f>IF(SUMPRODUCT(('حجز الإجازات'!$B$5:$B$104='الموظفون'!$B$9)*('حجز الإجازات'!$D$5:$D$104&lt;=JI$3)*(('حجز الإجازات'!$E$5:$E$104)&gt;=JI$3)*('حجز الإجازات'!$G$5:$G$104="معتمد")*ROW('حجز الإجازات'!$B$5:$B$104))=0,IF(JI$3&lt;'الموظفون'!$D$9,"",IF(ISNUMBER(MATCH(JI$3,Holidays,0)),"عطلة",IF(MOD(JI$3-'الموظفون'!$D$9,CycleWork+CycleRest)&lt;CycleWork,INDEX('الإعدادات والقوائم'!$H$2:$H$4,MOD(INT(MOD(JI$3-'الموظفون'!$D$9,CycleWork+CycleRest)*3/CycleWork)+MATCH(StartShift,'الإعدادات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الإجازات'!$D$5:$D$104&lt;=JI$3)*(('حجز الإجازات'!$E$5:$E$104)&gt;=JI$3)*('حجز الإجازات'!$G$5:$G$104="معتمد")*ROW('حجز الإجازات'!$B$5:$B$104)))-5+1))</f>
        <v/>
      </c>
      <c r="JJ11" s="62">
        <f>IF(SUMPRODUCT(('حجز الإجازات'!$B$5:$B$104='الموظفون'!$B$9)*('حجز الإجازات'!$D$5:$D$104&lt;=JJ$3)*(('حجز الإجازات'!$E$5:$E$104)&gt;=JJ$3)*('حجز الإجازات'!$G$5:$G$104="معتمد")*ROW('حجز الإجازات'!$B$5:$B$104))=0,IF(JJ$3&lt;'الموظفون'!$D$9,"",IF(ISNUMBER(MATCH(JJ$3,Holidays,0)),"عطلة",IF(MOD(JJ$3-'الموظفون'!$D$9,CycleWork+CycleRest)&lt;CycleWork,INDEX('الإعدادات والقوائم'!$H$2:$H$4,MOD(INT(MOD(JJ$3-'الموظفون'!$D$9,CycleWork+CycleRest)*3/CycleWork)+MATCH(StartShift,'الإعدادات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الإجازات'!$D$5:$D$104&lt;=JJ$3)*(('حجز الإجازات'!$E$5:$E$104)&gt;=JJ$3)*('حجز الإجازات'!$G$5:$G$104="معتمد")*ROW('حجز الإجازات'!$B$5:$B$104)))-5+1))</f>
        <v/>
      </c>
      <c r="JK11" s="62">
        <f>IF(SUMPRODUCT(('حجز الإجازات'!$B$5:$B$104='الموظفون'!$B$9)*('حجز الإجازات'!$D$5:$D$104&lt;=JK$3)*(('حجز الإجازات'!$E$5:$E$104)&gt;=JK$3)*('حجز الإجازات'!$G$5:$G$104="معتمد")*ROW('حجز الإجازات'!$B$5:$B$104))=0,IF(JK$3&lt;'الموظفون'!$D$9,"",IF(ISNUMBER(MATCH(JK$3,Holidays,0)),"عطلة",IF(MOD(JK$3-'الموظفون'!$D$9,CycleWork+CycleRest)&lt;CycleWork,INDEX('الإعدادات والقوائم'!$H$2:$H$4,MOD(INT(MOD(JK$3-'الموظفون'!$D$9,CycleWork+CycleRest)*3/CycleWork)+MATCH(StartShift,'الإعدادات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الإجازات'!$D$5:$D$104&lt;=JK$3)*(('حجز الإجازات'!$E$5:$E$104)&gt;=JK$3)*('حجز الإجازات'!$G$5:$G$104="معتمد")*ROW('حجز الإجازات'!$B$5:$B$104)))-5+1))</f>
        <v/>
      </c>
      <c r="JL11" s="62">
        <f>IF(SUMPRODUCT(('حجز الإجازات'!$B$5:$B$104='الموظفون'!$B$9)*('حجز الإجازات'!$D$5:$D$104&lt;=JL$3)*(('حجز الإجازات'!$E$5:$E$104)&gt;=JL$3)*('حجز الإجازات'!$G$5:$G$104="معتمد")*ROW('حجز الإجازات'!$B$5:$B$104))=0,IF(JL$3&lt;'الموظفون'!$D$9,"",IF(ISNUMBER(MATCH(JL$3,Holidays,0)),"عطلة",IF(MOD(JL$3-'الموظفون'!$D$9,CycleWork+CycleRest)&lt;CycleWork,INDEX('الإعدادات والقوائم'!$H$2:$H$4,MOD(INT(MOD(JL$3-'الموظفون'!$D$9,CycleWork+CycleRest)*3/CycleWork)+MATCH(StartShift,'الإعدادات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الإجازات'!$D$5:$D$104&lt;=JL$3)*(('حجز الإجازات'!$E$5:$E$104)&gt;=JL$3)*('حجز الإجازات'!$G$5:$G$104="معتمد")*ROW('حجز الإجازات'!$B$5:$B$104)))-5+1))</f>
        <v/>
      </c>
      <c r="JM11" s="62">
        <f>IF(SUMPRODUCT(('حجز الإجازات'!$B$5:$B$104='الموظفون'!$B$9)*('حجز الإجازات'!$D$5:$D$104&lt;=JM$3)*(('حجز الإجازات'!$E$5:$E$104)&gt;=JM$3)*('حجز الإجازات'!$G$5:$G$104="معتمد")*ROW('حجز الإجازات'!$B$5:$B$104))=0,IF(JM$3&lt;'الموظفون'!$D$9,"",IF(ISNUMBER(MATCH(JM$3,Holidays,0)),"عطلة",IF(MOD(JM$3-'الموظفون'!$D$9,CycleWork+CycleRest)&lt;CycleWork,INDEX('الإعدادات والقوائم'!$H$2:$H$4,MOD(INT(MOD(JM$3-'الموظفون'!$D$9,CycleWork+CycleRest)*3/CycleWork)+MATCH(StartShift,'الإعدادات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الإجازات'!$D$5:$D$104&lt;=JM$3)*(('حجز الإجازات'!$E$5:$E$104)&gt;=JM$3)*('حجز الإجازات'!$G$5:$G$104="معتمد")*ROW('حجز الإجازات'!$B$5:$B$104)))-5+1))</f>
        <v/>
      </c>
      <c r="JN11" s="62">
        <f>IF(SUMPRODUCT(('حجز الإجازات'!$B$5:$B$104='الموظفون'!$B$9)*('حجز الإجازات'!$D$5:$D$104&lt;=JN$3)*(('حجز الإجازات'!$E$5:$E$104)&gt;=JN$3)*('حجز الإجازات'!$G$5:$G$104="معتمد")*ROW('حجز الإجازات'!$B$5:$B$104))=0,IF(JN$3&lt;'الموظفون'!$D$9,"",IF(ISNUMBER(MATCH(JN$3,Holidays,0)),"عطلة",IF(MOD(JN$3-'الموظفون'!$D$9,CycleWork+CycleRest)&lt;CycleWork,INDEX('الإعدادات والقوائم'!$H$2:$H$4,MOD(INT(MOD(JN$3-'الموظفون'!$D$9,CycleWork+CycleRest)*3/CycleWork)+MATCH(StartShift,'الإعدادات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الإجازات'!$D$5:$D$104&lt;=JN$3)*(('حجز الإجازات'!$E$5:$E$104)&gt;=JN$3)*('حجز الإجازات'!$G$5:$G$104="معتمد")*ROW('حجز الإجازات'!$B$5:$B$104)))-5+1))</f>
        <v/>
      </c>
      <c r="JO11" s="62">
        <f>IF(SUMPRODUCT(('حجز الإجازات'!$B$5:$B$104='الموظفون'!$B$9)*('حجز الإجازات'!$D$5:$D$104&lt;=JO$3)*(('حجز الإجازات'!$E$5:$E$104)&gt;=JO$3)*('حجز الإجازات'!$G$5:$G$104="معتمد")*ROW('حجز الإجازات'!$B$5:$B$104))=0,IF(JO$3&lt;'الموظفون'!$D$9,"",IF(ISNUMBER(MATCH(JO$3,Holidays,0)),"عطلة",IF(MOD(JO$3-'الموظفون'!$D$9,CycleWork+CycleRest)&lt;CycleWork,INDEX('الإعدادات والقوائم'!$H$2:$H$4,MOD(INT(MOD(JO$3-'الموظفون'!$D$9,CycleWork+CycleRest)*3/CycleWork)+MATCH(StartShift,'الإعدادات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الإجازات'!$D$5:$D$104&lt;=JO$3)*(('حجز الإجازات'!$E$5:$E$104)&gt;=JO$3)*('حجز الإجازات'!$G$5:$G$104="معتمد")*ROW('حجز الإجازات'!$B$5:$B$104)))-5+1))</f>
        <v/>
      </c>
      <c r="JP11" s="62">
        <f>IF(SUMPRODUCT(('حجز الإجازات'!$B$5:$B$104='الموظفون'!$B$9)*('حجز الإجازات'!$D$5:$D$104&lt;=JP$3)*(('حجز الإجازات'!$E$5:$E$104)&gt;=JP$3)*('حجز الإجازات'!$G$5:$G$104="معتمد")*ROW('حجز الإجازات'!$B$5:$B$104))=0,IF(JP$3&lt;'الموظفون'!$D$9,"",IF(ISNUMBER(MATCH(JP$3,Holidays,0)),"عطلة",IF(MOD(JP$3-'الموظفون'!$D$9,CycleWork+CycleRest)&lt;CycleWork,INDEX('الإعدادات والقوائم'!$H$2:$H$4,MOD(INT(MOD(JP$3-'الموظفون'!$D$9,CycleWork+CycleRest)*3/CycleWork)+MATCH(StartShift,'الإعدادات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الإجازات'!$D$5:$D$104&lt;=JP$3)*(('حجز الإجازات'!$E$5:$E$104)&gt;=JP$3)*('حجز الإجازات'!$G$5:$G$104="معتمد")*ROW('حجز الإجازات'!$B$5:$B$104)))-5+1))</f>
        <v/>
      </c>
      <c r="JQ11" s="62">
        <f>IF(SUMPRODUCT(('حجز الإجازات'!$B$5:$B$104='الموظفون'!$B$9)*('حجز الإجازات'!$D$5:$D$104&lt;=JQ$3)*(('حجز الإجازات'!$E$5:$E$104)&gt;=JQ$3)*('حجز الإجازات'!$G$5:$G$104="معتمد")*ROW('حجز الإجازات'!$B$5:$B$104))=0,IF(JQ$3&lt;'الموظفون'!$D$9,"",IF(ISNUMBER(MATCH(JQ$3,Holidays,0)),"عطلة",IF(MOD(JQ$3-'الموظفون'!$D$9,CycleWork+CycleRest)&lt;CycleWork,INDEX('الإعدادات والقوائم'!$H$2:$H$4,MOD(INT(MOD(JQ$3-'الموظفون'!$D$9,CycleWork+CycleRest)*3/CycleWork)+MATCH(StartShift,'الإعدادات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الإجازات'!$D$5:$D$104&lt;=JQ$3)*(('حجز الإجازات'!$E$5:$E$104)&gt;=JQ$3)*('حجز الإجازات'!$G$5:$G$104="معتمد")*ROW('حجز الإجازات'!$B$5:$B$104)))-5+1))</f>
        <v/>
      </c>
      <c r="JR11" s="62">
        <f>IF(SUMPRODUCT(('حجز الإجازات'!$B$5:$B$104='الموظفون'!$B$9)*('حجز الإجازات'!$D$5:$D$104&lt;=JR$3)*(('حجز الإجازات'!$E$5:$E$104)&gt;=JR$3)*('حجز الإجازات'!$G$5:$G$104="معتمد")*ROW('حجز الإجازات'!$B$5:$B$104))=0,IF(JR$3&lt;'الموظفون'!$D$9,"",IF(ISNUMBER(MATCH(JR$3,Holidays,0)),"عطلة",IF(MOD(JR$3-'الموظفون'!$D$9,CycleWork+CycleRest)&lt;CycleWork,INDEX('الإعدادات والقوائم'!$H$2:$H$4,MOD(INT(MOD(JR$3-'الموظفون'!$D$9,CycleWork+CycleRest)*3/CycleWork)+MATCH(StartShift,'الإعدادات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الإجازات'!$D$5:$D$104&lt;=JR$3)*(('حجز الإجازات'!$E$5:$E$104)&gt;=JR$3)*('حجز الإجازات'!$G$5:$G$104="معتمد")*ROW('حجز الإجازات'!$B$5:$B$104)))-5+1))</f>
        <v/>
      </c>
      <c r="JS11" s="62">
        <f>IF(SUMPRODUCT(('حجز الإجازات'!$B$5:$B$104='الموظفون'!$B$9)*('حجز الإجازات'!$D$5:$D$104&lt;=JS$3)*(('حجز الإجازات'!$E$5:$E$104)&gt;=JS$3)*('حجز الإجازات'!$G$5:$G$104="معتمد")*ROW('حجز الإجازات'!$B$5:$B$104))=0,IF(JS$3&lt;'الموظفون'!$D$9,"",IF(ISNUMBER(MATCH(JS$3,Holidays,0)),"عطلة",IF(MOD(JS$3-'الموظفون'!$D$9,CycleWork+CycleRest)&lt;CycleWork,INDEX('الإعدادات والقوائم'!$H$2:$H$4,MOD(INT(MOD(JS$3-'الموظفون'!$D$9,CycleWork+CycleRest)*3/CycleWork)+MATCH(StartShift,'الإعدادات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الإجازات'!$D$5:$D$104&lt;=JS$3)*(('حجز الإجازات'!$E$5:$E$104)&gt;=JS$3)*('حجز الإجازات'!$G$5:$G$104="معتمد")*ROW('حجز الإجازات'!$B$5:$B$104)))-5+1))</f>
        <v/>
      </c>
      <c r="JT11" s="62">
        <f>IF(SUMPRODUCT(('حجز الإجازات'!$B$5:$B$104='الموظفون'!$B$9)*('حجز الإجازات'!$D$5:$D$104&lt;=JT$3)*(('حجز الإجازات'!$E$5:$E$104)&gt;=JT$3)*('حجز الإجازات'!$G$5:$G$104="معتمد")*ROW('حجز الإجازات'!$B$5:$B$104))=0,IF(JT$3&lt;'الموظفون'!$D$9,"",IF(ISNUMBER(MATCH(JT$3,Holidays,0)),"عطلة",IF(MOD(JT$3-'الموظفون'!$D$9,CycleWork+CycleRest)&lt;CycleWork,INDEX('الإعدادات والقوائم'!$H$2:$H$4,MOD(INT(MOD(JT$3-'الموظفون'!$D$9,CycleWork+CycleRest)*3/CycleWork)+MATCH(StartShift,'الإعدادات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الإجازات'!$D$5:$D$104&lt;=JT$3)*(('حجز الإجازات'!$E$5:$E$104)&gt;=JT$3)*('حجز الإجازات'!$G$5:$G$104="معتمد")*ROW('حجز الإجازات'!$B$5:$B$104)))-5+1))</f>
        <v/>
      </c>
      <c r="JU11" s="62">
        <f>IF(SUMPRODUCT(('حجز الإجازات'!$B$5:$B$104='الموظفون'!$B$9)*('حجز الإجازات'!$D$5:$D$104&lt;=JU$3)*(('حجز الإجازات'!$E$5:$E$104)&gt;=JU$3)*('حجز الإجازات'!$G$5:$G$104="معتمد")*ROW('حجز الإجازات'!$B$5:$B$104))=0,IF(JU$3&lt;'الموظفون'!$D$9,"",IF(ISNUMBER(MATCH(JU$3,Holidays,0)),"عطلة",IF(MOD(JU$3-'الموظفون'!$D$9,CycleWork+CycleRest)&lt;CycleWork,INDEX('الإعدادات والقوائم'!$H$2:$H$4,MOD(INT(MOD(JU$3-'الموظفون'!$D$9,CycleWork+CycleRest)*3/CycleWork)+MATCH(StartShift,'الإعدادات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الإجازات'!$D$5:$D$104&lt;=JU$3)*(('حجز الإجازات'!$E$5:$E$104)&gt;=JU$3)*('حجز الإجازات'!$G$5:$G$104="معتمد")*ROW('حجز الإجازات'!$B$5:$B$104)))-5+1))</f>
        <v/>
      </c>
      <c r="JV11" s="62">
        <f>IF(SUMPRODUCT(('حجز الإجازات'!$B$5:$B$104='الموظفون'!$B$9)*('حجز الإجازات'!$D$5:$D$104&lt;=JV$3)*(('حجز الإجازات'!$E$5:$E$104)&gt;=JV$3)*('حجز الإجازات'!$G$5:$G$104="معتمد")*ROW('حجز الإجازات'!$B$5:$B$104))=0,IF(JV$3&lt;'الموظفون'!$D$9,"",IF(ISNUMBER(MATCH(JV$3,Holidays,0)),"عطلة",IF(MOD(JV$3-'الموظفون'!$D$9,CycleWork+CycleRest)&lt;CycleWork,INDEX('الإعدادات والقوائم'!$H$2:$H$4,MOD(INT(MOD(JV$3-'الموظفون'!$D$9,CycleWork+CycleRest)*3/CycleWork)+MATCH(StartShift,'الإعدادات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الإجازات'!$D$5:$D$104&lt;=JV$3)*(('حجز الإجازات'!$E$5:$E$104)&gt;=JV$3)*('حجز الإجازات'!$G$5:$G$104="معتمد")*ROW('حجز الإجازات'!$B$5:$B$104)))-5+1))</f>
        <v/>
      </c>
      <c r="JW11" s="62">
        <f>IF(SUMPRODUCT(('حجز الإجازات'!$B$5:$B$104='الموظفون'!$B$9)*('حجز الإجازات'!$D$5:$D$104&lt;=JW$3)*(('حجز الإجازات'!$E$5:$E$104)&gt;=JW$3)*('حجز الإجازات'!$G$5:$G$104="معتمد")*ROW('حجز الإجازات'!$B$5:$B$104))=0,IF(JW$3&lt;'الموظفون'!$D$9,"",IF(ISNUMBER(MATCH(JW$3,Holidays,0)),"عطلة",IF(MOD(JW$3-'الموظفون'!$D$9,CycleWork+CycleRest)&lt;CycleWork,INDEX('الإعدادات والقوائم'!$H$2:$H$4,MOD(INT(MOD(JW$3-'الموظفون'!$D$9,CycleWork+CycleRest)*3/CycleWork)+MATCH(StartShift,'الإعدادات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الإجازات'!$D$5:$D$104&lt;=JW$3)*(('حجز الإجازات'!$E$5:$E$104)&gt;=JW$3)*('حجز الإجازات'!$G$5:$G$104="معتمد")*ROW('حجز الإجازات'!$B$5:$B$104)))-5+1))</f>
        <v/>
      </c>
      <c r="JX11" s="62">
        <f>IF(SUMPRODUCT(('حجز الإجازات'!$B$5:$B$104='الموظفون'!$B$9)*('حجز الإجازات'!$D$5:$D$104&lt;=JX$3)*(('حجز الإجازات'!$E$5:$E$104)&gt;=JX$3)*('حجز الإجازات'!$G$5:$G$104="معتمد")*ROW('حجز الإجازات'!$B$5:$B$104))=0,IF(JX$3&lt;'الموظفون'!$D$9,"",IF(ISNUMBER(MATCH(JX$3,Holidays,0)),"عطلة",IF(MOD(JX$3-'الموظفون'!$D$9,CycleWork+CycleRest)&lt;CycleWork,INDEX('الإعدادات والقوائم'!$H$2:$H$4,MOD(INT(MOD(JX$3-'الموظفون'!$D$9,CycleWork+CycleRest)*3/CycleWork)+MATCH(StartShift,'الإعدادات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الإجازات'!$D$5:$D$104&lt;=JX$3)*(('حجز الإجازات'!$E$5:$E$104)&gt;=JX$3)*('حجز الإجازات'!$G$5:$G$104="معتمد")*ROW('حجز الإجازات'!$B$5:$B$104)))-5+1))</f>
        <v/>
      </c>
      <c r="JY11" s="62">
        <f>IF(SUMPRODUCT(('حجز الإجازات'!$B$5:$B$104='الموظفون'!$B$9)*('حجز الإجازات'!$D$5:$D$104&lt;=JY$3)*(('حجز الإجازات'!$E$5:$E$104)&gt;=JY$3)*('حجز الإجازات'!$G$5:$G$104="معتمد")*ROW('حجز الإجازات'!$B$5:$B$104))=0,IF(JY$3&lt;'الموظفون'!$D$9,"",IF(ISNUMBER(MATCH(JY$3,Holidays,0)),"عطلة",IF(MOD(JY$3-'الموظفون'!$D$9,CycleWork+CycleRest)&lt;CycleWork,INDEX('الإعدادات والقوائم'!$H$2:$H$4,MOD(INT(MOD(JY$3-'الموظفون'!$D$9,CycleWork+CycleRest)*3/CycleWork)+MATCH(StartShift,'الإعدادات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الإجازات'!$D$5:$D$104&lt;=JY$3)*(('حجز الإجازات'!$E$5:$E$104)&gt;=JY$3)*('حجز الإجازات'!$G$5:$G$104="معتمد")*ROW('حجز الإجازات'!$B$5:$B$104)))-5+1))</f>
        <v/>
      </c>
      <c r="JZ11" s="62">
        <f>IF(SUMPRODUCT(('حجز الإجازات'!$B$5:$B$104='الموظفون'!$B$9)*('حجز الإجازات'!$D$5:$D$104&lt;=JZ$3)*(('حجز الإجازات'!$E$5:$E$104)&gt;=JZ$3)*('حجز الإجازات'!$G$5:$G$104="معتمد")*ROW('حجز الإجازات'!$B$5:$B$104))=0,IF(JZ$3&lt;'الموظفون'!$D$9,"",IF(ISNUMBER(MATCH(JZ$3,Holidays,0)),"عطلة",IF(MOD(JZ$3-'الموظفون'!$D$9,CycleWork+CycleRest)&lt;CycleWork,INDEX('الإعدادات والقوائم'!$H$2:$H$4,MOD(INT(MOD(JZ$3-'الموظفون'!$D$9,CycleWork+CycleRest)*3/CycleWork)+MATCH(StartShift,'الإعدادات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الإجازات'!$D$5:$D$104&lt;=JZ$3)*(('حجز الإجازات'!$E$5:$E$104)&gt;=JZ$3)*('حجز الإجازات'!$G$5:$G$104="معتمد")*ROW('حجز الإجازات'!$B$5:$B$104)))-5+1))</f>
        <v/>
      </c>
      <c r="KA11" s="62">
        <f>IF(SUMPRODUCT(('حجز الإجازات'!$B$5:$B$104='الموظفون'!$B$9)*('حجز الإجازات'!$D$5:$D$104&lt;=KA$3)*(('حجز الإجازات'!$E$5:$E$104)&gt;=KA$3)*('حجز الإجازات'!$G$5:$G$104="معتمد")*ROW('حجز الإجازات'!$B$5:$B$104))=0,IF(KA$3&lt;'الموظفون'!$D$9,"",IF(ISNUMBER(MATCH(KA$3,Holidays,0)),"عطلة",IF(MOD(KA$3-'الموظفون'!$D$9,CycleWork+CycleRest)&lt;CycleWork,INDEX('الإعدادات والقوائم'!$H$2:$H$4,MOD(INT(MOD(KA$3-'الموظفون'!$D$9,CycleWork+CycleRest)*3/CycleWork)+MATCH(StartShift,'الإعدادات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الإجازات'!$D$5:$D$104&lt;=KA$3)*(('حجز الإجازات'!$E$5:$E$104)&gt;=KA$3)*('حجز الإجازات'!$G$5:$G$104="معتمد")*ROW('حجز الإجازات'!$B$5:$B$104)))-5+1))</f>
        <v/>
      </c>
      <c r="KB11" s="62">
        <f>IF(SUMPRODUCT(('حجز الإجازات'!$B$5:$B$104='الموظفون'!$B$9)*('حجز الإجازات'!$D$5:$D$104&lt;=KB$3)*(('حجز الإجازات'!$E$5:$E$104)&gt;=KB$3)*('حجز الإجازات'!$G$5:$G$104="معتمد")*ROW('حجز الإجازات'!$B$5:$B$104))=0,IF(KB$3&lt;'الموظفون'!$D$9,"",IF(ISNUMBER(MATCH(KB$3,Holidays,0)),"عطلة",IF(MOD(KB$3-'الموظفون'!$D$9,CycleWork+CycleRest)&lt;CycleWork,INDEX('الإعدادات والقوائم'!$H$2:$H$4,MOD(INT(MOD(KB$3-'الموظفون'!$D$9,CycleWork+CycleRest)*3/CycleWork)+MATCH(StartShift,'الإعدادات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الإجازات'!$D$5:$D$104&lt;=KB$3)*(('حجز الإجازات'!$E$5:$E$104)&gt;=KB$3)*('حجز الإجازات'!$G$5:$G$104="معتمد")*ROW('حجز الإجازات'!$B$5:$B$104)))-5+1))</f>
        <v/>
      </c>
      <c r="KC11" s="62">
        <f>IF(SUMPRODUCT(('حجز الإجازات'!$B$5:$B$104='الموظفون'!$B$9)*('حجز الإجازات'!$D$5:$D$104&lt;=KC$3)*(('حجز الإجازات'!$E$5:$E$104)&gt;=KC$3)*('حجز الإجازات'!$G$5:$G$104="معتمد")*ROW('حجز الإجازات'!$B$5:$B$104))=0,IF(KC$3&lt;'الموظفون'!$D$9,"",IF(ISNUMBER(MATCH(KC$3,Holidays,0)),"عطلة",IF(MOD(KC$3-'الموظفون'!$D$9,CycleWork+CycleRest)&lt;CycleWork,INDEX('الإعدادات والقوائم'!$H$2:$H$4,MOD(INT(MOD(KC$3-'الموظفون'!$D$9,CycleWork+CycleRest)*3/CycleWork)+MATCH(StartShift,'الإعدادات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الإجازات'!$D$5:$D$104&lt;=KC$3)*(('حجز الإجازات'!$E$5:$E$104)&gt;=KC$3)*('حجز الإجازات'!$G$5:$G$104="معتمد")*ROW('حجز الإجازات'!$B$5:$B$104)))-5+1))</f>
        <v/>
      </c>
      <c r="KD11" s="62">
        <f>IF(SUMPRODUCT(('حجز الإجازات'!$B$5:$B$104='الموظفون'!$B$9)*('حجز الإجازات'!$D$5:$D$104&lt;=KD$3)*(('حجز الإجازات'!$E$5:$E$104)&gt;=KD$3)*('حجز الإجازات'!$G$5:$G$104="معتمد")*ROW('حجز الإجازات'!$B$5:$B$104))=0,IF(KD$3&lt;'الموظفون'!$D$9,"",IF(ISNUMBER(MATCH(KD$3,Holidays,0)),"عطلة",IF(MOD(KD$3-'الموظفون'!$D$9,CycleWork+CycleRest)&lt;CycleWork,INDEX('الإعدادات والقوائم'!$H$2:$H$4,MOD(INT(MOD(KD$3-'الموظفون'!$D$9,CycleWork+CycleRest)*3/CycleWork)+MATCH(StartShift,'الإعدادات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الإجازات'!$D$5:$D$104&lt;=KD$3)*(('حجز الإجازات'!$E$5:$E$104)&gt;=KD$3)*('حجز الإجازات'!$G$5:$G$104="معتمد")*ROW('حجز الإجازات'!$B$5:$B$104)))-5+1))</f>
        <v/>
      </c>
      <c r="KE11" s="62">
        <f>IF(SUMPRODUCT(('حجز الإجازات'!$B$5:$B$104='الموظفون'!$B$9)*('حجز الإجازات'!$D$5:$D$104&lt;=KE$3)*(('حجز الإجازات'!$E$5:$E$104)&gt;=KE$3)*('حجز الإجازات'!$G$5:$G$104="معتمد")*ROW('حجز الإجازات'!$B$5:$B$104))=0,IF(KE$3&lt;'الموظفون'!$D$9,"",IF(ISNUMBER(MATCH(KE$3,Holidays,0)),"عطلة",IF(MOD(KE$3-'الموظفون'!$D$9,CycleWork+CycleRest)&lt;CycleWork,INDEX('الإعدادات والقوائم'!$H$2:$H$4,MOD(INT(MOD(KE$3-'الموظفون'!$D$9,CycleWork+CycleRest)*3/CycleWork)+MATCH(StartShift,'الإعدادات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الإجازات'!$D$5:$D$104&lt;=KE$3)*(('حجز الإجازات'!$E$5:$E$104)&gt;=KE$3)*('حجز الإجازات'!$G$5:$G$104="معتمد")*ROW('حجز الإجازات'!$B$5:$B$104)))-5+1))</f>
        <v/>
      </c>
      <c r="KF11" s="62">
        <f>IF(SUMPRODUCT(('حجز الإجازات'!$B$5:$B$104='الموظفون'!$B$9)*('حجز الإجازات'!$D$5:$D$104&lt;=KF$3)*(('حجز الإجازات'!$E$5:$E$104)&gt;=KF$3)*('حجز الإجازات'!$G$5:$G$104="معتمد")*ROW('حجز الإجازات'!$B$5:$B$104))=0,IF(KF$3&lt;'الموظفون'!$D$9,"",IF(ISNUMBER(MATCH(KF$3,Holidays,0)),"عطلة",IF(MOD(KF$3-'الموظفون'!$D$9,CycleWork+CycleRest)&lt;CycleWork,INDEX('الإعدادات والقوائم'!$H$2:$H$4,MOD(INT(MOD(KF$3-'الموظفون'!$D$9,CycleWork+CycleRest)*3/CycleWork)+MATCH(StartShift,'الإعدادات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الإجازات'!$D$5:$D$104&lt;=KF$3)*(('حجز الإجازات'!$E$5:$E$104)&gt;=KF$3)*('حجز الإجازات'!$G$5:$G$104="معتمد")*ROW('حجز الإجازات'!$B$5:$B$104)))-5+1))</f>
        <v/>
      </c>
      <c r="KG11" s="62">
        <f>IF(SUMPRODUCT(('حجز الإجازات'!$B$5:$B$104='الموظفون'!$B$9)*('حجز الإجازات'!$D$5:$D$104&lt;=KG$3)*(('حجز الإجازات'!$E$5:$E$104)&gt;=KG$3)*('حجز الإجازات'!$G$5:$G$104="معتمد")*ROW('حجز الإجازات'!$B$5:$B$104))=0,IF(KG$3&lt;'الموظفون'!$D$9,"",IF(ISNUMBER(MATCH(KG$3,Holidays,0)),"عطلة",IF(MOD(KG$3-'الموظفون'!$D$9,CycleWork+CycleRest)&lt;CycleWork,INDEX('الإعدادات والقوائم'!$H$2:$H$4,MOD(INT(MOD(KG$3-'الموظفون'!$D$9,CycleWork+CycleRest)*3/CycleWork)+MATCH(StartShift,'الإعدادات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الإجازات'!$D$5:$D$104&lt;=KG$3)*(('حجز الإجازات'!$E$5:$E$104)&gt;=KG$3)*('حجز الإجازات'!$G$5:$G$104="معتمد")*ROW('حجز الإجازات'!$B$5:$B$104)))-5+1))</f>
        <v/>
      </c>
      <c r="KH11" s="62">
        <f>IF(SUMPRODUCT(('حجز الإجازات'!$B$5:$B$104='الموظفون'!$B$9)*('حجز الإجازات'!$D$5:$D$104&lt;=KH$3)*(('حجز الإجازات'!$E$5:$E$104)&gt;=KH$3)*('حجز الإجازات'!$G$5:$G$104="معتمد")*ROW('حجز الإجازات'!$B$5:$B$104))=0,IF(KH$3&lt;'الموظفون'!$D$9,"",IF(ISNUMBER(MATCH(KH$3,Holidays,0)),"عطلة",IF(MOD(KH$3-'الموظفون'!$D$9,CycleWork+CycleRest)&lt;CycleWork,INDEX('الإعدادات والقوائم'!$H$2:$H$4,MOD(INT(MOD(KH$3-'الموظفون'!$D$9,CycleWork+CycleRest)*3/CycleWork)+MATCH(StartShift,'الإعدادات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الإجازات'!$D$5:$D$104&lt;=KH$3)*(('حجز الإجازات'!$E$5:$E$104)&gt;=KH$3)*('حجز الإجازات'!$G$5:$G$104="معتمد")*ROW('حجز الإجازات'!$B$5:$B$104)))-5+1))</f>
        <v/>
      </c>
      <c r="KI11" s="62">
        <f>IF(SUMPRODUCT(('حجز الإجازات'!$B$5:$B$104='الموظفون'!$B$9)*('حجز الإجازات'!$D$5:$D$104&lt;=KI$3)*(('حجز الإجازات'!$E$5:$E$104)&gt;=KI$3)*('حجز الإجازات'!$G$5:$G$104="معتمد")*ROW('حجز الإجازات'!$B$5:$B$104))=0,IF(KI$3&lt;'الموظفون'!$D$9,"",IF(ISNUMBER(MATCH(KI$3,Holidays,0)),"عطلة",IF(MOD(KI$3-'الموظفون'!$D$9,CycleWork+CycleRest)&lt;CycleWork,INDEX('الإعدادات والقوائم'!$H$2:$H$4,MOD(INT(MOD(KI$3-'الموظفون'!$D$9,CycleWork+CycleRest)*3/CycleWork)+MATCH(StartShift,'الإعدادات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الإجازات'!$D$5:$D$104&lt;=KI$3)*(('حجز الإجازات'!$E$5:$E$104)&gt;=KI$3)*('حجز الإجازات'!$G$5:$G$104="معتمد")*ROW('حجز الإجازات'!$B$5:$B$104)))-5+1))</f>
        <v/>
      </c>
      <c r="KJ11" s="62">
        <f>IF(SUMPRODUCT(('حجز الإجازات'!$B$5:$B$104='الموظفون'!$B$9)*('حجز الإجازات'!$D$5:$D$104&lt;=KJ$3)*(('حجز الإجازات'!$E$5:$E$104)&gt;=KJ$3)*('حجز الإجازات'!$G$5:$G$104="معتمد")*ROW('حجز الإجازات'!$B$5:$B$104))=0,IF(KJ$3&lt;'الموظفون'!$D$9,"",IF(ISNUMBER(MATCH(KJ$3,Holidays,0)),"عطلة",IF(MOD(KJ$3-'الموظفون'!$D$9,CycleWork+CycleRest)&lt;CycleWork,INDEX('الإعدادات والقوائم'!$H$2:$H$4,MOD(INT(MOD(KJ$3-'الموظفون'!$D$9,CycleWork+CycleRest)*3/CycleWork)+MATCH(StartShift,'الإعدادات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الإجازات'!$D$5:$D$104&lt;=KJ$3)*(('حجز الإجازات'!$E$5:$E$104)&gt;=KJ$3)*('حجز الإجازات'!$G$5:$G$104="معتمد")*ROW('حجز الإجازات'!$B$5:$B$104)))-5+1))</f>
        <v/>
      </c>
      <c r="KK11" s="62">
        <f>IF(SUMPRODUCT(('حجز الإجازات'!$B$5:$B$104='الموظفون'!$B$9)*('حجز الإجازات'!$D$5:$D$104&lt;=KK$3)*(('حجز الإجازات'!$E$5:$E$104)&gt;=KK$3)*('حجز الإجازات'!$G$5:$G$104="معتمد")*ROW('حجز الإجازات'!$B$5:$B$104))=0,IF(KK$3&lt;'الموظفون'!$D$9,"",IF(ISNUMBER(MATCH(KK$3,Holidays,0)),"عطلة",IF(MOD(KK$3-'الموظفون'!$D$9,CycleWork+CycleRest)&lt;CycleWork,INDEX('الإعدادات والقوائم'!$H$2:$H$4,MOD(INT(MOD(KK$3-'الموظفون'!$D$9,CycleWork+CycleRest)*3/CycleWork)+MATCH(StartShift,'الإعدادات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الإجازات'!$D$5:$D$104&lt;=KK$3)*(('حجز الإجازات'!$E$5:$E$104)&gt;=KK$3)*('حجز الإجازات'!$G$5:$G$104="معتمد")*ROW('حجز الإجازات'!$B$5:$B$104)))-5+1))</f>
        <v/>
      </c>
      <c r="KL11" s="62">
        <f>IF(SUMPRODUCT(('حجز الإجازات'!$B$5:$B$104='الموظفون'!$B$9)*('حجز الإجازات'!$D$5:$D$104&lt;=KL$3)*(('حجز الإجازات'!$E$5:$E$104)&gt;=KL$3)*('حجز الإجازات'!$G$5:$G$104="معتمد")*ROW('حجز الإجازات'!$B$5:$B$104))=0,IF(KL$3&lt;'الموظفون'!$D$9,"",IF(ISNUMBER(MATCH(KL$3,Holidays,0)),"عطلة",IF(MOD(KL$3-'الموظفون'!$D$9,CycleWork+CycleRest)&lt;CycleWork,INDEX('الإعدادات والقوائم'!$H$2:$H$4,MOD(INT(MOD(KL$3-'الموظفون'!$D$9,CycleWork+CycleRest)*3/CycleWork)+MATCH(StartShift,'الإعدادات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الإجازات'!$D$5:$D$104&lt;=KL$3)*(('حجز الإجازات'!$E$5:$E$104)&gt;=KL$3)*('حجز الإجازات'!$G$5:$G$104="معتمد")*ROW('حجز الإجازات'!$B$5:$B$104)))-5+1))</f>
        <v/>
      </c>
      <c r="KM11" s="62">
        <f>IF(SUMPRODUCT(('حجز الإجازات'!$B$5:$B$104='الموظفون'!$B$9)*('حجز الإجازات'!$D$5:$D$104&lt;=KM$3)*(('حجز الإجازات'!$E$5:$E$104)&gt;=KM$3)*('حجز الإجازات'!$G$5:$G$104="معتمد")*ROW('حجز الإجازات'!$B$5:$B$104))=0,IF(KM$3&lt;'الموظفون'!$D$9,"",IF(ISNUMBER(MATCH(KM$3,Holidays,0)),"عطلة",IF(MOD(KM$3-'الموظفون'!$D$9,CycleWork+CycleRest)&lt;CycleWork,INDEX('الإعدادات والقوائم'!$H$2:$H$4,MOD(INT(MOD(KM$3-'الموظفون'!$D$9,CycleWork+CycleRest)*3/CycleWork)+MATCH(StartShift,'الإعدادات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الإجازات'!$D$5:$D$104&lt;=KM$3)*(('حجز الإجازات'!$E$5:$E$104)&gt;=KM$3)*('حجز الإجازات'!$G$5:$G$104="معتمد")*ROW('حجز الإجازات'!$B$5:$B$104)))-5+1))</f>
        <v/>
      </c>
      <c r="KN11" s="62">
        <f>IF(SUMPRODUCT(('حجز الإجازات'!$B$5:$B$104='الموظفون'!$B$9)*('حجز الإجازات'!$D$5:$D$104&lt;=KN$3)*(('حجز الإجازات'!$E$5:$E$104)&gt;=KN$3)*('حجز الإجازات'!$G$5:$G$104="معتمد")*ROW('حجز الإجازات'!$B$5:$B$104))=0,IF(KN$3&lt;'الموظفون'!$D$9,"",IF(ISNUMBER(MATCH(KN$3,Holidays,0)),"عطلة",IF(MOD(KN$3-'الموظفون'!$D$9,CycleWork+CycleRest)&lt;CycleWork,INDEX('الإعدادات والقوائم'!$H$2:$H$4,MOD(INT(MOD(KN$3-'الموظفون'!$D$9,CycleWork+CycleRest)*3/CycleWork)+MATCH(StartShift,'الإعدادات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الإجازات'!$D$5:$D$104&lt;=KN$3)*(('حجز الإجازات'!$E$5:$E$104)&gt;=KN$3)*('حجز الإجازات'!$G$5:$G$104="معتمد")*ROW('حجز الإجازات'!$B$5:$B$104)))-5+1))</f>
        <v/>
      </c>
      <c r="KO11" s="62">
        <f>IF(SUMPRODUCT(('حجز الإجازات'!$B$5:$B$104='الموظفون'!$B$9)*('حجز الإجازات'!$D$5:$D$104&lt;=KO$3)*(('حجز الإجازات'!$E$5:$E$104)&gt;=KO$3)*('حجز الإجازات'!$G$5:$G$104="معتمد")*ROW('حجز الإجازات'!$B$5:$B$104))=0,IF(KO$3&lt;'الموظفون'!$D$9,"",IF(ISNUMBER(MATCH(KO$3,Holidays,0)),"عطلة",IF(MOD(KO$3-'الموظفون'!$D$9,CycleWork+CycleRest)&lt;CycleWork,INDEX('الإعدادات والقوائم'!$H$2:$H$4,MOD(INT(MOD(KO$3-'الموظفون'!$D$9,CycleWork+CycleRest)*3/CycleWork)+MATCH(StartShift,'الإعدادات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الإجازات'!$D$5:$D$104&lt;=KO$3)*(('حجز الإجازات'!$E$5:$E$104)&gt;=KO$3)*('حجز الإجازات'!$G$5:$G$104="معتمد")*ROW('حجز الإجازات'!$B$5:$B$104)))-5+1))</f>
        <v/>
      </c>
      <c r="KP11" s="62">
        <f>IF(SUMPRODUCT(('حجز الإجازات'!$B$5:$B$104='الموظفون'!$B$9)*('حجز الإجازات'!$D$5:$D$104&lt;=KP$3)*(('حجز الإجازات'!$E$5:$E$104)&gt;=KP$3)*('حجز الإجازات'!$G$5:$G$104="معتمد")*ROW('حجز الإجازات'!$B$5:$B$104))=0,IF(KP$3&lt;'الموظفون'!$D$9,"",IF(ISNUMBER(MATCH(KP$3,Holidays,0)),"عطلة",IF(MOD(KP$3-'الموظفون'!$D$9,CycleWork+CycleRest)&lt;CycleWork,INDEX('الإعدادات والقوائم'!$H$2:$H$4,MOD(INT(MOD(KP$3-'الموظفون'!$D$9,CycleWork+CycleRest)*3/CycleWork)+MATCH(StartShift,'الإعدادات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الإجازات'!$D$5:$D$104&lt;=KP$3)*(('حجز الإجازات'!$E$5:$E$104)&gt;=KP$3)*('حجز الإجازات'!$G$5:$G$104="معتمد")*ROW('حجز الإجازات'!$B$5:$B$104)))-5+1))</f>
        <v/>
      </c>
      <c r="KQ11" s="62">
        <f>IF(SUMPRODUCT(('حجز الإجازات'!$B$5:$B$104='الموظفون'!$B$9)*('حجز الإجازات'!$D$5:$D$104&lt;=KQ$3)*(('حجز الإجازات'!$E$5:$E$104)&gt;=KQ$3)*('حجز الإجازات'!$G$5:$G$104="معتمد")*ROW('حجز الإجازات'!$B$5:$B$104))=0,IF(KQ$3&lt;'الموظفون'!$D$9,"",IF(ISNUMBER(MATCH(KQ$3,Holidays,0)),"عطلة",IF(MOD(KQ$3-'الموظفون'!$D$9,CycleWork+CycleRest)&lt;CycleWork,INDEX('الإعدادات والقوائم'!$H$2:$H$4,MOD(INT(MOD(KQ$3-'الموظفون'!$D$9,CycleWork+CycleRest)*3/CycleWork)+MATCH(StartShift,'الإعدادات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الإجازات'!$D$5:$D$104&lt;=KQ$3)*(('حجز الإجازات'!$E$5:$E$104)&gt;=KQ$3)*('حجز الإجازات'!$G$5:$G$104="معتمد")*ROW('حجز الإجازات'!$B$5:$B$104)))-5+1))</f>
        <v/>
      </c>
      <c r="KR11" s="62">
        <f>IF(SUMPRODUCT(('حجز الإجازات'!$B$5:$B$104='الموظفون'!$B$9)*('حجز الإجازات'!$D$5:$D$104&lt;=KR$3)*(('حجز الإجازات'!$E$5:$E$104)&gt;=KR$3)*('حجز الإجازات'!$G$5:$G$104="معتمد")*ROW('حجز الإجازات'!$B$5:$B$104))=0,IF(KR$3&lt;'الموظفون'!$D$9,"",IF(ISNUMBER(MATCH(KR$3,Holidays,0)),"عطلة",IF(MOD(KR$3-'الموظفون'!$D$9,CycleWork+CycleRest)&lt;CycleWork,INDEX('الإعدادات والقوائم'!$H$2:$H$4,MOD(INT(MOD(KR$3-'الموظفون'!$D$9,CycleWork+CycleRest)*3/CycleWork)+MATCH(StartShift,'الإعدادات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الإجازات'!$D$5:$D$104&lt;=KR$3)*(('حجز الإجازات'!$E$5:$E$104)&gt;=KR$3)*('حجز الإجازات'!$G$5:$G$104="معتمد")*ROW('حجز الإجازات'!$B$5:$B$104)))-5+1))</f>
        <v/>
      </c>
      <c r="KS11" s="62">
        <f>IF(SUMPRODUCT(('حجز الإجازات'!$B$5:$B$104='الموظفون'!$B$9)*('حجز الإجازات'!$D$5:$D$104&lt;=KS$3)*(('حجز الإجازات'!$E$5:$E$104)&gt;=KS$3)*('حجز الإجازات'!$G$5:$G$104="معتمد")*ROW('حجز الإجازات'!$B$5:$B$104))=0,IF(KS$3&lt;'الموظفون'!$D$9,"",IF(ISNUMBER(MATCH(KS$3,Holidays,0)),"عطلة",IF(MOD(KS$3-'الموظفون'!$D$9,CycleWork+CycleRest)&lt;CycleWork,INDEX('الإعدادات والقوائم'!$H$2:$H$4,MOD(INT(MOD(KS$3-'الموظفون'!$D$9,CycleWork+CycleRest)*3/CycleWork)+MATCH(StartShift,'الإعدادات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الإجازات'!$D$5:$D$104&lt;=KS$3)*(('حجز الإجازات'!$E$5:$E$104)&gt;=KS$3)*('حجز الإجازات'!$G$5:$G$104="معتمد")*ROW('حجز الإجازات'!$B$5:$B$104)))-5+1))</f>
        <v/>
      </c>
      <c r="KT11" s="62">
        <f>IF(SUMPRODUCT(('حجز الإجازات'!$B$5:$B$104='الموظفون'!$B$9)*('حجز الإجازات'!$D$5:$D$104&lt;=KT$3)*(('حجز الإجازات'!$E$5:$E$104)&gt;=KT$3)*('حجز الإجازات'!$G$5:$G$104="معتمد")*ROW('حجز الإجازات'!$B$5:$B$104))=0,IF(KT$3&lt;'الموظفون'!$D$9,"",IF(ISNUMBER(MATCH(KT$3,Holidays,0)),"عطلة",IF(MOD(KT$3-'الموظفون'!$D$9,CycleWork+CycleRest)&lt;CycleWork,INDEX('الإعدادات والقوائم'!$H$2:$H$4,MOD(INT(MOD(KT$3-'الموظفون'!$D$9,CycleWork+CycleRest)*3/CycleWork)+MATCH(StartShift,'الإعدادات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الإجازات'!$D$5:$D$104&lt;=KT$3)*(('حجز الإجازات'!$E$5:$E$104)&gt;=KT$3)*('حجز الإجازات'!$G$5:$G$104="معتمد")*ROW('حجز الإجازات'!$B$5:$B$104)))-5+1))</f>
        <v/>
      </c>
      <c r="KU11" s="62">
        <f>IF(SUMPRODUCT(('حجز الإجازات'!$B$5:$B$104='الموظفون'!$B$9)*('حجز الإجازات'!$D$5:$D$104&lt;=KU$3)*(('حجز الإجازات'!$E$5:$E$104)&gt;=KU$3)*('حجز الإجازات'!$G$5:$G$104="معتمد")*ROW('حجز الإجازات'!$B$5:$B$104))=0,IF(KU$3&lt;'الموظفون'!$D$9,"",IF(ISNUMBER(MATCH(KU$3,Holidays,0)),"عطلة",IF(MOD(KU$3-'الموظفون'!$D$9,CycleWork+CycleRest)&lt;CycleWork,INDEX('الإعدادات والقوائم'!$H$2:$H$4,MOD(INT(MOD(KU$3-'الموظفون'!$D$9,CycleWork+CycleRest)*3/CycleWork)+MATCH(StartShift,'الإعدادات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الإجازات'!$D$5:$D$104&lt;=KU$3)*(('حجز الإجازات'!$E$5:$E$104)&gt;=KU$3)*('حجز الإجازات'!$G$5:$G$104="معتمد")*ROW('حجز الإجازات'!$B$5:$B$104)))-5+1))</f>
        <v/>
      </c>
      <c r="KV11" s="62">
        <f>IF(SUMPRODUCT(('حجز الإجازات'!$B$5:$B$104='الموظفون'!$B$9)*('حجز الإجازات'!$D$5:$D$104&lt;=KV$3)*(('حجز الإجازات'!$E$5:$E$104)&gt;=KV$3)*('حجز الإجازات'!$G$5:$G$104="معتمد")*ROW('حجز الإجازات'!$B$5:$B$104))=0,IF(KV$3&lt;'الموظفون'!$D$9,"",IF(ISNUMBER(MATCH(KV$3,Holidays,0)),"عطلة",IF(MOD(KV$3-'الموظفون'!$D$9,CycleWork+CycleRest)&lt;CycleWork,INDEX('الإعدادات والقوائم'!$H$2:$H$4,MOD(INT(MOD(KV$3-'الموظفون'!$D$9,CycleWork+CycleRest)*3/CycleWork)+MATCH(StartShift,'الإعدادات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الإجازات'!$D$5:$D$104&lt;=KV$3)*(('حجز الإجازات'!$E$5:$E$104)&gt;=KV$3)*('حجز الإجازات'!$G$5:$G$104="معتمد")*ROW('حجز الإجازات'!$B$5:$B$104)))-5+1))</f>
        <v/>
      </c>
      <c r="KW11" s="62">
        <f>IF(SUMPRODUCT(('حجز الإجازات'!$B$5:$B$104='الموظفون'!$B$9)*('حجز الإجازات'!$D$5:$D$104&lt;=KW$3)*(('حجز الإجازات'!$E$5:$E$104)&gt;=KW$3)*('حجز الإجازات'!$G$5:$G$104="معتمد")*ROW('حجز الإجازات'!$B$5:$B$104))=0,IF(KW$3&lt;'الموظفون'!$D$9,"",IF(ISNUMBER(MATCH(KW$3,Holidays,0)),"عطلة",IF(MOD(KW$3-'الموظفون'!$D$9,CycleWork+CycleRest)&lt;CycleWork,INDEX('الإعدادات والقوائم'!$H$2:$H$4,MOD(INT(MOD(KW$3-'الموظفون'!$D$9,CycleWork+CycleRest)*3/CycleWork)+MATCH(StartShift,'الإعدادات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الإجازات'!$D$5:$D$104&lt;=KW$3)*(('حجز الإجازات'!$E$5:$E$104)&gt;=KW$3)*('حجز الإجازات'!$G$5:$G$104="معتمد")*ROW('حجز الإجازات'!$B$5:$B$104)))-5+1))</f>
        <v/>
      </c>
      <c r="KX11" s="62">
        <f>IF(SUMPRODUCT(('حجز الإجازات'!$B$5:$B$104='الموظفون'!$B$9)*('حجز الإجازات'!$D$5:$D$104&lt;=KX$3)*(('حجز الإجازات'!$E$5:$E$104)&gt;=KX$3)*('حجز الإجازات'!$G$5:$G$104="معتمد")*ROW('حجز الإجازات'!$B$5:$B$104))=0,IF(KX$3&lt;'الموظفون'!$D$9,"",IF(ISNUMBER(MATCH(KX$3,Holidays,0)),"عطلة",IF(MOD(KX$3-'الموظفون'!$D$9,CycleWork+CycleRest)&lt;CycleWork,INDEX('الإعدادات والقوائم'!$H$2:$H$4,MOD(INT(MOD(KX$3-'الموظفون'!$D$9,CycleWork+CycleRest)*3/CycleWork)+MATCH(StartShift,'الإعدادات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الإجازات'!$D$5:$D$104&lt;=KX$3)*(('حجز الإجازات'!$E$5:$E$104)&gt;=KX$3)*('حجز الإجازات'!$G$5:$G$104="معتمد")*ROW('حجز الإجازات'!$B$5:$B$104)))-5+1))</f>
        <v/>
      </c>
      <c r="KY11" s="62">
        <f>IF(SUMPRODUCT(('حجز الإجازات'!$B$5:$B$104='الموظفون'!$B$9)*('حجز الإجازات'!$D$5:$D$104&lt;=KY$3)*(('حجز الإجازات'!$E$5:$E$104)&gt;=KY$3)*('حجز الإجازات'!$G$5:$G$104="معتمد")*ROW('حجز الإجازات'!$B$5:$B$104))=0,IF(KY$3&lt;'الموظفون'!$D$9,"",IF(ISNUMBER(MATCH(KY$3,Holidays,0)),"عطلة",IF(MOD(KY$3-'الموظفون'!$D$9,CycleWork+CycleRest)&lt;CycleWork,INDEX('الإعدادات والقوائم'!$H$2:$H$4,MOD(INT(MOD(KY$3-'الموظفون'!$D$9,CycleWork+CycleRest)*3/CycleWork)+MATCH(StartShift,'الإعدادات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الإجازات'!$D$5:$D$104&lt;=KY$3)*(('حجز الإجازات'!$E$5:$E$104)&gt;=KY$3)*('حجز الإجازات'!$G$5:$G$104="معتمد")*ROW('حجز الإجازات'!$B$5:$B$104)))-5+1))</f>
        <v/>
      </c>
      <c r="KZ11" s="62">
        <f>IF(SUMPRODUCT(('حجز الإجازات'!$B$5:$B$104='الموظفون'!$B$9)*('حجز الإجازات'!$D$5:$D$104&lt;=KZ$3)*(('حجز الإجازات'!$E$5:$E$104)&gt;=KZ$3)*('حجز الإجازات'!$G$5:$G$104="معتمد")*ROW('حجز الإجازات'!$B$5:$B$104))=0,IF(KZ$3&lt;'الموظفون'!$D$9,"",IF(ISNUMBER(MATCH(KZ$3,Holidays,0)),"عطلة",IF(MOD(KZ$3-'الموظفون'!$D$9,CycleWork+CycleRest)&lt;CycleWork,INDEX('الإعدادات والقوائم'!$H$2:$H$4,MOD(INT(MOD(KZ$3-'الموظفون'!$D$9,CycleWork+CycleRest)*3/CycleWork)+MATCH(StartShift,'الإعدادات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الإجازات'!$D$5:$D$104&lt;=KZ$3)*(('حجز الإجازات'!$E$5:$E$104)&gt;=KZ$3)*('حجز الإجازات'!$G$5:$G$104="معتمد")*ROW('حجز الإجازات'!$B$5:$B$104)))-5+1))</f>
        <v/>
      </c>
      <c r="LA11" s="62">
        <f>IF(SUMPRODUCT(('حجز الإجازات'!$B$5:$B$104='الموظفون'!$B$9)*('حجز الإجازات'!$D$5:$D$104&lt;=LA$3)*(('حجز الإجازات'!$E$5:$E$104)&gt;=LA$3)*('حجز الإجازات'!$G$5:$G$104="معتمد")*ROW('حجز الإجازات'!$B$5:$B$104))=0,IF(LA$3&lt;'الموظفون'!$D$9,"",IF(ISNUMBER(MATCH(LA$3,Holidays,0)),"عطلة",IF(MOD(LA$3-'الموظفون'!$D$9,CycleWork+CycleRest)&lt;CycleWork,INDEX('الإعدادات والقوائم'!$H$2:$H$4,MOD(INT(MOD(LA$3-'الموظفون'!$D$9,CycleWork+CycleRest)*3/CycleWork)+MATCH(StartShift,'الإعدادات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الإجازات'!$D$5:$D$104&lt;=LA$3)*(('حجز الإجازات'!$E$5:$E$104)&gt;=LA$3)*('حجز الإجازات'!$G$5:$G$104="معتمد")*ROW('حجز الإجازات'!$B$5:$B$104)))-5+1))</f>
        <v/>
      </c>
      <c r="LB11" s="62">
        <f>IF(SUMPRODUCT(('حجز الإجازات'!$B$5:$B$104='الموظفون'!$B$9)*('حجز الإجازات'!$D$5:$D$104&lt;=LB$3)*(('حجز الإجازات'!$E$5:$E$104)&gt;=LB$3)*('حجز الإجازات'!$G$5:$G$104="معتمد")*ROW('حجز الإجازات'!$B$5:$B$104))=0,IF(LB$3&lt;'الموظفون'!$D$9,"",IF(ISNUMBER(MATCH(LB$3,Holidays,0)),"عطلة",IF(MOD(LB$3-'الموظفون'!$D$9,CycleWork+CycleRest)&lt;CycleWork,INDEX('الإعدادات والقوائم'!$H$2:$H$4,MOD(INT(MOD(LB$3-'الموظفون'!$D$9,CycleWork+CycleRest)*3/CycleWork)+MATCH(StartShift,'الإعدادات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الإجازات'!$D$5:$D$104&lt;=LB$3)*(('حجز الإجازات'!$E$5:$E$104)&gt;=LB$3)*('حجز الإجازات'!$G$5:$G$104="معتمد")*ROW('حجز الإجازات'!$B$5:$B$104)))-5+1))</f>
        <v/>
      </c>
      <c r="LC11" s="62">
        <f>IF(SUMPRODUCT(('حجز الإجازات'!$B$5:$B$104='الموظفون'!$B$9)*('حجز الإجازات'!$D$5:$D$104&lt;=LC$3)*(('حجز الإجازات'!$E$5:$E$104)&gt;=LC$3)*('حجز الإجازات'!$G$5:$G$104="معتمد")*ROW('حجز الإجازات'!$B$5:$B$104))=0,IF(LC$3&lt;'الموظفون'!$D$9,"",IF(ISNUMBER(MATCH(LC$3,Holidays,0)),"عطلة",IF(MOD(LC$3-'الموظفون'!$D$9,CycleWork+CycleRest)&lt;CycleWork,INDEX('الإعدادات والقوائم'!$H$2:$H$4,MOD(INT(MOD(LC$3-'الموظفون'!$D$9,CycleWork+CycleRest)*3/CycleWork)+MATCH(StartShift,'الإعدادات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الإجازات'!$D$5:$D$104&lt;=LC$3)*(('حجز الإجازات'!$E$5:$E$104)&gt;=LC$3)*('حجز الإجازات'!$G$5:$G$104="معتمد")*ROW('حجز الإجازات'!$B$5:$B$104)))-5+1))</f>
        <v/>
      </c>
      <c r="LD11" s="62">
        <f>IF(SUMPRODUCT(('حجز الإجازات'!$B$5:$B$104='الموظفون'!$B$9)*('حجز الإجازات'!$D$5:$D$104&lt;=LD$3)*(('حجز الإجازات'!$E$5:$E$104)&gt;=LD$3)*('حجز الإجازات'!$G$5:$G$104="معتمد")*ROW('حجز الإجازات'!$B$5:$B$104))=0,IF(LD$3&lt;'الموظفون'!$D$9,"",IF(ISNUMBER(MATCH(LD$3,Holidays,0)),"عطلة",IF(MOD(LD$3-'الموظفون'!$D$9,CycleWork+CycleRest)&lt;CycleWork,INDEX('الإعدادات والقوائم'!$H$2:$H$4,MOD(INT(MOD(LD$3-'الموظفون'!$D$9,CycleWork+CycleRest)*3/CycleWork)+MATCH(StartShift,'الإعدادات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الإجازات'!$D$5:$D$104&lt;=LD$3)*(('حجز الإجازات'!$E$5:$E$104)&gt;=LD$3)*('حجز الإجازات'!$G$5:$G$104="معتمد")*ROW('حجز الإجازات'!$B$5:$B$104)))-5+1))</f>
        <v/>
      </c>
      <c r="LE11" s="62">
        <f>IF(SUMPRODUCT(('حجز الإجازات'!$B$5:$B$104='الموظفون'!$B$9)*('حجز الإجازات'!$D$5:$D$104&lt;=LE$3)*(('حجز الإجازات'!$E$5:$E$104)&gt;=LE$3)*('حجز الإجازات'!$G$5:$G$104="معتمد")*ROW('حجز الإجازات'!$B$5:$B$104))=0,IF(LE$3&lt;'الموظفون'!$D$9,"",IF(ISNUMBER(MATCH(LE$3,Holidays,0)),"عطلة",IF(MOD(LE$3-'الموظفون'!$D$9,CycleWork+CycleRest)&lt;CycleWork,INDEX('الإعدادات والقوائم'!$H$2:$H$4,MOD(INT(MOD(LE$3-'الموظفون'!$D$9,CycleWork+CycleRest)*3/CycleWork)+MATCH(StartShift,'الإعدادات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الإجازات'!$D$5:$D$104&lt;=LE$3)*(('حجز الإجازات'!$E$5:$E$104)&gt;=LE$3)*('حجز الإجازات'!$G$5:$G$104="معتمد")*ROW('حجز الإجازات'!$B$5:$B$104)))-5+1))</f>
        <v/>
      </c>
      <c r="LF11" s="62">
        <f>IF(SUMPRODUCT(('حجز الإجازات'!$B$5:$B$104='الموظفون'!$B$9)*('حجز الإجازات'!$D$5:$D$104&lt;=LF$3)*(('حجز الإجازات'!$E$5:$E$104)&gt;=LF$3)*('حجز الإجازات'!$G$5:$G$104="معتمد")*ROW('حجز الإجازات'!$B$5:$B$104))=0,IF(LF$3&lt;'الموظفون'!$D$9,"",IF(ISNUMBER(MATCH(LF$3,Holidays,0)),"عطلة",IF(MOD(LF$3-'الموظفون'!$D$9,CycleWork+CycleRest)&lt;CycleWork,INDEX('الإعدادات والقوائم'!$H$2:$H$4,MOD(INT(MOD(LF$3-'الموظفون'!$D$9,CycleWork+CycleRest)*3/CycleWork)+MATCH(StartShift,'الإعدادات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الإجازات'!$D$5:$D$104&lt;=LF$3)*(('حجز الإجازات'!$E$5:$E$104)&gt;=LF$3)*('حجز الإجازات'!$G$5:$G$104="معتمد")*ROW('حجز الإجازات'!$B$5:$B$104)))-5+1))</f>
        <v/>
      </c>
      <c r="LG11" s="62">
        <f>IF(SUMPRODUCT(('حجز الإجازات'!$B$5:$B$104='الموظفون'!$B$9)*('حجز الإجازات'!$D$5:$D$104&lt;=LG$3)*(('حجز الإجازات'!$E$5:$E$104)&gt;=LG$3)*('حجز الإجازات'!$G$5:$G$104="معتمد")*ROW('حجز الإجازات'!$B$5:$B$104))=0,IF(LG$3&lt;'الموظفون'!$D$9,"",IF(ISNUMBER(MATCH(LG$3,Holidays,0)),"عطلة",IF(MOD(LG$3-'الموظفون'!$D$9,CycleWork+CycleRest)&lt;CycleWork,INDEX('الإعدادات والقوائم'!$H$2:$H$4,MOD(INT(MOD(LG$3-'الموظفون'!$D$9,CycleWork+CycleRest)*3/CycleWork)+MATCH(StartShift,'الإعدادات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الإجازات'!$D$5:$D$104&lt;=LG$3)*(('حجز الإجازات'!$E$5:$E$104)&gt;=LG$3)*('حجز الإجازات'!$G$5:$G$104="معتمد")*ROW('حجز الإجازات'!$B$5:$B$104)))-5+1))</f>
        <v/>
      </c>
      <c r="LH11" s="62">
        <f>IF(SUMPRODUCT(('حجز الإجازات'!$B$5:$B$104='الموظفون'!$B$9)*('حجز الإجازات'!$D$5:$D$104&lt;=LH$3)*(('حجز الإجازات'!$E$5:$E$104)&gt;=LH$3)*('حجز الإجازات'!$G$5:$G$104="معتمد")*ROW('حجز الإجازات'!$B$5:$B$104))=0,IF(LH$3&lt;'الموظفون'!$D$9,"",IF(ISNUMBER(MATCH(LH$3,Holidays,0)),"عطلة",IF(MOD(LH$3-'الموظفون'!$D$9,CycleWork+CycleRest)&lt;CycleWork,INDEX('الإعدادات والقوائم'!$H$2:$H$4,MOD(INT(MOD(LH$3-'الموظفون'!$D$9,CycleWork+CycleRest)*3/CycleWork)+MATCH(StartShift,'الإعدادات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الإجازات'!$D$5:$D$104&lt;=LH$3)*(('حجز الإجازات'!$E$5:$E$104)&gt;=LH$3)*('حجز الإجازات'!$G$5:$G$104="معتمد")*ROW('حجز الإجازات'!$B$5:$B$104)))-5+1))</f>
        <v/>
      </c>
      <c r="LI11" s="62">
        <f>IF(SUMPRODUCT(('حجز الإجازات'!$B$5:$B$104='الموظفون'!$B$9)*('حجز الإجازات'!$D$5:$D$104&lt;=LI$3)*(('حجز الإجازات'!$E$5:$E$104)&gt;=LI$3)*('حجز الإجازات'!$G$5:$G$104="معتمد")*ROW('حجز الإجازات'!$B$5:$B$104))=0,IF(LI$3&lt;'الموظفون'!$D$9,"",IF(ISNUMBER(MATCH(LI$3,Holidays,0)),"عطلة",IF(MOD(LI$3-'الموظفون'!$D$9,CycleWork+CycleRest)&lt;CycleWork,INDEX('الإعدادات والقوائم'!$H$2:$H$4,MOD(INT(MOD(LI$3-'الموظفون'!$D$9,CycleWork+CycleRest)*3/CycleWork)+MATCH(StartShift,'الإعدادات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الإجازات'!$D$5:$D$104&lt;=LI$3)*(('حجز الإجازات'!$E$5:$E$104)&gt;=LI$3)*('حجز الإجازات'!$G$5:$G$104="معتمد")*ROW('حجز الإجازات'!$B$5:$B$104)))-5+1))</f>
        <v/>
      </c>
      <c r="LJ11" s="62">
        <f>IF(SUMPRODUCT(('حجز الإجازات'!$B$5:$B$104='الموظفون'!$B$9)*('حجز الإجازات'!$D$5:$D$104&lt;=LJ$3)*(('حجز الإجازات'!$E$5:$E$104)&gt;=LJ$3)*('حجز الإجازات'!$G$5:$G$104="معتمد")*ROW('حجز الإجازات'!$B$5:$B$104))=0,IF(LJ$3&lt;'الموظفون'!$D$9,"",IF(ISNUMBER(MATCH(LJ$3,Holidays,0)),"عطلة",IF(MOD(LJ$3-'الموظفون'!$D$9,CycleWork+CycleRest)&lt;CycleWork,INDEX('الإعدادات والقوائم'!$H$2:$H$4,MOD(INT(MOD(LJ$3-'الموظفون'!$D$9,CycleWork+CycleRest)*3/CycleWork)+MATCH(StartShift,'الإعدادات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الإجازات'!$D$5:$D$104&lt;=LJ$3)*(('حجز الإجازات'!$E$5:$E$104)&gt;=LJ$3)*('حجز الإجازات'!$G$5:$G$104="معتمد")*ROW('حجز الإجازات'!$B$5:$B$104)))-5+1))</f>
        <v/>
      </c>
      <c r="LK11" s="62">
        <f>IF(SUMPRODUCT(('حجز الإجازات'!$B$5:$B$104='الموظفون'!$B$9)*('حجز الإجازات'!$D$5:$D$104&lt;=LK$3)*(('حجز الإجازات'!$E$5:$E$104)&gt;=LK$3)*('حجز الإجازات'!$G$5:$G$104="معتمد")*ROW('حجز الإجازات'!$B$5:$B$104))=0,IF(LK$3&lt;'الموظفون'!$D$9,"",IF(ISNUMBER(MATCH(LK$3,Holidays,0)),"عطلة",IF(MOD(LK$3-'الموظفون'!$D$9,CycleWork+CycleRest)&lt;CycleWork,INDEX('الإعدادات والقوائم'!$H$2:$H$4,MOD(INT(MOD(LK$3-'الموظفون'!$D$9,CycleWork+CycleRest)*3/CycleWork)+MATCH(StartShift,'الإعدادات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الإجازات'!$D$5:$D$104&lt;=LK$3)*(('حجز الإجازات'!$E$5:$E$104)&gt;=LK$3)*('حجز الإجازات'!$G$5:$G$104="معتمد")*ROW('حجز الإجازات'!$B$5:$B$104)))-5+1))</f>
        <v/>
      </c>
      <c r="LL11" s="62">
        <f>IF(SUMPRODUCT(('حجز الإجازات'!$B$5:$B$104='الموظفون'!$B$9)*('حجز الإجازات'!$D$5:$D$104&lt;=LL$3)*(('حجز الإجازات'!$E$5:$E$104)&gt;=LL$3)*('حجز الإجازات'!$G$5:$G$104="معتمد")*ROW('حجز الإجازات'!$B$5:$B$104))=0,IF(LL$3&lt;'الموظفون'!$D$9,"",IF(ISNUMBER(MATCH(LL$3,Holidays,0)),"عطلة",IF(MOD(LL$3-'الموظفون'!$D$9,CycleWork+CycleRest)&lt;CycleWork,INDEX('الإعدادات والقوائم'!$H$2:$H$4,MOD(INT(MOD(LL$3-'الموظفون'!$D$9,CycleWork+CycleRest)*3/CycleWork)+MATCH(StartShift,'الإعدادات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الإجازات'!$D$5:$D$104&lt;=LL$3)*(('حجز الإجازات'!$E$5:$E$104)&gt;=LL$3)*('حجز الإجازات'!$G$5:$G$104="معتمد")*ROW('حجز الإجازات'!$B$5:$B$104)))-5+1))</f>
        <v/>
      </c>
      <c r="LM11" s="62">
        <f>IF(SUMPRODUCT(('حجز الإجازات'!$B$5:$B$104='الموظفون'!$B$9)*('حجز الإجازات'!$D$5:$D$104&lt;=LM$3)*(('حجز الإجازات'!$E$5:$E$104)&gt;=LM$3)*('حجز الإجازات'!$G$5:$G$104="معتمد")*ROW('حجز الإجازات'!$B$5:$B$104))=0,IF(LM$3&lt;'الموظفون'!$D$9,"",IF(ISNUMBER(MATCH(LM$3,Holidays,0)),"عطلة",IF(MOD(LM$3-'الموظفون'!$D$9,CycleWork+CycleRest)&lt;CycleWork,INDEX('الإعدادات والقوائم'!$H$2:$H$4,MOD(INT(MOD(LM$3-'الموظفون'!$D$9,CycleWork+CycleRest)*3/CycleWork)+MATCH(StartShift,'الإعدادات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الإجازات'!$D$5:$D$104&lt;=LM$3)*(('حجز الإجازات'!$E$5:$E$104)&gt;=LM$3)*('حجز الإجازات'!$G$5:$G$104="معتمد")*ROW('حجز الإجازات'!$B$5:$B$104)))-5+1))</f>
        <v/>
      </c>
      <c r="LN11" s="62">
        <f>IF(SUMPRODUCT(('حجز الإجازات'!$B$5:$B$104='الموظفون'!$B$9)*('حجز الإجازات'!$D$5:$D$104&lt;=LN$3)*(('حجز الإجازات'!$E$5:$E$104)&gt;=LN$3)*('حجز الإجازات'!$G$5:$G$104="معتمد")*ROW('حجز الإجازات'!$B$5:$B$104))=0,IF(LN$3&lt;'الموظفون'!$D$9,"",IF(ISNUMBER(MATCH(LN$3,Holidays,0)),"عطلة",IF(MOD(LN$3-'الموظفون'!$D$9,CycleWork+CycleRest)&lt;CycleWork,INDEX('الإعدادات والقوائم'!$H$2:$H$4,MOD(INT(MOD(LN$3-'الموظفون'!$D$9,CycleWork+CycleRest)*3/CycleWork)+MATCH(StartShift,'الإعدادات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الإجازات'!$D$5:$D$104&lt;=LN$3)*(('حجز الإجازات'!$E$5:$E$104)&gt;=LN$3)*('حجز الإجازات'!$G$5:$G$104="معتمد")*ROW('حجز الإجازات'!$B$5:$B$104)))-5+1))</f>
        <v/>
      </c>
      <c r="LO11" s="62">
        <f>IF(SUMPRODUCT(('حجز الإجازات'!$B$5:$B$104='الموظفون'!$B$9)*('حجز الإجازات'!$D$5:$D$104&lt;=LO$3)*(('حجز الإجازات'!$E$5:$E$104)&gt;=LO$3)*('حجز الإجازات'!$G$5:$G$104="معتمد")*ROW('حجز الإجازات'!$B$5:$B$104))=0,IF(LO$3&lt;'الموظفون'!$D$9,"",IF(ISNUMBER(MATCH(LO$3,Holidays,0)),"عطلة",IF(MOD(LO$3-'الموظفون'!$D$9,CycleWork+CycleRest)&lt;CycleWork,INDEX('الإعدادات والقوائم'!$H$2:$H$4,MOD(INT(MOD(LO$3-'الموظفون'!$D$9,CycleWork+CycleRest)*3/CycleWork)+MATCH(StartShift,'الإعدادات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الإجازات'!$D$5:$D$104&lt;=LO$3)*(('حجز الإجازات'!$E$5:$E$104)&gt;=LO$3)*('حجز الإجازات'!$G$5:$G$104="معتمد")*ROW('حجز الإجازات'!$B$5:$B$104)))-5+1))</f>
        <v/>
      </c>
      <c r="LP11" s="62">
        <f>IF(SUMPRODUCT(('حجز الإجازات'!$B$5:$B$104='الموظفون'!$B$9)*('حجز الإجازات'!$D$5:$D$104&lt;=LP$3)*(('حجز الإجازات'!$E$5:$E$104)&gt;=LP$3)*('حجز الإجازات'!$G$5:$G$104="معتمد")*ROW('حجز الإجازات'!$B$5:$B$104))=0,IF(LP$3&lt;'الموظفون'!$D$9,"",IF(ISNUMBER(MATCH(LP$3,Holidays,0)),"عطلة",IF(MOD(LP$3-'الموظفون'!$D$9,CycleWork+CycleRest)&lt;CycleWork,INDEX('الإعدادات والقوائم'!$H$2:$H$4,MOD(INT(MOD(LP$3-'الموظفون'!$D$9,CycleWork+CycleRest)*3/CycleWork)+MATCH(StartShift,'الإعدادات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الإجازات'!$D$5:$D$104&lt;=LP$3)*(('حجز الإجازات'!$E$5:$E$104)&gt;=LP$3)*('حجز الإجازات'!$G$5:$G$104="معتمد")*ROW('حجز الإجازات'!$B$5:$B$104)))-5+1))</f>
        <v/>
      </c>
      <c r="LQ11" s="62">
        <f>IF(SUMPRODUCT(('حجز الإجازات'!$B$5:$B$104='الموظفون'!$B$9)*('حجز الإجازات'!$D$5:$D$104&lt;=LQ$3)*(('حجز الإجازات'!$E$5:$E$104)&gt;=LQ$3)*('حجز الإجازات'!$G$5:$G$104="معتمد")*ROW('حجز الإجازات'!$B$5:$B$104))=0,IF(LQ$3&lt;'الموظفون'!$D$9,"",IF(ISNUMBER(MATCH(LQ$3,Holidays,0)),"عطلة",IF(MOD(LQ$3-'الموظفون'!$D$9,CycleWork+CycleRest)&lt;CycleWork,INDEX('الإعدادات والقوائم'!$H$2:$H$4,MOD(INT(MOD(LQ$3-'الموظفون'!$D$9,CycleWork+CycleRest)*3/CycleWork)+MATCH(StartShift,'الإعدادات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الإجازات'!$D$5:$D$104&lt;=LQ$3)*(('حجز الإجازات'!$E$5:$E$104)&gt;=LQ$3)*('حجز الإجازات'!$G$5:$G$104="معتمد")*ROW('حجز الإجازات'!$B$5:$B$104)))-5+1))</f>
        <v/>
      </c>
      <c r="LR11" s="62">
        <f>IF(SUMPRODUCT(('حجز الإجازات'!$B$5:$B$104='الموظفون'!$B$9)*('حجز الإجازات'!$D$5:$D$104&lt;=LR$3)*(('حجز الإجازات'!$E$5:$E$104)&gt;=LR$3)*('حجز الإجازات'!$G$5:$G$104="معتمد")*ROW('حجز الإجازات'!$B$5:$B$104))=0,IF(LR$3&lt;'الموظفون'!$D$9,"",IF(ISNUMBER(MATCH(LR$3,Holidays,0)),"عطلة",IF(MOD(LR$3-'الموظفون'!$D$9,CycleWork+CycleRest)&lt;CycleWork,INDEX('الإعدادات والقوائم'!$H$2:$H$4,MOD(INT(MOD(LR$3-'الموظفون'!$D$9,CycleWork+CycleRest)*3/CycleWork)+MATCH(StartShift,'الإعدادات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الإجازات'!$D$5:$D$104&lt;=LR$3)*(('حجز الإجازات'!$E$5:$E$104)&gt;=LR$3)*('حجز الإجازات'!$G$5:$G$104="معتمد")*ROW('حجز الإجازات'!$B$5:$B$104)))-5+1))</f>
        <v/>
      </c>
      <c r="LS11" s="62">
        <f>IF(SUMPRODUCT(('حجز الإجازات'!$B$5:$B$104='الموظفون'!$B$9)*('حجز الإجازات'!$D$5:$D$104&lt;=LS$3)*(('حجز الإجازات'!$E$5:$E$104)&gt;=LS$3)*('حجز الإجازات'!$G$5:$G$104="معتمد")*ROW('حجز الإجازات'!$B$5:$B$104))=0,IF(LS$3&lt;'الموظفون'!$D$9,"",IF(ISNUMBER(MATCH(LS$3,Holidays,0)),"عطلة",IF(MOD(LS$3-'الموظفون'!$D$9,CycleWork+CycleRest)&lt;CycleWork,INDEX('الإعدادات والقوائم'!$H$2:$H$4,MOD(INT(MOD(LS$3-'الموظفون'!$D$9,CycleWork+CycleRest)*3/CycleWork)+MATCH(StartShift,'الإعدادات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الإجازات'!$D$5:$D$104&lt;=LS$3)*(('حجز الإجازات'!$E$5:$E$104)&gt;=LS$3)*('حجز الإجازات'!$G$5:$G$104="معتمد")*ROW('حجز الإجازات'!$B$5:$B$104)))-5+1))</f>
        <v/>
      </c>
      <c r="LT11" s="62">
        <f>IF(SUMPRODUCT(('حجز الإجازات'!$B$5:$B$104='الموظفون'!$B$9)*('حجز الإجازات'!$D$5:$D$104&lt;=LT$3)*(('حجز الإجازات'!$E$5:$E$104)&gt;=LT$3)*('حجز الإجازات'!$G$5:$G$104="معتمد")*ROW('حجز الإجازات'!$B$5:$B$104))=0,IF(LT$3&lt;'الموظفون'!$D$9,"",IF(ISNUMBER(MATCH(LT$3,Holidays,0)),"عطلة",IF(MOD(LT$3-'الموظفون'!$D$9,CycleWork+CycleRest)&lt;CycleWork,INDEX('الإعدادات والقوائم'!$H$2:$H$4,MOD(INT(MOD(LT$3-'الموظفون'!$D$9,CycleWork+CycleRest)*3/CycleWork)+MATCH(StartShift,'الإعدادات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الإجازات'!$D$5:$D$104&lt;=LT$3)*(('حجز الإجازات'!$E$5:$E$104)&gt;=LT$3)*('حجز الإجازات'!$G$5:$G$104="معتمد")*ROW('حجز الإجازات'!$B$5:$B$104)))-5+1))</f>
        <v/>
      </c>
      <c r="LU11" s="62">
        <f>IF(SUMPRODUCT(('حجز الإجازات'!$B$5:$B$104='الموظفون'!$B$9)*('حجز الإجازات'!$D$5:$D$104&lt;=LU$3)*(('حجز الإجازات'!$E$5:$E$104)&gt;=LU$3)*('حجز الإجازات'!$G$5:$G$104="معتمد")*ROW('حجز الإجازات'!$B$5:$B$104))=0,IF(LU$3&lt;'الموظفون'!$D$9,"",IF(ISNUMBER(MATCH(LU$3,Holidays,0)),"عطلة",IF(MOD(LU$3-'الموظفون'!$D$9,CycleWork+CycleRest)&lt;CycleWork,INDEX('الإعدادات والقوائم'!$H$2:$H$4,MOD(INT(MOD(LU$3-'الموظفون'!$D$9,CycleWork+CycleRest)*3/CycleWork)+MATCH(StartShift,'الإعدادات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الإجازات'!$D$5:$D$104&lt;=LU$3)*(('حجز الإجازات'!$E$5:$E$104)&gt;=LU$3)*('حجز الإجازات'!$G$5:$G$104="معتمد")*ROW('حجز الإجازات'!$B$5:$B$104)))-5+1))</f>
        <v/>
      </c>
      <c r="LV11" s="62">
        <f>IF(SUMPRODUCT(('حجز الإجازات'!$B$5:$B$104='الموظفون'!$B$9)*('حجز الإجازات'!$D$5:$D$104&lt;=LV$3)*(('حجز الإجازات'!$E$5:$E$104)&gt;=LV$3)*('حجز الإجازات'!$G$5:$G$104="معتمد")*ROW('حجز الإجازات'!$B$5:$B$104))=0,IF(LV$3&lt;'الموظفون'!$D$9,"",IF(ISNUMBER(MATCH(LV$3,Holidays,0)),"عطلة",IF(MOD(LV$3-'الموظفون'!$D$9,CycleWork+CycleRest)&lt;CycleWork,INDEX('الإعدادات والقوائم'!$H$2:$H$4,MOD(INT(MOD(LV$3-'الموظفون'!$D$9,CycleWork+CycleRest)*3/CycleWork)+MATCH(StartShift,'الإعدادات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الإجازات'!$D$5:$D$104&lt;=LV$3)*(('حجز الإجازات'!$E$5:$E$104)&gt;=LV$3)*('حجز الإجازات'!$G$5:$G$104="معتمد")*ROW('حجز الإجازات'!$B$5:$B$104)))-5+1))</f>
        <v/>
      </c>
      <c r="LW11" s="62">
        <f>IF(SUMPRODUCT(('حجز الإجازات'!$B$5:$B$104='الموظفون'!$B$9)*('حجز الإجازات'!$D$5:$D$104&lt;=LW$3)*(('حجز الإجازات'!$E$5:$E$104)&gt;=LW$3)*('حجز الإجازات'!$G$5:$G$104="معتمد")*ROW('حجز الإجازات'!$B$5:$B$104))=0,IF(LW$3&lt;'الموظفون'!$D$9,"",IF(ISNUMBER(MATCH(LW$3,Holidays,0)),"عطلة",IF(MOD(LW$3-'الموظفون'!$D$9,CycleWork+CycleRest)&lt;CycleWork,INDEX('الإعدادات والقوائم'!$H$2:$H$4,MOD(INT(MOD(LW$3-'الموظفون'!$D$9,CycleWork+CycleRest)*3/CycleWork)+MATCH(StartShift,'الإعدادات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الإجازات'!$D$5:$D$104&lt;=LW$3)*(('حجز الإجازات'!$E$5:$E$104)&gt;=LW$3)*('حجز الإجازات'!$G$5:$G$104="معتمد")*ROW('حجز الإجازات'!$B$5:$B$104)))-5+1))</f>
        <v/>
      </c>
      <c r="LX11" s="62">
        <f>IF(SUMPRODUCT(('حجز الإجازات'!$B$5:$B$104='الموظفون'!$B$9)*('حجز الإجازات'!$D$5:$D$104&lt;=LX$3)*(('حجز الإجازات'!$E$5:$E$104)&gt;=LX$3)*('حجز الإجازات'!$G$5:$G$104="معتمد")*ROW('حجز الإجازات'!$B$5:$B$104))=0,IF(LX$3&lt;'الموظفون'!$D$9,"",IF(ISNUMBER(MATCH(LX$3,Holidays,0)),"عطلة",IF(MOD(LX$3-'الموظفون'!$D$9,CycleWork+CycleRest)&lt;CycleWork,INDEX('الإعدادات والقوائم'!$H$2:$H$4,MOD(INT(MOD(LX$3-'الموظفون'!$D$9,CycleWork+CycleRest)*3/CycleWork)+MATCH(StartShift,'الإعدادات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الإجازات'!$D$5:$D$104&lt;=LX$3)*(('حجز الإجازات'!$E$5:$E$104)&gt;=LX$3)*('حجز الإجازات'!$G$5:$G$104="معتمد")*ROW('حجز الإجازات'!$B$5:$B$104)))-5+1))</f>
        <v/>
      </c>
      <c r="LY11" s="62">
        <f>IF(SUMPRODUCT(('حجز الإجازات'!$B$5:$B$104='الموظفون'!$B$9)*('حجز الإجازات'!$D$5:$D$104&lt;=LY$3)*(('حجز الإجازات'!$E$5:$E$104)&gt;=LY$3)*('حجز الإجازات'!$G$5:$G$104="معتمد")*ROW('حجز الإجازات'!$B$5:$B$104))=0,IF(LY$3&lt;'الموظفون'!$D$9,"",IF(ISNUMBER(MATCH(LY$3,Holidays,0)),"عطلة",IF(MOD(LY$3-'الموظفون'!$D$9,CycleWork+CycleRest)&lt;CycleWork,INDEX('الإعدادات والقوائم'!$H$2:$H$4,MOD(INT(MOD(LY$3-'الموظفون'!$D$9,CycleWork+CycleRest)*3/CycleWork)+MATCH(StartShift,'الإعدادات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الإجازات'!$D$5:$D$104&lt;=LY$3)*(('حجز الإجازات'!$E$5:$E$104)&gt;=LY$3)*('حجز الإجازات'!$G$5:$G$104="معتمد")*ROW('حجز الإجازات'!$B$5:$B$104)))-5+1))</f>
        <v/>
      </c>
      <c r="LZ11" s="62">
        <f>IF(SUMPRODUCT(('حجز الإجازات'!$B$5:$B$104='الموظفون'!$B$9)*('حجز الإجازات'!$D$5:$D$104&lt;=LZ$3)*(('حجز الإجازات'!$E$5:$E$104)&gt;=LZ$3)*('حجز الإجازات'!$G$5:$G$104="معتمد")*ROW('حجز الإجازات'!$B$5:$B$104))=0,IF(LZ$3&lt;'الموظفون'!$D$9,"",IF(ISNUMBER(MATCH(LZ$3,Holidays,0)),"عطلة",IF(MOD(LZ$3-'الموظفون'!$D$9,CycleWork+CycleRest)&lt;CycleWork,INDEX('الإعدادات والقوائم'!$H$2:$H$4,MOD(INT(MOD(LZ$3-'الموظفون'!$D$9,CycleWork+CycleRest)*3/CycleWork)+MATCH(StartShift,'الإعدادات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الإجازات'!$D$5:$D$104&lt;=LZ$3)*(('حجز الإجازات'!$E$5:$E$104)&gt;=LZ$3)*('حجز الإجازات'!$G$5:$G$104="معتمد")*ROW('حجز الإجازات'!$B$5:$B$104)))-5+1))</f>
        <v/>
      </c>
      <c r="MA11" s="62">
        <f>IF(SUMPRODUCT(('حجز الإجازات'!$B$5:$B$104='الموظفون'!$B$9)*('حجز الإجازات'!$D$5:$D$104&lt;=MA$3)*(('حجز الإجازات'!$E$5:$E$104)&gt;=MA$3)*('حجز الإجازات'!$G$5:$G$104="معتمد")*ROW('حجز الإجازات'!$B$5:$B$104))=0,IF(MA$3&lt;'الموظفون'!$D$9,"",IF(ISNUMBER(MATCH(MA$3,Holidays,0)),"عطلة",IF(MOD(MA$3-'الموظفون'!$D$9,CycleWork+CycleRest)&lt;CycleWork,INDEX('الإعدادات والقوائم'!$H$2:$H$4,MOD(INT(MOD(MA$3-'الموظفون'!$D$9,CycleWork+CycleRest)*3/CycleWork)+MATCH(StartShift,'الإعدادات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الإجازات'!$D$5:$D$104&lt;=MA$3)*(('حجز الإجازات'!$E$5:$E$104)&gt;=MA$3)*('حجز الإجازات'!$G$5:$G$104="معتمد")*ROW('حجز الإجازات'!$B$5:$B$104)))-5+1))</f>
        <v/>
      </c>
      <c r="MB11" s="62">
        <f>IF(SUMPRODUCT(('حجز الإجازات'!$B$5:$B$104='الموظفون'!$B$9)*('حجز الإجازات'!$D$5:$D$104&lt;=MB$3)*(('حجز الإجازات'!$E$5:$E$104)&gt;=MB$3)*('حجز الإجازات'!$G$5:$G$104="معتمد")*ROW('حجز الإجازات'!$B$5:$B$104))=0,IF(MB$3&lt;'الموظفون'!$D$9,"",IF(ISNUMBER(MATCH(MB$3,Holidays,0)),"عطلة",IF(MOD(MB$3-'الموظفون'!$D$9,CycleWork+CycleRest)&lt;CycleWork,INDEX('الإعدادات والقوائم'!$H$2:$H$4,MOD(INT(MOD(MB$3-'الموظفون'!$D$9,CycleWork+CycleRest)*3/CycleWork)+MATCH(StartShift,'الإعدادات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الإجازات'!$D$5:$D$104&lt;=MB$3)*(('حجز الإجازات'!$E$5:$E$104)&gt;=MB$3)*('حجز الإجازات'!$G$5:$G$104="معتمد")*ROW('حجز الإجازات'!$B$5:$B$104)))-5+1))</f>
        <v/>
      </c>
      <c r="MC11" s="62">
        <f>IF(SUMPRODUCT(('حجز الإجازات'!$B$5:$B$104='الموظفون'!$B$9)*('حجز الإجازات'!$D$5:$D$104&lt;=MC$3)*(('حجز الإجازات'!$E$5:$E$104)&gt;=MC$3)*('حجز الإجازات'!$G$5:$G$104="معتمد")*ROW('حجز الإجازات'!$B$5:$B$104))=0,IF(MC$3&lt;'الموظفون'!$D$9,"",IF(ISNUMBER(MATCH(MC$3,Holidays,0)),"عطلة",IF(MOD(MC$3-'الموظفون'!$D$9,CycleWork+CycleRest)&lt;CycleWork,INDEX('الإعدادات والقوائم'!$H$2:$H$4,MOD(INT(MOD(MC$3-'الموظفون'!$D$9,CycleWork+CycleRest)*3/CycleWork)+MATCH(StartShift,'الإعدادات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الإجازات'!$D$5:$D$104&lt;=MC$3)*(('حجز الإجازات'!$E$5:$E$104)&gt;=MC$3)*('حجز الإجازات'!$G$5:$G$104="معتمد")*ROW('حجز الإجازات'!$B$5:$B$104)))-5+1))</f>
        <v/>
      </c>
      <c r="MD11" s="62">
        <f>IF(SUMPRODUCT(('حجز الإجازات'!$B$5:$B$104='الموظفون'!$B$9)*('حجز الإجازات'!$D$5:$D$104&lt;=MD$3)*(('حجز الإجازات'!$E$5:$E$104)&gt;=MD$3)*('حجز الإجازات'!$G$5:$G$104="معتمد")*ROW('حجز الإجازات'!$B$5:$B$104))=0,IF(MD$3&lt;'الموظفون'!$D$9,"",IF(ISNUMBER(MATCH(MD$3,Holidays,0)),"عطلة",IF(MOD(MD$3-'الموظفون'!$D$9,CycleWork+CycleRest)&lt;CycleWork,INDEX('الإعدادات والقوائم'!$H$2:$H$4,MOD(INT(MOD(MD$3-'الموظفون'!$D$9,CycleWork+CycleRest)*3/CycleWork)+MATCH(StartShift,'الإعدادات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الإجازات'!$D$5:$D$104&lt;=MD$3)*(('حجز الإجازات'!$E$5:$E$104)&gt;=MD$3)*('حجز الإجازات'!$G$5:$G$104="معتمد")*ROW('حجز الإجازات'!$B$5:$B$104)))-5+1))</f>
        <v/>
      </c>
      <c r="ME11" s="62">
        <f>IF(SUMPRODUCT(('حجز الإجازات'!$B$5:$B$104='الموظفون'!$B$9)*('حجز الإجازات'!$D$5:$D$104&lt;=ME$3)*(('حجز الإجازات'!$E$5:$E$104)&gt;=ME$3)*('حجز الإجازات'!$G$5:$G$104="معتمد")*ROW('حجز الإجازات'!$B$5:$B$104))=0,IF(ME$3&lt;'الموظفون'!$D$9,"",IF(ISNUMBER(MATCH(ME$3,Holidays,0)),"عطلة",IF(MOD(ME$3-'الموظفون'!$D$9,CycleWork+CycleRest)&lt;CycleWork,INDEX('الإعدادات والقوائم'!$H$2:$H$4,MOD(INT(MOD(ME$3-'الموظفون'!$D$9,CycleWork+CycleRest)*3/CycleWork)+MATCH(StartShift,'الإعدادات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الإجازات'!$D$5:$D$104&lt;=ME$3)*(('حجز الإجازات'!$E$5:$E$104)&gt;=ME$3)*('حجز الإجازات'!$G$5:$G$104="معتمد")*ROW('حجز الإجازات'!$B$5:$B$104)))-5+1))</f>
        <v/>
      </c>
      <c r="MF11" s="62">
        <f>IF(SUMPRODUCT(('حجز الإجازات'!$B$5:$B$104='الموظفون'!$B$9)*('حجز الإجازات'!$D$5:$D$104&lt;=MF$3)*(('حجز الإجازات'!$E$5:$E$104)&gt;=MF$3)*('حجز الإجازات'!$G$5:$G$104="معتمد")*ROW('حجز الإجازات'!$B$5:$B$104))=0,IF(MF$3&lt;'الموظفون'!$D$9,"",IF(ISNUMBER(MATCH(MF$3,Holidays,0)),"عطلة",IF(MOD(MF$3-'الموظفون'!$D$9,CycleWork+CycleRest)&lt;CycleWork,INDEX('الإعدادات والقوائم'!$H$2:$H$4,MOD(INT(MOD(MF$3-'الموظفون'!$D$9,CycleWork+CycleRest)*3/CycleWork)+MATCH(StartShift,'الإعدادات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الإجازات'!$D$5:$D$104&lt;=MF$3)*(('حجز الإجازات'!$E$5:$E$104)&gt;=MF$3)*('حجز الإجازات'!$G$5:$G$104="معتمد")*ROW('حجز الإجازات'!$B$5:$B$104)))-5+1))</f>
        <v/>
      </c>
      <c r="MG11" s="62">
        <f>IF(SUMPRODUCT(('حجز الإجازات'!$B$5:$B$104='الموظفون'!$B$9)*('حجز الإجازات'!$D$5:$D$104&lt;=MG$3)*(('حجز الإجازات'!$E$5:$E$104)&gt;=MG$3)*('حجز الإجازات'!$G$5:$G$104="معتمد")*ROW('حجز الإجازات'!$B$5:$B$104))=0,IF(MG$3&lt;'الموظفون'!$D$9,"",IF(ISNUMBER(MATCH(MG$3,Holidays,0)),"عطلة",IF(MOD(MG$3-'الموظفون'!$D$9,CycleWork+CycleRest)&lt;CycleWork,INDEX('الإعدادات والقوائم'!$H$2:$H$4,MOD(INT(MOD(MG$3-'الموظفون'!$D$9,CycleWork+CycleRest)*3/CycleWork)+MATCH(StartShift,'الإعدادات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الإجازات'!$D$5:$D$104&lt;=MG$3)*(('حجز الإجازات'!$E$5:$E$104)&gt;=MG$3)*('حجز الإجازات'!$G$5:$G$104="معتمد")*ROW('حجز الإجازات'!$B$5:$B$104)))-5+1))</f>
        <v/>
      </c>
      <c r="MH11" s="62">
        <f>IF(SUMPRODUCT(('حجز الإجازات'!$B$5:$B$104='الموظفون'!$B$9)*('حجز الإجازات'!$D$5:$D$104&lt;=MH$3)*(('حجز الإجازات'!$E$5:$E$104)&gt;=MH$3)*('حجز الإجازات'!$G$5:$G$104="معتمد")*ROW('حجز الإجازات'!$B$5:$B$104))=0,IF(MH$3&lt;'الموظفون'!$D$9,"",IF(ISNUMBER(MATCH(MH$3,Holidays,0)),"عطلة",IF(MOD(MH$3-'الموظفون'!$D$9,CycleWork+CycleRest)&lt;CycleWork,INDEX('الإعدادات والقوائم'!$H$2:$H$4,MOD(INT(MOD(MH$3-'الموظفون'!$D$9,CycleWork+CycleRest)*3/CycleWork)+MATCH(StartShift,'الإعدادات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الإجازات'!$D$5:$D$104&lt;=MH$3)*(('حجز الإجازات'!$E$5:$E$104)&gt;=MH$3)*('حجز الإجازات'!$G$5:$G$104="معتمد")*ROW('حجز الإجازات'!$B$5:$B$104)))-5+1))</f>
        <v/>
      </c>
      <c r="MI11" s="62">
        <f>IF(SUMPRODUCT(('حجز الإجازات'!$B$5:$B$104='الموظفون'!$B$9)*('حجز الإجازات'!$D$5:$D$104&lt;=MI$3)*(('حجز الإجازات'!$E$5:$E$104)&gt;=MI$3)*('حجز الإجازات'!$G$5:$G$104="معتمد")*ROW('حجز الإجازات'!$B$5:$B$104))=0,IF(MI$3&lt;'الموظفون'!$D$9,"",IF(ISNUMBER(MATCH(MI$3,Holidays,0)),"عطلة",IF(MOD(MI$3-'الموظفون'!$D$9,CycleWork+CycleRest)&lt;CycleWork,INDEX('الإعدادات والقوائم'!$H$2:$H$4,MOD(INT(MOD(MI$3-'الموظفون'!$D$9,CycleWork+CycleRest)*3/CycleWork)+MATCH(StartShift,'الإعدادات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الإجازات'!$D$5:$D$104&lt;=MI$3)*(('حجز الإجازات'!$E$5:$E$104)&gt;=MI$3)*('حجز الإجازات'!$G$5:$G$104="معتمد")*ROW('حجز الإجازات'!$B$5:$B$104)))-5+1))</f>
        <v/>
      </c>
      <c r="MJ11" s="62">
        <f>IF(SUMPRODUCT(('حجز الإجازات'!$B$5:$B$104='الموظفون'!$B$9)*('حجز الإجازات'!$D$5:$D$104&lt;=MJ$3)*(('حجز الإجازات'!$E$5:$E$104)&gt;=MJ$3)*('حجز الإجازات'!$G$5:$G$104="معتمد")*ROW('حجز الإجازات'!$B$5:$B$104))=0,IF(MJ$3&lt;'الموظفون'!$D$9,"",IF(ISNUMBER(MATCH(MJ$3,Holidays,0)),"عطلة",IF(MOD(MJ$3-'الموظفون'!$D$9,CycleWork+CycleRest)&lt;CycleWork,INDEX('الإعدادات والقوائم'!$H$2:$H$4,MOD(INT(MOD(MJ$3-'الموظفون'!$D$9,CycleWork+CycleRest)*3/CycleWork)+MATCH(StartShift,'الإعدادات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الإجازات'!$D$5:$D$104&lt;=MJ$3)*(('حجز الإجازات'!$E$5:$E$104)&gt;=MJ$3)*('حجز الإجازات'!$G$5:$G$104="معتمد")*ROW('حجز الإجازات'!$B$5:$B$104)))-5+1))</f>
        <v/>
      </c>
      <c r="MK11" s="62">
        <f>IF(SUMPRODUCT(('حجز الإجازات'!$B$5:$B$104='الموظفون'!$B$9)*('حجز الإجازات'!$D$5:$D$104&lt;=MK$3)*(('حجز الإجازات'!$E$5:$E$104)&gt;=MK$3)*('حجز الإجازات'!$G$5:$G$104="معتمد")*ROW('حجز الإجازات'!$B$5:$B$104))=0,IF(MK$3&lt;'الموظفون'!$D$9,"",IF(ISNUMBER(MATCH(MK$3,Holidays,0)),"عطلة",IF(MOD(MK$3-'الموظفون'!$D$9,CycleWork+CycleRest)&lt;CycleWork,INDEX('الإعدادات والقوائم'!$H$2:$H$4,MOD(INT(MOD(MK$3-'الموظفون'!$D$9,CycleWork+CycleRest)*3/CycleWork)+MATCH(StartShift,'الإعدادات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الإجازات'!$D$5:$D$104&lt;=MK$3)*(('حجز الإجازات'!$E$5:$E$104)&gt;=MK$3)*('حجز الإجازات'!$G$5:$G$104="معتمد")*ROW('حجز الإجازات'!$B$5:$B$104)))-5+1))</f>
        <v/>
      </c>
      <c r="ML11" s="62">
        <f>IF(SUMPRODUCT(('حجز الإجازات'!$B$5:$B$104='الموظفون'!$B$9)*('حجز الإجازات'!$D$5:$D$104&lt;=ML$3)*(('حجز الإجازات'!$E$5:$E$104)&gt;=ML$3)*('حجز الإجازات'!$G$5:$G$104="معتمد")*ROW('حجز الإجازات'!$B$5:$B$104))=0,IF(ML$3&lt;'الموظفون'!$D$9,"",IF(ISNUMBER(MATCH(ML$3,Holidays,0)),"عطلة",IF(MOD(ML$3-'الموظفون'!$D$9,CycleWork+CycleRest)&lt;CycleWork,INDEX('الإعدادات والقوائم'!$H$2:$H$4,MOD(INT(MOD(ML$3-'الموظفون'!$D$9,CycleWork+CycleRest)*3/CycleWork)+MATCH(StartShift,'الإعدادات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الإجازات'!$D$5:$D$104&lt;=ML$3)*(('حجز الإجازات'!$E$5:$E$104)&gt;=ML$3)*('حجز الإجازات'!$G$5:$G$104="معتمد")*ROW('حجز الإجازات'!$B$5:$B$104)))-5+1))</f>
        <v/>
      </c>
      <c r="MM11" s="62">
        <f>IF(SUMPRODUCT(('حجز الإجازات'!$B$5:$B$104='الموظفون'!$B$9)*('حجز الإجازات'!$D$5:$D$104&lt;=MM$3)*(('حجز الإجازات'!$E$5:$E$104)&gt;=MM$3)*('حجز الإجازات'!$G$5:$G$104="معتمد")*ROW('حجز الإجازات'!$B$5:$B$104))=0,IF(MM$3&lt;'الموظفون'!$D$9,"",IF(ISNUMBER(MATCH(MM$3,Holidays,0)),"عطلة",IF(MOD(MM$3-'الموظفون'!$D$9,CycleWork+CycleRest)&lt;CycleWork,INDEX('الإعدادات والقوائم'!$H$2:$H$4,MOD(INT(MOD(MM$3-'الموظفون'!$D$9,CycleWork+CycleRest)*3/CycleWork)+MATCH(StartShift,'الإعدادات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الإجازات'!$D$5:$D$104&lt;=MM$3)*(('حجز الإجازات'!$E$5:$E$104)&gt;=MM$3)*('حجز الإجازات'!$G$5:$G$104="معتمد")*ROW('حجز الإجازات'!$B$5:$B$104)))-5+1))</f>
        <v/>
      </c>
      <c r="MN11" s="62">
        <f>IF(SUMPRODUCT(('حجز الإجازات'!$B$5:$B$104='الموظفون'!$B$9)*('حجز الإجازات'!$D$5:$D$104&lt;=MN$3)*(('حجز الإجازات'!$E$5:$E$104)&gt;=MN$3)*('حجز الإجازات'!$G$5:$G$104="معتمد")*ROW('حجز الإجازات'!$B$5:$B$104))=0,IF(MN$3&lt;'الموظفون'!$D$9,"",IF(ISNUMBER(MATCH(MN$3,Holidays,0)),"عطلة",IF(MOD(MN$3-'الموظفون'!$D$9,CycleWork+CycleRest)&lt;CycleWork,INDEX('الإعدادات والقوائم'!$H$2:$H$4,MOD(INT(MOD(MN$3-'الموظفون'!$D$9,CycleWork+CycleRest)*3/CycleWork)+MATCH(StartShift,'الإعدادات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الإجازات'!$D$5:$D$104&lt;=MN$3)*(('حجز الإجازات'!$E$5:$E$104)&gt;=MN$3)*('حجز الإجازات'!$G$5:$G$104="معتمد")*ROW('حجز الإجازات'!$B$5:$B$104)))-5+1))</f>
        <v/>
      </c>
      <c r="MO11" s="62">
        <f>IF(SUMPRODUCT(('حجز الإجازات'!$B$5:$B$104='الموظفون'!$B$9)*('حجز الإجازات'!$D$5:$D$104&lt;=MO$3)*(('حجز الإجازات'!$E$5:$E$104)&gt;=MO$3)*('حجز الإجازات'!$G$5:$G$104="معتمد")*ROW('حجز الإجازات'!$B$5:$B$104))=0,IF(MO$3&lt;'الموظفون'!$D$9,"",IF(ISNUMBER(MATCH(MO$3,Holidays,0)),"عطلة",IF(MOD(MO$3-'الموظفون'!$D$9,CycleWork+CycleRest)&lt;CycleWork,INDEX('الإعدادات والقوائم'!$H$2:$H$4,MOD(INT(MOD(MO$3-'الموظفون'!$D$9,CycleWork+CycleRest)*3/CycleWork)+MATCH(StartShift,'الإعدادات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الإجازات'!$D$5:$D$104&lt;=MO$3)*(('حجز الإجازات'!$E$5:$E$104)&gt;=MO$3)*('حجز الإجازات'!$G$5:$G$104="معتمد")*ROW('حجز الإجازات'!$B$5:$B$104)))-5+1))</f>
        <v/>
      </c>
      <c r="MP11" s="62">
        <f>IF(SUMPRODUCT(('حجز الإجازات'!$B$5:$B$104='الموظفون'!$B$9)*('حجز الإجازات'!$D$5:$D$104&lt;=MP$3)*(('حجز الإجازات'!$E$5:$E$104)&gt;=MP$3)*('حجز الإجازات'!$G$5:$G$104="معتمد")*ROW('حجز الإجازات'!$B$5:$B$104))=0,IF(MP$3&lt;'الموظفون'!$D$9,"",IF(ISNUMBER(MATCH(MP$3,Holidays,0)),"عطلة",IF(MOD(MP$3-'الموظفون'!$D$9,CycleWork+CycleRest)&lt;CycleWork,INDEX('الإعدادات والقوائم'!$H$2:$H$4,MOD(INT(MOD(MP$3-'الموظفون'!$D$9,CycleWork+CycleRest)*3/CycleWork)+MATCH(StartShift,'الإعدادات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الإجازات'!$D$5:$D$104&lt;=MP$3)*(('حجز الإجازات'!$E$5:$E$104)&gt;=MP$3)*('حجز الإجازات'!$G$5:$G$104="معتمد")*ROW('حجز الإجازات'!$B$5:$B$104)))-5+1))</f>
        <v/>
      </c>
      <c r="MQ11" s="62">
        <f>IF(SUMPRODUCT(('حجز الإجازات'!$B$5:$B$104='الموظفون'!$B$9)*('حجز الإجازات'!$D$5:$D$104&lt;=MQ$3)*(('حجز الإجازات'!$E$5:$E$104)&gt;=MQ$3)*('حجز الإجازات'!$G$5:$G$104="معتمد")*ROW('حجز الإجازات'!$B$5:$B$104))=0,IF(MQ$3&lt;'الموظفون'!$D$9,"",IF(ISNUMBER(MATCH(MQ$3,Holidays,0)),"عطلة",IF(MOD(MQ$3-'الموظفون'!$D$9,CycleWork+CycleRest)&lt;CycleWork,INDEX('الإعدادات والقوائم'!$H$2:$H$4,MOD(INT(MOD(MQ$3-'الموظفون'!$D$9,CycleWork+CycleRest)*3/CycleWork)+MATCH(StartShift,'الإعدادات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الإجازات'!$D$5:$D$104&lt;=MQ$3)*(('حجز الإجازات'!$E$5:$E$104)&gt;=MQ$3)*('حجز الإجازات'!$G$5:$G$104="معتمد")*ROW('حجز الإجازات'!$B$5:$B$104)))-5+1))</f>
        <v/>
      </c>
      <c r="MR11" s="62">
        <f>IF(SUMPRODUCT(('حجز الإجازات'!$B$5:$B$104='الموظفون'!$B$9)*('حجز الإجازات'!$D$5:$D$104&lt;=MR$3)*(('حجز الإجازات'!$E$5:$E$104)&gt;=MR$3)*('حجز الإجازات'!$G$5:$G$104="معتمد")*ROW('حجز الإجازات'!$B$5:$B$104))=0,IF(MR$3&lt;'الموظفون'!$D$9,"",IF(ISNUMBER(MATCH(MR$3,Holidays,0)),"عطلة",IF(MOD(MR$3-'الموظفون'!$D$9,CycleWork+CycleRest)&lt;CycleWork,INDEX('الإعدادات والقوائم'!$H$2:$H$4,MOD(INT(MOD(MR$3-'الموظفون'!$D$9,CycleWork+CycleRest)*3/CycleWork)+MATCH(StartShift,'الإعدادات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الإجازات'!$D$5:$D$104&lt;=MR$3)*(('حجز الإجازات'!$E$5:$E$104)&gt;=MR$3)*('حجز الإجازات'!$G$5:$G$104="معتمد")*ROW('حجز الإجازات'!$B$5:$B$104)))-5+1))</f>
        <v/>
      </c>
      <c r="MS11" s="62">
        <f>IF(SUMPRODUCT(('حجز الإجازات'!$B$5:$B$104='الموظفون'!$B$9)*('حجز الإجازات'!$D$5:$D$104&lt;=MS$3)*(('حجز الإجازات'!$E$5:$E$104)&gt;=MS$3)*('حجز الإجازات'!$G$5:$G$104="معتمد")*ROW('حجز الإجازات'!$B$5:$B$104))=0,IF(MS$3&lt;'الموظفون'!$D$9,"",IF(ISNUMBER(MATCH(MS$3,Holidays,0)),"عطلة",IF(MOD(MS$3-'الموظفون'!$D$9,CycleWork+CycleRest)&lt;CycleWork,INDEX('الإعدادات والقوائم'!$H$2:$H$4,MOD(INT(MOD(MS$3-'الموظفون'!$D$9,CycleWork+CycleRest)*3/CycleWork)+MATCH(StartShift,'الإعدادات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الإجازات'!$D$5:$D$104&lt;=MS$3)*(('حجز الإجازات'!$E$5:$E$104)&gt;=MS$3)*('حجز الإجازات'!$G$5:$G$104="معتمد")*ROW('حجز الإجازات'!$B$5:$B$104)))-5+1))</f>
        <v/>
      </c>
      <c r="MT11" s="62">
        <f>IF(SUMPRODUCT(('حجز الإجازات'!$B$5:$B$104='الموظفون'!$B$9)*('حجز الإجازات'!$D$5:$D$104&lt;=MT$3)*(('حجز الإجازات'!$E$5:$E$104)&gt;=MT$3)*('حجز الإجازات'!$G$5:$G$104="معتمد")*ROW('حجز الإجازات'!$B$5:$B$104))=0,IF(MT$3&lt;'الموظفون'!$D$9,"",IF(ISNUMBER(MATCH(MT$3,Holidays,0)),"عطلة",IF(MOD(MT$3-'الموظفون'!$D$9,CycleWork+CycleRest)&lt;CycleWork,INDEX('الإعدادات والقوائم'!$H$2:$H$4,MOD(INT(MOD(MT$3-'الموظفون'!$D$9,CycleWork+CycleRest)*3/CycleWork)+MATCH(StartShift,'الإعدادات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الإجازات'!$D$5:$D$104&lt;=MT$3)*(('حجز الإجازات'!$E$5:$E$104)&gt;=MT$3)*('حجز الإجازات'!$G$5:$G$104="معتمد")*ROW('حجز الإجازات'!$B$5:$B$104)))-5+1))</f>
        <v/>
      </c>
      <c r="MU11" s="62">
        <f>IF(SUMPRODUCT(('حجز الإجازات'!$B$5:$B$104='الموظفون'!$B$9)*('حجز الإجازات'!$D$5:$D$104&lt;=MU$3)*(('حجز الإجازات'!$E$5:$E$104)&gt;=MU$3)*('حجز الإجازات'!$G$5:$G$104="معتمد")*ROW('حجز الإجازات'!$B$5:$B$104))=0,IF(MU$3&lt;'الموظفون'!$D$9,"",IF(ISNUMBER(MATCH(MU$3,Holidays,0)),"عطلة",IF(MOD(MU$3-'الموظفون'!$D$9,CycleWork+CycleRest)&lt;CycleWork,INDEX('الإعدادات والقوائم'!$H$2:$H$4,MOD(INT(MOD(MU$3-'الموظفون'!$D$9,CycleWork+CycleRest)*3/CycleWork)+MATCH(StartShift,'الإعدادات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الإجازات'!$D$5:$D$104&lt;=MU$3)*(('حجز الإجازات'!$E$5:$E$104)&gt;=MU$3)*('حجز الإجازات'!$G$5:$G$104="معتمد")*ROW('حجز الإجازات'!$B$5:$B$104)))-5+1))</f>
        <v/>
      </c>
      <c r="MV11" s="62">
        <f>IF(SUMPRODUCT(('حجز الإجازات'!$B$5:$B$104='الموظفون'!$B$9)*('حجز الإجازات'!$D$5:$D$104&lt;=MV$3)*(('حجز الإجازات'!$E$5:$E$104)&gt;=MV$3)*('حجز الإجازات'!$G$5:$G$104="معتمد")*ROW('حجز الإجازات'!$B$5:$B$104))=0,IF(MV$3&lt;'الموظفون'!$D$9,"",IF(ISNUMBER(MATCH(MV$3,Holidays,0)),"عطلة",IF(MOD(MV$3-'الموظفون'!$D$9,CycleWork+CycleRest)&lt;CycleWork,INDEX('الإعدادات والقوائم'!$H$2:$H$4,MOD(INT(MOD(MV$3-'الموظفون'!$D$9,CycleWork+CycleRest)*3/CycleWork)+MATCH(StartShift,'الإعدادات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الإجازات'!$D$5:$D$104&lt;=MV$3)*(('حجز الإجازات'!$E$5:$E$104)&gt;=MV$3)*('حجز الإجازات'!$G$5:$G$104="معتمد")*ROW('حجز الإجازات'!$B$5:$B$104)))-5+1))</f>
        <v/>
      </c>
      <c r="MW11" s="62">
        <f>IF(SUMPRODUCT(('حجز الإجازات'!$B$5:$B$104='الموظفون'!$B$9)*('حجز الإجازات'!$D$5:$D$104&lt;=MW$3)*(('حجز الإجازات'!$E$5:$E$104)&gt;=MW$3)*('حجز الإجازات'!$G$5:$G$104="معتمد")*ROW('حجز الإجازات'!$B$5:$B$104))=0,IF(MW$3&lt;'الموظفون'!$D$9,"",IF(ISNUMBER(MATCH(MW$3,Holidays,0)),"عطلة",IF(MOD(MW$3-'الموظفون'!$D$9,CycleWork+CycleRest)&lt;CycleWork,INDEX('الإعدادات والقوائم'!$H$2:$H$4,MOD(INT(MOD(MW$3-'الموظفون'!$D$9,CycleWork+CycleRest)*3/CycleWork)+MATCH(StartShift,'الإعدادات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الإجازات'!$D$5:$D$104&lt;=MW$3)*(('حجز الإجازات'!$E$5:$E$104)&gt;=MW$3)*('حجز الإجازات'!$G$5:$G$104="معتمد")*ROW('حجز الإجازات'!$B$5:$B$104)))-5+1))</f>
        <v/>
      </c>
      <c r="MX11" s="62">
        <f>IF(SUMPRODUCT(('حجز الإجازات'!$B$5:$B$104='الموظفون'!$B$9)*('حجز الإجازات'!$D$5:$D$104&lt;=MX$3)*(('حجز الإجازات'!$E$5:$E$104)&gt;=MX$3)*('حجز الإجازات'!$G$5:$G$104="معتمد")*ROW('حجز الإجازات'!$B$5:$B$104))=0,IF(MX$3&lt;'الموظفون'!$D$9,"",IF(ISNUMBER(MATCH(MX$3,Holidays,0)),"عطلة",IF(MOD(MX$3-'الموظفون'!$D$9,CycleWork+CycleRest)&lt;CycleWork,INDEX('الإعدادات والقوائم'!$H$2:$H$4,MOD(INT(MOD(MX$3-'الموظفون'!$D$9,CycleWork+CycleRest)*3/CycleWork)+MATCH(StartShift,'الإعدادات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الإجازات'!$D$5:$D$104&lt;=MX$3)*(('حجز الإجازات'!$E$5:$E$104)&gt;=MX$3)*('حجز الإجازات'!$G$5:$G$104="معتمد")*ROW('حجز الإجازات'!$B$5:$B$104)))-5+1))</f>
        <v/>
      </c>
      <c r="MY11" s="62">
        <f>IF(SUMPRODUCT(('حجز الإجازات'!$B$5:$B$104='الموظفون'!$B$9)*('حجز الإجازات'!$D$5:$D$104&lt;=MY$3)*(('حجز الإجازات'!$E$5:$E$104)&gt;=MY$3)*('حجز الإجازات'!$G$5:$G$104="معتمد")*ROW('حجز الإجازات'!$B$5:$B$104))=0,IF(MY$3&lt;'الموظفون'!$D$9,"",IF(ISNUMBER(MATCH(MY$3,Holidays,0)),"عطلة",IF(MOD(MY$3-'الموظفون'!$D$9,CycleWork+CycleRest)&lt;CycleWork,INDEX('الإعدادات والقوائم'!$H$2:$H$4,MOD(INT(MOD(MY$3-'الموظفون'!$D$9,CycleWork+CycleRest)*3/CycleWork)+MATCH(StartShift,'الإعدادات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الإجازات'!$D$5:$D$104&lt;=MY$3)*(('حجز الإجازات'!$E$5:$E$104)&gt;=MY$3)*('حجز الإجازات'!$G$5:$G$104="معتمد")*ROW('حجز الإجازات'!$B$5:$B$104)))-5+1))</f>
        <v/>
      </c>
      <c r="MZ11" s="62">
        <f>IF(SUMPRODUCT(('حجز الإجازات'!$B$5:$B$104='الموظفون'!$B$9)*('حجز الإجازات'!$D$5:$D$104&lt;=MZ$3)*(('حجز الإجازات'!$E$5:$E$104)&gt;=MZ$3)*('حجز الإجازات'!$G$5:$G$104="معتمد")*ROW('حجز الإجازات'!$B$5:$B$104))=0,IF(MZ$3&lt;'الموظفون'!$D$9,"",IF(ISNUMBER(MATCH(MZ$3,Holidays,0)),"عطلة",IF(MOD(MZ$3-'الموظفون'!$D$9,CycleWork+CycleRest)&lt;CycleWork,INDEX('الإعدادات والقوائم'!$H$2:$H$4,MOD(INT(MOD(MZ$3-'الموظفون'!$D$9,CycleWork+CycleRest)*3/CycleWork)+MATCH(StartShift,'الإعدادات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الإجازات'!$D$5:$D$104&lt;=MZ$3)*(('حجز الإجازات'!$E$5:$E$104)&gt;=MZ$3)*('حجز الإجازات'!$G$5:$G$104="معتمد")*ROW('حجز الإجازات'!$B$5:$B$104)))-5+1))</f>
        <v/>
      </c>
      <c r="NA11" s="62">
        <f>IF(SUMPRODUCT(('حجز الإجازات'!$B$5:$B$104='الموظفون'!$B$9)*('حجز الإجازات'!$D$5:$D$104&lt;=NA$3)*(('حجز الإجازات'!$E$5:$E$104)&gt;=NA$3)*('حجز الإجازات'!$G$5:$G$104="معتمد")*ROW('حجز الإجازات'!$B$5:$B$104))=0,IF(NA$3&lt;'الموظفون'!$D$9,"",IF(ISNUMBER(MATCH(NA$3,Holidays,0)),"عطلة",IF(MOD(NA$3-'الموظفون'!$D$9,CycleWork+CycleRest)&lt;CycleWork,INDEX('الإعدادات والقوائم'!$H$2:$H$4,MOD(INT(MOD(NA$3-'الموظفون'!$D$9,CycleWork+CycleRest)*3/CycleWork)+MATCH(StartShift,'الإعدادات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الإجازات'!$D$5:$D$104&lt;=NA$3)*(('حجز الإجازات'!$E$5:$E$104)&gt;=NA$3)*('حجز الإجازات'!$G$5:$G$104="معتمد")*ROW('حجز الإجازات'!$B$5:$B$104)))-5+1))</f>
        <v/>
      </c>
      <c r="NB11" s="62">
        <f>IF(SUMPRODUCT(('حجز الإجازات'!$B$5:$B$104='الموظفون'!$B$9)*('حجز الإجازات'!$D$5:$D$104&lt;=NB$3)*(('حجز الإجازات'!$E$5:$E$104)&gt;=NB$3)*('حجز الإجازات'!$G$5:$G$104="معتمد")*ROW('حجز الإجازات'!$B$5:$B$104))=0,IF(NB$3&lt;'الموظفون'!$D$9,"",IF(ISNUMBER(MATCH(NB$3,Holidays,0)),"عطلة",IF(MOD(NB$3-'الموظفون'!$D$9,CycleWork+CycleRest)&lt;CycleWork,INDEX('الإعدادات والقوائم'!$H$2:$H$4,MOD(INT(MOD(NB$3-'الموظفون'!$D$9,CycleWork+CycleRest)*3/CycleWork)+MATCH(StartShift,'الإعدادات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الإجازات'!$D$5:$D$104&lt;=NB$3)*(('حجز الإجازات'!$E$5:$E$104)&gt;=NB$3)*('حجز الإجازات'!$G$5:$G$104="معتمد")*ROW('حجز الإجازات'!$B$5:$B$104)))-5+1))</f>
        <v/>
      </c>
      <c r="NC11" s="62">
        <f>IF(SUMPRODUCT(('حجز الإجازات'!$B$5:$B$104='الموظفون'!$B$9)*('حجز الإجازات'!$D$5:$D$104&lt;=NC$3)*(('حجز الإجازات'!$E$5:$E$104)&gt;=NC$3)*('حجز الإجازات'!$G$5:$G$104="معتمد")*ROW('حجز الإجازات'!$B$5:$B$104))=0,IF(NC$3&lt;'الموظفون'!$D$9,"",IF(ISNUMBER(MATCH(NC$3,Holidays,0)),"عطلة",IF(MOD(NC$3-'الموظفون'!$D$9,CycleWork+CycleRest)&lt;CycleWork,INDEX('الإعدادات والقوائم'!$H$2:$H$4,MOD(INT(MOD(NC$3-'الموظفون'!$D$9,CycleWork+CycleRest)*3/CycleWork)+MATCH(StartShift,'الإعدادات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الإجازات'!$D$5:$D$104&lt;=NC$3)*(('حجز الإجازات'!$E$5:$E$104)&gt;=NC$3)*('حجز الإجازات'!$G$5:$G$104="معتمد")*ROW('حجز الإجازات'!$B$5:$B$104)))-5+1))</f>
        <v/>
      </c>
      <c r="ND11" s="62">
        <f>IF(SUMPRODUCT(('حجز الإجازات'!$B$5:$B$104='الموظفون'!$B$9)*('حجز الإجازات'!$D$5:$D$104&lt;=ND$3)*(('حجز الإجازات'!$E$5:$E$104)&gt;=ND$3)*('حجز الإجازات'!$G$5:$G$104="معتمد")*ROW('حجز الإجازات'!$B$5:$B$104))=0,IF(ND$3&lt;'الموظفون'!$D$9,"",IF(ISNUMBER(MATCH(ND$3,Holidays,0)),"عطلة",IF(MOD(ND$3-'الموظفون'!$D$9,CycleWork+CycleRest)&lt;CycleWork,INDEX('الإعدادات والقوائم'!$H$2:$H$4,MOD(INT(MOD(ND$3-'الموظفون'!$D$9,CycleWork+CycleRest)*3/CycleWork)+MATCH(StartShift,'الإعدادات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الإجازات'!$D$5:$D$104&lt;=ND$3)*(('حجز الإجازات'!$E$5:$E$104)&gt;=ND$3)*('حجز الإجازات'!$G$5:$G$104="معتمد")*ROW('حجز الإجازات'!$B$5:$B$104)))-5+1))</f>
        <v/>
      </c>
    </row>
    <row r="12">
      <c r="B12" s="63" t="inlineStr">
        <is>
          <t>صباح</t>
        </is>
      </c>
      <c r="D12" s="64">
        <f>COUNTIF(D4:D11,"صباح")</f>
        <v/>
      </c>
      <c r="E12" s="64">
        <f>COUNTIF(E4:E11,"صباح")</f>
        <v/>
      </c>
      <c r="F12" s="64">
        <f>COUNTIF(F4:F11,"صباح")</f>
        <v/>
      </c>
      <c r="G12" s="64">
        <f>COUNTIF(G4:G11,"صباح")</f>
        <v/>
      </c>
      <c r="H12" s="64">
        <f>COUNTIF(H4:H11,"صباح")</f>
        <v/>
      </c>
      <c r="I12" s="64">
        <f>COUNTIF(I4:I11,"صباح")</f>
        <v/>
      </c>
      <c r="J12" s="64">
        <f>COUNTIF(J4:J11,"صباح")</f>
        <v/>
      </c>
      <c r="K12" s="64">
        <f>COUNTIF(K4:K11,"صباح")</f>
        <v/>
      </c>
      <c r="L12" s="64">
        <f>COUNTIF(L4:L11,"صباح")</f>
        <v/>
      </c>
      <c r="M12" s="64">
        <f>COUNTIF(M4:M11,"صباح")</f>
        <v/>
      </c>
      <c r="N12" s="64">
        <f>COUNTIF(N4:N11,"صباح")</f>
        <v/>
      </c>
      <c r="O12" s="64">
        <f>COUNTIF(O4:O11,"صباح")</f>
        <v/>
      </c>
      <c r="P12" s="64">
        <f>COUNTIF(P4:P11,"صباح")</f>
        <v/>
      </c>
      <c r="Q12" s="64">
        <f>COUNTIF(Q4:Q11,"صباح")</f>
        <v/>
      </c>
      <c r="R12" s="64">
        <f>COUNTIF(R4:R11,"صباح")</f>
        <v/>
      </c>
      <c r="S12" s="64">
        <f>COUNTIF(S4:S11,"صباح")</f>
        <v/>
      </c>
      <c r="T12" s="64">
        <f>COUNTIF(T4:T11,"صباح")</f>
        <v/>
      </c>
      <c r="U12" s="64">
        <f>COUNTIF(U4:U11,"صباح")</f>
        <v/>
      </c>
      <c r="V12" s="64">
        <f>COUNTIF(V4:V11,"صباح")</f>
        <v/>
      </c>
      <c r="W12" s="64">
        <f>COUNTIF(W4:W11,"صباح")</f>
        <v/>
      </c>
      <c r="X12" s="64">
        <f>COUNTIF(X4:X11,"صباح")</f>
        <v/>
      </c>
      <c r="Y12" s="64">
        <f>COUNTIF(Y4:Y11,"صباح")</f>
        <v/>
      </c>
      <c r="Z12" s="64">
        <f>COUNTIF(Z4:Z11,"صباح")</f>
        <v/>
      </c>
      <c r="AA12" s="64">
        <f>COUNTIF(AA4:AA11,"صباح")</f>
        <v/>
      </c>
      <c r="AB12" s="64">
        <f>COUNTIF(AB4:AB11,"صباح")</f>
        <v/>
      </c>
      <c r="AC12" s="64">
        <f>COUNTIF(AC4:AC11,"صباح")</f>
        <v/>
      </c>
      <c r="AD12" s="64">
        <f>COUNTIF(AD4:AD11,"صباح")</f>
        <v/>
      </c>
      <c r="AE12" s="64">
        <f>COUNTIF(AE4:AE11,"صباح")</f>
        <v/>
      </c>
      <c r="AF12" s="64">
        <f>COUNTIF(AF4:AF11,"صباح")</f>
        <v/>
      </c>
      <c r="AG12" s="64">
        <f>COUNTIF(AG4:AG11,"صباح")</f>
        <v/>
      </c>
      <c r="AH12" s="64">
        <f>COUNTIF(AH4:AH11,"صباح")</f>
        <v/>
      </c>
      <c r="AI12" s="64">
        <f>COUNTIF(AI4:AI11,"صباح")</f>
        <v/>
      </c>
      <c r="AJ12" s="64">
        <f>COUNTIF(AJ4:AJ11,"صباح")</f>
        <v/>
      </c>
      <c r="AK12" s="64">
        <f>COUNTIF(AK4:AK11,"صباح")</f>
        <v/>
      </c>
      <c r="AL12" s="64">
        <f>COUNTIF(AL4:AL11,"صباح")</f>
        <v/>
      </c>
      <c r="AM12" s="64">
        <f>COUNTIF(AM4:AM11,"صباح")</f>
        <v/>
      </c>
      <c r="AN12" s="64">
        <f>COUNTIF(AN4:AN11,"صباح")</f>
        <v/>
      </c>
      <c r="AO12" s="64">
        <f>COUNTIF(AO4:AO11,"صباح")</f>
        <v/>
      </c>
      <c r="AP12" s="64">
        <f>COUNTIF(AP4:AP11,"صباح")</f>
        <v/>
      </c>
      <c r="AQ12" s="64">
        <f>COUNTIF(AQ4:AQ11,"صباح")</f>
        <v/>
      </c>
      <c r="AR12" s="64">
        <f>COUNTIF(AR4:AR11,"صباح")</f>
        <v/>
      </c>
      <c r="AS12" s="64">
        <f>COUNTIF(AS4:AS11,"صباح")</f>
        <v/>
      </c>
      <c r="AT12" s="64">
        <f>COUNTIF(AT4:AT11,"صباح")</f>
        <v/>
      </c>
      <c r="AU12" s="64">
        <f>COUNTIF(AU4:AU11,"صباح")</f>
        <v/>
      </c>
      <c r="AV12" s="64">
        <f>COUNTIF(AV4:AV11,"صباح")</f>
        <v/>
      </c>
      <c r="AW12" s="64">
        <f>COUNTIF(AW4:AW11,"صباح")</f>
        <v/>
      </c>
      <c r="AX12" s="64">
        <f>COUNTIF(AX4:AX11,"صباح")</f>
        <v/>
      </c>
      <c r="AY12" s="64">
        <f>COUNTIF(AY4:AY11,"صباح")</f>
        <v/>
      </c>
      <c r="AZ12" s="64">
        <f>COUNTIF(AZ4:AZ11,"صباح")</f>
        <v/>
      </c>
      <c r="BA12" s="64">
        <f>COUNTIF(BA4:BA11,"صباح")</f>
        <v/>
      </c>
      <c r="BB12" s="64">
        <f>COUNTIF(BB4:BB11,"صباح")</f>
        <v/>
      </c>
      <c r="BC12" s="64">
        <f>COUNTIF(BC4:BC11,"صباح")</f>
        <v/>
      </c>
      <c r="BD12" s="64">
        <f>COUNTIF(BD4:BD11,"صباح")</f>
        <v/>
      </c>
      <c r="BE12" s="64">
        <f>COUNTIF(BE4:BE11,"صباح")</f>
        <v/>
      </c>
      <c r="BF12" s="64">
        <f>COUNTIF(BF4:BF11,"صباح")</f>
        <v/>
      </c>
      <c r="BG12" s="64">
        <f>COUNTIF(BG4:BG11,"صباح")</f>
        <v/>
      </c>
      <c r="BH12" s="64">
        <f>COUNTIF(BH4:BH11,"صباح")</f>
        <v/>
      </c>
      <c r="BI12" s="64">
        <f>COUNTIF(BI4:BI11,"صباح")</f>
        <v/>
      </c>
      <c r="BJ12" s="64">
        <f>COUNTIF(BJ4:BJ11,"صباح")</f>
        <v/>
      </c>
      <c r="BK12" s="64">
        <f>COUNTIF(BK4:BK11,"صباح")</f>
        <v/>
      </c>
      <c r="BL12" s="64">
        <f>COUNTIF(BL4:BL11,"صباح")</f>
        <v/>
      </c>
      <c r="BM12" s="64">
        <f>COUNTIF(BM4:BM11,"صباح")</f>
        <v/>
      </c>
      <c r="BN12" s="64">
        <f>COUNTIF(BN4:BN11,"صباح")</f>
        <v/>
      </c>
      <c r="BO12" s="64">
        <f>COUNTIF(BO4:BO11,"صباح")</f>
        <v/>
      </c>
      <c r="BP12" s="64">
        <f>COUNTIF(BP4:BP11,"صباح")</f>
        <v/>
      </c>
      <c r="BQ12" s="64">
        <f>COUNTIF(BQ4:BQ11,"صباح")</f>
        <v/>
      </c>
      <c r="BR12" s="64">
        <f>COUNTIF(BR4:BR11,"صباح")</f>
        <v/>
      </c>
      <c r="BS12" s="64">
        <f>COUNTIF(BS4:BS11,"صباح")</f>
        <v/>
      </c>
      <c r="BT12" s="64">
        <f>COUNTIF(BT4:BT11,"صباح")</f>
        <v/>
      </c>
      <c r="BU12" s="64">
        <f>COUNTIF(BU4:BU11,"صباح")</f>
        <v/>
      </c>
      <c r="BV12" s="64">
        <f>COUNTIF(BV4:BV11,"صباح")</f>
        <v/>
      </c>
      <c r="BW12" s="64">
        <f>COUNTIF(BW4:BW11,"صباح")</f>
        <v/>
      </c>
      <c r="BX12" s="64">
        <f>COUNTIF(BX4:BX11,"صباح")</f>
        <v/>
      </c>
      <c r="BY12" s="64">
        <f>COUNTIF(BY4:BY11,"صباح")</f>
        <v/>
      </c>
      <c r="BZ12" s="64">
        <f>COUNTIF(BZ4:BZ11,"صباح")</f>
        <v/>
      </c>
      <c r="CA12" s="64">
        <f>COUNTIF(CA4:CA11,"صباح")</f>
        <v/>
      </c>
      <c r="CB12" s="64">
        <f>COUNTIF(CB4:CB11,"صباح")</f>
        <v/>
      </c>
      <c r="CC12" s="64">
        <f>COUNTIF(CC4:CC11,"صباح")</f>
        <v/>
      </c>
      <c r="CD12" s="64">
        <f>COUNTIF(CD4:CD11,"صباح")</f>
        <v/>
      </c>
      <c r="CE12" s="64">
        <f>COUNTIF(CE4:CE11,"صباح")</f>
        <v/>
      </c>
      <c r="CF12" s="64">
        <f>COUNTIF(CF4:CF11,"صباح")</f>
        <v/>
      </c>
      <c r="CG12" s="64">
        <f>COUNTIF(CG4:CG11,"صباح")</f>
        <v/>
      </c>
      <c r="CH12" s="64">
        <f>COUNTIF(CH4:CH11,"صباح")</f>
        <v/>
      </c>
      <c r="CI12" s="64">
        <f>COUNTIF(CI4:CI11,"صباح")</f>
        <v/>
      </c>
      <c r="CJ12" s="64">
        <f>COUNTIF(CJ4:CJ11,"صباح")</f>
        <v/>
      </c>
      <c r="CK12" s="64">
        <f>COUNTIF(CK4:CK11,"صباح")</f>
        <v/>
      </c>
      <c r="CL12" s="64">
        <f>COUNTIF(CL4:CL11,"صباح")</f>
        <v/>
      </c>
      <c r="CM12" s="64">
        <f>COUNTIF(CM4:CM11,"صباح")</f>
        <v/>
      </c>
      <c r="CN12" s="64">
        <f>COUNTIF(CN4:CN11,"صباح")</f>
        <v/>
      </c>
      <c r="CO12" s="64">
        <f>COUNTIF(CO4:CO11,"صباح")</f>
        <v/>
      </c>
      <c r="CP12" s="64">
        <f>COUNTIF(CP4:CP11,"صباح")</f>
        <v/>
      </c>
      <c r="CQ12" s="64">
        <f>COUNTIF(CQ4:CQ11,"صباح")</f>
        <v/>
      </c>
      <c r="CR12" s="64">
        <f>COUNTIF(CR4:CR11,"صباح")</f>
        <v/>
      </c>
      <c r="CS12" s="64">
        <f>COUNTIF(CS4:CS11,"صباح")</f>
        <v/>
      </c>
      <c r="CT12" s="64">
        <f>COUNTIF(CT4:CT11,"صباح")</f>
        <v/>
      </c>
      <c r="CU12" s="64">
        <f>COUNTIF(CU4:CU11,"صباح")</f>
        <v/>
      </c>
      <c r="CV12" s="64">
        <f>COUNTIF(CV4:CV11,"صباح")</f>
        <v/>
      </c>
      <c r="CW12" s="64">
        <f>COUNTIF(CW4:CW11,"صباح")</f>
        <v/>
      </c>
      <c r="CX12" s="64">
        <f>COUNTIF(CX4:CX11,"صباح")</f>
        <v/>
      </c>
      <c r="CY12" s="64">
        <f>COUNTIF(CY4:CY11,"صباح")</f>
        <v/>
      </c>
      <c r="CZ12" s="64">
        <f>COUNTIF(CZ4:CZ11,"صباح")</f>
        <v/>
      </c>
      <c r="DA12" s="64">
        <f>COUNTIF(DA4:DA11,"صباح")</f>
        <v/>
      </c>
      <c r="DB12" s="64">
        <f>COUNTIF(DB4:DB11,"صباح")</f>
        <v/>
      </c>
      <c r="DC12" s="64">
        <f>COUNTIF(DC4:DC11,"صباح")</f>
        <v/>
      </c>
      <c r="DD12" s="64">
        <f>COUNTIF(DD4:DD11,"صباح")</f>
        <v/>
      </c>
      <c r="DE12" s="64">
        <f>COUNTIF(DE4:DE11,"صباح")</f>
        <v/>
      </c>
      <c r="DF12" s="64">
        <f>COUNTIF(DF4:DF11,"صباح")</f>
        <v/>
      </c>
      <c r="DG12" s="64">
        <f>COUNTIF(DG4:DG11,"صباح")</f>
        <v/>
      </c>
      <c r="DH12" s="64">
        <f>COUNTIF(DH4:DH11,"صباح")</f>
        <v/>
      </c>
      <c r="DI12" s="64">
        <f>COUNTIF(DI4:DI11,"صباح")</f>
        <v/>
      </c>
      <c r="DJ12" s="64">
        <f>COUNTIF(DJ4:DJ11,"صباح")</f>
        <v/>
      </c>
      <c r="DK12" s="64">
        <f>COUNTIF(DK4:DK11,"صباح")</f>
        <v/>
      </c>
      <c r="DL12" s="64">
        <f>COUNTIF(DL4:DL11,"صباح")</f>
        <v/>
      </c>
      <c r="DM12" s="64">
        <f>COUNTIF(DM4:DM11,"صباح")</f>
        <v/>
      </c>
      <c r="DN12" s="64">
        <f>COUNTIF(DN4:DN11,"صباح")</f>
        <v/>
      </c>
      <c r="DO12" s="64">
        <f>COUNTIF(DO4:DO11,"صباح")</f>
        <v/>
      </c>
      <c r="DP12" s="64">
        <f>COUNTIF(DP4:DP11,"صباح")</f>
        <v/>
      </c>
      <c r="DQ12" s="64">
        <f>COUNTIF(DQ4:DQ11,"صباح")</f>
        <v/>
      </c>
      <c r="DR12" s="64">
        <f>COUNTIF(DR4:DR11,"صباح")</f>
        <v/>
      </c>
      <c r="DS12" s="64">
        <f>COUNTIF(DS4:DS11,"صباح")</f>
        <v/>
      </c>
      <c r="DT12" s="64">
        <f>COUNTIF(DT4:DT11,"صباح")</f>
        <v/>
      </c>
      <c r="DU12" s="64">
        <f>COUNTIF(DU4:DU11,"صباح")</f>
        <v/>
      </c>
      <c r="DV12" s="64">
        <f>COUNTIF(DV4:DV11,"صباح")</f>
        <v/>
      </c>
      <c r="DW12" s="64">
        <f>COUNTIF(DW4:DW11,"صباح")</f>
        <v/>
      </c>
      <c r="DX12" s="64">
        <f>COUNTIF(DX4:DX11,"صباح")</f>
        <v/>
      </c>
      <c r="DY12" s="64">
        <f>COUNTIF(DY4:DY11,"صباح")</f>
        <v/>
      </c>
      <c r="DZ12" s="64">
        <f>COUNTIF(DZ4:DZ11,"صباح")</f>
        <v/>
      </c>
      <c r="EA12" s="64">
        <f>COUNTIF(EA4:EA11,"صباح")</f>
        <v/>
      </c>
      <c r="EB12" s="64">
        <f>COUNTIF(EB4:EB11,"صباح")</f>
        <v/>
      </c>
      <c r="EC12" s="64">
        <f>COUNTIF(EC4:EC11,"صباح")</f>
        <v/>
      </c>
      <c r="ED12" s="64">
        <f>COUNTIF(ED4:ED11,"صباح")</f>
        <v/>
      </c>
      <c r="EE12" s="64">
        <f>COUNTIF(EE4:EE11,"صباح")</f>
        <v/>
      </c>
      <c r="EF12" s="64">
        <f>COUNTIF(EF4:EF11,"صباح")</f>
        <v/>
      </c>
      <c r="EG12" s="64">
        <f>COUNTIF(EG4:EG11,"صباح")</f>
        <v/>
      </c>
      <c r="EH12" s="64">
        <f>COUNTIF(EH4:EH11,"صباح")</f>
        <v/>
      </c>
      <c r="EI12" s="64">
        <f>COUNTIF(EI4:EI11,"صباح")</f>
        <v/>
      </c>
      <c r="EJ12" s="64">
        <f>COUNTIF(EJ4:EJ11,"صباح")</f>
        <v/>
      </c>
      <c r="EK12" s="64">
        <f>COUNTIF(EK4:EK11,"صباح")</f>
        <v/>
      </c>
      <c r="EL12" s="64">
        <f>COUNTIF(EL4:EL11,"صباح")</f>
        <v/>
      </c>
      <c r="EM12" s="64">
        <f>COUNTIF(EM4:EM11,"صباح")</f>
        <v/>
      </c>
      <c r="EN12" s="64">
        <f>COUNTIF(EN4:EN11,"صباح")</f>
        <v/>
      </c>
      <c r="EO12" s="64">
        <f>COUNTIF(EO4:EO11,"صباح")</f>
        <v/>
      </c>
      <c r="EP12" s="64">
        <f>COUNTIF(EP4:EP11,"صباح")</f>
        <v/>
      </c>
      <c r="EQ12" s="64">
        <f>COUNTIF(EQ4:EQ11,"صباح")</f>
        <v/>
      </c>
      <c r="ER12" s="64">
        <f>COUNTIF(ER4:ER11,"صباح")</f>
        <v/>
      </c>
      <c r="ES12" s="64">
        <f>COUNTIF(ES4:ES11,"صباح")</f>
        <v/>
      </c>
      <c r="ET12" s="64">
        <f>COUNTIF(ET4:ET11,"صباح")</f>
        <v/>
      </c>
      <c r="EU12" s="64">
        <f>COUNTIF(EU4:EU11,"صباح")</f>
        <v/>
      </c>
      <c r="EV12" s="64">
        <f>COUNTIF(EV4:EV11,"صباح")</f>
        <v/>
      </c>
      <c r="EW12" s="64">
        <f>COUNTIF(EW4:EW11,"صباح")</f>
        <v/>
      </c>
      <c r="EX12" s="64">
        <f>COUNTIF(EX4:EX11,"صباح")</f>
        <v/>
      </c>
      <c r="EY12" s="64">
        <f>COUNTIF(EY4:EY11,"صباح")</f>
        <v/>
      </c>
      <c r="EZ12" s="64">
        <f>COUNTIF(EZ4:EZ11,"صباح")</f>
        <v/>
      </c>
      <c r="FA12" s="64">
        <f>COUNTIF(FA4:FA11,"صباح")</f>
        <v/>
      </c>
      <c r="FB12" s="64">
        <f>COUNTIF(FB4:FB11,"صباح")</f>
        <v/>
      </c>
      <c r="FC12" s="64">
        <f>COUNTIF(FC4:FC11,"صباح")</f>
        <v/>
      </c>
      <c r="FD12" s="64">
        <f>COUNTIF(FD4:FD11,"صباح")</f>
        <v/>
      </c>
      <c r="FE12" s="64">
        <f>COUNTIF(FE4:FE11,"صباح")</f>
        <v/>
      </c>
      <c r="FF12" s="64">
        <f>COUNTIF(FF4:FF11,"صباح")</f>
        <v/>
      </c>
      <c r="FG12" s="64">
        <f>COUNTIF(FG4:FG11,"صباح")</f>
        <v/>
      </c>
      <c r="FH12" s="64">
        <f>COUNTIF(FH4:FH11,"صباح")</f>
        <v/>
      </c>
      <c r="FI12" s="64">
        <f>COUNTIF(FI4:FI11,"صباح")</f>
        <v/>
      </c>
      <c r="FJ12" s="64">
        <f>COUNTIF(FJ4:FJ11,"صباح")</f>
        <v/>
      </c>
      <c r="FK12" s="64">
        <f>COUNTIF(FK4:FK11,"صباح")</f>
        <v/>
      </c>
      <c r="FL12" s="64">
        <f>COUNTIF(FL4:FL11,"صباح")</f>
        <v/>
      </c>
      <c r="FM12" s="64">
        <f>COUNTIF(FM4:FM11,"صباح")</f>
        <v/>
      </c>
      <c r="FN12" s="64">
        <f>COUNTIF(FN4:FN11,"صباح")</f>
        <v/>
      </c>
      <c r="FO12" s="64">
        <f>COUNTIF(FO4:FO11,"صباح")</f>
        <v/>
      </c>
      <c r="FP12" s="64">
        <f>COUNTIF(FP4:FP11,"صباح")</f>
        <v/>
      </c>
      <c r="FQ12" s="64">
        <f>COUNTIF(FQ4:FQ11,"صباح")</f>
        <v/>
      </c>
      <c r="FR12" s="64">
        <f>COUNTIF(FR4:FR11,"صباح")</f>
        <v/>
      </c>
      <c r="FS12" s="64">
        <f>COUNTIF(FS4:FS11,"صباح")</f>
        <v/>
      </c>
      <c r="FT12" s="64">
        <f>COUNTIF(FT4:FT11,"صباح")</f>
        <v/>
      </c>
      <c r="FU12" s="64">
        <f>COUNTIF(FU4:FU11,"صباح")</f>
        <v/>
      </c>
      <c r="FV12" s="64">
        <f>COUNTIF(FV4:FV11,"صباح")</f>
        <v/>
      </c>
      <c r="FW12" s="64">
        <f>COUNTIF(FW4:FW11,"صباح")</f>
        <v/>
      </c>
      <c r="FX12" s="64">
        <f>COUNTIF(FX4:FX11,"صباح")</f>
        <v/>
      </c>
      <c r="FY12" s="64">
        <f>COUNTIF(FY4:FY11,"صباح")</f>
        <v/>
      </c>
      <c r="FZ12" s="64">
        <f>COUNTIF(FZ4:FZ11,"صباح")</f>
        <v/>
      </c>
      <c r="GA12" s="64">
        <f>COUNTIF(GA4:GA11,"صباح")</f>
        <v/>
      </c>
      <c r="GB12" s="64">
        <f>COUNTIF(GB4:GB11,"صباح")</f>
        <v/>
      </c>
      <c r="GC12" s="64">
        <f>COUNTIF(GC4:GC11,"صباح")</f>
        <v/>
      </c>
      <c r="GD12" s="64">
        <f>COUNTIF(GD4:GD11,"صباح")</f>
        <v/>
      </c>
      <c r="GE12" s="64">
        <f>COUNTIF(GE4:GE11,"صباح")</f>
        <v/>
      </c>
      <c r="GF12" s="64">
        <f>COUNTIF(GF4:GF11,"صباح")</f>
        <v/>
      </c>
      <c r="GG12" s="64">
        <f>COUNTIF(GG4:GG11,"صباح")</f>
        <v/>
      </c>
      <c r="GH12" s="64">
        <f>COUNTIF(GH4:GH11,"صباح")</f>
        <v/>
      </c>
      <c r="GI12" s="64">
        <f>COUNTIF(GI4:GI11,"صباح")</f>
        <v/>
      </c>
      <c r="GJ12" s="64">
        <f>COUNTIF(GJ4:GJ11,"صباح")</f>
        <v/>
      </c>
      <c r="GK12" s="64">
        <f>COUNTIF(GK4:GK11,"صباح")</f>
        <v/>
      </c>
      <c r="GL12" s="64">
        <f>COUNTIF(GL4:GL11,"صباح")</f>
        <v/>
      </c>
      <c r="GM12" s="64">
        <f>COUNTIF(GM4:GM11,"صباح")</f>
        <v/>
      </c>
      <c r="GN12" s="64">
        <f>COUNTIF(GN4:GN11,"صباح")</f>
        <v/>
      </c>
      <c r="GO12" s="64">
        <f>COUNTIF(GO4:GO11,"صباح")</f>
        <v/>
      </c>
      <c r="GP12" s="64">
        <f>COUNTIF(GP4:GP11,"صباح")</f>
        <v/>
      </c>
      <c r="GQ12" s="64">
        <f>COUNTIF(GQ4:GQ11,"صباح")</f>
        <v/>
      </c>
      <c r="GR12" s="64">
        <f>COUNTIF(GR4:GR11,"صباح")</f>
        <v/>
      </c>
      <c r="GS12" s="64">
        <f>COUNTIF(GS4:GS11,"صباح")</f>
        <v/>
      </c>
      <c r="GT12" s="64">
        <f>COUNTIF(GT4:GT11,"صباح")</f>
        <v/>
      </c>
      <c r="GU12" s="64">
        <f>COUNTIF(GU4:GU11,"صباح")</f>
        <v/>
      </c>
      <c r="GV12" s="64">
        <f>COUNTIF(GV4:GV11,"صباح")</f>
        <v/>
      </c>
      <c r="GW12" s="64">
        <f>COUNTIF(GW4:GW11,"صباح")</f>
        <v/>
      </c>
      <c r="GX12" s="64">
        <f>COUNTIF(GX4:GX11,"صباح")</f>
        <v/>
      </c>
      <c r="GY12" s="64">
        <f>COUNTIF(GY4:GY11,"صباح")</f>
        <v/>
      </c>
      <c r="GZ12" s="64">
        <f>COUNTIF(GZ4:GZ11,"صباح")</f>
        <v/>
      </c>
      <c r="HA12" s="64">
        <f>COUNTIF(HA4:HA11,"صباح")</f>
        <v/>
      </c>
      <c r="HB12" s="64">
        <f>COUNTIF(HB4:HB11,"صباح")</f>
        <v/>
      </c>
      <c r="HC12" s="64">
        <f>COUNTIF(HC4:HC11,"صباح")</f>
        <v/>
      </c>
      <c r="HD12" s="64">
        <f>COUNTIF(HD4:HD11,"صباح")</f>
        <v/>
      </c>
      <c r="HE12" s="64">
        <f>COUNTIF(HE4:HE11,"صباح")</f>
        <v/>
      </c>
      <c r="HF12" s="64">
        <f>COUNTIF(HF4:HF11,"صباح")</f>
        <v/>
      </c>
      <c r="HG12" s="64">
        <f>COUNTIF(HG4:HG11,"صباح")</f>
        <v/>
      </c>
      <c r="HH12" s="64">
        <f>COUNTIF(HH4:HH11,"صباح")</f>
        <v/>
      </c>
      <c r="HI12" s="64">
        <f>COUNTIF(HI4:HI11,"صباح")</f>
        <v/>
      </c>
      <c r="HJ12" s="64">
        <f>COUNTIF(HJ4:HJ11,"صباح")</f>
        <v/>
      </c>
      <c r="HK12" s="64">
        <f>COUNTIF(HK4:HK11,"صباح")</f>
        <v/>
      </c>
      <c r="HL12" s="64">
        <f>COUNTIF(HL4:HL11,"صباح")</f>
        <v/>
      </c>
      <c r="HM12" s="64">
        <f>COUNTIF(HM4:HM11,"صباح")</f>
        <v/>
      </c>
      <c r="HN12" s="64">
        <f>COUNTIF(HN4:HN11,"صباح")</f>
        <v/>
      </c>
      <c r="HO12" s="64">
        <f>COUNTIF(HO4:HO11,"صباح")</f>
        <v/>
      </c>
      <c r="HP12" s="64">
        <f>COUNTIF(HP4:HP11,"صباح")</f>
        <v/>
      </c>
      <c r="HQ12" s="64">
        <f>COUNTIF(HQ4:HQ11,"صباح")</f>
        <v/>
      </c>
      <c r="HR12" s="64">
        <f>COUNTIF(HR4:HR11,"صباح")</f>
        <v/>
      </c>
      <c r="HS12" s="64">
        <f>COUNTIF(HS4:HS11,"صباح")</f>
        <v/>
      </c>
      <c r="HT12" s="64">
        <f>COUNTIF(HT4:HT11,"صباح")</f>
        <v/>
      </c>
      <c r="HU12" s="64">
        <f>COUNTIF(HU4:HU11,"صباح")</f>
        <v/>
      </c>
      <c r="HV12" s="64">
        <f>COUNTIF(HV4:HV11,"صباح")</f>
        <v/>
      </c>
      <c r="HW12" s="64">
        <f>COUNTIF(HW4:HW11,"صباح")</f>
        <v/>
      </c>
      <c r="HX12" s="64">
        <f>COUNTIF(HX4:HX11,"صباح")</f>
        <v/>
      </c>
      <c r="HY12" s="64">
        <f>COUNTIF(HY4:HY11,"صباح")</f>
        <v/>
      </c>
      <c r="HZ12" s="64">
        <f>COUNTIF(HZ4:HZ11,"صباح")</f>
        <v/>
      </c>
      <c r="IA12" s="64">
        <f>COUNTIF(IA4:IA11,"صباح")</f>
        <v/>
      </c>
      <c r="IB12" s="64">
        <f>COUNTIF(IB4:IB11,"صباح")</f>
        <v/>
      </c>
      <c r="IC12" s="64">
        <f>COUNTIF(IC4:IC11,"صباح")</f>
        <v/>
      </c>
      <c r="ID12" s="64">
        <f>COUNTIF(ID4:ID11,"صباح")</f>
        <v/>
      </c>
      <c r="IE12" s="64">
        <f>COUNTIF(IE4:IE11,"صباح")</f>
        <v/>
      </c>
      <c r="IF12" s="64">
        <f>COUNTIF(IF4:IF11,"صباح")</f>
        <v/>
      </c>
      <c r="IG12" s="64">
        <f>COUNTIF(IG4:IG11,"صباح")</f>
        <v/>
      </c>
      <c r="IH12" s="64">
        <f>COUNTIF(IH4:IH11,"صباح")</f>
        <v/>
      </c>
      <c r="II12" s="64">
        <f>COUNTIF(II4:II11,"صباح")</f>
        <v/>
      </c>
      <c r="IJ12" s="64">
        <f>COUNTIF(IJ4:IJ11,"صباح")</f>
        <v/>
      </c>
      <c r="IK12" s="64">
        <f>COUNTIF(IK4:IK11,"صباح")</f>
        <v/>
      </c>
      <c r="IL12" s="64">
        <f>COUNTIF(IL4:IL11,"صباح")</f>
        <v/>
      </c>
      <c r="IM12" s="64">
        <f>COUNTIF(IM4:IM11,"صباح")</f>
        <v/>
      </c>
      <c r="IN12" s="64">
        <f>COUNTIF(IN4:IN11,"صباح")</f>
        <v/>
      </c>
      <c r="IO12" s="64">
        <f>COUNTIF(IO4:IO11,"صباح")</f>
        <v/>
      </c>
      <c r="IP12" s="64">
        <f>COUNTIF(IP4:IP11,"صباح")</f>
        <v/>
      </c>
      <c r="IQ12" s="64">
        <f>COUNTIF(IQ4:IQ11,"صباح")</f>
        <v/>
      </c>
      <c r="IR12" s="64">
        <f>COUNTIF(IR4:IR11,"صباح")</f>
        <v/>
      </c>
      <c r="IS12" s="64">
        <f>COUNTIF(IS4:IS11,"صباح")</f>
        <v/>
      </c>
      <c r="IT12" s="64">
        <f>COUNTIF(IT4:IT11,"صباح")</f>
        <v/>
      </c>
      <c r="IU12" s="64">
        <f>COUNTIF(IU4:IU11,"صباح")</f>
        <v/>
      </c>
      <c r="IV12" s="64">
        <f>COUNTIF(IV4:IV11,"صباح")</f>
        <v/>
      </c>
      <c r="IW12" s="64">
        <f>COUNTIF(IW4:IW11,"صباح")</f>
        <v/>
      </c>
      <c r="IX12" s="64">
        <f>COUNTIF(IX4:IX11,"صباح")</f>
        <v/>
      </c>
      <c r="IY12" s="64">
        <f>COUNTIF(IY4:IY11,"صباح")</f>
        <v/>
      </c>
      <c r="IZ12" s="64">
        <f>COUNTIF(IZ4:IZ11,"صباح")</f>
        <v/>
      </c>
      <c r="JA12" s="64">
        <f>COUNTIF(JA4:JA11,"صباح")</f>
        <v/>
      </c>
      <c r="JB12" s="64">
        <f>COUNTIF(JB4:JB11,"صباح")</f>
        <v/>
      </c>
      <c r="JC12" s="64">
        <f>COUNTIF(JC4:JC11,"صباح")</f>
        <v/>
      </c>
      <c r="JD12" s="64">
        <f>COUNTIF(JD4:JD11,"صباح")</f>
        <v/>
      </c>
      <c r="JE12" s="64">
        <f>COUNTIF(JE4:JE11,"صباح")</f>
        <v/>
      </c>
      <c r="JF12" s="64">
        <f>COUNTIF(JF4:JF11,"صباح")</f>
        <v/>
      </c>
      <c r="JG12" s="64">
        <f>COUNTIF(JG4:JG11,"صباح")</f>
        <v/>
      </c>
      <c r="JH12" s="64">
        <f>COUNTIF(JH4:JH11,"صباح")</f>
        <v/>
      </c>
      <c r="JI12" s="64">
        <f>COUNTIF(JI4:JI11,"صباح")</f>
        <v/>
      </c>
      <c r="JJ12" s="64">
        <f>COUNTIF(JJ4:JJ11,"صباح")</f>
        <v/>
      </c>
      <c r="JK12" s="64">
        <f>COUNTIF(JK4:JK11,"صباح")</f>
        <v/>
      </c>
      <c r="JL12" s="64">
        <f>COUNTIF(JL4:JL11,"صباح")</f>
        <v/>
      </c>
      <c r="JM12" s="64">
        <f>COUNTIF(JM4:JM11,"صباح")</f>
        <v/>
      </c>
      <c r="JN12" s="64">
        <f>COUNTIF(JN4:JN11,"صباح")</f>
        <v/>
      </c>
      <c r="JO12" s="64">
        <f>COUNTIF(JO4:JO11,"صباح")</f>
        <v/>
      </c>
      <c r="JP12" s="64">
        <f>COUNTIF(JP4:JP11,"صباح")</f>
        <v/>
      </c>
      <c r="JQ12" s="64">
        <f>COUNTIF(JQ4:JQ11,"صباح")</f>
        <v/>
      </c>
      <c r="JR12" s="64">
        <f>COUNTIF(JR4:JR11,"صباح")</f>
        <v/>
      </c>
      <c r="JS12" s="64">
        <f>COUNTIF(JS4:JS11,"صباح")</f>
        <v/>
      </c>
      <c r="JT12" s="64">
        <f>COUNTIF(JT4:JT11,"صباح")</f>
        <v/>
      </c>
      <c r="JU12" s="64">
        <f>COUNTIF(JU4:JU11,"صباح")</f>
        <v/>
      </c>
      <c r="JV12" s="64">
        <f>COUNTIF(JV4:JV11,"صباح")</f>
        <v/>
      </c>
      <c r="JW12" s="64">
        <f>COUNTIF(JW4:JW11,"صباح")</f>
        <v/>
      </c>
      <c r="JX12" s="64">
        <f>COUNTIF(JX4:JX11,"صباح")</f>
        <v/>
      </c>
      <c r="JY12" s="64">
        <f>COUNTIF(JY4:JY11,"صباح")</f>
        <v/>
      </c>
      <c r="JZ12" s="64">
        <f>COUNTIF(JZ4:JZ11,"صباح")</f>
        <v/>
      </c>
      <c r="KA12" s="64">
        <f>COUNTIF(KA4:KA11,"صباح")</f>
        <v/>
      </c>
      <c r="KB12" s="64">
        <f>COUNTIF(KB4:KB11,"صباح")</f>
        <v/>
      </c>
      <c r="KC12" s="64">
        <f>COUNTIF(KC4:KC11,"صباح")</f>
        <v/>
      </c>
      <c r="KD12" s="64">
        <f>COUNTIF(KD4:KD11,"صباح")</f>
        <v/>
      </c>
      <c r="KE12" s="64">
        <f>COUNTIF(KE4:KE11,"صباح")</f>
        <v/>
      </c>
      <c r="KF12" s="64">
        <f>COUNTIF(KF4:KF11,"صباح")</f>
        <v/>
      </c>
      <c r="KG12" s="64">
        <f>COUNTIF(KG4:KG11,"صباح")</f>
        <v/>
      </c>
      <c r="KH12" s="64">
        <f>COUNTIF(KH4:KH11,"صباح")</f>
        <v/>
      </c>
      <c r="KI12" s="64">
        <f>COUNTIF(KI4:KI11,"صباح")</f>
        <v/>
      </c>
      <c r="KJ12" s="64">
        <f>COUNTIF(KJ4:KJ11,"صباح")</f>
        <v/>
      </c>
      <c r="KK12" s="64">
        <f>COUNTIF(KK4:KK11,"صباح")</f>
        <v/>
      </c>
      <c r="KL12" s="64">
        <f>COUNTIF(KL4:KL11,"صباح")</f>
        <v/>
      </c>
      <c r="KM12" s="64">
        <f>COUNTIF(KM4:KM11,"صباح")</f>
        <v/>
      </c>
      <c r="KN12" s="64">
        <f>COUNTIF(KN4:KN11,"صباح")</f>
        <v/>
      </c>
      <c r="KO12" s="64">
        <f>COUNTIF(KO4:KO11,"صباح")</f>
        <v/>
      </c>
      <c r="KP12" s="64">
        <f>COUNTIF(KP4:KP11,"صباح")</f>
        <v/>
      </c>
      <c r="KQ12" s="64">
        <f>COUNTIF(KQ4:KQ11,"صباح")</f>
        <v/>
      </c>
      <c r="KR12" s="64">
        <f>COUNTIF(KR4:KR11,"صباح")</f>
        <v/>
      </c>
      <c r="KS12" s="64">
        <f>COUNTIF(KS4:KS11,"صباح")</f>
        <v/>
      </c>
      <c r="KT12" s="64">
        <f>COUNTIF(KT4:KT11,"صباح")</f>
        <v/>
      </c>
      <c r="KU12" s="64">
        <f>COUNTIF(KU4:KU11,"صباح")</f>
        <v/>
      </c>
      <c r="KV12" s="64">
        <f>COUNTIF(KV4:KV11,"صباح")</f>
        <v/>
      </c>
      <c r="KW12" s="64">
        <f>COUNTIF(KW4:KW11,"صباح")</f>
        <v/>
      </c>
      <c r="KX12" s="64">
        <f>COUNTIF(KX4:KX11,"صباح")</f>
        <v/>
      </c>
      <c r="KY12" s="64">
        <f>COUNTIF(KY4:KY11,"صباح")</f>
        <v/>
      </c>
      <c r="KZ12" s="64">
        <f>COUNTIF(KZ4:KZ11,"صباح")</f>
        <v/>
      </c>
      <c r="LA12" s="64">
        <f>COUNTIF(LA4:LA11,"صباح")</f>
        <v/>
      </c>
      <c r="LB12" s="64">
        <f>COUNTIF(LB4:LB11,"صباح")</f>
        <v/>
      </c>
      <c r="LC12" s="64">
        <f>COUNTIF(LC4:LC11,"صباح")</f>
        <v/>
      </c>
      <c r="LD12" s="64">
        <f>COUNTIF(LD4:LD11,"صباح")</f>
        <v/>
      </c>
      <c r="LE12" s="64">
        <f>COUNTIF(LE4:LE11,"صباح")</f>
        <v/>
      </c>
      <c r="LF12" s="64">
        <f>COUNTIF(LF4:LF11,"صباح")</f>
        <v/>
      </c>
      <c r="LG12" s="64">
        <f>COUNTIF(LG4:LG11,"صباح")</f>
        <v/>
      </c>
      <c r="LH12" s="64">
        <f>COUNTIF(LH4:LH11,"صباح")</f>
        <v/>
      </c>
      <c r="LI12" s="64">
        <f>COUNTIF(LI4:LI11,"صباح")</f>
        <v/>
      </c>
      <c r="LJ12" s="64">
        <f>COUNTIF(LJ4:LJ11,"صباح")</f>
        <v/>
      </c>
      <c r="LK12" s="64">
        <f>COUNTIF(LK4:LK11,"صباح")</f>
        <v/>
      </c>
      <c r="LL12" s="64">
        <f>COUNTIF(LL4:LL11,"صباح")</f>
        <v/>
      </c>
      <c r="LM12" s="64">
        <f>COUNTIF(LM4:LM11,"صباح")</f>
        <v/>
      </c>
      <c r="LN12" s="64">
        <f>COUNTIF(LN4:LN11,"صباح")</f>
        <v/>
      </c>
      <c r="LO12" s="64">
        <f>COUNTIF(LO4:LO11,"صباح")</f>
        <v/>
      </c>
      <c r="LP12" s="64">
        <f>COUNTIF(LP4:LP11,"صباح")</f>
        <v/>
      </c>
      <c r="LQ12" s="64">
        <f>COUNTIF(LQ4:LQ11,"صباح")</f>
        <v/>
      </c>
      <c r="LR12" s="64">
        <f>COUNTIF(LR4:LR11,"صباح")</f>
        <v/>
      </c>
      <c r="LS12" s="64">
        <f>COUNTIF(LS4:LS11,"صباح")</f>
        <v/>
      </c>
      <c r="LT12" s="64">
        <f>COUNTIF(LT4:LT11,"صباح")</f>
        <v/>
      </c>
      <c r="LU12" s="64">
        <f>COUNTIF(LU4:LU11,"صباح")</f>
        <v/>
      </c>
      <c r="LV12" s="64">
        <f>COUNTIF(LV4:LV11,"صباح")</f>
        <v/>
      </c>
      <c r="LW12" s="64">
        <f>COUNTIF(LW4:LW11,"صباح")</f>
        <v/>
      </c>
      <c r="LX12" s="64">
        <f>COUNTIF(LX4:LX11,"صباح")</f>
        <v/>
      </c>
      <c r="LY12" s="64">
        <f>COUNTIF(LY4:LY11,"صباح")</f>
        <v/>
      </c>
      <c r="LZ12" s="64">
        <f>COUNTIF(LZ4:LZ11,"صباح")</f>
        <v/>
      </c>
      <c r="MA12" s="64">
        <f>COUNTIF(MA4:MA11,"صباح")</f>
        <v/>
      </c>
      <c r="MB12" s="64">
        <f>COUNTIF(MB4:MB11,"صباح")</f>
        <v/>
      </c>
      <c r="MC12" s="64">
        <f>COUNTIF(MC4:MC11,"صباح")</f>
        <v/>
      </c>
      <c r="MD12" s="64">
        <f>COUNTIF(MD4:MD11,"صباح")</f>
        <v/>
      </c>
      <c r="ME12" s="64">
        <f>COUNTIF(ME4:ME11,"صباح")</f>
        <v/>
      </c>
      <c r="MF12" s="64">
        <f>COUNTIF(MF4:MF11,"صباح")</f>
        <v/>
      </c>
      <c r="MG12" s="64">
        <f>COUNTIF(MG4:MG11,"صباح")</f>
        <v/>
      </c>
      <c r="MH12" s="64">
        <f>COUNTIF(MH4:MH11,"صباح")</f>
        <v/>
      </c>
      <c r="MI12" s="64">
        <f>COUNTIF(MI4:MI11,"صباح")</f>
        <v/>
      </c>
      <c r="MJ12" s="64">
        <f>COUNTIF(MJ4:MJ11,"صباح")</f>
        <v/>
      </c>
      <c r="MK12" s="64">
        <f>COUNTIF(MK4:MK11,"صباح")</f>
        <v/>
      </c>
      <c r="ML12" s="64">
        <f>COUNTIF(ML4:ML11,"صباح")</f>
        <v/>
      </c>
      <c r="MM12" s="64">
        <f>COUNTIF(MM4:MM11,"صباح")</f>
        <v/>
      </c>
      <c r="MN12" s="64">
        <f>COUNTIF(MN4:MN11,"صباح")</f>
        <v/>
      </c>
      <c r="MO12" s="64">
        <f>COUNTIF(MO4:MO11,"صباح")</f>
        <v/>
      </c>
      <c r="MP12" s="64">
        <f>COUNTIF(MP4:MP11,"صباح")</f>
        <v/>
      </c>
      <c r="MQ12" s="64">
        <f>COUNTIF(MQ4:MQ11,"صباح")</f>
        <v/>
      </c>
      <c r="MR12" s="64">
        <f>COUNTIF(MR4:MR11,"صباح")</f>
        <v/>
      </c>
      <c r="MS12" s="64">
        <f>COUNTIF(MS4:MS11,"صباح")</f>
        <v/>
      </c>
      <c r="MT12" s="64">
        <f>COUNTIF(MT4:MT11,"صباح")</f>
        <v/>
      </c>
      <c r="MU12" s="64">
        <f>COUNTIF(MU4:MU11,"صباح")</f>
        <v/>
      </c>
      <c r="MV12" s="64">
        <f>COUNTIF(MV4:MV11,"صباح")</f>
        <v/>
      </c>
      <c r="MW12" s="64">
        <f>COUNTIF(MW4:MW11,"صباح")</f>
        <v/>
      </c>
      <c r="MX12" s="64">
        <f>COUNTIF(MX4:MX11,"صباح")</f>
        <v/>
      </c>
      <c r="MY12" s="64">
        <f>COUNTIF(MY4:MY11,"صباح")</f>
        <v/>
      </c>
      <c r="MZ12" s="64">
        <f>COUNTIF(MZ4:MZ11,"صباح")</f>
        <v/>
      </c>
      <c r="NA12" s="64">
        <f>COUNTIF(NA4:NA11,"صباح")</f>
        <v/>
      </c>
      <c r="NB12" s="64">
        <f>COUNTIF(NB4:NB11,"صباح")</f>
        <v/>
      </c>
      <c r="NC12" s="64">
        <f>COUNTIF(NC4:NC11,"صباح")</f>
        <v/>
      </c>
      <c r="ND12" s="64">
        <f>COUNTIF(ND4:ND11,"صباح")</f>
        <v/>
      </c>
    </row>
    <row r="13">
      <c r="B13" s="65" t="inlineStr">
        <is>
          <t>عصر</t>
        </is>
      </c>
      <c r="D13" s="64">
        <f>COUNTIF(D4:D11,"عصر")</f>
        <v/>
      </c>
      <c r="E13" s="64">
        <f>COUNTIF(E4:E11,"عصر")</f>
        <v/>
      </c>
      <c r="F13" s="64">
        <f>COUNTIF(F4:F11,"عصر")</f>
        <v/>
      </c>
      <c r="G13" s="64">
        <f>COUNTIF(G4:G11,"عصر")</f>
        <v/>
      </c>
      <c r="H13" s="64">
        <f>COUNTIF(H4:H11,"عصر")</f>
        <v/>
      </c>
      <c r="I13" s="64">
        <f>COUNTIF(I4:I11,"عصر")</f>
        <v/>
      </c>
      <c r="J13" s="64">
        <f>COUNTIF(J4:J11,"عصر")</f>
        <v/>
      </c>
      <c r="K13" s="64">
        <f>COUNTIF(K4:K11,"عصر")</f>
        <v/>
      </c>
      <c r="L13" s="64">
        <f>COUNTIF(L4:L11,"عصر")</f>
        <v/>
      </c>
      <c r="M13" s="64">
        <f>COUNTIF(M4:M11,"عصر")</f>
        <v/>
      </c>
      <c r="N13" s="64">
        <f>COUNTIF(N4:N11,"عصر")</f>
        <v/>
      </c>
      <c r="O13" s="64">
        <f>COUNTIF(O4:O11,"عصر")</f>
        <v/>
      </c>
      <c r="P13" s="64">
        <f>COUNTIF(P4:P11,"عصر")</f>
        <v/>
      </c>
      <c r="Q13" s="64">
        <f>COUNTIF(Q4:Q11,"عصر")</f>
        <v/>
      </c>
      <c r="R13" s="64">
        <f>COUNTIF(R4:R11,"عصر")</f>
        <v/>
      </c>
      <c r="S13" s="64">
        <f>COUNTIF(S4:S11,"عصر")</f>
        <v/>
      </c>
      <c r="T13" s="64">
        <f>COUNTIF(T4:T11,"عصر")</f>
        <v/>
      </c>
      <c r="U13" s="64">
        <f>COUNTIF(U4:U11,"عصر")</f>
        <v/>
      </c>
      <c r="V13" s="64">
        <f>COUNTIF(V4:V11,"عصر")</f>
        <v/>
      </c>
      <c r="W13" s="64">
        <f>COUNTIF(W4:W11,"عصر")</f>
        <v/>
      </c>
      <c r="X13" s="64">
        <f>COUNTIF(X4:X11,"عصر")</f>
        <v/>
      </c>
      <c r="Y13" s="64">
        <f>COUNTIF(Y4:Y11,"عصر")</f>
        <v/>
      </c>
      <c r="Z13" s="64">
        <f>COUNTIF(Z4:Z11,"عصر")</f>
        <v/>
      </c>
      <c r="AA13" s="64">
        <f>COUNTIF(AA4:AA11,"عصر")</f>
        <v/>
      </c>
      <c r="AB13" s="64">
        <f>COUNTIF(AB4:AB11,"عصر")</f>
        <v/>
      </c>
      <c r="AC13" s="64">
        <f>COUNTIF(AC4:AC11,"عصر")</f>
        <v/>
      </c>
      <c r="AD13" s="64">
        <f>COUNTIF(AD4:AD11,"عصر")</f>
        <v/>
      </c>
      <c r="AE13" s="64">
        <f>COUNTIF(AE4:AE11,"عصر")</f>
        <v/>
      </c>
      <c r="AF13" s="64">
        <f>COUNTIF(AF4:AF11,"عصر")</f>
        <v/>
      </c>
      <c r="AG13" s="64">
        <f>COUNTIF(AG4:AG11,"عصر")</f>
        <v/>
      </c>
      <c r="AH13" s="64">
        <f>COUNTIF(AH4:AH11,"عصر")</f>
        <v/>
      </c>
      <c r="AI13" s="64">
        <f>COUNTIF(AI4:AI11,"عصر")</f>
        <v/>
      </c>
      <c r="AJ13" s="64">
        <f>COUNTIF(AJ4:AJ11,"عصر")</f>
        <v/>
      </c>
      <c r="AK13" s="64">
        <f>COUNTIF(AK4:AK11,"عصر")</f>
        <v/>
      </c>
      <c r="AL13" s="64">
        <f>COUNTIF(AL4:AL11,"عصر")</f>
        <v/>
      </c>
      <c r="AM13" s="64">
        <f>COUNTIF(AM4:AM11,"عصر")</f>
        <v/>
      </c>
      <c r="AN13" s="64">
        <f>COUNTIF(AN4:AN11,"عصر")</f>
        <v/>
      </c>
      <c r="AO13" s="64">
        <f>COUNTIF(AO4:AO11,"عصر")</f>
        <v/>
      </c>
      <c r="AP13" s="64">
        <f>COUNTIF(AP4:AP11,"عصر")</f>
        <v/>
      </c>
      <c r="AQ13" s="64">
        <f>COUNTIF(AQ4:AQ11,"عصر")</f>
        <v/>
      </c>
      <c r="AR13" s="64">
        <f>COUNTIF(AR4:AR11,"عصر")</f>
        <v/>
      </c>
      <c r="AS13" s="64">
        <f>COUNTIF(AS4:AS11,"عصر")</f>
        <v/>
      </c>
      <c r="AT13" s="64">
        <f>COUNTIF(AT4:AT11,"عصر")</f>
        <v/>
      </c>
      <c r="AU13" s="64">
        <f>COUNTIF(AU4:AU11,"عصر")</f>
        <v/>
      </c>
      <c r="AV13" s="64">
        <f>COUNTIF(AV4:AV11,"عصر")</f>
        <v/>
      </c>
      <c r="AW13" s="64">
        <f>COUNTIF(AW4:AW11,"عصر")</f>
        <v/>
      </c>
      <c r="AX13" s="64">
        <f>COUNTIF(AX4:AX11,"عصر")</f>
        <v/>
      </c>
      <c r="AY13" s="64">
        <f>COUNTIF(AY4:AY11,"عصر")</f>
        <v/>
      </c>
      <c r="AZ13" s="64">
        <f>COUNTIF(AZ4:AZ11,"عصر")</f>
        <v/>
      </c>
      <c r="BA13" s="64">
        <f>COUNTIF(BA4:BA11,"عصر")</f>
        <v/>
      </c>
      <c r="BB13" s="64">
        <f>COUNTIF(BB4:BB11,"عصر")</f>
        <v/>
      </c>
      <c r="BC13" s="64">
        <f>COUNTIF(BC4:BC11,"عصر")</f>
        <v/>
      </c>
      <c r="BD13" s="64">
        <f>COUNTIF(BD4:BD11,"عصر")</f>
        <v/>
      </c>
      <c r="BE13" s="64">
        <f>COUNTIF(BE4:BE11,"عصر")</f>
        <v/>
      </c>
      <c r="BF13" s="64">
        <f>COUNTIF(BF4:BF11,"عصر")</f>
        <v/>
      </c>
      <c r="BG13" s="64">
        <f>COUNTIF(BG4:BG11,"عصر")</f>
        <v/>
      </c>
      <c r="BH13" s="64">
        <f>COUNTIF(BH4:BH11,"عصر")</f>
        <v/>
      </c>
      <c r="BI13" s="64">
        <f>COUNTIF(BI4:BI11,"عصر")</f>
        <v/>
      </c>
      <c r="BJ13" s="64">
        <f>COUNTIF(BJ4:BJ11,"عصر")</f>
        <v/>
      </c>
      <c r="BK13" s="64">
        <f>COUNTIF(BK4:BK11,"عصر")</f>
        <v/>
      </c>
      <c r="BL13" s="64">
        <f>COUNTIF(BL4:BL11,"عصر")</f>
        <v/>
      </c>
      <c r="BM13" s="64">
        <f>COUNTIF(BM4:BM11,"عصر")</f>
        <v/>
      </c>
      <c r="BN13" s="64">
        <f>COUNTIF(BN4:BN11,"عصر")</f>
        <v/>
      </c>
      <c r="BO13" s="64">
        <f>COUNTIF(BO4:BO11,"عصر")</f>
        <v/>
      </c>
      <c r="BP13" s="64">
        <f>COUNTIF(BP4:BP11,"عصر")</f>
        <v/>
      </c>
      <c r="BQ13" s="64">
        <f>COUNTIF(BQ4:BQ11,"عصر")</f>
        <v/>
      </c>
      <c r="BR13" s="64">
        <f>COUNTIF(BR4:BR11,"عصر")</f>
        <v/>
      </c>
      <c r="BS13" s="64">
        <f>COUNTIF(BS4:BS11,"عصر")</f>
        <v/>
      </c>
      <c r="BT13" s="64">
        <f>COUNTIF(BT4:BT11,"عصر")</f>
        <v/>
      </c>
      <c r="BU13" s="64">
        <f>COUNTIF(BU4:BU11,"عصر")</f>
        <v/>
      </c>
      <c r="BV13" s="64">
        <f>COUNTIF(BV4:BV11,"عصر")</f>
        <v/>
      </c>
      <c r="BW13" s="64">
        <f>COUNTIF(BW4:BW11,"عصر")</f>
        <v/>
      </c>
      <c r="BX13" s="64">
        <f>COUNTIF(BX4:BX11,"عصر")</f>
        <v/>
      </c>
      <c r="BY13" s="64">
        <f>COUNTIF(BY4:BY11,"عصر")</f>
        <v/>
      </c>
      <c r="BZ13" s="64">
        <f>COUNTIF(BZ4:BZ11,"عصر")</f>
        <v/>
      </c>
      <c r="CA13" s="64">
        <f>COUNTIF(CA4:CA11,"عصر")</f>
        <v/>
      </c>
      <c r="CB13" s="64">
        <f>COUNTIF(CB4:CB11,"عصر")</f>
        <v/>
      </c>
      <c r="CC13" s="64">
        <f>COUNTIF(CC4:CC11,"عصر")</f>
        <v/>
      </c>
      <c r="CD13" s="64">
        <f>COUNTIF(CD4:CD11,"عصر")</f>
        <v/>
      </c>
      <c r="CE13" s="64">
        <f>COUNTIF(CE4:CE11,"عصر")</f>
        <v/>
      </c>
      <c r="CF13" s="64">
        <f>COUNTIF(CF4:CF11,"عصر")</f>
        <v/>
      </c>
      <c r="CG13" s="64">
        <f>COUNTIF(CG4:CG11,"عصر")</f>
        <v/>
      </c>
      <c r="CH13" s="64">
        <f>COUNTIF(CH4:CH11,"عصر")</f>
        <v/>
      </c>
      <c r="CI13" s="64">
        <f>COUNTIF(CI4:CI11,"عصر")</f>
        <v/>
      </c>
      <c r="CJ13" s="64">
        <f>COUNTIF(CJ4:CJ11,"عصر")</f>
        <v/>
      </c>
      <c r="CK13" s="64">
        <f>COUNTIF(CK4:CK11,"عصر")</f>
        <v/>
      </c>
      <c r="CL13" s="64">
        <f>COUNTIF(CL4:CL11,"عصر")</f>
        <v/>
      </c>
      <c r="CM13" s="64">
        <f>COUNTIF(CM4:CM11,"عصر")</f>
        <v/>
      </c>
      <c r="CN13" s="64">
        <f>COUNTIF(CN4:CN11,"عصر")</f>
        <v/>
      </c>
      <c r="CO13" s="64">
        <f>COUNTIF(CO4:CO11,"عصر")</f>
        <v/>
      </c>
      <c r="CP13" s="64">
        <f>COUNTIF(CP4:CP11,"عصر")</f>
        <v/>
      </c>
      <c r="CQ13" s="64">
        <f>COUNTIF(CQ4:CQ11,"عصر")</f>
        <v/>
      </c>
      <c r="CR13" s="64">
        <f>COUNTIF(CR4:CR11,"عصر")</f>
        <v/>
      </c>
      <c r="CS13" s="64">
        <f>COUNTIF(CS4:CS11,"عصر")</f>
        <v/>
      </c>
      <c r="CT13" s="64">
        <f>COUNTIF(CT4:CT11,"عصر")</f>
        <v/>
      </c>
      <c r="CU13" s="64">
        <f>COUNTIF(CU4:CU11,"عصر")</f>
        <v/>
      </c>
      <c r="CV13" s="64">
        <f>COUNTIF(CV4:CV11,"عصر")</f>
        <v/>
      </c>
      <c r="CW13" s="64">
        <f>COUNTIF(CW4:CW11,"عصر")</f>
        <v/>
      </c>
      <c r="CX13" s="64">
        <f>COUNTIF(CX4:CX11,"عصر")</f>
        <v/>
      </c>
      <c r="CY13" s="64">
        <f>COUNTIF(CY4:CY11,"عصر")</f>
        <v/>
      </c>
      <c r="CZ13" s="64">
        <f>COUNTIF(CZ4:CZ11,"عصر")</f>
        <v/>
      </c>
      <c r="DA13" s="64">
        <f>COUNTIF(DA4:DA11,"عصر")</f>
        <v/>
      </c>
      <c r="DB13" s="64">
        <f>COUNTIF(DB4:DB11,"عصر")</f>
        <v/>
      </c>
      <c r="DC13" s="64">
        <f>COUNTIF(DC4:DC11,"عصر")</f>
        <v/>
      </c>
      <c r="DD13" s="64">
        <f>COUNTIF(DD4:DD11,"عصر")</f>
        <v/>
      </c>
      <c r="DE13" s="64">
        <f>COUNTIF(DE4:DE11,"عصر")</f>
        <v/>
      </c>
      <c r="DF13" s="64">
        <f>COUNTIF(DF4:DF11,"عصر")</f>
        <v/>
      </c>
      <c r="DG13" s="64">
        <f>COUNTIF(DG4:DG11,"عصر")</f>
        <v/>
      </c>
      <c r="DH13" s="64">
        <f>COUNTIF(DH4:DH11,"عصر")</f>
        <v/>
      </c>
      <c r="DI13" s="64">
        <f>COUNTIF(DI4:DI11,"عصر")</f>
        <v/>
      </c>
      <c r="DJ13" s="64">
        <f>COUNTIF(DJ4:DJ11,"عصر")</f>
        <v/>
      </c>
      <c r="DK13" s="64">
        <f>COUNTIF(DK4:DK11,"عصر")</f>
        <v/>
      </c>
      <c r="DL13" s="64">
        <f>COUNTIF(DL4:DL11,"عصر")</f>
        <v/>
      </c>
      <c r="DM13" s="64">
        <f>COUNTIF(DM4:DM11,"عصر")</f>
        <v/>
      </c>
      <c r="DN13" s="64">
        <f>COUNTIF(DN4:DN11,"عصر")</f>
        <v/>
      </c>
      <c r="DO13" s="64">
        <f>COUNTIF(DO4:DO11,"عصر")</f>
        <v/>
      </c>
      <c r="DP13" s="64">
        <f>COUNTIF(DP4:DP11,"عصر")</f>
        <v/>
      </c>
      <c r="DQ13" s="64">
        <f>COUNTIF(DQ4:DQ11,"عصر")</f>
        <v/>
      </c>
      <c r="DR13" s="64">
        <f>COUNTIF(DR4:DR11,"عصر")</f>
        <v/>
      </c>
      <c r="DS13" s="64">
        <f>COUNTIF(DS4:DS11,"عصر")</f>
        <v/>
      </c>
      <c r="DT13" s="64">
        <f>COUNTIF(DT4:DT11,"عصر")</f>
        <v/>
      </c>
      <c r="DU13" s="64">
        <f>COUNTIF(DU4:DU11,"عصر")</f>
        <v/>
      </c>
      <c r="DV13" s="64">
        <f>COUNTIF(DV4:DV11,"عصر")</f>
        <v/>
      </c>
      <c r="DW13" s="64">
        <f>COUNTIF(DW4:DW11,"عصر")</f>
        <v/>
      </c>
      <c r="DX13" s="64">
        <f>COUNTIF(DX4:DX11,"عصر")</f>
        <v/>
      </c>
      <c r="DY13" s="64">
        <f>COUNTIF(DY4:DY11,"عصر")</f>
        <v/>
      </c>
      <c r="DZ13" s="64">
        <f>COUNTIF(DZ4:DZ11,"عصر")</f>
        <v/>
      </c>
      <c r="EA13" s="64">
        <f>COUNTIF(EA4:EA11,"عصر")</f>
        <v/>
      </c>
      <c r="EB13" s="64">
        <f>COUNTIF(EB4:EB11,"عصر")</f>
        <v/>
      </c>
      <c r="EC13" s="64">
        <f>COUNTIF(EC4:EC11,"عصر")</f>
        <v/>
      </c>
      <c r="ED13" s="64">
        <f>COUNTIF(ED4:ED11,"عصر")</f>
        <v/>
      </c>
      <c r="EE13" s="64">
        <f>COUNTIF(EE4:EE11,"عصر")</f>
        <v/>
      </c>
      <c r="EF13" s="64">
        <f>COUNTIF(EF4:EF11,"عصر")</f>
        <v/>
      </c>
      <c r="EG13" s="64">
        <f>COUNTIF(EG4:EG11,"عصر")</f>
        <v/>
      </c>
      <c r="EH13" s="64">
        <f>COUNTIF(EH4:EH11,"عصر")</f>
        <v/>
      </c>
      <c r="EI13" s="64">
        <f>COUNTIF(EI4:EI11,"عصر")</f>
        <v/>
      </c>
      <c r="EJ13" s="64">
        <f>COUNTIF(EJ4:EJ11,"عصر")</f>
        <v/>
      </c>
      <c r="EK13" s="64">
        <f>COUNTIF(EK4:EK11,"عصر")</f>
        <v/>
      </c>
      <c r="EL13" s="64">
        <f>COUNTIF(EL4:EL11,"عصر")</f>
        <v/>
      </c>
      <c r="EM13" s="64">
        <f>COUNTIF(EM4:EM11,"عصر")</f>
        <v/>
      </c>
      <c r="EN13" s="64">
        <f>COUNTIF(EN4:EN11,"عصر")</f>
        <v/>
      </c>
      <c r="EO13" s="64">
        <f>COUNTIF(EO4:EO11,"عصر")</f>
        <v/>
      </c>
      <c r="EP13" s="64">
        <f>COUNTIF(EP4:EP11,"عصر")</f>
        <v/>
      </c>
      <c r="EQ13" s="64">
        <f>COUNTIF(EQ4:EQ11,"عصر")</f>
        <v/>
      </c>
      <c r="ER13" s="64">
        <f>COUNTIF(ER4:ER11,"عصر")</f>
        <v/>
      </c>
      <c r="ES13" s="64">
        <f>COUNTIF(ES4:ES11,"عصر")</f>
        <v/>
      </c>
      <c r="ET13" s="64">
        <f>COUNTIF(ET4:ET11,"عصر")</f>
        <v/>
      </c>
      <c r="EU13" s="64">
        <f>COUNTIF(EU4:EU11,"عصر")</f>
        <v/>
      </c>
      <c r="EV13" s="64">
        <f>COUNTIF(EV4:EV11,"عصر")</f>
        <v/>
      </c>
      <c r="EW13" s="64">
        <f>COUNTIF(EW4:EW11,"عصر")</f>
        <v/>
      </c>
      <c r="EX13" s="64">
        <f>COUNTIF(EX4:EX11,"عصر")</f>
        <v/>
      </c>
      <c r="EY13" s="64">
        <f>COUNTIF(EY4:EY11,"عصر")</f>
        <v/>
      </c>
      <c r="EZ13" s="64">
        <f>COUNTIF(EZ4:EZ11,"عصر")</f>
        <v/>
      </c>
      <c r="FA13" s="64">
        <f>COUNTIF(FA4:FA11,"عصر")</f>
        <v/>
      </c>
      <c r="FB13" s="64">
        <f>COUNTIF(FB4:FB11,"عصر")</f>
        <v/>
      </c>
      <c r="FC13" s="64">
        <f>COUNTIF(FC4:FC11,"عصر")</f>
        <v/>
      </c>
      <c r="FD13" s="64">
        <f>COUNTIF(FD4:FD11,"عصر")</f>
        <v/>
      </c>
      <c r="FE13" s="64">
        <f>COUNTIF(FE4:FE11,"عصر")</f>
        <v/>
      </c>
      <c r="FF13" s="64">
        <f>COUNTIF(FF4:FF11,"عصر")</f>
        <v/>
      </c>
      <c r="FG13" s="64">
        <f>COUNTIF(FG4:FG11,"عصر")</f>
        <v/>
      </c>
      <c r="FH13" s="64">
        <f>COUNTIF(FH4:FH11,"عصر")</f>
        <v/>
      </c>
      <c r="FI13" s="64">
        <f>COUNTIF(FI4:FI11,"عصر")</f>
        <v/>
      </c>
      <c r="FJ13" s="64">
        <f>COUNTIF(FJ4:FJ11,"عصر")</f>
        <v/>
      </c>
      <c r="FK13" s="64">
        <f>COUNTIF(FK4:FK11,"عصر")</f>
        <v/>
      </c>
      <c r="FL13" s="64">
        <f>COUNTIF(FL4:FL11,"عصر")</f>
        <v/>
      </c>
      <c r="FM13" s="64">
        <f>COUNTIF(FM4:FM11,"عصر")</f>
        <v/>
      </c>
      <c r="FN13" s="64">
        <f>COUNTIF(FN4:FN11,"عصر")</f>
        <v/>
      </c>
      <c r="FO13" s="64">
        <f>COUNTIF(FO4:FO11,"عصر")</f>
        <v/>
      </c>
      <c r="FP13" s="64">
        <f>COUNTIF(FP4:FP11,"عصر")</f>
        <v/>
      </c>
      <c r="FQ13" s="64">
        <f>COUNTIF(FQ4:FQ11,"عصر")</f>
        <v/>
      </c>
      <c r="FR13" s="64">
        <f>COUNTIF(FR4:FR11,"عصر")</f>
        <v/>
      </c>
      <c r="FS13" s="64">
        <f>COUNTIF(FS4:FS11,"عصر")</f>
        <v/>
      </c>
      <c r="FT13" s="64">
        <f>COUNTIF(FT4:FT11,"عصر")</f>
        <v/>
      </c>
      <c r="FU13" s="64">
        <f>COUNTIF(FU4:FU11,"عصر")</f>
        <v/>
      </c>
      <c r="FV13" s="64">
        <f>COUNTIF(FV4:FV11,"عصر")</f>
        <v/>
      </c>
      <c r="FW13" s="64">
        <f>COUNTIF(FW4:FW11,"عصر")</f>
        <v/>
      </c>
      <c r="FX13" s="64">
        <f>COUNTIF(FX4:FX11,"عصر")</f>
        <v/>
      </c>
      <c r="FY13" s="64">
        <f>COUNTIF(FY4:FY11,"عصر")</f>
        <v/>
      </c>
      <c r="FZ13" s="64">
        <f>COUNTIF(FZ4:FZ11,"عصر")</f>
        <v/>
      </c>
      <c r="GA13" s="64">
        <f>COUNTIF(GA4:GA11,"عصر")</f>
        <v/>
      </c>
      <c r="GB13" s="64">
        <f>COUNTIF(GB4:GB11,"عصر")</f>
        <v/>
      </c>
      <c r="GC13" s="64">
        <f>COUNTIF(GC4:GC11,"عصر")</f>
        <v/>
      </c>
      <c r="GD13" s="64">
        <f>COUNTIF(GD4:GD11,"عصر")</f>
        <v/>
      </c>
      <c r="GE13" s="64">
        <f>COUNTIF(GE4:GE11,"عصر")</f>
        <v/>
      </c>
      <c r="GF13" s="64">
        <f>COUNTIF(GF4:GF11,"عصر")</f>
        <v/>
      </c>
      <c r="GG13" s="64">
        <f>COUNTIF(GG4:GG11,"عصر")</f>
        <v/>
      </c>
      <c r="GH13" s="64">
        <f>COUNTIF(GH4:GH11,"عصر")</f>
        <v/>
      </c>
      <c r="GI13" s="64">
        <f>COUNTIF(GI4:GI11,"عصر")</f>
        <v/>
      </c>
      <c r="GJ13" s="64">
        <f>COUNTIF(GJ4:GJ11,"عصر")</f>
        <v/>
      </c>
      <c r="GK13" s="64">
        <f>COUNTIF(GK4:GK11,"عصر")</f>
        <v/>
      </c>
      <c r="GL13" s="64">
        <f>COUNTIF(GL4:GL11,"عصر")</f>
        <v/>
      </c>
      <c r="GM13" s="64">
        <f>COUNTIF(GM4:GM11,"عصر")</f>
        <v/>
      </c>
      <c r="GN13" s="64">
        <f>COUNTIF(GN4:GN11,"عصر")</f>
        <v/>
      </c>
      <c r="GO13" s="64">
        <f>COUNTIF(GO4:GO11,"عصر")</f>
        <v/>
      </c>
      <c r="GP13" s="64">
        <f>COUNTIF(GP4:GP11,"عصر")</f>
        <v/>
      </c>
      <c r="GQ13" s="64">
        <f>COUNTIF(GQ4:GQ11,"عصر")</f>
        <v/>
      </c>
      <c r="GR13" s="64">
        <f>COUNTIF(GR4:GR11,"عصر")</f>
        <v/>
      </c>
      <c r="GS13" s="64">
        <f>COUNTIF(GS4:GS11,"عصر")</f>
        <v/>
      </c>
      <c r="GT13" s="64">
        <f>COUNTIF(GT4:GT11,"عصر")</f>
        <v/>
      </c>
      <c r="GU13" s="64">
        <f>COUNTIF(GU4:GU11,"عصر")</f>
        <v/>
      </c>
      <c r="GV13" s="64">
        <f>COUNTIF(GV4:GV11,"عصر")</f>
        <v/>
      </c>
      <c r="GW13" s="64">
        <f>COUNTIF(GW4:GW11,"عصر")</f>
        <v/>
      </c>
      <c r="GX13" s="64">
        <f>COUNTIF(GX4:GX11,"عصر")</f>
        <v/>
      </c>
      <c r="GY13" s="64">
        <f>COUNTIF(GY4:GY11,"عصر")</f>
        <v/>
      </c>
      <c r="GZ13" s="64">
        <f>COUNTIF(GZ4:GZ11,"عصر")</f>
        <v/>
      </c>
      <c r="HA13" s="64">
        <f>COUNTIF(HA4:HA11,"عصر")</f>
        <v/>
      </c>
      <c r="HB13" s="64">
        <f>COUNTIF(HB4:HB11,"عصر")</f>
        <v/>
      </c>
      <c r="HC13" s="64">
        <f>COUNTIF(HC4:HC11,"عصر")</f>
        <v/>
      </c>
      <c r="HD13" s="64">
        <f>COUNTIF(HD4:HD11,"عصر")</f>
        <v/>
      </c>
      <c r="HE13" s="64">
        <f>COUNTIF(HE4:HE11,"عصر")</f>
        <v/>
      </c>
      <c r="HF13" s="64">
        <f>COUNTIF(HF4:HF11,"عصر")</f>
        <v/>
      </c>
      <c r="HG13" s="64">
        <f>COUNTIF(HG4:HG11,"عصر")</f>
        <v/>
      </c>
      <c r="HH13" s="64">
        <f>COUNTIF(HH4:HH11,"عصر")</f>
        <v/>
      </c>
      <c r="HI13" s="64">
        <f>COUNTIF(HI4:HI11,"عصر")</f>
        <v/>
      </c>
      <c r="HJ13" s="64">
        <f>COUNTIF(HJ4:HJ11,"عصر")</f>
        <v/>
      </c>
      <c r="HK13" s="64">
        <f>COUNTIF(HK4:HK11,"عصر")</f>
        <v/>
      </c>
      <c r="HL13" s="64">
        <f>COUNTIF(HL4:HL11,"عصر")</f>
        <v/>
      </c>
      <c r="HM13" s="64">
        <f>COUNTIF(HM4:HM11,"عصر")</f>
        <v/>
      </c>
      <c r="HN13" s="64">
        <f>COUNTIF(HN4:HN11,"عصر")</f>
        <v/>
      </c>
      <c r="HO13" s="64">
        <f>COUNTIF(HO4:HO11,"عصر")</f>
        <v/>
      </c>
      <c r="HP13" s="64">
        <f>COUNTIF(HP4:HP11,"عصر")</f>
        <v/>
      </c>
      <c r="HQ13" s="64">
        <f>COUNTIF(HQ4:HQ11,"عصر")</f>
        <v/>
      </c>
      <c r="HR13" s="64">
        <f>COUNTIF(HR4:HR11,"عصر")</f>
        <v/>
      </c>
      <c r="HS13" s="64">
        <f>COUNTIF(HS4:HS11,"عصر")</f>
        <v/>
      </c>
      <c r="HT13" s="64">
        <f>COUNTIF(HT4:HT11,"عصر")</f>
        <v/>
      </c>
      <c r="HU13" s="64">
        <f>COUNTIF(HU4:HU11,"عصر")</f>
        <v/>
      </c>
      <c r="HV13" s="64">
        <f>COUNTIF(HV4:HV11,"عصر")</f>
        <v/>
      </c>
      <c r="HW13" s="64">
        <f>COUNTIF(HW4:HW11,"عصر")</f>
        <v/>
      </c>
      <c r="HX13" s="64">
        <f>COUNTIF(HX4:HX11,"عصر")</f>
        <v/>
      </c>
      <c r="HY13" s="64">
        <f>COUNTIF(HY4:HY11,"عصر")</f>
        <v/>
      </c>
      <c r="HZ13" s="64">
        <f>COUNTIF(HZ4:HZ11,"عصر")</f>
        <v/>
      </c>
      <c r="IA13" s="64">
        <f>COUNTIF(IA4:IA11,"عصر")</f>
        <v/>
      </c>
      <c r="IB13" s="64">
        <f>COUNTIF(IB4:IB11,"عصر")</f>
        <v/>
      </c>
      <c r="IC13" s="64">
        <f>COUNTIF(IC4:IC11,"عصر")</f>
        <v/>
      </c>
      <c r="ID13" s="64">
        <f>COUNTIF(ID4:ID11,"عصر")</f>
        <v/>
      </c>
      <c r="IE13" s="64">
        <f>COUNTIF(IE4:IE11,"عصر")</f>
        <v/>
      </c>
      <c r="IF13" s="64">
        <f>COUNTIF(IF4:IF11,"عصر")</f>
        <v/>
      </c>
      <c r="IG13" s="64">
        <f>COUNTIF(IG4:IG11,"عصر")</f>
        <v/>
      </c>
      <c r="IH13" s="64">
        <f>COUNTIF(IH4:IH11,"عصر")</f>
        <v/>
      </c>
      <c r="II13" s="64">
        <f>COUNTIF(II4:II11,"عصر")</f>
        <v/>
      </c>
      <c r="IJ13" s="64">
        <f>COUNTIF(IJ4:IJ11,"عصر")</f>
        <v/>
      </c>
      <c r="IK13" s="64">
        <f>COUNTIF(IK4:IK11,"عصر")</f>
        <v/>
      </c>
      <c r="IL13" s="64">
        <f>COUNTIF(IL4:IL11,"عصر")</f>
        <v/>
      </c>
      <c r="IM13" s="64">
        <f>COUNTIF(IM4:IM11,"عصر")</f>
        <v/>
      </c>
      <c r="IN13" s="64">
        <f>COUNTIF(IN4:IN11,"عصر")</f>
        <v/>
      </c>
      <c r="IO13" s="64">
        <f>COUNTIF(IO4:IO11,"عصر")</f>
        <v/>
      </c>
      <c r="IP13" s="64">
        <f>COUNTIF(IP4:IP11,"عصر")</f>
        <v/>
      </c>
      <c r="IQ13" s="64">
        <f>COUNTIF(IQ4:IQ11,"عصر")</f>
        <v/>
      </c>
      <c r="IR13" s="64">
        <f>COUNTIF(IR4:IR11,"عصر")</f>
        <v/>
      </c>
      <c r="IS13" s="64">
        <f>COUNTIF(IS4:IS11,"عصر")</f>
        <v/>
      </c>
      <c r="IT13" s="64">
        <f>COUNTIF(IT4:IT11,"عصر")</f>
        <v/>
      </c>
      <c r="IU13" s="64">
        <f>COUNTIF(IU4:IU11,"عصر")</f>
        <v/>
      </c>
      <c r="IV13" s="64">
        <f>COUNTIF(IV4:IV11,"عصر")</f>
        <v/>
      </c>
      <c r="IW13" s="64">
        <f>COUNTIF(IW4:IW11,"عصر")</f>
        <v/>
      </c>
      <c r="IX13" s="64">
        <f>COUNTIF(IX4:IX11,"عصر")</f>
        <v/>
      </c>
      <c r="IY13" s="64">
        <f>COUNTIF(IY4:IY11,"عصر")</f>
        <v/>
      </c>
      <c r="IZ13" s="64">
        <f>COUNTIF(IZ4:IZ11,"عصر")</f>
        <v/>
      </c>
      <c r="JA13" s="64">
        <f>COUNTIF(JA4:JA11,"عصر")</f>
        <v/>
      </c>
      <c r="JB13" s="64">
        <f>COUNTIF(JB4:JB11,"عصر")</f>
        <v/>
      </c>
      <c r="JC13" s="64">
        <f>COUNTIF(JC4:JC11,"عصر")</f>
        <v/>
      </c>
      <c r="JD13" s="64">
        <f>COUNTIF(JD4:JD11,"عصر")</f>
        <v/>
      </c>
      <c r="JE13" s="64">
        <f>COUNTIF(JE4:JE11,"عصر")</f>
        <v/>
      </c>
      <c r="JF13" s="64">
        <f>COUNTIF(JF4:JF11,"عصر")</f>
        <v/>
      </c>
      <c r="JG13" s="64">
        <f>COUNTIF(JG4:JG11,"عصر")</f>
        <v/>
      </c>
      <c r="JH13" s="64">
        <f>COUNTIF(JH4:JH11,"عصر")</f>
        <v/>
      </c>
      <c r="JI13" s="64">
        <f>COUNTIF(JI4:JI11,"عصر")</f>
        <v/>
      </c>
      <c r="JJ13" s="64">
        <f>COUNTIF(JJ4:JJ11,"عصر")</f>
        <v/>
      </c>
      <c r="JK13" s="64">
        <f>COUNTIF(JK4:JK11,"عصر")</f>
        <v/>
      </c>
      <c r="JL13" s="64">
        <f>COUNTIF(JL4:JL11,"عصر")</f>
        <v/>
      </c>
      <c r="JM13" s="64">
        <f>COUNTIF(JM4:JM11,"عصر")</f>
        <v/>
      </c>
      <c r="JN13" s="64">
        <f>COUNTIF(JN4:JN11,"عصر")</f>
        <v/>
      </c>
      <c r="JO13" s="64">
        <f>COUNTIF(JO4:JO11,"عصر")</f>
        <v/>
      </c>
      <c r="JP13" s="64">
        <f>COUNTIF(JP4:JP11,"عصر")</f>
        <v/>
      </c>
      <c r="JQ13" s="64">
        <f>COUNTIF(JQ4:JQ11,"عصر")</f>
        <v/>
      </c>
      <c r="JR13" s="64">
        <f>COUNTIF(JR4:JR11,"عصر")</f>
        <v/>
      </c>
      <c r="JS13" s="64">
        <f>COUNTIF(JS4:JS11,"عصر")</f>
        <v/>
      </c>
      <c r="JT13" s="64">
        <f>COUNTIF(JT4:JT11,"عصر")</f>
        <v/>
      </c>
      <c r="JU13" s="64">
        <f>COUNTIF(JU4:JU11,"عصر")</f>
        <v/>
      </c>
      <c r="JV13" s="64">
        <f>COUNTIF(JV4:JV11,"عصر")</f>
        <v/>
      </c>
      <c r="JW13" s="64">
        <f>COUNTIF(JW4:JW11,"عصر")</f>
        <v/>
      </c>
      <c r="JX13" s="64">
        <f>COUNTIF(JX4:JX11,"عصر")</f>
        <v/>
      </c>
      <c r="JY13" s="64">
        <f>COUNTIF(JY4:JY11,"عصر")</f>
        <v/>
      </c>
      <c r="JZ13" s="64">
        <f>COUNTIF(JZ4:JZ11,"عصر")</f>
        <v/>
      </c>
      <c r="KA13" s="64">
        <f>COUNTIF(KA4:KA11,"عصر")</f>
        <v/>
      </c>
      <c r="KB13" s="64">
        <f>COUNTIF(KB4:KB11,"عصر")</f>
        <v/>
      </c>
      <c r="KC13" s="64">
        <f>COUNTIF(KC4:KC11,"عصر")</f>
        <v/>
      </c>
      <c r="KD13" s="64">
        <f>COUNTIF(KD4:KD11,"عصر")</f>
        <v/>
      </c>
      <c r="KE13" s="64">
        <f>COUNTIF(KE4:KE11,"عصر")</f>
        <v/>
      </c>
      <c r="KF13" s="64">
        <f>COUNTIF(KF4:KF11,"عصر")</f>
        <v/>
      </c>
      <c r="KG13" s="64">
        <f>COUNTIF(KG4:KG11,"عصر")</f>
        <v/>
      </c>
      <c r="KH13" s="64">
        <f>COUNTIF(KH4:KH11,"عصر")</f>
        <v/>
      </c>
      <c r="KI13" s="64">
        <f>COUNTIF(KI4:KI11,"عصر")</f>
        <v/>
      </c>
      <c r="KJ13" s="64">
        <f>COUNTIF(KJ4:KJ11,"عصر")</f>
        <v/>
      </c>
      <c r="KK13" s="64">
        <f>COUNTIF(KK4:KK11,"عصر")</f>
        <v/>
      </c>
      <c r="KL13" s="64">
        <f>COUNTIF(KL4:KL11,"عصر")</f>
        <v/>
      </c>
      <c r="KM13" s="64">
        <f>COUNTIF(KM4:KM11,"عصر")</f>
        <v/>
      </c>
      <c r="KN13" s="64">
        <f>COUNTIF(KN4:KN11,"عصر")</f>
        <v/>
      </c>
      <c r="KO13" s="64">
        <f>COUNTIF(KO4:KO11,"عصر")</f>
        <v/>
      </c>
      <c r="KP13" s="64">
        <f>COUNTIF(KP4:KP11,"عصر")</f>
        <v/>
      </c>
      <c r="KQ13" s="64">
        <f>COUNTIF(KQ4:KQ11,"عصر")</f>
        <v/>
      </c>
      <c r="KR13" s="64">
        <f>COUNTIF(KR4:KR11,"عصر")</f>
        <v/>
      </c>
      <c r="KS13" s="64">
        <f>COUNTIF(KS4:KS11,"عصر")</f>
        <v/>
      </c>
      <c r="KT13" s="64">
        <f>COUNTIF(KT4:KT11,"عصر")</f>
        <v/>
      </c>
      <c r="KU13" s="64">
        <f>COUNTIF(KU4:KU11,"عصر")</f>
        <v/>
      </c>
      <c r="KV13" s="64">
        <f>COUNTIF(KV4:KV11,"عصر")</f>
        <v/>
      </c>
      <c r="KW13" s="64">
        <f>COUNTIF(KW4:KW11,"عصر")</f>
        <v/>
      </c>
      <c r="KX13" s="64">
        <f>COUNTIF(KX4:KX11,"عصر")</f>
        <v/>
      </c>
      <c r="KY13" s="64">
        <f>COUNTIF(KY4:KY11,"عصر")</f>
        <v/>
      </c>
      <c r="KZ13" s="64">
        <f>COUNTIF(KZ4:KZ11,"عصر")</f>
        <v/>
      </c>
      <c r="LA13" s="64">
        <f>COUNTIF(LA4:LA11,"عصر")</f>
        <v/>
      </c>
      <c r="LB13" s="64">
        <f>COUNTIF(LB4:LB11,"عصر")</f>
        <v/>
      </c>
      <c r="LC13" s="64">
        <f>COUNTIF(LC4:LC11,"عصر")</f>
        <v/>
      </c>
      <c r="LD13" s="64">
        <f>COUNTIF(LD4:LD11,"عصر")</f>
        <v/>
      </c>
      <c r="LE13" s="64">
        <f>COUNTIF(LE4:LE11,"عصر")</f>
        <v/>
      </c>
      <c r="LF13" s="64">
        <f>COUNTIF(LF4:LF11,"عصر")</f>
        <v/>
      </c>
      <c r="LG13" s="64">
        <f>COUNTIF(LG4:LG11,"عصر")</f>
        <v/>
      </c>
      <c r="LH13" s="64">
        <f>COUNTIF(LH4:LH11,"عصر")</f>
        <v/>
      </c>
      <c r="LI13" s="64">
        <f>COUNTIF(LI4:LI11,"عصر")</f>
        <v/>
      </c>
      <c r="LJ13" s="64">
        <f>COUNTIF(LJ4:LJ11,"عصر")</f>
        <v/>
      </c>
      <c r="LK13" s="64">
        <f>COUNTIF(LK4:LK11,"عصر")</f>
        <v/>
      </c>
      <c r="LL13" s="64">
        <f>COUNTIF(LL4:LL11,"عصر")</f>
        <v/>
      </c>
      <c r="LM13" s="64">
        <f>COUNTIF(LM4:LM11,"عصر")</f>
        <v/>
      </c>
      <c r="LN13" s="64">
        <f>COUNTIF(LN4:LN11,"عصر")</f>
        <v/>
      </c>
      <c r="LO13" s="64">
        <f>COUNTIF(LO4:LO11,"عصر")</f>
        <v/>
      </c>
      <c r="LP13" s="64">
        <f>COUNTIF(LP4:LP11,"عصر")</f>
        <v/>
      </c>
      <c r="LQ13" s="64">
        <f>COUNTIF(LQ4:LQ11,"عصر")</f>
        <v/>
      </c>
      <c r="LR13" s="64">
        <f>COUNTIF(LR4:LR11,"عصر")</f>
        <v/>
      </c>
      <c r="LS13" s="64">
        <f>COUNTIF(LS4:LS11,"عصر")</f>
        <v/>
      </c>
      <c r="LT13" s="64">
        <f>COUNTIF(LT4:LT11,"عصر")</f>
        <v/>
      </c>
      <c r="LU13" s="64">
        <f>COUNTIF(LU4:LU11,"عصر")</f>
        <v/>
      </c>
      <c r="LV13" s="64">
        <f>COUNTIF(LV4:LV11,"عصر")</f>
        <v/>
      </c>
      <c r="LW13" s="64">
        <f>COUNTIF(LW4:LW11,"عصر")</f>
        <v/>
      </c>
      <c r="LX13" s="64">
        <f>COUNTIF(LX4:LX11,"عصر")</f>
        <v/>
      </c>
      <c r="LY13" s="64">
        <f>COUNTIF(LY4:LY11,"عصر")</f>
        <v/>
      </c>
      <c r="LZ13" s="64">
        <f>COUNTIF(LZ4:LZ11,"عصر")</f>
        <v/>
      </c>
      <c r="MA13" s="64">
        <f>COUNTIF(MA4:MA11,"عصر")</f>
        <v/>
      </c>
      <c r="MB13" s="64">
        <f>COUNTIF(MB4:MB11,"عصر")</f>
        <v/>
      </c>
      <c r="MC13" s="64">
        <f>COUNTIF(MC4:MC11,"عصر")</f>
        <v/>
      </c>
      <c r="MD13" s="64">
        <f>COUNTIF(MD4:MD11,"عصر")</f>
        <v/>
      </c>
      <c r="ME13" s="64">
        <f>COUNTIF(ME4:ME11,"عصر")</f>
        <v/>
      </c>
      <c r="MF13" s="64">
        <f>COUNTIF(MF4:MF11,"عصر")</f>
        <v/>
      </c>
      <c r="MG13" s="64">
        <f>COUNTIF(MG4:MG11,"عصر")</f>
        <v/>
      </c>
      <c r="MH13" s="64">
        <f>COUNTIF(MH4:MH11,"عصر")</f>
        <v/>
      </c>
      <c r="MI13" s="64">
        <f>COUNTIF(MI4:MI11,"عصر")</f>
        <v/>
      </c>
      <c r="MJ13" s="64">
        <f>COUNTIF(MJ4:MJ11,"عصر")</f>
        <v/>
      </c>
      <c r="MK13" s="64">
        <f>COUNTIF(MK4:MK11,"عصر")</f>
        <v/>
      </c>
      <c r="ML13" s="64">
        <f>COUNTIF(ML4:ML11,"عصر")</f>
        <v/>
      </c>
      <c r="MM13" s="64">
        <f>COUNTIF(MM4:MM11,"عصر")</f>
        <v/>
      </c>
      <c r="MN13" s="64">
        <f>COUNTIF(MN4:MN11,"عصر")</f>
        <v/>
      </c>
      <c r="MO13" s="64">
        <f>COUNTIF(MO4:MO11,"عصر")</f>
        <v/>
      </c>
      <c r="MP13" s="64">
        <f>COUNTIF(MP4:MP11,"عصر")</f>
        <v/>
      </c>
      <c r="MQ13" s="64">
        <f>COUNTIF(MQ4:MQ11,"عصر")</f>
        <v/>
      </c>
      <c r="MR13" s="64">
        <f>COUNTIF(MR4:MR11,"عصر")</f>
        <v/>
      </c>
      <c r="MS13" s="64">
        <f>COUNTIF(MS4:MS11,"عصر")</f>
        <v/>
      </c>
      <c r="MT13" s="64">
        <f>COUNTIF(MT4:MT11,"عصر")</f>
        <v/>
      </c>
      <c r="MU13" s="64">
        <f>COUNTIF(MU4:MU11,"عصر")</f>
        <v/>
      </c>
      <c r="MV13" s="64">
        <f>COUNTIF(MV4:MV11,"عصر")</f>
        <v/>
      </c>
      <c r="MW13" s="64">
        <f>COUNTIF(MW4:MW11,"عصر")</f>
        <v/>
      </c>
      <c r="MX13" s="64">
        <f>COUNTIF(MX4:MX11,"عصر")</f>
        <v/>
      </c>
      <c r="MY13" s="64">
        <f>COUNTIF(MY4:MY11,"عصر")</f>
        <v/>
      </c>
      <c r="MZ13" s="64">
        <f>COUNTIF(MZ4:MZ11,"عصر")</f>
        <v/>
      </c>
      <c r="NA13" s="64">
        <f>COUNTIF(NA4:NA11,"عصر")</f>
        <v/>
      </c>
      <c r="NB13" s="64">
        <f>COUNTIF(NB4:NB11,"عصر")</f>
        <v/>
      </c>
      <c r="NC13" s="64">
        <f>COUNTIF(NC4:NC11,"عصر")</f>
        <v/>
      </c>
      <c r="ND13" s="64">
        <f>COUNTIF(ND4:ND11,"عصر")</f>
        <v/>
      </c>
    </row>
    <row r="14">
      <c r="B14" s="66" t="inlineStr">
        <is>
          <t>ليل</t>
        </is>
      </c>
      <c r="D14" s="64">
        <f>COUNTIF(D4:D11,"ليل")</f>
        <v/>
      </c>
      <c r="E14" s="64">
        <f>COUNTIF(E4:E11,"ليل")</f>
        <v/>
      </c>
      <c r="F14" s="64">
        <f>COUNTIF(F4:F11,"ليل")</f>
        <v/>
      </c>
      <c r="G14" s="64">
        <f>COUNTIF(G4:G11,"ليل")</f>
        <v/>
      </c>
      <c r="H14" s="64">
        <f>COUNTIF(H4:H11,"ليل")</f>
        <v/>
      </c>
      <c r="I14" s="64">
        <f>COUNTIF(I4:I11,"ليل")</f>
        <v/>
      </c>
      <c r="J14" s="64">
        <f>COUNTIF(J4:J11,"ليل")</f>
        <v/>
      </c>
      <c r="K14" s="64">
        <f>COUNTIF(K4:K11,"ليل")</f>
        <v/>
      </c>
      <c r="L14" s="64">
        <f>COUNTIF(L4:L11,"ليل")</f>
        <v/>
      </c>
      <c r="M14" s="64">
        <f>COUNTIF(M4:M11,"ليل")</f>
        <v/>
      </c>
      <c r="N14" s="64">
        <f>COUNTIF(N4:N11,"ليل")</f>
        <v/>
      </c>
      <c r="O14" s="64">
        <f>COUNTIF(O4:O11,"ليل")</f>
        <v/>
      </c>
      <c r="P14" s="64">
        <f>COUNTIF(P4:P11,"ليل")</f>
        <v/>
      </c>
      <c r="Q14" s="64">
        <f>COUNTIF(Q4:Q11,"ليل")</f>
        <v/>
      </c>
      <c r="R14" s="64">
        <f>COUNTIF(R4:R11,"ليل")</f>
        <v/>
      </c>
      <c r="S14" s="64">
        <f>COUNTIF(S4:S11,"ليل")</f>
        <v/>
      </c>
      <c r="T14" s="64">
        <f>COUNTIF(T4:T11,"ليل")</f>
        <v/>
      </c>
      <c r="U14" s="64">
        <f>COUNTIF(U4:U11,"ليل")</f>
        <v/>
      </c>
      <c r="V14" s="64">
        <f>COUNTIF(V4:V11,"ليل")</f>
        <v/>
      </c>
      <c r="W14" s="64">
        <f>COUNTIF(W4:W11,"ليل")</f>
        <v/>
      </c>
      <c r="X14" s="64">
        <f>COUNTIF(X4:X11,"ليل")</f>
        <v/>
      </c>
      <c r="Y14" s="64">
        <f>COUNTIF(Y4:Y11,"ليل")</f>
        <v/>
      </c>
      <c r="Z14" s="64">
        <f>COUNTIF(Z4:Z11,"ليل")</f>
        <v/>
      </c>
      <c r="AA14" s="64">
        <f>COUNTIF(AA4:AA11,"ليل")</f>
        <v/>
      </c>
      <c r="AB14" s="64">
        <f>COUNTIF(AB4:AB11,"ليل")</f>
        <v/>
      </c>
      <c r="AC14" s="64">
        <f>COUNTIF(AC4:AC11,"ليل")</f>
        <v/>
      </c>
      <c r="AD14" s="64">
        <f>COUNTIF(AD4:AD11,"ليل")</f>
        <v/>
      </c>
      <c r="AE14" s="64">
        <f>COUNTIF(AE4:AE11,"ليل")</f>
        <v/>
      </c>
      <c r="AF14" s="64">
        <f>COUNTIF(AF4:AF11,"ليل")</f>
        <v/>
      </c>
      <c r="AG14" s="64">
        <f>COUNTIF(AG4:AG11,"ليل")</f>
        <v/>
      </c>
      <c r="AH14" s="64">
        <f>COUNTIF(AH4:AH11,"ليل")</f>
        <v/>
      </c>
      <c r="AI14" s="64">
        <f>COUNTIF(AI4:AI11,"ليل")</f>
        <v/>
      </c>
      <c r="AJ14" s="64">
        <f>COUNTIF(AJ4:AJ11,"ليل")</f>
        <v/>
      </c>
      <c r="AK14" s="64">
        <f>COUNTIF(AK4:AK11,"ليل")</f>
        <v/>
      </c>
      <c r="AL14" s="64">
        <f>COUNTIF(AL4:AL11,"ليل")</f>
        <v/>
      </c>
      <c r="AM14" s="64">
        <f>COUNTIF(AM4:AM11,"ليل")</f>
        <v/>
      </c>
      <c r="AN14" s="64">
        <f>COUNTIF(AN4:AN11,"ليل")</f>
        <v/>
      </c>
      <c r="AO14" s="64">
        <f>COUNTIF(AO4:AO11,"ليل")</f>
        <v/>
      </c>
      <c r="AP14" s="64">
        <f>COUNTIF(AP4:AP11,"ليل")</f>
        <v/>
      </c>
      <c r="AQ14" s="64">
        <f>COUNTIF(AQ4:AQ11,"ليل")</f>
        <v/>
      </c>
      <c r="AR14" s="64">
        <f>COUNTIF(AR4:AR11,"ليل")</f>
        <v/>
      </c>
      <c r="AS14" s="64">
        <f>COUNTIF(AS4:AS11,"ليل")</f>
        <v/>
      </c>
      <c r="AT14" s="64">
        <f>COUNTIF(AT4:AT11,"ليل")</f>
        <v/>
      </c>
      <c r="AU14" s="64">
        <f>COUNTIF(AU4:AU11,"ليل")</f>
        <v/>
      </c>
      <c r="AV14" s="64">
        <f>COUNTIF(AV4:AV11,"ليل")</f>
        <v/>
      </c>
      <c r="AW14" s="64">
        <f>COUNTIF(AW4:AW11,"ليل")</f>
        <v/>
      </c>
      <c r="AX14" s="64">
        <f>COUNTIF(AX4:AX11,"ليل")</f>
        <v/>
      </c>
      <c r="AY14" s="64">
        <f>COUNTIF(AY4:AY11,"ليل")</f>
        <v/>
      </c>
      <c r="AZ14" s="64">
        <f>COUNTIF(AZ4:AZ11,"ليل")</f>
        <v/>
      </c>
      <c r="BA14" s="64">
        <f>COUNTIF(BA4:BA11,"ليل")</f>
        <v/>
      </c>
      <c r="BB14" s="64">
        <f>COUNTIF(BB4:BB11,"ليل")</f>
        <v/>
      </c>
      <c r="BC14" s="64">
        <f>COUNTIF(BC4:BC11,"ليل")</f>
        <v/>
      </c>
      <c r="BD14" s="64">
        <f>COUNTIF(BD4:BD11,"ليل")</f>
        <v/>
      </c>
      <c r="BE14" s="64">
        <f>COUNTIF(BE4:BE11,"ليل")</f>
        <v/>
      </c>
      <c r="BF14" s="64">
        <f>COUNTIF(BF4:BF11,"ليل")</f>
        <v/>
      </c>
      <c r="BG14" s="64">
        <f>COUNTIF(BG4:BG11,"ليل")</f>
        <v/>
      </c>
      <c r="BH14" s="64">
        <f>COUNTIF(BH4:BH11,"ليل")</f>
        <v/>
      </c>
      <c r="BI14" s="64">
        <f>COUNTIF(BI4:BI11,"ليل")</f>
        <v/>
      </c>
      <c r="BJ14" s="64">
        <f>COUNTIF(BJ4:BJ11,"ليل")</f>
        <v/>
      </c>
      <c r="BK14" s="64">
        <f>COUNTIF(BK4:BK11,"ليل")</f>
        <v/>
      </c>
      <c r="BL14" s="64">
        <f>COUNTIF(BL4:BL11,"ليل")</f>
        <v/>
      </c>
      <c r="BM14" s="64">
        <f>COUNTIF(BM4:BM11,"ليل")</f>
        <v/>
      </c>
      <c r="BN14" s="64">
        <f>COUNTIF(BN4:BN11,"ليل")</f>
        <v/>
      </c>
      <c r="BO14" s="64">
        <f>COUNTIF(BO4:BO11,"ليل")</f>
        <v/>
      </c>
      <c r="BP14" s="64">
        <f>COUNTIF(BP4:BP11,"ليل")</f>
        <v/>
      </c>
      <c r="BQ14" s="64">
        <f>COUNTIF(BQ4:BQ11,"ليل")</f>
        <v/>
      </c>
      <c r="BR14" s="64">
        <f>COUNTIF(BR4:BR11,"ليل")</f>
        <v/>
      </c>
      <c r="BS14" s="64">
        <f>COUNTIF(BS4:BS11,"ليل")</f>
        <v/>
      </c>
      <c r="BT14" s="64">
        <f>COUNTIF(BT4:BT11,"ليل")</f>
        <v/>
      </c>
      <c r="BU14" s="64">
        <f>COUNTIF(BU4:BU11,"ليل")</f>
        <v/>
      </c>
      <c r="BV14" s="64">
        <f>COUNTIF(BV4:BV11,"ليل")</f>
        <v/>
      </c>
      <c r="BW14" s="64">
        <f>COUNTIF(BW4:BW11,"ليل")</f>
        <v/>
      </c>
      <c r="BX14" s="64">
        <f>COUNTIF(BX4:BX11,"ليل")</f>
        <v/>
      </c>
      <c r="BY14" s="64">
        <f>COUNTIF(BY4:BY11,"ليل")</f>
        <v/>
      </c>
      <c r="BZ14" s="64">
        <f>COUNTIF(BZ4:BZ11,"ليل")</f>
        <v/>
      </c>
      <c r="CA14" s="64">
        <f>COUNTIF(CA4:CA11,"ليل")</f>
        <v/>
      </c>
      <c r="CB14" s="64">
        <f>COUNTIF(CB4:CB11,"ليل")</f>
        <v/>
      </c>
      <c r="CC14" s="64">
        <f>COUNTIF(CC4:CC11,"ليل")</f>
        <v/>
      </c>
      <c r="CD14" s="64">
        <f>COUNTIF(CD4:CD11,"ليل")</f>
        <v/>
      </c>
      <c r="CE14" s="64">
        <f>COUNTIF(CE4:CE11,"ليل")</f>
        <v/>
      </c>
      <c r="CF14" s="64">
        <f>COUNTIF(CF4:CF11,"ليل")</f>
        <v/>
      </c>
      <c r="CG14" s="64">
        <f>COUNTIF(CG4:CG11,"ليل")</f>
        <v/>
      </c>
      <c r="CH14" s="64">
        <f>COUNTIF(CH4:CH11,"ليل")</f>
        <v/>
      </c>
      <c r="CI14" s="64">
        <f>COUNTIF(CI4:CI11,"ليل")</f>
        <v/>
      </c>
      <c r="CJ14" s="64">
        <f>COUNTIF(CJ4:CJ11,"ليل")</f>
        <v/>
      </c>
      <c r="CK14" s="64">
        <f>COUNTIF(CK4:CK11,"ليل")</f>
        <v/>
      </c>
      <c r="CL14" s="64">
        <f>COUNTIF(CL4:CL11,"ليل")</f>
        <v/>
      </c>
      <c r="CM14" s="64">
        <f>COUNTIF(CM4:CM11,"ليل")</f>
        <v/>
      </c>
      <c r="CN14" s="64">
        <f>COUNTIF(CN4:CN11,"ليل")</f>
        <v/>
      </c>
      <c r="CO14" s="64">
        <f>COUNTIF(CO4:CO11,"ليل")</f>
        <v/>
      </c>
      <c r="CP14" s="64">
        <f>COUNTIF(CP4:CP11,"ليل")</f>
        <v/>
      </c>
      <c r="CQ14" s="64">
        <f>COUNTIF(CQ4:CQ11,"ليل")</f>
        <v/>
      </c>
      <c r="CR14" s="64">
        <f>COUNTIF(CR4:CR11,"ليل")</f>
        <v/>
      </c>
      <c r="CS14" s="64">
        <f>COUNTIF(CS4:CS11,"ليل")</f>
        <v/>
      </c>
      <c r="CT14" s="64">
        <f>COUNTIF(CT4:CT11,"ليل")</f>
        <v/>
      </c>
      <c r="CU14" s="64">
        <f>COUNTIF(CU4:CU11,"ليل")</f>
        <v/>
      </c>
      <c r="CV14" s="64">
        <f>COUNTIF(CV4:CV11,"ليل")</f>
        <v/>
      </c>
      <c r="CW14" s="64">
        <f>COUNTIF(CW4:CW11,"ليل")</f>
        <v/>
      </c>
      <c r="CX14" s="64">
        <f>COUNTIF(CX4:CX11,"ليل")</f>
        <v/>
      </c>
      <c r="CY14" s="64">
        <f>COUNTIF(CY4:CY11,"ليل")</f>
        <v/>
      </c>
      <c r="CZ14" s="64">
        <f>COUNTIF(CZ4:CZ11,"ليل")</f>
        <v/>
      </c>
      <c r="DA14" s="64">
        <f>COUNTIF(DA4:DA11,"ليل")</f>
        <v/>
      </c>
      <c r="DB14" s="64">
        <f>COUNTIF(DB4:DB11,"ليل")</f>
        <v/>
      </c>
      <c r="DC14" s="64">
        <f>COUNTIF(DC4:DC11,"ليل")</f>
        <v/>
      </c>
      <c r="DD14" s="64">
        <f>COUNTIF(DD4:DD11,"ليل")</f>
        <v/>
      </c>
      <c r="DE14" s="64">
        <f>COUNTIF(DE4:DE11,"ليل")</f>
        <v/>
      </c>
      <c r="DF14" s="64">
        <f>COUNTIF(DF4:DF11,"ليل")</f>
        <v/>
      </c>
      <c r="DG14" s="64">
        <f>COUNTIF(DG4:DG11,"ليل")</f>
        <v/>
      </c>
      <c r="DH14" s="64">
        <f>COUNTIF(DH4:DH11,"ليل")</f>
        <v/>
      </c>
      <c r="DI14" s="64">
        <f>COUNTIF(DI4:DI11,"ليل")</f>
        <v/>
      </c>
      <c r="DJ14" s="64">
        <f>COUNTIF(DJ4:DJ11,"ليل")</f>
        <v/>
      </c>
      <c r="DK14" s="64">
        <f>COUNTIF(DK4:DK11,"ليل")</f>
        <v/>
      </c>
      <c r="DL14" s="64">
        <f>COUNTIF(DL4:DL11,"ليل")</f>
        <v/>
      </c>
      <c r="DM14" s="64">
        <f>COUNTIF(DM4:DM11,"ليل")</f>
        <v/>
      </c>
      <c r="DN14" s="64">
        <f>COUNTIF(DN4:DN11,"ليل")</f>
        <v/>
      </c>
      <c r="DO14" s="64">
        <f>COUNTIF(DO4:DO11,"ليل")</f>
        <v/>
      </c>
      <c r="DP14" s="64">
        <f>COUNTIF(DP4:DP11,"ليل")</f>
        <v/>
      </c>
      <c r="DQ14" s="64">
        <f>COUNTIF(DQ4:DQ11,"ليل")</f>
        <v/>
      </c>
      <c r="DR14" s="64">
        <f>COUNTIF(DR4:DR11,"ليل")</f>
        <v/>
      </c>
      <c r="DS14" s="64">
        <f>COUNTIF(DS4:DS11,"ليل")</f>
        <v/>
      </c>
      <c r="DT14" s="64">
        <f>COUNTIF(DT4:DT11,"ليل")</f>
        <v/>
      </c>
      <c r="DU14" s="64">
        <f>COUNTIF(DU4:DU11,"ليل")</f>
        <v/>
      </c>
      <c r="DV14" s="64">
        <f>COUNTIF(DV4:DV11,"ليل")</f>
        <v/>
      </c>
      <c r="DW14" s="64">
        <f>COUNTIF(DW4:DW11,"ليل")</f>
        <v/>
      </c>
      <c r="DX14" s="64">
        <f>COUNTIF(DX4:DX11,"ليل")</f>
        <v/>
      </c>
      <c r="DY14" s="64">
        <f>COUNTIF(DY4:DY11,"ليل")</f>
        <v/>
      </c>
      <c r="DZ14" s="64">
        <f>COUNTIF(DZ4:DZ11,"ليل")</f>
        <v/>
      </c>
      <c r="EA14" s="64">
        <f>COUNTIF(EA4:EA11,"ليل")</f>
        <v/>
      </c>
      <c r="EB14" s="64">
        <f>COUNTIF(EB4:EB11,"ليل")</f>
        <v/>
      </c>
      <c r="EC14" s="64">
        <f>COUNTIF(EC4:EC11,"ليل")</f>
        <v/>
      </c>
      <c r="ED14" s="64">
        <f>COUNTIF(ED4:ED11,"ليل")</f>
        <v/>
      </c>
      <c r="EE14" s="64">
        <f>COUNTIF(EE4:EE11,"ليل")</f>
        <v/>
      </c>
      <c r="EF14" s="64">
        <f>COUNTIF(EF4:EF11,"ليل")</f>
        <v/>
      </c>
      <c r="EG14" s="64">
        <f>COUNTIF(EG4:EG11,"ليل")</f>
        <v/>
      </c>
      <c r="EH14" s="64">
        <f>COUNTIF(EH4:EH11,"ليل")</f>
        <v/>
      </c>
      <c r="EI14" s="64">
        <f>COUNTIF(EI4:EI11,"ليل")</f>
        <v/>
      </c>
      <c r="EJ14" s="64">
        <f>COUNTIF(EJ4:EJ11,"ليل")</f>
        <v/>
      </c>
      <c r="EK14" s="64">
        <f>COUNTIF(EK4:EK11,"ليل")</f>
        <v/>
      </c>
      <c r="EL14" s="64">
        <f>COUNTIF(EL4:EL11,"ليل")</f>
        <v/>
      </c>
      <c r="EM14" s="64">
        <f>COUNTIF(EM4:EM11,"ليل")</f>
        <v/>
      </c>
      <c r="EN14" s="64">
        <f>COUNTIF(EN4:EN11,"ليل")</f>
        <v/>
      </c>
      <c r="EO14" s="64">
        <f>COUNTIF(EO4:EO11,"ليل")</f>
        <v/>
      </c>
      <c r="EP14" s="64">
        <f>COUNTIF(EP4:EP11,"ليل")</f>
        <v/>
      </c>
      <c r="EQ14" s="64">
        <f>COUNTIF(EQ4:EQ11,"ليل")</f>
        <v/>
      </c>
      <c r="ER14" s="64">
        <f>COUNTIF(ER4:ER11,"ليل")</f>
        <v/>
      </c>
      <c r="ES14" s="64">
        <f>COUNTIF(ES4:ES11,"ليل")</f>
        <v/>
      </c>
      <c r="ET14" s="64">
        <f>COUNTIF(ET4:ET11,"ليل")</f>
        <v/>
      </c>
      <c r="EU14" s="64">
        <f>COUNTIF(EU4:EU11,"ليل")</f>
        <v/>
      </c>
      <c r="EV14" s="64">
        <f>COUNTIF(EV4:EV11,"ليل")</f>
        <v/>
      </c>
      <c r="EW14" s="64">
        <f>COUNTIF(EW4:EW11,"ليل")</f>
        <v/>
      </c>
      <c r="EX14" s="64">
        <f>COUNTIF(EX4:EX11,"ليل")</f>
        <v/>
      </c>
      <c r="EY14" s="64">
        <f>COUNTIF(EY4:EY11,"ليل")</f>
        <v/>
      </c>
      <c r="EZ14" s="64">
        <f>COUNTIF(EZ4:EZ11,"ليل")</f>
        <v/>
      </c>
      <c r="FA14" s="64">
        <f>COUNTIF(FA4:FA11,"ليل")</f>
        <v/>
      </c>
      <c r="FB14" s="64">
        <f>COUNTIF(FB4:FB11,"ليل")</f>
        <v/>
      </c>
      <c r="FC14" s="64">
        <f>COUNTIF(FC4:FC11,"ليل")</f>
        <v/>
      </c>
      <c r="FD14" s="64">
        <f>COUNTIF(FD4:FD11,"ليل")</f>
        <v/>
      </c>
      <c r="FE14" s="64">
        <f>COUNTIF(FE4:FE11,"ليل")</f>
        <v/>
      </c>
      <c r="FF14" s="64">
        <f>COUNTIF(FF4:FF11,"ليل")</f>
        <v/>
      </c>
      <c r="FG14" s="64">
        <f>COUNTIF(FG4:FG11,"ليل")</f>
        <v/>
      </c>
      <c r="FH14" s="64">
        <f>COUNTIF(FH4:FH11,"ليل")</f>
        <v/>
      </c>
      <c r="FI14" s="64">
        <f>COUNTIF(FI4:FI11,"ليل")</f>
        <v/>
      </c>
      <c r="FJ14" s="64">
        <f>COUNTIF(FJ4:FJ11,"ليل")</f>
        <v/>
      </c>
      <c r="FK14" s="64">
        <f>COUNTIF(FK4:FK11,"ليل")</f>
        <v/>
      </c>
      <c r="FL14" s="64">
        <f>COUNTIF(FL4:FL11,"ليل")</f>
        <v/>
      </c>
      <c r="FM14" s="64">
        <f>COUNTIF(FM4:FM11,"ليل")</f>
        <v/>
      </c>
      <c r="FN14" s="64">
        <f>COUNTIF(FN4:FN11,"ليل")</f>
        <v/>
      </c>
      <c r="FO14" s="64">
        <f>COUNTIF(FO4:FO11,"ليل")</f>
        <v/>
      </c>
      <c r="FP14" s="64">
        <f>COUNTIF(FP4:FP11,"ليل")</f>
        <v/>
      </c>
      <c r="FQ14" s="64">
        <f>COUNTIF(FQ4:FQ11,"ليل")</f>
        <v/>
      </c>
      <c r="FR14" s="64">
        <f>COUNTIF(FR4:FR11,"ليل")</f>
        <v/>
      </c>
      <c r="FS14" s="64">
        <f>COUNTIF(FS4:FS11,"ليل")</f>
        <v/>
      </c>
      <c r="FT14" s="64">
        <f>COUNTIF(FT4:FT11,"ليل")</f>
        <v/>
      </c>
      <c r="FU14" s="64">
        <f>COUNTIF(FU4:FU11,"ليل")</f>
        <v/>
      </c>
      <c r="FV14" s="64">
        <f>COUNTIF(FV4:FV11,"ليل")</f>
        <v/>
      </c>
      <c r="FW14" s="64">
        <f>COUNTIF(FW4:FW11,"ليل")</f>
        <v/>
      </c>
      <c r="FX14" s="64">
        <f>COUNTIF(FX4:FX11,"ليل")</f>
        <v/>
      </c>
      <c r="FY14" s="64">
        <f>COUNTIF(FY4:FY11,"ليل")</f>
        <v/>
      </c>
      <c r="FZ14" s="64">
        <f>COUNTIF(FZ4:FZ11,"ليل")</f>
        <v/>
      </c>
      <c r="GA14" s="64">
        <f>COUNTIF(GA4:GA11,"ليل")</f>
        <v/>
      </c>
      <c r="GB14" s="64">
        <f>COUNTIF(GB4:GB11,"ليل")</f>
        <v/>
      </c>
      <c r="GC14" s="64">
        <f>COUNTIF(GC4:GC11,"ليل")</f>
        <v/>
      </c>
      <c r="GD14" s="64">
        <f>COUNTIF(GD4:GD11,"ليل")</f>
        <v/>
      </c>
      <c r="GE14" s="64">
        <f>COUNTIF(GE4:GE11,"ليل")</f>
        <v/>
      </c>
      <c r="GF14" s="64">
        <f>COUNTIF(GF4:GF11,"ليل")</f>
        <v/>
      </c>
      <c r="GG14" s="64">
        <f>COUNTIF(GG4:GG11,"ليل")</f>
        <v/>
      </c>
      <c r="GH14" s="64">
        <f>COUNTIF(GH4:GH11,"ليل")</f>
        <v/>
      </c>
      <c r="GI14" s="64">
        <f>COUNTIF(GI4:GI11,"ليل")</f>
        <v/>
      </c>
      <c r="GJ14" s="64">
        <f>COUNTIF(GJ4:GJ11,"ليل")</f>
        <v/>
      </c>
      <c r="GK14" s="64">
        <f>COUNTIF(GK4:GK11,"ليل")</f>
        <v/>
      </c>
      <c r="GL14" s="64">
        <f>COUNTIF(GL4:GL11,"ليل")</f>
        <v/>
      </c>
      <c r="GM14" s="64">
        <f>COUNTIF(GM4:GM11,"ليل")</f>
        <v/>
      </c>
      <c r="GN14" s="64">
        <f>COUNTIF(GN4:GN11,"ليل")</f>
        <v/>
      </c>
      <c r="GO14" s="64">
        <f>COUNTIF(GO4:GO11,"ليل")</f>
        <v/>
      </c>
      <c r="GP14" s="64">
        <f>COUNTIF(GP4:GP11,"ليل")</f>
        <v/>
      </c>
      <c r="GQ14" s="64">
        <f>COUNTIF(GQ4:GQ11,"ليل")</f>
        <v/>
      </c>
      <c r="GR14" s="64">
        <f>COUNTIF(GR4:GR11,"ليل")</f>
        <v/>
      </c>
      <c r="GS14" s="64">
        <f>COUNTIF(GS4:GS11,"ليل")</f>
        <v/>
      </c>
      <c r="GT14" s="64">
        <f>COUNTIF(GT4:GT11,"ليل")</f>
        <v/>
      </c>
      <c r="GU14" s="64">
        <f>COUNTIF(GU4:GU11,"ليل")</f>
        <v/>
      </c>
      <c r="GV14" s="64">
        <f>COUNTIF(GV4:GV11,"ليل")</f>
        <v/>
      </c>
      <c r="GW14" s="64">
        <f>COUNTIF(GW4:GW11,"ليل")</f>
        <v/>
      </c>
      <c r="GX14" s="64">
        <f>COUNTIF(GX4:GX11,"ليل")</f>
        <v/>
      </c>
      <c r="GY14" s="64">
        <f>COUNTIF(GY4:GY11,"ليل")</f>
        <v/>
      </c>
      <c r="GZ14" s="64">
        <f>COUNTIF(GZ4:GZ11,"ليل")</f>
        <v/>
      </c>
      <c r="HA14" s="64">
        <f>COUNTIF(HA4:HA11,"ليل")</f>
        <v/>
      </c>
      <c r="HB14" s="64">
        <f>COUNTIF(HB4:HB11,"ليل")</f>
        <v/>
      </c>
      <c r="HC14" s="64">
        <f>COUNTIF(HC4:HC11,"ليل")</f>
        <v/>
      </c>
      <c r="HD14" s="64">
        <f>COUNTIF(HD4:HD11,"ليل")</f>
        <v/>
      </c>
      <c r="HE14" s="64">
        <f>COUNTIF(HE4:HE11,"ليل")</f>
        <v/>
      </c>
      <c r="HF14" s="64">
        <f>COUNTIF(HF4:HF11,"ليل")</f>
        <v/>
      </c>
      <c r="HG14" s="64">
        <f>COUNTIF(HG4:HG11,"ليل")</f>
        <v/>
      </c>
      <c r="HH14" s="64">
        <f>COUNTIF(HH4:HH11,"ليل")</f>
        <v/>
      </c>
      <c r="HI14" s="64">
        <f>COUNTIF(HI4:HI11,"ليل")</f>
        <v/>
      </c>
      <c r="HJ14" s="64">
        <f>COUNTIF(HJ4:HJ11,"ليل")</f>
        <v/>
      </c>
      <c r="HK14" s="64">
        <f>COUNTIF(HK4:HK11,"ليل")</f>
        <v/>
      </c>
      <c r="HL14" s="64">
        <f>COUNTIF(HL4:HL11,"ليل")</f>
        <v/>
      </c>
      <c r="HM14" s="64">
        <f>COUNTIF(HM4:HM11,"ليل")</f>
        <v/>
      </c>
      <c r="HN14" s="64">
        <f>COUNTIF(HN4:HN11,"ليل")</f>
        <v/>
      </c>
      <c r="HO14" s="64">
        <f>COUNTIF(HO4:HO11,"ليل")</f>
        <v/>
      </c>
      <c r="HP14" s="64">
        <f>COUNTIF(HP4:HP11,"ليل")</f>
        <v/>
      </c>
      <c r="HQ14" s="64">
        <f>COUNTIF(HQ4:HQ11,"ليل")</f>
        <v/>
      </c>
      <c r="HR14" s="64">
        <f>COUNTIF(HR4:HR11,"ليل")</f>
        <v/>
      </c>
      <c r="HS14" s="64">
        <f>COUNTIF(HS4:HS11,"ليل")</f>
        <v/>
      </c>
      <c r="HT14" s="64">
        <f>COUNTIF(HT4:HT11,"ليل")</f>
        <v/>
      </c>
      <c r="HU14" s="64">
        <f>COUNTIF(HU4:HU11,"ليل")</f>
        <v/>
      </c>
      <c r="HV14" s="64">
        <f>COUNTIF(HV4:HV11,"ليل")</f>
        <v/>
      </c>
      <c r="HW14" s="64">
        <f>COUNTIF(HW4:HW11,"ليل")</f>
        <v/>
      </c>
      <c r="HX14" s="64">
        <f>COUNTIF(HX4:HX11,"ليل")</f>
        <v/>
      </c>
      <c r="HY14" s="64">
        <f>COUNTIF(HY4:HY11,"ليل")</f>
        <v/>
      </c>
      <c r="HZ14" s="64">
        <f>COUNTIF(HZ4:HZ11,"ليل")</f>
        <v/>
      </c>
      <c r="IA14" s="64">
        <f>COUNTIF(IA4:IA11,"ليل")</f>
        <v/>
      </c>
      <c r="IB14" s="64">
        <f>COUNTIF(IB4:IB11,"ليل")</f>
        <v/>
      </c>
      <c r="IC14" s="64">
        <f>COUNTIF(IC4:IC11,"ليل")</f>
        <v/>
      </c>
      <c r="ID14" s="64">
        <f>COUNTIF(ID4:ID11,"ليل")</f>
        <v/>
      </c>
      <c r="IE14" s="64">
        <f>COUNTIF(IE4:IE11,"ليل")</f>
        <v/>
      </c>
      <c r="IF14" s="64">
        <f>COUNTIF(IF4:IF11,"ليل")</f>
        <v/>
      </c>
      <c r="IG14" s="64">
        <f>COUNTIF(IG4:IG11,"ليل")</f>
        <v/>
      </c>
      <c r="IH14" s="64">
        <f>COUNTIF(IH4:IH11,"ليل")</f>
        <v/>
      </c>
      <c r="II14" s="64">
        <f>COUNTIF(II4:II11,"ليل")</f>
        <v/>
      </c>
      <c r="IJ14" s="64">
        <f>COUNTIF(IJ4:IJ11,"ليل")</f>
        <v/>
      </c>
      <c r="IK14" s="64">
        <f>COUNTIF(IK4:IK11,"ليل")</f>
        <v/>
      </c>
      <c r="IL14" s="64">
        <f>COUNTIF(IL4:IL11,"ليل")</f>
        <v/>
      </c>
      <c r="IM14" s="64">
        <f>COUNTIF(IM4:IM11,"ليل")</f>
        <v/>
      </c>
      <c r="IN14" s="64">
        <f>COUNTIF(IN4:IN11,"ليل")</f>
        <v/>
      </c>
      <c r="IO14" s="64">
        <f>COUNTIF(IO4:IO11,"ليل")</f>
        <v/>
      </c>
      <c r="IP14" s="64">
        <f>COUNTIF(IP4:IP11,"ليل")</f>
        <v/>
      </c>
      <c r="IQ14" s="64">
        <f>COUNTIF(IQ4:IQ11,"ليل")</f>
        <v/>
      </c>
      <c r="IR14" s="64">
        <f>COUNTIF(IR4:IR11,"ليل")</f>
        <v/>
      </c>
      <c r="IS14" s="64">
        <f>COUNTIF(IS4:IS11,"ليل")</f>
        <v/>
      </c>
      <c r="IT14" s="64">
        <f>COUNTIF(IT4:IT11,"ليل")</f>
        <v/>
      </c>
      <c r="IU14" s="64">
        <f>COUNTIF(IU4:IU11,"ليل")</f>
        <v/>
      </c>
      <c r="IV14" s="64">
        <f>COUNTIF(IV4:IV11,"ليل")</f>
        <v/>
      </c>
      <c r="IW14" s="64">
        <f>COUNTIF(IW4:IW11,"ليل")</f>
        <v/>
      </c>
      <c r="IX14" s="64">
        <f>COUNTIF(IX4:IX11,"ليل")</f>
        <v/>
      </c>
      <c r="IY14" s="64">
        <f>COUNTIF(IY4:IY11,"ليل")</f>
        <v/>
      </c>
      <c r="IZ14" s="64">
        <f>COUNTIF(IZ4:IZ11,"ليل")</f>
        <v/>
      </c>
      <c r="JA14" s="64">
        <f>COUNTIF(JA4:JA11,"ليل")</f>
        <v/>
      </c>
      <c r="JB14" s="64">
        <f>COUNTIF(JB4:JB11,"ليل")</f>
        <v/>
      </c>
      <c r="JC14" s="64">
        <f>COUNTIF(JC4:JC11,"ليل")</f>
        <v/>
      </c>
      <c r="JD14" s="64">
        <f>COUNTIF(JD4:JD11,"ليل")</f>
        <v/>
      </c>
      <c r="JE14" s="64">
        <f>COUNTIF(JE4:JE11,"ليل")</f>
        <v/>
      </c>
      <c r="JF14" s="64">
        <f>COUNTIF(JF4:JF11,"ليل")</f>
        <v/>
      </c>
      <c r="JG14" s="64">
        <f>COUNTIF(JG4:JG11,"ليل")</f>
        <v/>
      </c>
      <c r="JH14" s="64">
        <f>COUNTIF(JH4:JH11,"ليل")</f>
        <v/>
      </c>
      <c r="JI14" s="64">
        <f>COUNTIF(JI4:JI11,"ليل")</f>
        <v/>
      </c>
      <c r="JJ14" s="64">
        <f>COUNTIF(JJ4:JJ11,"ليل")</f>
        <v/>
      </c>
      <c r="JK14" s="64">
        <f>COUNTIF(JK4:JK11,"ليل")</f>
        <v/>
      </c>
      <c r="JL14" s="64">
        <f>COUNTIF(JL4:JL11,"ليل")</f>
        <v/>
      </c>
      <c r="JM14" s="64">
        <f>COUNTIF(JM4:JM11,"ليل")</f>
        <v/>
      </c>
      <c r="JN14" s="64">
        <f>COUNTIF(JN4:JN11,"ليل")</f>
        <v/>
      </c>
      <c r="JO14" s="64">
        <f>COUNTIF(JO4:JO11,"ليل")</f>
        <v/>
      </c>
      <c r="JP14" s="64">
        <f>COUNTIF(JP4:JP11,"ليل")</f>
        <v/>
      </c>
      <c r="JQ14" s="64">
        <f>COUNTIF(JQ4:JQ11,"ليل")</f>
        <v/>
      </c>
      <c r="JR14" s="64">
        <f>COUNTIF(JR4:JR11,"ليل")</f>
        <v/>
      </c>
      <c r="JS14" s="64">
        <f>COUNTIF(JS4:JS11,"ليل")</f>
        <v/>
      </c>
      <c r="JT14" s="64">
        <f>COUNTIF(JT4:JT11,"ليل")</f>
        <v/>
      </c>
      <c r="JU14" s="64">
        <f>COUNTIF(JU4:JU11,"ليل")</f>
        <v/>
      </c>
      <c r="JV14" s="64">
        <f>COUNTIF(JV4:JV11,"ليل")</f>
        <v/>
      </c>
      <c r="JW14" s="64">
        <f>COUNTIF(JW4:JW11,"ليل")</f>
        <v/>
      </c>
      <c r="JX14" s="64">
        <f>COUNTIF(JX4:JX11,"ليل")</f>
        <v/>
      </c>
      <c r="JY14" s="64">
        <f>COUNTIF(JY4:JY11,"ليل")</f>
        <v/>
      </c>
      <c r="JZ14" s="64">
        <f>COUNTIF(JZ4:JZ11,"ليل")</f>
        <v/>
      </c>
      <c r="KA14" s="64">
        <f>COUNTIF(KA4:KA11,"ليل")</f>
        <v/>
      </c>
      <c r="KB14" s="64">
        <f>COUNTIF(KB4:KB11,"ليل")</f>
        <v/>
      </c>
      <c r="KC14" s="64">
        <f>COUNTIF(KC4:KC11,"ليل")</f>
        <v/>
      </c>
      <c r="KD14" s="64">
        <f>COUNTIF(KD4:KD11,"ليل")</f>
        <v/>
      </c>
      <c r="KE14" s="64">
        <f>COUNTIF(KE4:KE11,"ليل")</f>
        <v/>
      </c>
      <c r="KF14" s="64">
        <f>COUNTIF(KF4:KF11,"ليل")</f>
        <v/>
      </c>
      <c r="KG14" s="64">
        <f>COUNTIF(KG4:KG11,"ليل")</f>
        <v/>
      </c>
      <c r="KH14" s="64">
        <f>COUNTIF(KH4:KH11,"ليل")</f>
        <v/>
      </c>
      <c r="KI14" s="64">
        <f>COUNTIF(KI4:KI11,"ليل")</f>
        <v/>
      </c>
      <c r="KJ14" s="64">
        <f>COUNTIF(KJ4:KJ11,"ليل")</f>
        <v/>
      </c>
      <c r="KK14" s="64">
        <f>COUNTIF(KK4:KK11,"ليل")</f>
        <v/>
      </c>
      <c r="KL14" s="64">
        <f>COUNTIF(KL4:KL11,"ليل")</f>
        <v/>
      </c>
      <c r="KM14" s="64">
        <f>COUNTIF(KM4:KM11,"ليل")</f>
        <v/>
      </c>
      <c r="KN14" s="64">
        <f>COUNTIF(KN4:KN11,"ليل")</f>
        <v/>
      </c>
      <c r="KO14" s="64">
        <f>COUNTIF(KO4:KO11,"ليل")</f>
        <v/>
      </c>
      <c r="KP14" s="64">
        <f>COUNTIF(KP4:KP11,"ليل")</f>
        <v/>
      </c>
      <c r="KQ14" s="64">
        <f>COUNTIF(KQ4:KQ11,"ليل")</f>
        <v/>
      </c>
      <c r="KR14" s="64">
        <f>COUNTIF(KR4:KR11,"ليل")</f>
        <v/>
      </c>
      <c r="KS14" s="64">
        <f>COUNTIF(KS4:KS11,"ليل")</f>
        <v/>
      </c>
      <c r="KT14" s="64">
        <f>COUNTIF(KT4:KT11,"ليل")</f>
        <v/>
      </c>
      <c r="KU14" s="64">
        <f>COUNTIF(KU4:KU11,"ليل")</f>
        <v/>
      </c>
      <c r="KV14" s="64">
        <f>COUNTIF(KV4:KV11,"ليل")</f>
        <v/>
      </c>
      <c r="KW14" s="64">
        <f>COUNTIF(KW4:KW11,"ليل")</f>
        <v/>
      </c>
      <c r="KX14" s="64">
        <f>COUNTIF(KX4:KX11,"ليل")</f>
        <v/>
      </c>
      <c r="KY14" s="64">
        <f>COUNTIF(KY4:KY11,"ليل")</f>
        <v/>
      </c>
      <c r="KZ14" s="64">
        <f>COUNTIF(KZ4:KZ11,"ليل")</f>
        <v/>
      </c>
      <c r="LA14" s="64">
        <f>COUNTIF(LA4:LA11,"ليل")</f>
        <v/>
      </c>
      <c r="LB14" s="64">
        <f>COUNTIF(LB4:LB11,"ليل")</f>
        <v/>
      </c>
      <c r="LC14" s="64">
        <f>COUNTIF(LC4:LC11,"ليل")</f>
        <v/>
      </c>
      <c r="LD14" s="64">
        <f>COUNTIF(LD4:LD11,"ليل")</f>
        <v/>
      </c>
      <c r="LE14" s="64">
        <f>COUNTIF(LE4:LE11,"ليل")</f>
        <v/>
      </c>
      <c r="LF14" s="64">
        <f>COUNTIF(LF4:LF11,"ليل")</f>
        <v/>
      </c>
      <c r="LG14" s="64">
        <f>COUNTIF(LG4:LG11,"ليل")</f>
        <v/>
      </c>
      <c r="LH14" s="64">
        <f>COUNTIF(LH4:LH11,"ليل")</f>
        <v/>
      </c>
      <c r="LI14" s="64">
        <f>COUNTIF(LI4:LI11,"ليل")</f>
        <v/>
      </c>
      <c r="LJ14" s="64">
        <f>COUNTIF(LJ4:LJ11,"ليل")</f>
        <v/>
      </c>
      <c r="LK14" s="64">
        <f>COUNTIF(LK4:LK11,"ليل")</f>
        <v/>
      </c>
      <c r="LL14" s="64">
        <f>COUNTIF(LL4:LL11,"ليل")</f>
        <v/>
      </c>
      <c r="LM14" s="64">
        <f>COUNTIF(LM4:LM11,"ليل")</f>
        <v/>
      </c>
      <c r="LN14" s="64">
        <f>COUNTIF(LN4:LN11,"ليل")</f>
        <v/>
      </c>
      <c r="LO14" s="64">
        <f>COUNTIF(LO4:LO11,"ليل")</f>
        <v/>
      </c>
      <c r="LP14" s="64">
        <f>COUNTIF(LP4:LP11,"ليل")</f>
        <v/>
      </c>
      <c r="LQ14" s="64">
        <f>COUNTIF(LQ4:LQ11,"ليل")</f>
        <v/>
      </c>
      <c r="LR14" s="64">
        <f>COUNTIF(LR4:LR11,"ليل")</f>
        <v/>
      </c>
      <c r="LS14" s="64">
        <f>COUNTIF(LS4:LS11,"ليل")</f>
        <v/>
      </c>
      <c r="LT14" s="64">
        <f>COUNTIF(LT4:LT11,"ليل")</f>
        <v/>
      </c>
      <c r="LU14" s="64">
        <f>COUNTIF(LU4:LU11,"ليل")</f>
        <v/>
      </c>
      <c r="LV14" s="64">
        <f>COUNTIF(LV4:LV11,"ليل")</f>
        <v/>
      </c>
      <c r="LW14" s="64">
        <f>COUNTIF(LW4:LW11,"ليل")</f>
        <v/>
      </c>
      <c r="LX14" s="64">
        <f>COUNTIF(LX4:LX11,"ليل")</f>
        <v/>
      </c>
      <c r="LY14" s="64">
        <f>COUNTIF(LY4:LY11,"ليل")</f>
        <v/>
      </c>
      <c r="LZ14" s="64">
        <f>COUNTIF(LZ4:LZ11,"ليل")</f>
        <v/>
      </c>
      <c r="MA14" s="64">
        <f>COUNTIF(MA4:MA11,"ليل")</f>
        <v/>
      </c>
      <c r="MB14" s="64">
        <f>COUNTIF(MB4:MB11,"ليل")</f>
        <v/>
      </c>
      <c r="MC14" s="64">
        <f>COUNTIF(MC4:MC11,"ليل")</f>
        <v/>
      </c>
      <c r="MD14" s="64">
        <f>COUNTIF(MD4:MD11,"ليل")</f>
        <v/>
      </c>
      <c r="ME14" s="64">
        <f>COUNTIF(ME4:ME11,"ليل")</f>
        <v/>
      </c>
      <c r="MF14" s="64">
        <f>COUNTIF(MF4:MF11,"ليل")</f>
        <v/>
      </c>
      <c r="MG14" s="64">
        <f>COUNTIF(MG4:MG11,"ليل")</f>
        <v/>
      </c>
      <c r="MH14" s="64">
        <f>COUNTIF(MH4:MH11,"ليل")</f>
        <v/>
      </c>
      <c r="MI14" s="64">
        <f>COUNTIF(MI4:MI11,"ليل")</f>
        <v/>
      </c>
      <c r="MJ14" s="64">
        <f>COUNTIF(MJ4:MJ11,"ليل")</f>
        <v/>
      </c>
      <c r="MK14" s="64">
        <f>COUNTIF(MK4:MK11,"ليل")</f>
        <v/>
      </c>
      <c r="ML14" s="64">
        <f>COUNTIF(ML4:ML11,"ليل")</f>
        <v/>
      </c>
      <c r="MM14" s="64">
        <f>COUNTIF(MM4:MM11,"ليل")</f>
        <v/>
      </c>
      <c r="MN14" s="64">
        <f>COUNTIF(MN4:MN11,"ليل")</f>
        <v/>
      </c>
      <c r="MO14" s="64">
        <f>COUNTIF(MO4:MO11,"ليل")</f>
        <v/>
      </c>
      <c r="MP14" s="64">
        <f>COUNTIF(MP4:MP11,"ليل")</f>
        <v/>
      </c>
      <c r="MQ14" s="64">
        <f>COUNTIF(MQ4:MQ11,"ليل")</f>
        <v/>
      </c>
      <c r="MR14" s="64">
        <f>COUNTIF(MR4:MR11,"ليل")</f>
        <v/>
      </c>
      <c r="MS14" s="64">
        <f>COUNTIF(MS4:MS11,"ليل")</f>
        <v/>
      </c>
      <c r="MT14" s="64">
        <f>COUNTIF(MT4:MT11,"ليل")</f>
        <v/>
      </c>
      <c r="MU14" s="64">
        <f>COUNTIF(MU4:MU11,"ليل")</f>
        <v/>
      </c>
      <c r="MV14" s="64">
        <f>COUNTIF(MV4:MV11,"ليل")</f>
        <v/>
      </c>
      <c r="MW14" s="64">
        <f>COUNTIF(MW4:MW11,"ليل")</f>
        <v/>
      </c>
      <c r="MX14" s="64">
        <f>COUNTIF(MX4:MX11,"ليل")</f>
        <v/>
      </c>
      <c r="MY14" s="64">
        <f>COUNTIF(MY4:MY11,"ليل")</f>
        <v/>
      </c>
      <c r="MZ14" s="64">
        <f>COUNTIF(MZ4:MZ11,"ليل")</f>
        <v/>
      </c>
      <c r="NA14" s="64">
        <f>COUNTIF(NA4:NA11,"ليل")</f>
        <v/>
      </c>
      <c r="NB14" s="64">
        <f>COUNTIF(NB4:NB11,"ليل")</f>
        <v/>
      </c>
      <c r="NC14" s="64">
        <f>COUNTIF(NC4:NC11,"ليل")</f>
        <v/>
      </c>
      <c r="ND14" s="64">
        <f>COUNTIF(ND4:ND11,"ليل")</f>
        <v/>
      </c>
    </row>
    <row r="15">
      <c r="B15" s="67" t="inlineStr">
        <is>
          <t>إجمالي العاملين</t>
        </is>
      </c>
      <c r="D15" s="64">
        <f>COUNTIF(D4:D11,"صباح")+COUNTIF(D4:D11,"عصر")+COUNTIF(D4:D11,"ليل")</f>
        <v/>
      </c>
      <c r="E15" s="64">
        <f>COUNTIF(E4:E11,"صباح")+COUNTIF(E4:E11,"عصر")+COUNTIF(E4:E11,"ليل")</f>
        <v/>
      </c>
      <c r="F15" s="64">
        <f>COUNTIF(F4:F11,"صباح")+COUNTIF(F4:F11,"عصر")+COUNTIF(F4:F11,"ليل")</f>
        <v/>
      </c>
      <c r="G15" s="64">
        <f>COUNTIF(G4:G11,"صباح")+COUNTIF(G4:G11,"عصر")+COUNTIF(G4:G11,"ليل")</f>
        <v/>
      </c>
      <c r="H15" s="64">
        <f>COUNTIF(H4:H11,"صباح")+COUNTIF(H4:H11,"عصر")+COUNTIF(H4:H11,"ليل")</f>
        <v/>
      </c>
      <c r="I15" s="64">
        <f>COUNTIF(I4:I11,"صباح")+COUNTIF(I4:I11,"عصر")+COUNTIF(I4:I11,"ليل")</f>
        <v/>
      </c>
      <c r="J15" s="64">
        <f>COUNTIF(J4:J11,"صباح")+COUNTIF(J4:J11,"عصر")+COUNTIF(J4:J11,"ليل")</f>
        <v/>
      </c>
      <c r="K15" s="64">
        <f>COUNTIF(K4:K11,"صباح")+COUNTIF(K4:K11,"عصر")+COUNTIF(K4:K11,"ليل")</f>
        <v/>
      </c>
      <c r="L15" s="64">
        <f>COUNTIF(L4:L11,"صباح")+COUNTIF(L4:L11,"عصر")+COUNTIF(L4:L11,"ليل")</f>
        <v/>
      </c>
      <c r="M15" s="64">
        <f>COUNTIF(M4:M11,"صباح")+COUNTIF(M4:M11,"عصر")+COUNTIF(M4:M11,"ليل")</f>
        <v/>
      </c>
      <c r="N15" s="64">
        <f>COUNTIF(N4:N11,"صباح")+COUNTIF(N4:N11,"عصر")+COUNTIF(N4:N11,"ليل")</f>
        <v/>
      </c>
      <c r="O15" s="64">
        <f>COUNTIF(O4:O11,"صباح")+COUNTIF(O4:O11,"عصر")+COUNTIF(O4:O11,"ليل")</f>
        <v/>
      </c>
      <c r="P15" s="64">
        <f>COUNTIF(P4:P11,"صباح")+COUNTIF(P4:P11,"عصر")+COUNTIF(P4:P11,"ليل")</f>
        <v/>
      </c>
      <c r="Q15" s="64">
        <f>COUNTIF(Q4:Q11,"صباح")+COUNTIF(Q4:Q11,"عصر")+COUNTIF(Q4:Q11,"ليل")</f>
        <v/>
      </c>
      <c r="R15" s="64">
        <f>COUNTIF(R4:R11,"صباح")+COUNTIF(R4:R11,"عصر")+COUNTIF(R4:R11,"ليل")</f>
        <v/>
      </c>
      <c r="S15" s="64">
        <f>COUNTIF(S4:S11,"صباح")+COUNTIF(S4:S11,"عصر")+COUNTIF(S4:S11,"ليل")</f>
        <v/>
      </c>
      <c r="T15" s="64">
        <f>COUNTIF(T4:T11,"صباح")+COUNTIF(T4:T11,"عصر")+COUNTIF(T4:T11,"ليل")</f>
        <v/>
      </c>
      <c r="U15" s="64">
        <f>COUNTIF(U4:U11,"صباح")+COUNTIF(U4:U11,"عصر")+COUNTIF(U4:U11,"ليل")</f>
        <v/>
      </c>
      <c r="V15" s="64">
        <f>COUNTIF(V4:V11,"صباح")+COUNTIF(V4:V11,"عصر")+COUNTIF(V4:V11,"ليل")</f>
        <v/>
      </c>
      <c r="W15" s="64">
        <f>COUNTIF(W4:W11,"صباح")+COUNTIF(W4:W11,"عصر")+COUNTIF(W4:W11,"ليل")</f>
        <v/>
      </c>
      <c r="X15" s="64">
        <f>COUNTIF(X4:X11,"صباح")+COUNTIF(X4:X11,"عصر")+COUNTIF(X4:X11,"ليل")</f>
        <v/>
      </c>
      <c r="Y15" s="64">
        <f>COUNTIF(Y4:Y11,"صباح")+COUNTIF(Y4:Y11,"عصر")+COUNTIF(Y4:Y11,"ليل")</f>
        <v/>
      </c>
      <c r="Z15" s="64">
        <f>COUNTIF(Z4:Z11,"صباح")+COUNTIF(Z4:Z11,"عصر")+COUNTIF(Z4:Z11,"ليل")</f>
        <v/>
      </c>
      <c r="AA15" s="64">
        <f>COUNTIF(AA4:AA11,"صباح")+COUNTIF(AA4:AA11,"عصر")+COUNTIF(AA4:AA11,"ليل")</f>
        <v/>
      </c>
      <c r="AB15" s="64">
        <f>COUNTIF(AB4:AB11,"صباح")+COUNTIF(AB4:AB11,"عصر")+COUNTIF(AB4:AB11,"ليل")</f>
        <v/>
      </c>
      <c r="AC15" s="64">
        <f>COUNTIF(AC4:AC11,"صباح")+COUNTIF(AC4:AC11,"عصر")+COUNTIF(AC4:AC11,"ليل")</f>
        <v/>
      </c>
      <c r="AD15" s="64">
        <f>COUNTIF(AD4:AD11,"صباح")+COUNTIF(AD4:AD11,"عصر")+COUNTIF(AD4:AD11,"ليل")</f>
        <v/>
      </c>
      <c r="AE15" s="64">
        <f>COUNTIF(AE4:AE11,"صباح")+COUNTIF(AE4:AE11,"عصر")+COUNTIF(AE4:AE11,"ليل")</f>
        <v/>
      </c>
      <c r="AF15" s="64">
        <f>COUNTIF(AF4:AF11,"صباح")+COUNTIF(AF4:AF11,"عصر")+COUNTIF(AF4:AF11,"ليل")</f>
        <v/>
      </c>
      <c r="AG15" s="64">
        <f>COUNTIF(AG4:AG11,"صباح")+COUNTIF(AG4:AG11,"عصر")+COUNTIF(AG4:AG11,"ليل")</f>
        <v/>
      </c>
      <c r="AH15" s="64">
        <f>COUNTIF(AH4:AH11,"صباح")+COUNTIF(AH4:AH11,"عصر")+COUNTIF(AH4:AH11,"ليل")</f>
        <v/>
      </c>
      <c r="AI15" s="64">
        <f>COUNTIF(AI4:AI11,"صباح")+COUNTIF(AI4:AI11,"عصر")+COUNTIF(AI4:AI11,"ليل")</f>
        <v/>
      </c>
      <c r="AJ15" s="64">
        <f>COUNTIF(AJ4:AJ11,"صباح")+COUNTIF(AJ4:AJ11,"عصر")+COUNTIF(AJ4:AJ11,"ليل")</f>
        <v/>
      </c>
      <c r="AK15" s="64">
        <f>COUNTIF(AK4:AK11,"صباح")+COUNTIF(AK4:AK11,"عصر")+COUNTIF(AK4:AK11,"ليل")</f>
        <v/>
      </c>
      <c r="AL15" s="64">
        <f>COUNTIF(AL4:AL11,"صباح")+COUNTIF(AL4:AL11,"عصر")+COUNTIF(AL4:AL11,"ليل")</f>
        <v/>
      </c>
      <c r="AM15" s="64">
        <f>COUNTIF(AM4:AM11,"صباح")+COUNTIF(AM4:AM11,"عصر")+COUNTIF(AM4:AM11,"ليل")</f>
        <v/>
      </c>
      <c r="AN15" s="64">
        <f>COUNTIF(AN4:AN11,"صباح")+COUNTIF(AN4:AN11,"عصر")+COUNTIF(AN4:AN11,"ليل")</f>
        <v/>
      </c>
      <c r="AO15" s="64">
        <f>COUNTIF(AO4:AO11,"صباح")+COUNTIF(AO4:AO11,"عصر")+COUNTIF(AO4:AO11,"ليل")</f>
        <v/>
      </c>
      <c r="AP15" s="64">
        <f>COUNTIF(AP4:AP11,"صباح")+COUNTIF(AP4:AP11,"عصر")+COUNTIF(AP4:AP11,"ليل")</f>
        <v/>
      </c>
      <c r="AQ15" s="64">
        <f>COUNTIF(AQ4:AQ11,"صباح")+COUNTIF(AQ4:AQ11,"عصر")+COUNTIF(AQ4:AQ11,"ليل")</f>
        <v/>
      </c>
      <c r="AR15" s="64">
        <f>COUNTIF(AR4:AR11,"صباح")+COUNTIF(AR4:AR11,"عصر")+COUNTIF(AR4:AR11,"ليل")</f>
        <v/>
      </c>
      <c r="AS15" s="64">
        <f>COUNTIF(AS4:AS11,"صباح")+COUNTIF(AS4:AS11,"عصر")+COUNTIF(AS4:AS11,"ليل")</f>
        <v/>
      </c>
      <c r="AT15" s="64">
        <f>COUNTIF(AT4:AT11,"صباح")+COUNTIF(AT4:AT11,"عصر")+COUNTIF(AT4:AT11,"ليل")</f>
        <v/>
      </c>
      <c r="AU15" s="64">
        <f>COUNTIF(AU4:AU11,"صباح")+COUNTIF(AU4:AU11,"عصر")+COUNTIF(AU4:AU11,"ليل")</f>
        <v/>
      </c>
      <c r="AV15" s="64">
        <f>COUNTIF(AV4:AV11,"صباح")+COUNTIF(AV4:AV11,"عصر")+COUNTIF(AV4:AV11,"ليل")</f>
        <v/>
      </c>
      <c r="AW15" s="64">
        <f>COUNTIF(AW4:AW11,"صباح")+COUNTIF(AW4:AW11,"عصر")+COUNTIF(AW4:AW11,"ليل")</f>
        <v/>
      </c>
      <c r="AX15" s="64">
        <f>COUNTIF(AX4:AX11,"صباح")+COUNTIF(AX4:AX11,"عصر")+COUNTIF(AX4:AX11,"ليل")</f>
        <v/>
      </c>
      <c r="AY15" s="64">
        <f>COUNTIF(AY4:AY11,"صباح")+COUNTIF(AY4:AY11,"عصر")+COUNTIF(AY4:AY11,"ليل")</f>
        <v/>
      </c>
      <c r="AZ15" s="64">
        <f>COUNTIF(AZ4:AZ11,"صباح")+COUNTIF(AZ4:AZ11,"عصر")+COUNTIF(AZ4:AZ11,"ليل")</f>
        <v/>
      </c>
      <c r="BA15" s="64">
        <f>COUNTIF(BA4:BA11,"صباح")+COUNTIF(BA4:BA11,"عصر")+COUNTIF(BA4:BA11,"ليل")</f>
        <v/>
      </c>
      <c r="BB15" s="64">
        <f>COUNTIF(BB4:BB11,"صباح")+COUNTIF(BB4:BB11,"عصر")+COUNTIF(BB4:BB11,"ليل")</f>
        <v/>
      </c>
      <c r="BC15" s="64">
        <f>COUNTIF(BC4:BC11,"صباح")+COUNTIF(BC4:BC11,"عصر")+COUNTIF(BC4:BC11,"ليل")</f>
        <v/>
      </c>
      <c r="BD15" s="64">
        <f>COUNTIF(BD4:BD11,"صباح")+COUNTIF(BD4:BD11,"عصر")+COUNTIF(BD4:BD11,"ليل")</f>
        <v/>
      </c>
      <c r="BE15" s="64">
        <f>COUNTIF(BE4:BE11,"صباح")+COUNTIF(BE4:BE11,"عصر")+COUNTIF(BE4:BE11,"ليل")</f>
        <v/>
      </c>
      <c r="BF15" s="64">
        <f>COUNTIF(BF4:BF11,"صباح")+COUNTIF(BF4:BF11,"عصر")+COUNTIF(BF4:BF11,"ليل")</f>
        <v/>
      </c>
      <c r="BG15" s="64">
        <f>COUNTIF(BG4:BG11,"صباح")+COUNTIF(BG4:BG11,"عصر")+COUNTIF(BG4:BG11,"ليل")</f>
        <v/>
      </c>
      <c r="BH15" s="64">
        <f>COUNTIF(BH4:BH11,"صباح")+COUNTIF(BH4:BH11,"عصر")+COUNTIF(BH4:BH11,"ليل")</f>
        <v/>
      </c>
      <c r="BI15" s="64">
        <f>COUNTIF(BI4:BI11,"صباح")+COUNTIF(BI4:BI11,"عصر")+COUNTIF(BI4:BI11,"ليل")</f>
        <v/>
      </c>
      <c r="BJ15" s="64">
        <f>COUNTIF(BJ4:BJ11,"صباح")+COUNTIF(BJ4:BJ11,"عصر")+COUNTIF(BJ4:BJ11,"ليل")</f>
        <v/>
      </c>
      <c r="BK15" s="64">
        <f>COUNTIF(BK4:BK11,"صباح")+COUNTIF(BK4:BK11,"عصر")+COUNTIF(BK4:BK11,"ليل")</f>
        <v/>
      </c>
      <c r="BL15" s="64">
        <f>COUNTIF(BL4:BL11,"صباح")+COUNTIF(BL4:BL11,"عصر")+COUNTIF(BL4:BL11,"ليل")</f>
        <v/>
      </c>
      <c r="BM15" s="64">
        <f>COUNTIF(BM4:BM11,"صباح")+COUNTIF(BM4:BM11,"عصر")+COUNTIF(BM4:BM11,"ليل")</f>
        <v/>
      </c>
      <c r="BN15" s="64">
        <f>COUNTIF(BN4:BN11,"صباح")+COUNTIF(BN4:BN11,"عصر")+COUNTIF(BN4:BN11,"ليل")</f>
        <v/>
      </c>
      <c r="BO15" s="64">
        <f>COUNTIF(BO4:BO11,"صباح")+COUNTIF(BO4:BO11,"عصر")+COUNTIF(BO4:BO11,"ليل")</f>
        <v/>
      </c>
      <c r="BP15" s="64">
        <f>COUNTIF(BP4:BP11,"صباح")+COUNTIF(BP4:BP11,"عصر")+COUNTIF(BP4:BP11,"ليل")</f>
        <v/>
      </c>
      <c r="BQ15" s="64">
        <f>COUNTIF(BQ4:BQ11,"صباح")+COUNTIF(BQ4:BQ11,"عصر")+COUNTIF(BQ4:BQ11,"ليل")</f>
        <v/>
      </c>
      <c r="BR15" s="64">
        <f>COUNTIF(BR4:BR11,"صباح")+COUNTIF(BR4:BR11,"عصر")+COUNTIF(BR4:BR11,"ليل")</f>
        <v/>
      </c>
      <c r="BS15" s="64">
        <f>COUNTIF(BS4:BS11,"صباح")+COUNTIF(BS4:BS11,"عصر")+COUNTIF(BS4:BS11,"ليل")</f>
        <v/>
      </c>
      <c r="BT15" s="64">
        <f>COUNTIF(BT4:BT11,"صباح")+COUNTIF(BT4:BT11,"عصر")+COUNTIF(BT4:BT11,"ليل")</f>
        <v/>
      </c>
      <c r="BU15" s="64">
        <f>COUNTIF(BU4:BU11,"صباح")+COUNTIF(BU4:BU11,"عصر")+COUNTIF(BU4:BU11,"ليل")</f>
        <v/>
      </c>
      <c r="BV15" s="64">
        <f>COUNTIF(BV4:BV11,"صباح")+COUNTIF(BV4:BV11,"عصر")+COUNTIF(BV4:BV11,"ليل")</f>
        <v/>
      </c>
      <c r="BW15" s="64">
        <f>COUNTIF(BW4:BW11,"صباح")+COUNTIF(BW4:BW11,"عصر")+COUNTIF(BW4:BW11,"ليل")</f>
        <v/>
      </c>
      <c r="BX15" s="64">
        <f>COUNTIF(BX4:BX11,"صباح")+COUNTIF(BX4:BX11,"عصر")+COUNTIF(BX4:BX11,"ليل")</f>
        <v/>
      </c>
      <c r="BY15" s="64">
        <f>COUNTIF(BY4:BY11,"صباح")+COUNTIF(BY4:BY11,"عصر")+COUNTIF(BY4:BY11,"ليل")</f>
        <v/>
      </c>
      <c r="BZ15" s="64">
        <f>COUNTIF(BZ4:BZ11,"صباح")+COUNTIF(BZ4:BZ11,"عصر")+COUNTIF(BZ4:BZ11,"ليل")</f>
        <v/>
      </c>
      <c r="CA15" s="64">
        <f>COUNTIF(CA4:CA11,"صباح")+COUNTIF(CA4:CA11,"عصر")+COUNTIF(CA4:CA11,"ليل")</f>
        <v/>
      </c>
      <c r="CB15" s="64">
        <f>COUNTIF(CB4:CB11,"صباح")+COUNTIF(CB4:CB11,"عصر")+COUNTIF(CB4:CB11,"ليل")</f>
        <v/>
      </c>
      <c r="CC15" s="64">
        <f>COUNTIF(CC4:CC11,"صباح")+COUNTIF(CC4:CC11,"عصر")+COUNTIF(CC4:CC11,"ليل")</f>
        <v/>
      </c>
      <c r="CD15" s="64">
        <f>COUNTIF(CD4:CD11,"صباح")+COUNTIF(CD4:CD11,"عصر")+COUNTIF(CD4:CD11,"ليل")</f>
        <v/>
      </c>
      <c r="CE15" s="64">
        <f>COUNTIF(CE4:CE11,"صباح")+COUNTIF(CE4:CE11,"عصر")+COUNTIF(CE4:CE11,"ليل")</f>
        <v/>
      </c>
      <c r="CF15" s="64">
        <f>COUNTIF(CF4:CF11,"صباح")+COUNTIF(CF4:CF11,"عصر")+COUNTIF(CF4:CF11,"ليل")</f>
        <v/>
      </c>
      <c r="CG15" s="64">
        <f>COUNTIF(CG4:CG11,"صباح")+COUNTIF(CG4:CG11,"عصر")+COUNTIF(CG4:CG11,"ليل")</f>
        <v/>
      </c>
      <c r="CH15" s="64">
        <f>COUNTIF(CH4:CH11,"صباح")+COUNTIF(CH4:CH11,"عصر")+COUNTIF(CH4:CH11,"ليل")</f>
        <v/>
      </c>
      <c r="CI15" s="64">
        <f>COUNTIF(CI4:CI11,"صباح")+COUNTIF(CI4:CI11,"عصر")+COUNTIF(CI4:CI11,"ليل")</f>
        <v/>
      </c>
      <c r="CJ15" s="64">
        <f>COUNTIF(CJ4:CJ11,"صباح")+COUNTIF(CJ4:CJ11,"عصر")+COUNTIF(CJ4:CJ11,"ليل")</f>
        <v/>
      </c>
      <c r="CK15" s="64">
        <f>COUNTIF(CK4:CK11,"صباح")+COUNTIF(CK4:CK11,"عصر")+COUNTIF(CK4:CK11,"ليل")</f>
        <v/>
      </c>
      <c r="CL15" s="64">
        <f>COUNTIF(CL4:CL11,"صباح")+COUNTIF(CL4:CL11,"عصر")+COUNTIF(CL4:CL11,"ليل")</f>
        <v/>
      </c>
      <c r="CM15" s="64">
        <f>COUNTIF(CM4:CM11,"صباح")+COUNTIF(CM4:CM11,"عصر")+COUNTIF(CM4:CM11,"ليل")</f>
        <v/>
      </c>
      <c r="CN15" s="64">
        <f>COUNTIF(CN4:CN11,"صباح")+COUNTIF(CN4:CN11,"عصر")+COUNTIF(CN4:CN11,"ليل")</f>
        <v/>
      </c>
      <c r="CO15" s="64">
        <f>COUNTIF(CO4:CO11,"صباح")+COUNTIF(CO4:CO11,"عصر")+COUNTIF(CO4:CO11,"ليل")</f>
        <v/>
      </c>
      <c r="CP15" s="64">
        <f>COUNTIF(CP4:CP11,"صباح")+COUNTIF(CP4:CP11,"عصر")+COUNTIF(CP4:CP11,"ليل")</f>
        <v/>
      </c>
      <c r="CQ15" s="64">
        <f>COUNTIF(CQ4:CQ11,"صباح")+COUNTIF(CQ4:CQ11,"عصر")+COUNTIF(CQ4:CQ11,"ليل")</f>
        <v/>
      </c>
      <c r="CR15" s="64">
        <f>COUNTIF(CR4:CR11,"صباح")+COUNTIF(CR4:CR11,"عصر")+COUNTIF(CR4:CR11,"ليل")</f>
        <v/>
      </c>
      <c r="CS15" s="64">
        <f>COUNTIF(CS4:CS11,"صباح")+COUNTIF(CS4:CS11,"عصر")+COUNTIF(CS4:CS11,"ليل")</f>
        <v/>
      </c>
      <c r="CT15" s="64">
        <f>COUNTIF(CT4:CT11,"صباح")+COUNTIF(CT4:CT11,"عصر")+COUNTIF(CT4:CT11,"ليل")</f>
        <v/>
      </c>
      <c r="CU15" s="64">
        <f>COUNTIF(CU4:CU11,"صباح")+COUNTIF(CU4:CU11,"عصر")+COUNTIF(CU4:CU11,"ليل")</f>
        <v/>
      </c>
      <c r="CV15" s="64">
        <f>COUNTIF(CV4:CV11,"صباح")+COUNTIF(CV4:CV11,"عصر")+COUNTIF(CV4:CV11,"ليل")</f>
        <v/>
      </c>
      <c r="CW15" s="64">
        <f>COUNTIF(CW4:CW11,"صباح")+COUNTIF(CW4:CW11,"عصر")+COUNTIF(CW4:CW11,"ليل")</f>
        <v/>
      </c>
      <c r="CX15" s="64">
        <f>COUNTIF(CX4:CX11,"صباح")+COUNTIF(CX4:CX11,"عصر")+COUNTIF(CX4:CX11,"ليل")</f>
        <v/>
      </c>
      <c r="CY15" s="64">
        <f>COUNTIF(CY4:CY11,"صباح")+COUNTIF(CY4:CY11,"عصر")+COUNTIF(CY4:CY11,"ليل")</f>
        <v/>
      </c>
      <c r="CZ15" s="64">
        <f>COUNTIF(CZ4:CZ11,"صباح")+COUNTIF(CZ4:CZ11,"عصر")+COUNTIF(CZ4:CZ11,"ليل")</f>
        <v/>
      </c>
      <c r="DA15" s="64">
        <f>COUNTIF(DA4:DA11,"صباح")+COUNTIF(DA4:DA11,"عصر")+COUNTIF(DA4:DA11,"ليل")</f>
        <v/>
      </c>
      <c r="DB15" s="64">
        <f>COUNTIF(DB4:DB11,"صباح")+COUNTIF(DB4:DB11,"عصر")+COUNTIF(DB4:DB11,"ليل")</f>
        <v/>
      </c>
      <c r="DC15" s="64">
        <f>COUNTIF(DC4:DC11,"صباح")+COUNTIF(DC4:DC11,"عصر")+COUNTIF(DC4:DC11,"ليل")</f>
        <v/>
      </c>
      <c r="DD15" s="64">
        <f>COUNTIF(DD4:DD11,"صباح")+COUNTIF(DD4:DD11,"عصر")+COUNTIF(DD4:DD11,"ليل")</f>
        <v/>
      </c>
      <c r="DE15" s="64">
        <f>COUNTIF(DE4:DE11,"صباح")+COUNTIF(DE4:DE11,"عصر")+COUNTIF(DE4:DE11,"ليل")</f>
        <v/>
      </c>
      <c r="DF15" s="64">
        <f>COUNTIF(DF4:DF11,"صباح")+COUNTIF(DF4:DF11,"عصر")+COUNTIF(DF4:DF11,"ليل")</f>
        <v/>
      </c>
      <c r="DG15" s="64">
        <f>COUNTIF(DG4:DG11,"صباح")+COUNTIF(DG4:DG11,"عصر")+COUNTIF(DG4:DG11,"ليل")</f>
        <v/>
      </c>
      <c r="DH15" s="64">
        <f>COUNTIF(DH4:DH11,"صباح")+COUNTIF(DH4:DH11,"عصر")+COUNTIF(DH4:DH11,"ليل")</f>
        <v/>
      </c>
      <c r="DI15" s="64">
        <f>COUNTIF(DI4:DI11,"صباح")+COUNTIF(DI4:DI11,"عصر")+COUNTIF(DI4:DI11,"ليل")</f>
        <v/>
      </c>
      <c r="DJ15" s="64">
        <f>COUNTIF(DJ4:DJ11,"صباح")+COUNTIF(DJ4:DJ11,"عصر")+COUNTIF(DJ4:DJ11,"ليل")</f>
        <v/>
      </c>
      <c r="DK15" s="64">
        <f>COUNTIF(DK4:DK11,"صباح")+COUNTIF(DK4:DK11,"عصر")+COUNTIF(DK4:DK11,"ليل")</f>
        <v/>
      </c>
      <c r="DL15" s="64">
        <f>COUNTIF(DL4:DL11,"صباح")+COUNTIF(DL4:DL11,"عصر")+COUNTIF(DL4:DL11,"ليل")</f>
        <v/>
      </c>
      <c r="DM15" s="64">
        <f>COUNTIF(DM4:DM11,"صباح")+COUNTIF(DM4:DM11,"عصر")+COUNTIF(DM4:DM11,"ليل")</f>
        <v/>
      </c>
      <c r="DN15" s="64">
        <f>COUNTIF(DN4:DN11,"صباح")+COUNTIF(DN4:DN11,"عصر")+COUNTIF(DN4:DN11,"ليل")</f>
        <v/>
      </c>
      <c r="DO15" s="64">
        <f>COUNTIF(DO4:DO11,"صباح")+COUNTIF(DO4:DO11,"عصر")+COUNTIF(DO4:DO11,"ليل")</f>
        <v/>
      </c>
      <c r="DP15" s="64">
        <f>COUNTIF(DP4:DP11,"صباح")+COUNTIF(DP4:DP11,"عصر")+COUNTIF(DP4:DP11,"ليل")</f>
        <v/>
      </c>
      <c r="DQ15" s="64">
        <f>COUNTIF(DQ4:DQ11,"صباح")+COUNTIF(DQ4:DQ11,"عصر")+COUNTIF(DQ4:DQ11,"ليل")</f>
        <v/>
      </c>
      <c r="DR15" s="64">
        <f>COUNTIF(DR4:DR11,"صباح")+COUNTIF(DR4:DR11,"عصر")+COUNTIF(DR4:DR11,"ليل")</f>
        <v/>
      </c>
      <c r="DS15" s="64">
        <f>COUNTIF(DS4:DS11,"صباح")+COUNTIF(DS4:DS11,"عصر")+COUNTIF(DS4:DS11,"ليل")</f>
        <v/>
      </c>
      <c r="DT15" s="64">
        <f>COUNTIF(DT4:DT11,"صباح")+COUNTIF(DT4:DT11,"عصر")+COUNTIF(DT4:DT11,"ليل")</f>
        <v/>
      </c>
      <c r="DU15" s="64">
        <f>COUNTIF(DU4:DU11,"صباح")+COUNTIF(DU4:DU11,"عصر")+COUNTIF(DU4:DU11,"ليل")</f>
        <v/>
      </c>
      <c r="DV15" s="64">
        <f>COUNTIF(DV4:DV11,"صباح")+COUNTIF(DV4:DV11,"عصر")+COUNTIF(DV4:DV11,"ليل")</f>
        <v/>
      </c>
      <c r="DW15" s="64">
        <f>COUNTIF(DW4:DW11,"صباح")+COUNTIF(DW4:DW11,"عصر")+COUNTIF(DW4:DW11,"ليل")</f>
        <v/>
      </c>
      <c r="DX15" s="64">
        <f>COUNTIF(DX4:DX11,"صباح")+COUNTIF(DX4:DX11,"عصر")+COUNTIF(DX4:DX11,"ليل")</f>
        <v/>
      </c>
      <c r="DY15" s="64">
        <f>COUNTIF(DY4:DY11,"صباح")+COUNTIF(DY4:DY11,"عصر")+COUNTIF(DY4:DY11,"ليل")</f>
        <v/>
      </c>
      <c r="DZ15" s="64">
        <f>COUNTIF(DZ4:DZ11,"صباح")+COUNTIF(DZ4:DZ11,"عصر")+COUNTIF(DZ4:DZ11,"ليل")</f>
        <v/>
      </c>
      <c r="EA15" s="64">
        <f>COUNTIF(EA4:EA11,"صباح")+COUNTIF(EA4:EA11,"عصر")+COUNTIF(EA4:EA11,"ليل")</f>
        <v/>
      </c>
      <c r="EB15" s="64">
        <f>COUNTIF(EB4:EB11,"صباح")+COUNTIF(EB4:EB11,"عصر")+COUNTIF(EB4:EB11,"ليل")</f>
        <v/>
      </c>
      <c r="EC15" s="64">
        <f>COUNTIF(EC4:EC11,"صباح")+COUNTIF(EC4:EC11,"عصر")+COUNTIF(EC4:EC11,"ليل")</f>
        <v/>
      </c>
      <c r="ED15" s="64">
        <f>COUNTIF(ED4:ED11,"صباح")+COUNTIF(ED4:ED11,"عصر")+COUNTIF(ED4:ED11,"ليل")</f>
        <v/>
      </c>
      <c r="EE15" s="64">
        <f>COUNTIF(EE4:EE11,"صباح")+COUNTIF(EE4:EE11,"عصر")+COUNTIF(EE4:EE11,"ليل")</f>
        <v/>
      </c>
      <c r="EF15" s="64">
        <f>COUNTIF(EF4:EF11,"صباح")+COUNTIF(EF4:EF11,"عصر")+COUNTIF(EF4:EF11,"ليل")</f>
        <v/>
      </c>
      <c r="EG15" s="64">
        <f>COUNTIF(EG4:EG11,"صباح")+COUNTIF(EG4:EG11,"عصر")+COUNTIF(EG4:EG11,"ليل")</f>
        <v/>
      </c>
      <c r="EH15" s="64">
        <f>COUNTIF(EH4:EH11,"صباح")+COUNTIF(EH4:EH11,"عصر")+COUNTIF(EH4:EH11,"ليل")</f>
        <v/>
      </c>
      <c r="EI15" s="64">
        <f>COUNTIF(EI4:EI11,"صباح")+COUNTIF(EI4:EI11,"عصر")+COUNTIF(EI4:EI11,"ليل")</f>
        <v/>
      </c>
      <c r="EJ15" s="64">
        <f>COUNTIF(EJ4:EJ11,"صباح")+COUNTIF(EJ4:EJ11,"عصر")+COUNTIF(EJ4:EJ11,"ليل")</f>
        <v/>
      </c>
      <c r="EK15" s="64">
        <f>COUNTIF(EK4:EK11,"صباح")+COUNTIF(EK4:EK11,"عصر")+COUNTIF(EK4:EK11,"ليل")</f>
        <v/>
      </c>
      <c r="EL15" s="64">
        <f>COUNTIF(EL4:EL11,"صباح")+COUNTIF(EL4:EL11,"عصر")+COUNTIF(EL4:EL11,"ليل")</f>
        <v/>
      </c>
      <c r="EM15" s="64">
        <f>COUNTIF(EM4:EM11,"صباح")+COUNTIF(EM4:EM11,"عصر")+COUNTIF(EM4:EM11,"ليل")</f>
        <v/>
      </c>
      <c r="EN15" s="64">
        <f>COUNTIF(EN4:EN11,"صباح")+COUNTIF(EN4:EN11,"عصر")+COUNTIF(EN4:EN11,"ليل")</f>
        <v/>
      </c>
      <c r="EO15" s="64">
        <f>COUNTIF(EO4:EO11,"صباح")+COUNTIF(EO4:EO11,"عصر")+COUNTIF(EO4:EO11,"ليل")</f>
        <v/>
      </c>
      <c r="EP15" s="64">
        <f>COUNTIF(EP4:EP11,"صباح")+COUNTIF(EP4:EP11,"عصر")+COUNTIF(EP4:EP11,"ليل")</f>
        <v/>
      </c>
      <c r="EQ15" s="64">
        <f>COUNTIF(EQ4:EQ11,"صباح")+COUNTIF(EQ4:EQ11,"عصر")+COUNTIF(EQ4:EQ11,"ليل")</f>
        <v/>
      </c>
      <c r="ER15" s="64">
        <f>COUNTIF(ER4:ER11,"صباح")+COUNTIF(ER4:ER11,"عصر")+COUNTIF(ER4:ER11,"ليل")</f>
        <v/>
      </c>
      <c r="ES15" s="64">
        <f>COUNTIF(ES4:ES11,"صباح")+COUNTIF(ES4:ES11,"عصر")+COUNTIF(ES4:ES11,"ليل")</f>
        <v/>
      </c>
      <c r="ET15" s="64">
        <f>COUNTIF(ET4:ET11,"صباح")+COUNTIF(ET4:ET11,"عصر")+COUNTIF(ET4:ET11,"ليل")</f>
        <v/>
      </c>
      <c r="EU15" s="64">
        <f>COUNTIF(EU4:EU11,"صباح")+COUNTIF(EU4:EU11,"عصر")+COUNTIF(EU4:EU11,"ليل")</f>
        <v/>
      </c>
      <c r="EV15" s="64">
        <f>COUNTIF(EV4:EV11,"صباح")+COUNTIF(EV4:EV11,"عصر")+COUNTIF(EV4:EV11,"ليل")</f>
        <v/>
      </c>
      <c r="EW15" s="64">
        <f>COUNTIF(EW4:EW11,"صباح")+COUNTIF(EW4:EW11,"عصر")+COUNTIF(EW4:EW11,"ليل")</f>
        <v/>
      </c>
      <c r="EX15" s="64">
        <f>COUNTIF(EX4:EX11,"صباح")+COUNTIF(EX4:EX11,"عصر")+COUNTIF(EX4:EX11,"ليل")</f>
        <v/>
      </c>
      <c r="EY15" s="64">
        <f>COUNTIF(EY4:EY11,"صباح")+COUNTIF(EY4:EY11,"عصر")+COUNTIF(EY4:EY11,"ليل")</f>
        <v/>
      </c>
      <c r="EZ15" s="64">
        <f>COUNTIF(EZ4:EZ11,"صباح")+COUNTIF(EZ4:EZ11,"عصر")+COUNTIF(EZ4:EZ11,"ليل")</f>
        <v/>
      </c>
      <c r="FA15" s="64">
        <f>COUNTIF(FA4:FA11,"صباح")+COUNTIF(FA4:FA11,"عصر")+COUNTIF(FA4:FA11,"ليل")</f>
        <v/>
      </c>
      <c r="FB15" s="64">
        <f>COUNTIF(FB4:FB11,"صباح")+COUNTIF(FB4:FB11,"عصر")+COUNTIF(FB4:FB11,"ليل")</f>
        <v/>
      </c>
      <c r="FC15" s="64">
        <f>COUNTIF(FC4:FC11,"صباح")+COUNTIF(FC4:FC11,"عصر")+COUNTIF(FC4:FC11,"ليل")</f>
        <v/>
      </c>
      <c r="FD15" s="64">
        <f>COUNTIF(FD4:FD11,"صباح")+COUNTIF(FD4:FD11,"عصر")+COUNTIF(FD4:FD11,"ليل")</f>
        <v/>
      </c>
      <c r="FE15" s="64">
        <f>COUNTIF(FE4:FE11,"صباح")+COUNTIF(FE4:FE11,"عصر")+COUNTIF(FE4:FE11,"ليل")</f>
        <v/>
      </c>
      <c r="FF15" s="64">
        <f>COUNTIF(FF4:FF11,"صباح")+COUNTIF(FF4:FF11,"عصر")+COUNTIF(FF4:FF11,"ليل")</f>
        <v/>
      </c>
      <c r="FG15" s="64">
        <f>COUNTIF(FG4:FG11,"صباح")+COUNTIF(FG4:FG11,"عصر")+COUNTIF(FG4:FG11,"ليل")</f>
        <v/>
      </c>
      <c r="FH15" s="64">
        <f>COUNTIF(FH4:FH11,"صباح")+COUNTIF(FH4:FH11,"عصر")+COUNTIF(FH4:FH11,"ليل")</f>
        <v/>
      </c>
      <c r="FI15" s="64">
        <f>COUNTIF(FI4:FI11,"صباح")+COUNTIF(FI4:FI11,"عصر")+COUNTIF(FI4:FI11,"ليل")</f>
        <v/>
      </c>
      <c r="FJ15" s="64">
        <f>COUNTIF(FJ4:FJ11,"صباح")+COUNTIF(FJ4:FJ11,"عصر")+COUNTIF(FJ4:FJ11,"ليل")</f>
        <v/>
      </c>
      <c r="FK15" s="64">
        <f>COUNTIF(FK4:FK11,"صباح")+COUNTIF(FK4:FK11,"عصر")+COUNTIF(FK4:FK11,"ليل")</f>
        <v/>
      </c>
      <c r="FL15" s="64">
        <f>COUNTIF(FL4:FL11,"صباح")+COUNTIF(FL4:FL11,"عصر")+COUNTIF(FL4:FL11,"ليل")</f>
        <v/>
      </c>
      <c r="FM15" s="64">
        <f>COUNTIF(FM4:FM11,"صباح")+COUNTIF(FM4:FM11,"عصر")+COUNTIF(FM4:FM11,"ليل")</f>
        <v/>
      </c>
      <c r="FN15" s="64">
        <f>COUNTIF(FN4:FN11,"صباح")+COUNTIF(FN4:FN11,"عصر")+COUNTIF(FN4:FN11,"ليل")</f>
        <v/>
      </c>
      <c r="FO15" s="64">
        <f>COUNTIF(FO4:FO11,"صباح")+COUNTIF(FO4:FO11,"عصر")+COUNTIF(FO4:FO11,"ليل")</f>
        <v/>
      </c>
      <c r="FP15" s="64">
        <f>COUNTIF(FP4:FP11,"صباح")+COUNTIF(FP4:FP11,"عصر")+COUNTIF(FP4:FP11,"ليل")</f>
        <v/>
      </c>
      <c r="FQ15" s="64">
        <f>COUNTIF(FQ4:FQ11,"صباح")+COUNTIF(FQ4:FQ11,"عصر")+COUNTIF(FQ4:FQ11,"ليل")</f>
        <v/>
      </c>
      <c r="FR15" s="64">
        <f>COUNTIF(FR4:FR11,"صباح")+COUNTIF(FR4:FR11,"عصر")+COUNTIF(FR4:FR11,"ليل")</f>
        <v/>
      </c>
      <c r="FS15" s="64">
        <f>COUNTIF(FS4:FS11,"صباح")+COUNTIF(FS4:FS11,"عصر")+COUNTIF(FS4:FS11,"ليل")</f>
        <v/>
      </c>
      <c r="FT15" s="64">
        <f>COUNTIF(FT4:FT11,"صباح")+COUNTIF(FT4:FT11,"عصر")+COUNTIF(FT4:FT11,"ليل")</f>
        <v/>
      </c>
      <c r="FU15" s="64">
        <f>COUNTIF(FU4:FU11,"صباح")+COUNTIF(FU4:FU11,"عصر")+COUNTIF(FU4:FU11,"ليل")</f>
        <v/>
      </c>
      <c r="FV15" s="64">
        <f>COUNTIF(FV4:FV11,"صباح")+COUNTIF(FV4:FV11,"عصر")+COUNTIF(FV4:FV11,"ليل")</f>
        <v/>
      </c>
      <c r="FW15" s="64">
        <f>COUNTIF(FW4:FW11,"صباح")+COUNTIF(FW4:FW11,"عصر")+COUNTIF(FW4:FW11,"ليل")</f>
        <v/>
      </c>
      <c r="FX15" s="64">
        <f>COUNTIF(FX4:FX11,"صباح")+COUNTIF(FX4:FX11,"عصر")+COUNTIF(FX4:FX11,"ليل")</f>
        <v/>
      </c>
      <c r="FY15" s="64">
        <f>COUNTIF(FY4:FY11,"صباح")+COUNTIF(FY4:FY11,"عصر")+COUNTIF(FY4:FY11,"ليل")</f>
        <v/>
      </c>
      <c r="FZ15" s="64">
        <f>COUNTIF(FZ4:FZ11,"صباح")+COUNTIF(FZ4:FZ11,"عصر")+COUNTIF(FZ4:FZ11,"ليل")</f>
        <v/>
      </c>
      <c r="GA15" s="64">
        <f>COUNTIF(GA4:GA11,"صباح")+COUNTIF(GA4:GA11,"عصر")+COUNTIF(GA4:GA11,"ليل")</f>
        <v/>
      </c>
      <c r="GB15" s="64">
        <f>COUNTIF(GB4:GB11,"صباح")+COUNTIF(GB4:GB11,"عصر")+COUNTIF(GB4:GB11,"ليل")</f>
        <v/>
      </c>
      <c r="GC15" s="64">
        <f>COUNTIF(GC4:GC11,"صباح")+COUNTIF(GC4:GC11,"عصر")+COUNTIF(GC4:GC11,"ليل")</f>
        <v/>
      </c>
      <c r="GD15" s="64">
        <f>COUNTIF(GD4:GD11,"صباح")+COUNTIF(GD4:GD11,"عصر")+COUNTIF(GD4:GD11,"ليل")</f>
        <v/>
      </c>
      <c r="GE15" s="64">
        <f>COUNTIF(GE4:GE11,"صباح")+COUNTIF(GE4:GE11,"عصر")+COUNTIF(GE4:GE11,"ليل")</f>
        <v/>
      </c>
      <c r="GF15" s="64">
        <f>COUNTIF(GF4:GF11,"صباح")+COUNTIF(GF4:GF11,"عصر")+COUNTIF(GF4:GF11,"ليل")</f>
        <v/>
      </c>
      <c r="GG15" s="64">
        <f>COUNTIF(GG4:GG11,"صباح")+COUNTIF(GG4:GG11,"عصر")+COUNTIF(GG4:GG11,"ليل")</f>
        <v/>
      </c>
      <c r="GH15" s="64">
        <f>COUNTIF(GH4:GH11,"صباح")+COUNTIF(GH4:GH11,"عصر")+COUNTIF(GH4:GH11,"ليل")</f>
        <v/>
      </c>
      <c r="GI15" s="64">
        <f>COUNTIF(GI4:GI11,"صباح")+COUNTIF(GI4:GI11,"عصر")+COUNTIF(GI4:GI11,"ليل")</f>
        <v/>
      </c>
      <c r="GJ15" s="64">
        <f>COUNTIF(GJ4:GJ11,"صباح")+COUNTIF(GJ4:GJ11,"عصر")+COUNTIF(GJ4:GJ11,"ليل")</f>
        <v/>
      </c>
      <c r="GK15" s="64">
        <f>COUNTIF(GK4:GK11,"صباح")+COUNTIF(GK4:GK11,"عصر")+COUNTIF(GK4:GK11,"ليل")</f>
        <v/>
      </c>
      <c r="GL15" s="64">
        <f>COUNTIF(GL4:GL11,"صباح")+COUNTIF(GL4:GL11,"عصر")+COUNTIF(GL4:GL11,"ليل")</f>
        <v/>
      </c>
      <c r="GM15" s="64">
        <f>COUNTIF(GM4:GM11,"صباح")+COUNTIF(GM4:GM11,"عصر")+COUNTIF(GM4:GM11,"ليل")</f>
        <v/>
      </c>
      <c r="GN15" s="64">
        <f>COUNTIF(GN4:GN11,"صباح")+COUNTIF(GN4:GN11,"عصر")+COUNTIF(GN4:GN11,"ليل")</f>
        <v/>
      </c>
      <c r="GO15" s="64">
        <f>COUNTIF(GO4:GO11,"صباح")+COUNTIF(GO4:GO11,"عصر")+COUNTIF(GO4:GO11,"ليل")</f>
        <v/>
      </c>
      <c r="GP15" s="64">
        <f>COUNTIF(GP4:GP11,"صباح")+COUNTIF(GP4:GP11,"عصر")+COUNTIF(GP4:GP11,"ليل")</f>
        <v/>
      </c>
      <c r="GQ15" s="64">
        <f>COUNTIF(GQ4:GQ11,"صباح")+COUNTIF(GQ4:GQ11,"عصر")+COUNTIF(GQ4:GQ11,"ليل")</f>
        <v/>
      </c>
      <c r="GR15" s="64">
        <f>COUNTIF(GR4:GR11,"صباح")+COUNTIF(GR4:GR11,"عصر")+COUNTIF(GR4:GR11,"ليل")</f>
        <v/>
      </c>
      <c r="GS15" s="64">
        <f>COUNTIF(GS4:GS11,"صباح")+COUNTIF(GS4:GS11,"عصر")+COUNTIF(GS4:GS11,"ليل")</f>
        <v/>
      </c>
      <c r="GT15" s="64">
        <f>COUNTIF(GT4:GT11,"صباح")+COUNTIF(GT4:GT11,"عصر")+COUNTIF(GT4:GT11,"ليل")</f>
        <v/>
      </c>
      <c r="GU15" s="64">
        <f>COUNTIF(GU4:GU11,"صباح")+COUNTIF(GU4:GU11,"عصر")+COUNTIF(GU4:GU11,"ليل")</f>
        <v/>
      </c>
      <c r="GV15" s="64">
        <f>COUNTIF(GV4:GV11,"صباح")+COUNTIF(GV4:GV11,"عصر")+COUNTIF(GV4:GV11,"ليل")</f>
        <v/>
      </c>
      <c r="GW15" s="64">
        <f>COUNTIF(GW4:GW11,"صباح")+COUNTIF(GW4:GW11,"عصر")+COUNTIF(GW4:GW11,"ليل")</f>
        <v/>
      </c>
      <c r="GX15" s="64">
        <f>COUNTIF(GX4:GX11,"صباح")+COUNTIF(GX4:GX11,"عصر")+COUNTIF(GX4:GX11,"ليل")</f>
        <v/>
      </c>
      <c r="GY15" s="64">
        <f>COUNTIF(GY4:GY11,"صباح")+COUNTIF(GY4:GY11,"عصر")+COUNTIF(GY4:GY11,"ليل")</f>
        <v/>
      </c>
      <c r="GZ15" s="64">
        <f>COUNTIF(GZ4:GZ11,"صباح")+COUNTIF(GZ4:GZ11,"عصر")+COUNTIF(GZ4:GZ11,"ليل")</f>
        <v/>
      </c>
      <c r="HA15" s="64">
        <f>COUNTIF(HA4:HA11,"صباح")+COUNTIF(HA4:HA11,"عصر")+COUNTIF(HA4:HA11,"ليل")</f>
        <v/>
      </c>
      <c r="HB15" s="64">
        <f>COUNTIF(HB4:HB11,"صباح")+COUNTIF(HB4:HB11,"عصر")+COUNTIF(HB4:HB11,"ليل")</f>
        <v/>
      </c>
      <c r="HC15" s="64">
        <f>COUNTIF(HC4:HC11,"صباح")+COUNTIF(HC4:HC11,"عصر")+COUNTIF(HC4:HC11,"ليل")</f>
        <v/>
      </c>
      <c r="HD15" s="64">
        <f>COUNTIF(HD4:HD11,"صباح")+COUNTIF(HD4:HD11,"عصر")+COUNTIF(HD4:HD11,"ليل")</f>
        <v/>
      </c>
      <c r="HE15" s="64">
        <f>COUNTIF(HE4:HE11,"صباح")+COUNTIF(HE4:HE11,"عصر")+COUNTIF(HE4:HE11,"ليل")</f>
        <v/>
      </c>
      <c r="HF15" s="64">
        <f>COUNTIF(HF4:HF11,"صباح")+COUNTIF(HF4:HF11,"عصر")+COUNTIF(HF4:HF11,"ليل")</f>
        <v/>
      </c>
      <c r="HG15" s="64">
        <f>COUNTIF(HG4:HG11,"صباح")+COUNTIF(HG4:HG11,"عصر")+COUNTIF(HG4:HG11,"ليل")</f>
        <v/>
      </c>
      <c r="HH15" s="64">
        <f>COUNTIF(HH4:HH11,"صباح")+COUNTIF(HH4:HH11,"عصر")+COUNTIF(HH4:HH11,"ليل")</f>
        <v/>
      </c>
      <c r="HI15" s="64">
        <f>COUNTIF(HI4:HI11,"صباح")+COUNTIF(HI4:HI11,"عصر")+COUNTIF(HI4:HI11,"ليل")</f>
        <v/>
      </c>
      <c r="HJ15" s="64">
        <f>COUNTIF(HJ4:HJ11,"صباح")+COUNTIF(HJ4:HJ11,"عصر")+COUNTIF(HJ4:HJ11,"ليل")</f>
        <v/>
      </c>
      <c r="HK15" s="64">
        <f>COUNTIF(HK4:HK11,"صباح")+COUNTIF(HK4:HK11,"عصر")+COUNTIF(HK4:HK11,"ليل")</f>
        <v/>
      </c>
      <c r="HL15" s="64">
        <f>COUNTIF(HL4:HL11,"صباح")+COUNTIF(HL4:HL11,"عصر")+COUNTIF(HL4:HL11,"ليل")</f>
        <v/>
      </c>
      <c r="HM15" s="64">
        <f>COUNTIF(HM4:HM11,"صباح")+COUNTIF(HM4:HM11,"عصر")+COUNTIF(HM4:HM11,"ليل")</f>
        <v/>
      </c>
      <c r="HN15" s="64">
        <f>COUNTIF(HN4:HN11,"صباح")+COUNTIF(HN4:HN11,"عصر")+COUNTIF(HN4:HN11,"ليل")</f>
        <v/>
      </c>
      <c r="HO15" s="64">
        <f>COUNTIF(HO4:HO11,"صباح")+COUNTIF(HO4:HO11,"عصر")+COUNTIF(HO4:HO11,"ليل")</f>
        <v/>
      </c>
      <c r="HP15" s="64">
        <f>COUNTIF(HP4:HP11,"صباح")+COUNTIF(HP4:HP11,"عصر")+COUNTIF(HP4:HP11,"ليل")</f>
        <v/>
      </c>
      <c r="HQ15" s="64">
        <f>COUNTIF(HQ4:HQ11,"صباح")+COUNTIF(HQ4:HQ11,"عصر")+COUNTIF(HQ4:HQ11,"ليل")</f>
        <v/>
      </c>
      <c r="HR15" s="64">
        <f>COUNTIF(HR4:HR11,"صباح")+COUNTIF(HR4:HR11,"عصر")+COUNTIF(HR4:HR11,"ليل")</f>
        <v/>
      </c>
      <c r="HS15" s="64">
        <f>COUNTIF(HS4:HS11,"صباح")+COUNTIF(HS4:HS11,"عصر")+COUNTIF(HS4:HS11,"ليل")</f>
        <v/>
      </c>
      <c r="HT15" s="64">
        <f>COUNTIF(HT4:HT11,"صباح")+COUNTIF(HT4:HT11,"عصر")+COUNTIF(HT4:HT11,"ليل")</f>
        <v/>
      </c>
      <c r="HU15" s="64">
        <f>COUNTIF(HU4:HU11,"صباح")+COUNTIF(HU4:HU11,"عصر")+COUNTIF(HU4:HU11,"ليل")</f>
        <v/>
      </c>
      <c r="HV15" s="64">
        <f>COUNTIF(HV4:HV11,"صباح")+COUNTIF(HV4:HV11,"عصر")+COUNTIF(HV4:HV11,"ليل")</f>
        <v/>
      </c>
      <c r="HW15" s="64">
        <f>COUNTIF(HW4:HW11,"صباح")+COUNTIF(HW4:HW11,"عصر")+COUNTIF(HW4:HW11,"ليل")</f>
        <v/>
      </c>
      <c r="HX15" s="64">
        <f>COUNTIF(HX4:HX11,"صباح")+COUNTIF(HX4:HX11,"عصر")+COUNTIF(HX4:HX11,"ليل")</f>
        <v/>
      </c>
      <c r="HY15" s="64">
        <f>COUNTIF(HY4:HY11,"صباح")+COUNTIF(HY4:HY11,"عصر")+COUNTIF(HY4:HY11,"ليل")</f>
        <v/>
      </c>
      <c r="HZ15" s="64">
        <f>COUNTIF(HZ4:HZ11,"صباح")+COUNTIF(HZ4:HZ11,"عصر")+COUNTIF(HZ4:HZ11,"ليل")</f>
        <v/>
      </c>
      <c r="IA15" s="64">
        <f>COUNTIF(IA4:IA11,"صباح")+COUNTIF(IA4:IA11,"عصر")+COUNTIF(IA4:IA11,"ليل")</f>
        <v/>
      </c>
      <c r="IB15" s="64">
        <f>COUNTIF(IB4:IB11,"صباح")+COUNTIF(IB4:IB11,"عصر")+COUNTIF(IB4:IB11,"ليل")</f>
        <v/>
      </c>
      <c r="IC15" s="64">
        <f>COUNTIF(IC4:IC11,"صباح")+COUNTIF(IC4:IC11,"عصر")+COUNTIF(IC4:IC11,"ليل")</f>
        <v/>
      </c>
      <c r="ID15" s="64">
        <f>COUNTIF(ID4:ID11,"صباح")+COUNTIF(ID4:ID11,"عصر")+COUNTIF(ID4:ID11,"ليل")</f>
        <v/>
      </c>
      <c r="IE15" s="64">
        <f>COUNTIF(IE4:IE11,"صباح")+COUNTIF(IE4:IE11,"عصر")+COUNTIF(IE4:IE11,"ليل")</f>
        <v/>
      </c>
      <c r="IF15" s="64">
        <f>COUNTIF(IF4:IF11,"صباح")+COUNTIF(IF4:IF11,"عصر")+COUNTIF(IF4:IF11,"ليل")</f>
        <v/>
      </c>
      <c r="IG15" s="64">
        <f>COUNTIF(IG4:IG11,"صباح")+COUNTIF(IG4:IG11,"عصر")+COUNTIF(IG4:IG11,"ليل")</f>
        <v/>
      </c>
      <c r="IH15" s="64">
        <f>COUNTIF(IH4:IH11,"صباح")+COUNTIF(IH4:IH11,"عصر")+COUNTIF(IH4:IH11,"ليل")</f>
        <v/>
      </c>
      <c r="II15" s="64">
        <f>COUNTIF(II4:II11,"صباح")+COUNTIF(II4:II11,"عصر")+COUNTIF(II4:II11,"ليل")</f>
        <v/>
      </c>
      <c r="IJ15" s="64">
        <f>COUNTIF(IJ4:IJ11,"صباح")+COUNTIF(IJ4:IJ11,"عصر")+COUNTIF(IJ4:IJ11,"ليل")</f>
        <v/>
      </c>
      <c r="IK15" s="64">
        <f>COUNTIF(IK4:IK11,"صباح")+COUNTIF(IK4:IK11,"عصر")+COUNTIF(IK4:IK11,"ليل")</f>
        <v/>
      </c>
      <c r="IL15" s="64">
        <f>COUNTIF(IL4:IL11,"صباح")+COUNTIF(IL4:IL11,"عصر")+COUNTIF(IL4:IL11,"ليل")</f>
        <v/>
      </c>
      <c r="IM15" s="64">
        <f>COUNTIF(IM4:IM11,"صباح")+COUNTIF(IM4:IM11,"عصر")+COUNTIF(IM4:IM11,"ليل")</f>
        <v/>
      </c>
      <c r="IN15" s="64">
        <f>COUNTIF(IN4:IN11,"صباح")+COUNTIF(IN4:IN11,"عصر")+COUNTIF(IN4:IN11,"ليل")</f>
        <v/>
      </c>
      <c r="IO15" s="64">
        <f>COUNTIF(IO4:IO11,"صباح")+COUNTIF(IO4:IO11,"عصر")+COUNTIF(IO4:IO11,"ليل")</f>
        <v/>
      </c>
      <c r="IP15" s="64">
        <f>COUNTIF(IP4:IP11,"صباح")+COUNTIF(IP4:IP11,"عصر")+COUNTIF(IP4:IP11,"ليل")</f>
        <v/>
      </c>
      <c r="IQ15" s="64">
        <f>COUNTIF(IQ4:IQ11,"صباح")+COUNTIF(IQ4:IQ11,"عصر")+COUNTIF(IQ4:IQ11,"ليل")</f>
        <v/>
      </c>
      <c r="IR15" s="64">
        <f>COUNTIF(IR4:IR11,"صباح")+COUNTIF(IR4:IR11,"عصر")+COUNTIF(IR4:IR11,"ليل")</f>
        <v/>
      </c>
      <c r="IS15" s="64">
        <f>COUNTIF(IS4:IS11,"صباح")+COUNTIF(IS4:IS11,"عصر")+COUNTIF(IS4:IS11,"ليل")</f>
        <v/>
      </c>
      <c r="IT15" s="64">
        <f>COUNTIF(IT4:IT11,"صباح")+COUNTIF(IT4:IT11,"عصر")+COUNTIF(IT4:IT11,"ليل")</f>
        <v/>
      </c>
      <c r="IU15" s="64">
        <f>COUNTIF(IU4:IU11,"صباح")+COUNTIF(IU4:IU11,"عصر")+COUNTIF(IU4:IU11,"ليل")</f>
        <v/>
      </c>
      <c r="IV15" s="64">
        <f>COUNTIF(IV4:IV11,"صباح")+COUNTIF(IV4:IV11,"عصر")+COUNTIF(IV4:IV11,"ليل")</f>
        <v/>
      </c>
      <c r="IW15" s="64">
        <f>COUNTIF(IW4:IW11,"صباح")+COUNTIF(IW4:IW11,"عصر")+COUNTIF(IW4:IW11,"ليل")</f>
        <v/>
      </c>
      <c r="IX15" s="64">
        <f>COUNTIF(IX4:IX11,"صباح")+COUNTIF(IX4:IX11,"عصر")+COUNTIF(IX4:IX11,"ليل")</f>
        <v/>
      </c>
      <c r="IY15" s="64">
        <f>COUNTIF(IY4:IY11,"صباح")+COUNTIF(IY4:IY11,"عصر")+COUNTIF(IY4:IY11,"ليل")</f>
        <v/>
      </c>
      <c r="IZ15" s="64">
        <f>COUNTIF(IZ4:IZ11,"صباح")+COUNTIF(IZ4:IZ11,"عصر")+COUNTIF(IZ4:IZ11,"ليل")</f>
        <v/>
      </c>
      <c r="JA15" s="64">
        <f>COUNTIF(JA4:JA11,"صباح")+COUNTIF(JA4:JA11,"عصر")+COUNTIF(JA4:JA11,"ليل")</f>
        <v/>
      </c>
      <c r="JB15" s="64">
        <f>COUNTIF(JB4:JB11,"صباح")+COUNTIF(JB4:JB11,"عصر")+COUNTIF(JB4:JB11,"ليل")</f>
        <v/>
      </c>
      <c r="JC15" s="64">
        <f>COUNTIF(JC4:JC11,"صباح")+COUNTIF(JC4:JC11,"عصر")+COUNTIF(JC4:JC11,"ليل")</f>
        <v/>
      </c>
      <c r="JD15" s="64">
        <f>COUNTIF(JD4:JD11,"صباح")+COUNTIF(JD4:JD11,"عصر")+COUNTIF(JD4:JD11,"ليل")</f>
        <v/>
      </c>
      <c r="JE15" s="64">
        <f>COUNTIF(JE4:JE11,"صباح")+COUNTIF(JE4:JE11,"عصر")+COUNTIF(JE4:JE11,"ليل")</f>
        <v/>
      </c>
      <c r="JF15" s="64">
        <f>COUNTIF(JF4:JF11,"صباح")+COUNTIF(JF4:JF11,"عصر")+COUNTIF(JF4:JF11,"ليل")</f>
        <v/>
      </c>
      <c r="JG15" s="64">
        <f>COUNTIF(JG4:JG11,"صباح")+COUNTIF(JG4:JG11,"عصر")+COUNTIF(JG4:JG11,"ليل")</f>
        <v/>
      </c>
      <c r="JH15" s="64">
        <f>COUNTIF(JH4:JH11,"صباح")+COUNTIF(JH4:JH11,"عصر")+COUNTIF(JH4:JH11,"ليل")</f>
        <v/>
      </c>
      <c r="JI15" s="64">
        <f>COUNTIF(JI4:JI11,"صباح")+COUNTIF(JI4:JI11,"عصر")+COUNTIF(JI4:JI11,"ليل")</f>
        <v/>
      </c>
      <c r="JJ15" s="64">
        <f>COUNTIF(JJ4:JJ11,"صباح")+COUNTIF(JJ4:JJ11,"عصر")+COUNTIF(JJ4:JJ11,"ليل")</f>
        <v/>
      </c>
      <c r="JK15" s="64">
        <f>COUNTIF(JK4:JK11,"صباح")+COUNTIF(JK4:JK11,"عصر")+COUNTIF(JK4:JK11,"ليل")</f>
        <v/>
      </c>
      <c r="JL15" s="64">
        <f>COUNTIF(JL4:JL11,"صباح")+COUNTIF(JL4:JL11,"عصر")+COUNTIF(JL4:JL11,"ليل")</f>
        <v/>
      </c>
      <c r="JM15" s="64">
        <f>COUNTIF(JM4:JM11,"صباح")+COUNTIF(JM4:JM11,"عصر")+COUNTIF(JM4:JM11,"ليل")</f>
        <v/>
      </c>
      <c r="JN15" s="64">
        <f>COUNTIF(JN4:JN11,"صباح")+COUNTIF(JN4:JN11,"عصر")+COUNTIF(JN4:JN11,"ليل")</f>
        <v/>
      </c>
      <c r="JO15" s="64">
        <f>COUNTIF(JO4:JO11,"صباح")+COUNTIF(JO4:JO11,"عصر")+COUNTIF(JO4:JO11,"ليل")</f>
        <v/>
      </c>
      <c r="JP15" s="64">
        <f>COUNTIF(JP4:JP11,"صباح")+COUNTIF(JP4:JP11,"عصر")+COUNTIF(JP4:JP11,"ليل")</f>
        <v/>
      </c>
      <c r="JQ15" s="64">
        <f>COUNTIF(JQ4:JQ11,"صباح")+COUNTIF(JQ4:JQ11,"عصر")+COUNTIF(JQ4:JQ11,"ليل")</f>
        <v/>
      </c>
      <c r="JR15" s="64">
        <f>COUNTIF(JR4:JR11,"صباح")+COUNTIF(JR4:JR11,"عصر")+COUNTIF(JR4:JR11,"ليل")</f>
        <v/>
      </c>
      <c r="JS15" s="64">
        <f>COUNTIF(JS4:JS11,"صباح")+COUNTIF(JS4:JS11,"عصر")+COUNTIF(JS4:JS11,"ليل")</f>
        <v/>
      </c>
      <c r="JT15" s="64">
        <f>COUNTIF(JT4:JT11,"صباح")+COUNTIF(JT4:JT11,"عصر")+COUNTIF(JT4:JT11,"ليل")</f>
        <v/>
      </c>
      <c r="JU15" s="64">
        <f>COUNTIF(JU4:JU11,"صباح")+COUNTIF(JU4:JU11,"عصر")+COUNTIF(JU4:JU11,"ليل")</f>
        <v/>
      </c>
      <c r="JV15" s="64">
        <f>COUNTIF(JV4:JV11,"صباح")+COUNTIF(JV4:JV11,"عصر")+COUNTIF(JV4:JV11,"ليل")</f>
        <v/>
      </c>
      <c r="JW15" s="64">
        <f>COUNTIF(JW4:JW11,"صباح")+COUNTIF(JW4:JW11,"عصر")+COUNTIF(JW4:JW11,"ليل")</f>
        <v/>
      </c>
      <c r="JX15" s="64">
        <f>COUNTIF(JX4:JX11,"صباح")+COUNTIF(JX4:JX11,"عصر")+COUNTIF(JX4:JX11,"ليل")</f>
        <v/>
      </c>
      <c r="JY15" s="64">
        <f>COUNTIF(JY4:JY11,"صباح")+COUNTIF(JY4:JY11,"عصر")+COUNTIF(JY4:JY11,"ليل")</f>
        <v/>
      </c>
      <c r="JZ15" s="64">
        <f>COUNTIF(JZ4:JZ11,"صباح")+COUNTIF(JZ4:JZ11,"عصر")+COUNTIF(JZ4:JZ11,"ليل")</f>
        <v/>
      </c>
      <c r="KA15" s="64">
        <f>COUNTIF(KA4:KA11,"صباح")+COUNTIF(KA4:KA11,"عصر")+COUNTIF(KA4:KA11,"ليل")</f>
        <v/>
      </c>
      <c r="KB15" s="64">
        <f>COUNTIF(KB4:KB11,"صباح")+COUNTIF(KB4:KB11,"عصر")+COUNTIF(KB4:KB11,"ليل")</f>
        <v/>
      </c>
      <c r="KC15" s="64">
        <f>COUNTIF(KC4:KC11,"صباح")+COUNTIF(KC4:KC11,"عصر")+COUNTIF(KC4:KC11,"ليل")</f>
        <v/>
      </c>
      <c r="KD15" s="64">
        <f>COUNTIF(KD4:KD11,"صباح")+COUNTIF(KD4:KD11,"عصر")+COUNTIF(KD4:KD11,"ليل")</f>
        <v/>
      </c>
      <c r="KE15" s="64">
        <f>COUNTIF(KE4:KE11,"صباح")+COUNTIF(KE4:KE11,"عصر")+COUNTIF(KE4:KE11,"ليل")</f>
        <v/>
      </c>
      <c r="KF15" s="64">
        <f>COUNTIF(KF4:KF11,"صباح")+COUNTIF(KF4:KF11,"عصر")+COUNTIF(KF4:KF11,"ليل")</f>
        <v/>
      </c>
      <c r="KG15" s="64">
        <f>COUNTIF(KG4:KG11,"صباح")+COUNTIF(KG4:KG11,"عصر")+COUNTIF(KG4:KG11,"ليل")</f>
        <v/>
      </c>
      <c r="KH15" s="64">
        <f>COUNTIF(KH4:KH11,"صباح")+COUNTIF(KH4:KH11,"عصر")+COUNTIF(KH4:KH11,"ليل")</f>
        <v/>
      </c>
      <c r="KI15" s="64">
        <f>COUNTIF(KI4:KI11,"صباح")+COUNTIF(KI4:KI11,"عصر")+COUNTIF(KI4:KI11,"ليل")</f>
        <v/>
      </c>
      <c r="KJ15" s="64">
        <f>COUNTIF(KJ4:KJ11,"صباح")+COUNTIF(KJ4:KJ11,"عصر")+COUNTIF(KJ4:KJ11,"ليل")</f>
        <v/>
      </c>
      <c r="KK15" s="64">
        <f>COUNTIF(KK4:KK11,"صباح")+COUNTIF(KK4:KK11,"عصر")+COUNTIF(KK4:KK11,"ليل")</f>
        <v/>
      </c>
      <c r="KL15" s="64">
        <f>COUNTIF(KL4:KL11,"صباح")+COUNTIF(KL4:KL11,"عصر")+COUNTIF(KL4:KL11,"ليل")</f>
        <v/>
      </c>
      <c r="KM15" s="64">
        <f>COUNTIF(KM4:KM11,"صباح")+COUNTIF(KM4:KM11,"عصر")+COUNTIF(KM4:KM11,"ليل")</f>
        <v/>
      </c>
      <c r="KN15" s="64">
        <f>COUNTIF(KN4:KN11,"صباح")+COUNTIF(KN4:KN11,"عصر")+COUNTIF(KN4:KN11,"ليل")</f>
        <v/>
      </c>
      <c r="KO15" s="64">
        <f>COUNTIF(KO4:KO11,"صباح")+COUNTIF(KO4:KO11,"عصر")+COUNTIF(KO4:KO11,"ليل")</f>
        <v/>
      </c>
      <c r="KP15" s="64">
        <f>COUNTIF(KP4:KP11,"صباح")+COUNTIF(KP4:KP11,"عصر")+COUNTIF(KP4:KP11,"ليل")</f>
        <v/>
      </c>
      <c r="KQ15" s="64">
        <f>COUNTIF(KQ4:KQ11,"صباح")+COUNTIF(KQ4:KQ11,"عصر")+COUNTIF(KQ4:KQ11,"ليل")</f>
        <v/>
      </c>
      <c r="KR15" s="64">
        <f>COUNTIF(KR4:KR11,"صباح")+COUNTIF(KR4:KR11,"عصر")+COUNTIF(KR4:KR11,"ليل")</f>
        <v/>
      </c>
      <c r="KS15" s="64">
        <f>COUNTIF(KS4:KS11,"صباح")+COUNTIF(KS4:KS11,"عصر")+COUNTIF(KS4:KS11,"ليل")</f>
        <v/>
      </c>
      <c r="KT15" s="64">
        <f>COUNTIF(KT4:KT11,"صباح")+COUNTIF(KT4:KT11,"عصر")+COUNTIF(KT4:KT11,"ليل")</f>
        <v/>
      </c>
      <c r="KU15" s="64">
        <f>COUNTIF(KU4:KU11,"صباح")+COUNTIF(KU4:KU11,"عصر")+COUNTIF(KU4:KU11,"ليل")</f>
        <v/>
      </c>
      <c r="KV15" s="64">
        <f>COUNTIF(KV4:KV11,"صباح")+COUNTIF(KV4:KV11,"عصر")+COUNTIF(KV4:KV11,"ليل")</f>
        <v/>
      </c>
      <c r="KW15" s="64">
        <f>COUNTIF(KW4:KW11,"صباح")+COUNTIF(KW4:KW11,"عصر")+COUNTIF(KW4:KW11,"ليل")</f>
        <v/>
      </c>
      <c r="KX15" s="64">
        <f>COUNTIF(KX4:KX11,"صباح")+COUNTIF(KX4:KX11,"عصر")+COUNTIF(KX4:KX11,"ليل")</f>
        <v/>
      </c>
      <c r="KY15" s="64">
        <f>COUNTIF(KY4:KY11,"صباح")+COUNTIF(KY4:KY11,"عصر")+COUNTIF(KY4:KY11,"ليل")</f>
        <v/>
      </c>
      <c r="KZ15" s="64">
        <f>COUNTIF(KZ4:KZ11,"صباح")+COUNTIF(KZ4:KZ11,"عصر")+COUNTIF(KZ4:KZ11,"ليل")</f>
        <v/>
      </c>
      <c r="LA15" s="64">
        <f>COUNTIF(LA4:LA11,"صباح")+COUNTIF(LA4:LA11,"عصر")+COUNTIF(LA4:LA11,"ليل")</f>
        <v/>
      </c>
      <c r="LB15" s="64">
        <f>COUNTIF(LB4:LB11,"صباح")+COUNTIF(LB4:LB11,"عصر")+COUNTIF(LB4:LB11,"ليل")</f>
        <v/>
      </c>
      <c r="LC15" s="64">
        <f>COUNTIF(LC4:LC11,"صباح")+COUNTIF(LC4:LC11,"عصر")+COUNTIF(LC4:LC11,"ليل")</f>
        <v/>
      </c>
      <c r="LD15" s="64">
        <f>COUNTIF(LD4:LD11,"صباح")+COUNTIF(LD4:LD11,"عصر")+COUNTIF(LD4:LD11,"ليل")</f>
        <v/>
      </c>
      <c r="LE15" s="64">
        <f>COUNTIF(LE4:LE11,"صباح")+COUNTIF(LE4:LE11,"عصر")+COUNTIF(LE4:LE11,"ليل")</f>
        <v/>
      </c>
      <c r="LF15" s="64">
        <f>COUNTIF(LF4:LF11,"صباح")+COUNTIF(LF4:LF11,"عصر")+COUNTIF(LF4:LF11,"ليل")</f>
        <v/>
      </c>
      <c r="LG15" s="64">
        <f>COUNTIF(LG4:LG11,"صباح")+COUNTIF(LG4:LG11,"عصر")+COUNTIF(LG4:LG11,"ليل")</f>
        <v/>
      </c>
      <c r="LH15" s="64">
        <f>COUNTIF(LH4:LH11,"صباح")+COUNTIF(LH4:LH11,"عصر")+COUNTIF(LH4:LH11,"ليل")</f>
        <v/>
      </c>
      <c r="LI15" s="64">
        <f>COUNTIF(LI4:LI11,"صباح")+COUNTIF(LI4:LI11,"عصر")+COUNTIF(LI4:LI11,"ليل")</f>
        <v/>
      </c>
      <c r="LJ15" s="64">
        <f>COUNTIF(LJ4:LJ11,"صباح")+COUNTIF(LJ4:LJ11,"عصر")+COUNTIF(LJ4:LJ11,"ليل")</f>
        <v/>
      </c>
      <c r="LK15" s="64">
        <f>COUNTIF(LK4:LK11,"صباح")+COUNTIF(LK4:LK11,"عصر")+COUNTIF(LK4:LK11,"ليل")</f>
        <v/>
      </c>
      <c r="LL15" s="64">
        <f>COUNTIF(LL4:LL11,"صباح")+COUNTIF(LL4:LL11,"عصر")+COUNTIF(LL4:LL11,"ليل")</f>
        <v/>
      </c>
      <c r="LM15" s="64">
        <f>COUNTIF(LM4:LM11,"صباح")+COUNTIF(LM4:LM11,"عصر")+COUNTIF(LM4:LM11,"ليل")</f>
        <v/>
      </c>
      <c r="LN15" s="64">
        <f>COUNTIF(LN4:LN11,"صباح")+COUNTIF(LN4:LN11,"عصر")+COUNTIF(LN4:LN11,"ليل")</f>
        <v/>
      </c>
      <c r="LO15" s="64">
        <f>COUNTIF(LO4:LO11,"صباح")+COUNTIF(LO4:LO11,"عصر")+COUNTIF(LO4:LO11,"ليل")</f>
        <v/>
      </c>
      <c r="LP15" s="64">
        <f>COUNTIF(LP4:LP11,"صباح")+COUNTIF(LP4:LP11,"عصر")+COUNTIF(LP4:LP11,"ليل")</f>
        <v/>
      </c>
      <c r="LQ15" s="64">
        <f>COUNTIF(LQ4:LQ11,"صباح")+COUNTIF(LQ4:LQ11,"عصر")+COUNTIF(LQ4:LQ11,"ليل")</f>
        <v/>
      </c>
      <c r="LR15" s="64">
        <f>COUNTIF(LR4:LR11,"صباح")+COUNTIF(LR4:LR11,"عصر")+COUNTIF(LR4:LR11,"ليل")</f>
        <v/>
      </c>
      <c r="LS15" s="64">
        <f>COUNTIF(LS4:LS11,"صباح")+COUNTIF(LS4:LS11,"عصر")+COUNTIF(LS4:LS11,"ليل")</f>
        <v/>
      </c>
      <c r="LT15" s="64">
        <f>COUNTIF(LT4:LT11,"صباح")+COUNTIF(LT4:LT11,"عصر")+COUNTIF(LT4:LT11,"ليل")</f>
        <v/>
      </c>
      <c r="LU15" s="64">
        <f>COUNTIF(LU4:LU11,"صباح")+COUNTIF(LU4:LU11,"عصر")+COUNTIF(LU4:LU11,"ليل")</f>
        <v/>
      </c>
      <c r="LV15" s="64">
        <f>COUNTIF(LV4:LV11,"صباح")+COUNTIF(LV4:LV11,"عصر")+COUNTIF(LV4:LV11,"ليل")</f>
        <v/>
      </c>
      <c r="LW15" s="64">
        <f>COUNTIF(LW4:LW11,"صباح")+COUNTIF(LW4:LW11,"عصر")+COUNTIF(LW4:LW11,"ليل")</f>
        <v/>
      </c>
      <c r="LX15" s="64">
        <f>COUNTIF(LX4:LX11,"صباح")+COUNTIF(LX4:LX11,"عصر")+COUNTIF(LX4:LX11,"ليل")</f>
        <v/>
      </c>
      <c r="LY15" s="64">
        <f>COUNTIF(LY4:LY11,"صباح")+COUNTIF(LY4:LY11,"عصر")+COUNTIF(LY4:LY11,"ليل")</f>
        <v/>
      </c>
      <c r="LZ15" s="64">
        <f>COUNTIF(LZ4:LZ11,"صباح")+COUNTIF(LZ4:LZ11,"عصر")+COUNTIF(LZ4:LZ11,"ليل")</f>
        <v/>
      </c>
      <c r="MA15" s="64">
        <f>COUNTIF(MA4:MA11,"صباح")+COUNTIF(MA4:MA11,"عصر")+COUNTIF(MA4:MA11,"ليل")</f>
        <v/>
      </c>
      <c r="MB15" s="64">
        <f>COUNTIF(MB4:MB11,"صباح")+COUNTIF(MB4:MB11,"عصر")+COUNTIF(MB4:MB11,"ليل")</f>
        <v/>
      </c>
      <c r="MC15" s="64">
        <f>COUNTIF(MC4:MC11,"صباح")+COUNTIF(MC4:MC11,"عصر")+COUNTIF(MC4:MC11,"ليل")</f>
        <v/>
      </c>
      <c r="MD15" s="64">
        <f>COUNTIF(MD4:MD11,"صباح")+COUNTIF(MD4:MD11,"عصر")+COUNTIF(MD4:MD11,"ليل")</f>
        <v/>
      </c>
      <c r="ME15" s="64">
        <f>COUNTIF(ME4:ME11,"صباح")+COUNTIF(ME4:ME11,"عصر")+COUNTIF(ME4:ME11,"ليل")</f>
        <v/>
      </c>
      <c r="MF15" s="64">
        <f>COUNTIF(MF4:MF11,"صباح")+COUNTIF(MF4:MF11,"عصر")+COUNTIF(MF4:MF11,"ليل")</f>
        <v/>
      </c>
      <c r="MG15" s="64">
        <f>COUNTIF(MG4:MG11,"صباح")+COUNTIF(MG4:MG11,"عصر")+COUNTIF(MG4:MG11,"ليل")</f>
        <v/>
      </c>
      <c r="MH15" s="64">
        <f>COUNTIF(MH4:MH11,"صباح")+COUNTIF(MH4:MH11,"عصر")+COUNTIF(MH4:MH11,"ليل")</f>
        <v/>
      </c>
      <c r="MI15" s="64">
        <f>COUNTIF(MI4:MI11,"صباح")+COUNTIF(MI4:MI11,"عصر")+COUNTIF(MI4:MI11,"ليل")</f>
        <v/>
      </c>
      <c r="MJ15" s="64">
        <f>COUNTIF(MJ4:MJ11,"صباح")+COUNTIF(MJ4:MJ11,"عصر")+COUNTIF(MJ4:MJ11,"ليل")</f>
        <v/>
      </c>
      <c r="MK15" s="64">
        <f>COUNTIF(MK4:MK11,"صباح")+COUNTIF(MK4:MK11,"عصر")+COUNTIF(MK4:MK11,"ليل")</f>
        <v/>
      </c>
      <c r="ML15" s="64">
        <f>COUNTIF(ML4:ML11,"صباح")+COUNTIF(ML4:ML11,"عصر")+COUNTIF(ML4:ML11,"ليل")</f>
        <v/>
      </c>
      <c r="MM15" s="64">
        <f>COUNTIF(MM4:MM11,"صباح")+COUNTIF(MM4:MM11,"عصر")+COUNTIF(MM4:MM11,"ليل")</f>
        <v/>
      </c>
      <c r="MN15" s="64">
        <f>COUNTIF(MN4:MN11,"صباح")+COUNTIF(MN4:MN11,"عصر")+COUNTIF(MN4:MN11,"ليل")</f>
        <v/>
      </c>
      <c r="MO15" s="64">
        <f>COUNTIF(MO4:MO11,"صباح")+COUNTIF(MO4:MO11,"عصر")+COUNTIF(MO4:MO11,"ليل")</f>
        <v/>
      </c>
      <c r="MP15" s="64">
        <f>COUNTIF(MP4:MP11,"صباح")+COUNTIF(MP4:MP11,"عصر")+COUNTIF(MP4:MP11,"ليل")</f>
        <v/>
      </c>
      <c r="MQ15" s="64">
        <f>COUNTIF(MQ4:MQ11,"صباح")+COUNTIF(MQ4:MQ11,"عصر")+COUNTIF(MQ4:MQ11,"ليل")</f>
        <v/>
      </c>
      <c r="MR15" s="64">
        <f>COUNTIF(MR4:MR11,"صباح")+COUNTIF(MR4:MR11,"عصر")+COUNTIF(MR4:MR11,"ليل")</f>
        <v/>
      </c>
      <c r="MS15" s="64">
        <f>COUNTIF(MS4:MS11,"صباح")+COUNTIF(MS4:MS11,"عصر")+COUNTIF(MS4:MS11,"ليل")</f>
        <v/>
      </c>
      <c r="MT15" s="64">
        <f>COUNTIF(MT4:MT11,"صباح")+COUNTIF(MT4:MT11,"عصر")+COUNTIF(MT4:MT11,"ليل")</f>
        <v/>
      </c>
      <c r="MU15" s="64">
        <f>COUNTIF(MU4:MU11,"صباح")+COUNTIF(MU4:MU11,"عصر")+COUNTIF(MU4:MU11,"ليل")</f>
        <v/>
      </c>
      <c r="MV15" s="64">
        <f>COUNTIF(MV4:MV11,"صباح")+COUNTIF(MV4:MV11,"عصر")+COUNTIF(MV4:MV11,"ليل")</f>
        <v/>
      </c>
      <c r="MW15" s="64">
        <f>COUNTIF(MW4:MW11,"صباح")+COUNTIF(MW4:MW11,"عصر")+COUNTIF(MW4:MW11,"ليل")</f>
        <v/>
      </c>
      <c r="MX15" s="64">
        <f>COUNTIF(MX4:MX11,"صباح")+COUNTIF(MX4:MX11,"عصر")+COUNTIF(MX4:MX11,"ليل")</f>
        <v/>
      </c>
      <c r="MY15" s="64">
        <f>COUNTIF(MY4:MY11,"صباح")+COUNTIF(MY4:MY11,"عصر")+COUNTIF(MY4:MY11,"ليل")</f>
        <v/>
      </c>
      <c r="MZ15" s="64">
        <f>COUNTIF(MZ4:MZ11,"صباح")+COUNTIF(MZ4:MZ11,"عصر")+COUNTIF(MZ4:MZ11,"ليل")</f>
        <v/>
      </c>
      <c r="NA15" s="64">
        <f>COUNTIF(NA4:NA11,"صباح")+COUNTIF(NA4:NA11,"عصر")+COUNTIF(NA4:NA11,"ليل")</f>
        <v/>
      </c>
      <c r="NB15" s="64">
        <f>COUNTIF(NB4:NB11,"صباح")+COUNTIF(NB4:NB11,"عصر")+COUNTIF(NB4:NB11,"ليل")</f>
        <v/>
      </c>
      <c r="NC15" s="64">
        <f>COUNTIF(NC4:NC11,"صباح")+COUNTIF(NC4:NC11,"عصر")+COUNTIF(NC4:NC11,"ليل")</f>
        <v/>
      </c>
      <c r="ND15" s="64">
        <f>COUNTIF(ND4:ND11,"صباح")+COUNTIF(ND4:ND11,"عصر")+COUNTIF(ND4:ND11,"ليل")</f>
        <v/>
      </c>
    </row>
    <row r="16">
      <c r="B16" s="67" t="inlineStr">
        <is>
          <t>عدد المُجازين</t>
        </is>
      </c>
      <c r="D16" s="64">
        <f>SUMPRODUCT((D4:D11&lt;&gt;"")*(D4:D11&lt;&gt;"صباح")*(D4:D11&lt;&gt;"عصر")*(D4:D11&lt;&gt;"ليل")*(D4:D11&lt;&gt;"راحة"))</f>
        <v/>
      </c>
      <c r="E16" s="64">
        <f>SUMPRODUCT((E4:E11&lt;&gt;"")*(E4:E11&lt;&gt;"صباح")*(E4:E11&lt;&gt;"عصر")*(E4:E11&lt;&gt;"ليل")*(E4:E11&lt;&gt;"راحة"))</f>
        <v/>
      </c>
      <c r="F16" s="64">
        <f>SUMPRODUCT((F4:F11&lt;&gt;"")*(F4:F11&lt;&gt;"صباح")*(F4:F11&lt;&gt;"عصر")*(F4:F11&lt;&gt;"ليل")*(F4:F11&lt;&gt;"راحة"))</f>
        <v/>
      </c>
      <c r="G16" s="64">
        <f>SUMPRODUCT((G4:G11&lt;&gt;"")*(G4:G11&lt;&gt;"صباح")*(G4:G11&lt;&gt;"عصر")*(G4:G11&lt;&gt;"ليل")*(G4:G11&lt;&gt;"راحة"))</f>
        <v/>
      </c>
      <c r="H16" s="64">
        <f>SUMPRODUCT((H4:H11&lt;&gt;"")*(H4:H11&lt;&gt;"صباح")*(H4:H11&lt;&gt;"عصر")*(H4:H11&lt;&gt;"ليل")*(H4:H11&lt;&gt;"راحة"))</f>
        <v/>
      </c>
      <c r="I16" s="64">
        <f>SUMPRODUCT((I4:I11&lt;&gt;"")*(I4:I11&lt;&gt;"صباح")*(I4:I11&lt;&gt;"عصر")*(I4:I11&lt;&gt;"ليل")*(I4:I11&lt;&gt;"راحة"))</f>
        <v/>
      </c>
      <c r="J16" s="64">
        <f>SUMPRODUCT((J4:J11&lt;&gt;"")*(J4:J11&lt;&gt;"صباح")*(J4:J11&lt;&gt;"عصر")*(J4:J11&lt;&gt;"ليل")*(J4:J11&lt;&gt;"راحة"))</f>
        <v/>
      </c>
      <c r="K16" s="64">
        <f>SUMPRODUCT((K4:K11&lt;&gt;"")*(K4:K11&lt;&gt;"صباح")*(K4:K11&lt;&gt;"عصر")*(K4:K11&lt;&gt;"ليل")*(K4:K11&lt;&gt;"راحة"))</f>
        <v/>
      </c>
      <c r="L16" s="64">
        <f>SUMPRODUCT((L4:L11&lt;&gt;"")*(L4:L11&lt;&gt;"صباح")*(L4:L11&lt;&gt;"عصر")*(L4:L11&lt;&gt;"ليل")*(L4:L11&lt;&gt;"راحة"))</f>
        <v/>
      </c>
      <c r="M16" s="64">
        <f>SUMPRODUCT((M4:M11&lt;&gt;"")*(M4:M11&lt;&gt;"صباح")*(M4:M11&lt;&gt;"عصر")*(M4:M11&lt;&gt;"ليل")*(M4:M11&lt;&gt;"راحة"))</f>
        <v/>
      </c>
      <c r="N16" s="64">
        <f>SUMPRODUCT((N4:N11&lt;&gt;"")*(N4:N11&lt;&gt;"صباح")*(N4:N11&lt;&gt;"عصر")*(N4:N11&lt;&gt;"ليل")*(N4:N11&lt;&gt;"راحة"))</f>
        <v/>
      </c>
      <c r="O16" s="64">
        <f>SUMPRODUCT((O4:O11&lt;&gt;"")*(O4:O11&lt;&gt;"صباح")*(O4:O11&lt;&gt;"عصر")*(O4:O11&lt;&gt;"ليل")*(O4:O11&lt;&gt;"راحة"))</f>
        <v/>
      </c>
      <c r="P16" s="64">
        <f>SUMPRODUCT((P4:P11&lt;&gt;"")*(P4:P11&lt;&gt;"صباح")*(P4:P11&lt;&gt;"عصر")*(P4:P11&lt;&gt;"ليل")*(P4:P11&lt;&gt;"راحة"))</f>
        <v/>
      </c>
      <c r="Q16" s="64">
        <f>SUMPRODUCT((Q4:Q11&lt;&gt;"")*(Q4:Q11&lt;&gt;"صباح")*(Q4:Q11&lt;&gt;"عصر")*(Q4:Q11&lt;&gt;"ليل")*(Q4:Q11&lt;&gt;"راحة"))</f>
        <v/>
      </c>
      <c r="R16" s="64">
        <f>SUMPRODUCT((R4:R11&lt;&gt;"")*(R4:R11&lt;&gt;"صباح")*(R4:R11&lt;&gt;"عصر")*(R4:R11&lt;&gt;"ليل")*(R4:R11&lt;&gt;"راحة"))</f>
        <v/>
      </c>
      <c r="S16" s="64">
        <f>SUMPRODUCT((S4:S11&lt;&gt;"")*(S4:S11&lt;&gt;"صباح")*(S4:S11&lt;&gt;"عصر")*(S4:S11&lt;&gt;"ليل")*(S4:S11&lt;&gt;"راحة"))</f>
        <v/>
      </c>
      <c r="T16" s="64">
        <f>SUMPRODUCT((T4:T11&lt;&gt;"")*(T4:T11&lt;&gt;"صباح")*(T4:T11&lt;&gt;"عصر")*(T4:T11&lt;&gt;"ليل")*(T4:T11&lt;&gt;"راحة"))</f>
        <v/>
      </c>
      <c r="U16" s="64">
        <f>SUMPRODUCT((U4:U11&lt;&gt;"")*(U4:U11&lt;&gt;"صباح")*(U4:U11&lt;&gt;"عصر")*(U4:U11&lt;&gt;"ليل")*(U4:U11&lt;&gt;"راحة"))</f>
        <v/>
      </c>
      <c r="V16" s="64">
        <f>SUMPRODUCT((V4:V11&lt;&gt;"")*(V4:V11&lt;&gt;"صباح")*(V4:V11&lt;&gt;"عصر")*(V4:V11&lt;&gt;"ليل")*(V4:V11&lt;&gt;"راحة"))</f>
        <v/>
      </c>
      <c r="W16" s="64">
        <f>SUMPRODUCT((W4:W11&lt;&gt;"")*(W4:W11&lt;&gt;"صباح")*(W4:W11&lt;&gt;"عصر")*(W4:W11&lt;&gt;"ليل")*(W4:W11&lt;&gt;"راحة"))</f>
        <v/>
      </c>
      <c r="X16" s="64">
        <f>SUMPRODUCT((X4:X11&lt;&gt;"")*(X4:X11&lt;&gt;"صباح")*(X4:X11&lt;&gt;"عصر")*(X4:X11&lt;&gt;"ليل")*(X4:X11&lt;&gt;"راحة"))</f>
        <v/>
      </c>
      <c r="Y16" s="64">
        <f>SUMPRODUCT((Y4:Y11&lt;&gt;"")*(Y4:Y11&lt;&gt;"صباح")*(Y4:Y11&lt;&gt;"عصر")*(Y4:Y11&lt;&gt;"ليل")*(Y4:Y11&lt;&gt;"راحة"))</f>
        <v/>
      </c>
      <c r="Z16" s="64">
        <f>SUMPRODUCT((Z4:Z11&lt;&gt;"")*(Z4:Z11&lt;&gt;"صباح")*(Z4:Z11&lt;&gt;"عصر")*(Z4:Z11&lt;&gt;"ليل")*(Z4:Z11&lt;&gt;"راحة"))</f>
        <v/>
      </c>
      <c r="AA16" s="64">
        <f>SUMPRODUCT((AA4:AA11&lt;&gt;"")*(AA4:AA11&lt;&gt;"صباح")*(AA4:AA11&lt;&gt;"عصر")*(AA4:AA11&lt;&gt;"ليل")*(AA4:AA11&lt;&gt;"راحة"))</f>
        <v/>
      </c>
      <c r="AB16" s="64">
        <f>SUMPRODUCT((AB4:AB11&lt;&gt;"")*(AB4:AB11&lt;&gt;"صباح")*(AB4:AB11&lt;&gt;"عصر")*(AB4:AB11&lt;&gt;"ليل")*(AB4:AB11&lt;&gt;"راحة"))</f>
        <v/>
      </c>
      <c r="AC16" s="64">
        <f>SUMPRODUCT((AC4:AC11&lt;&gt;"")*(AC4:AC11&lt;&gt;"صباح")*(AC4:AC11&lt;&gt;"عصر")*(AC4:AC11&lt;&gt;"ليل")*(AC4:AC11&lt;&gt;"راحة"))</f>
        <v/>
      </c>
      <c r="AD16" s="64">
        <f>SUMPRODUCT((AD4:AD11&lt;&gt;"")*(AD4:AD11&lt;&gt;"صباح")*(AD4:AD11&lt;&gt;"عصر")*(AD4:AD11&lt;&gt;"ليل")*(AD4:AD11&lt;&gt;"راحة"))</f>
        <v/>
      </c>
      <c r="AE16" s="64">
        <f>SUMPRODUCT((AE4:AE11&lt;&gt;"")*(AE4:AE11&lt;&gt;"صباح")*(AE4:AE11&lt;&gt;"عصر")*(AE4:AE11&lt;&gt;"ليل")*(AE4:AE11&lt;&gt;"راحة"))</f>
        <v/>
      </c>
      <c r="AF16" s="64">
        <f>SUMPRODUCT((AF4:AF11&lt;&gt;"")*(AF4:AF11&lt;&gt;"صباح")*(AF4:AF11&lt;&gt;"عصر")*(AF4:AF11&lt;&gt;"ليل")*(AF4:AF11&lt;&gt;"راحة"))</f>
        <v/>
      </c>
      <c r="AG16" s="64">
        <f>SUMPRODUCT((AG4:AG11&lt;&gt;"")*(AG4:AG11&lt;&gt;"صباح")*(AG4:AG11&lt;&gt;"عصر")*(AG4:AG11&lt;&gt;"ليل")*(AG4:AG11&lt;&gt;"راحة"))</f>
        <v/>
      </c>
      <c r="AH16" s="64">
        <f>SUMPRODUCT((AH4:AH11&lt;&gt;"")*(AH4:AH11&lt;&gt;"صباح")*(AH4:AH11&lt;&gt;"عصر")*(AH4:AH11&lt;&gt;"ليل")*(AH4:AH11&lt;&gt;"راحة"))</f>
        <v/>
      </c>
      <c r="AI16" s="64">
        <f>SUMPRODUCT((AI4:AI11&lt;&gt;"")*(AI4:AI11&lt;&gt;"صباح")*(AI4:AI11&lt;&gt;"عصر")*(AI4:AI11&lt;&gt;"ليل")*(AI4:AI11&lt;&gt;"راحة"))</f>
        <v/>
      </c>
      <c r="AJ16" s="64">
        <f>SUMPRODUCT((AJ4:AJ11&lt;&gt;"")*(AJ4:AJ11&lt;&gt;"صباح")*(AJ4:AJ11&lt;&gt;"عصر")*(AJ4:AJ11&lt;&gt;"ليل")*(AJ4:AJ11&lt;&gt;"راحة"))</f>
        <v/>
      </c>
      <c r="AK16" s="64">
        <f>SUMPRODUCT((AK4:AK11&lt;&gt;"")*(AK4:AK11&lt;&gt;"صباح")*(AK4:AK11&lt;&gt;"عصر")*(AK4:AK11&lt;&gt;"ليل")*(AK4:AK11&lt;&gt;"راحة"))</f>
        <v/>
      </c>
      <c r="AL16" s="64">
        <f>SUMPRODUCT((AL4:AL11&lt;&gt;"")*(AL4:AL11&lt;&gt;"صباح")*(AL4:AL11&lt;&gt;"عصر")*(AL4:AL11&lt;&gt;"ليل")*(AL4:AL11&lt;&gt;"راحة"))</f>
        <v/>
      </c>
      <c r="AM16" s="64">
        <f>SUMPRODUCT((AM4:AM11&lt;&gt;"")*(AM4:AM11&lt;&gt;"صباح")*(AM4:AM11&lt;&gt;"عصر")*(AM4:AM11&lt;&gt;"ليل")*(AM4:AM11&lt;&gt;"راحة"))</f>
        <v/>
      </c>
      <c r="AN16" s="64">
        <f>SUMPRODUCT((AN4:AN11&lt;&gt;"")*(AN4:AN11&lt;&gt;"صباح")*(AN4:AN11&lt;&gt;"عصر")*(AN4:AN11&lt;&gt;"ليل")*(AN4:AN11&lt;&gt;"راحة"))</f>
        <v/>
      </c>
      <c r="AO16" s="64">
        <f>SUMPRODUCT((AO4:AO11&lt;&gt;"")*(AO4:AO11&lt;&gt;"صباح")*(AO4:AO11&lt;&gt;"عصر")*(AO4:AO11&lt;&gt;"ليل")*(AO4:AO11&lt;&gt;"راحة"))</f>
        <v/>
      </c>
      <c r="AP16" s="64">
        <f>SUMPRODUCT((AP4:AP11&lt;&gt;"")*(AP4:AP11&lt;&gt;"صباح")*(AP4:AP11&lt;&gt;"عصر")*(AP4:AP11&lt;&gt;"ليل")*(AP4:AP11&lt;&gt;"راحة"))</f>
        <v/>
      </c>
      <c r="AQ16" s="64">
        <f>SUMPRODUCT((AQ4:AQ11&lt;&gt;"")*(AQ4:AQ11&lt;&gt;"صباح")*(AQ4:AQ11&lt;&gt;"عصر")*(AQ4:AQ11&lt;&gt;"ليل")*(AQ4:AQ11&lt;&gt;"راحة"))</f>
        <v/>
      </c>
      <c r="AR16" s="64">
        <f>SUMPRODUCT((AR4:AR11&lt;&gt;"")*(AR4:AR11&lt;&gt;"صباح")*(AR4:AR11&lt;&gt;"عصر")*(AR4:AR11&lt;&gt;"ليل")*(AR4:AR11&lt;&gt;"راحة"))</f>
        <v/>
      </c>
      <c r="AS16" s="64">
        <f>SUMPRODUCT((AS4:AS11&lt;&gt;"")*(AS4:AS11&lt;&gt;"صباح")*(AS4:AS11&lt;&gt;"عصر")*(AS4:AS11&lt;&gt;"ليل")*(AS4:AS11&lt;&gt;"راحة"))</f>
        <v/>
      </c>
      <c r="AT16" s="64">
        <f>SUMPRODUCT((AT4:AT11&lt;&gt;"")*(AT4:AT11&lt;&gt;"صباح")*(AT4:AT11&lt;&gt;"عصر")*(AT4:AT11&lt;&gt;"ليل")*(AT4:AT11&lt;&gt;"راحة"))</f>
        <v/>
      </c>
      <c r="AU16" s="64">
        <f>SUMPRODUCT((AU4:AU11&lt;&gt;"")*(AU4:AU11&lt;&gt;"صباح")*(AU4:AU11&lt;&gt;"عصر")*(AU4:AU11&lt;&gt;"ليل")*(AU4:AU11&lt;&gt;"راحة"))</f>
        <v/>
      </c>
      <c r="AV16" s="64">
        <f>SUMPRODUCT((AV4:AV11&lt;&gt;"")*(AV4:AV11&lt;&gt;"صباح")*(AV4:AV11&lt;&gt;"عصر")*(AV4:AV11&lt;&gt;"ليل")*(AV4:AV11&lt;&gt;"راحة"))</f>
        <v/>
      </c>
      <c r="AW16" s="64">
        <f>SUMPRODUCT((AW4:AW11&lt;&gt;"")*(AW4:AW11&lt;&gt;"صباح")*(AW4:AW11&lt;&gt;"عصر")*(AW4:AW11&lt;&gt;"ليل")*(AW4:AW11&lt;&gt;"راحة"))</f>
        <v/>
      </c>
      <c r="AX16" s="64">
        <f>SUMPRODUCT((AX4:AX11&lt;&gt;"")*(AX4:AX11&lt;&gt;"صباح")*(AX4:AX11&lt;&gt;"عصر")*(AX4:AX11&lt;&gt;"ليل")*(AX4:AX11&lt;&gt;"راحة"))</f>
        <v/>
      </c>
      <c r="AY16" s="64">
        <f>SUMPRODUCT((AY4:AY11&lt;&gt;"")*(AY4:AY11&lt;&gt;"صباح")*(AY4:AY11&lt;&gt;"عصر")*(AY4:AY11&lt;&gt;"ليل")*(AY4:AY11&lt;&gt;"راحة"))</f>
        <v/>
      </c>
      <c r="AZ16" s="64">
        <f>SUMPRODUCT((AZ4:AZ11&lt;&gt;"")*(AZ4:AZ11&lt;&gt;"صباح")*(AZ4:AZ11&lt;&gt;"عصر")*(AZ4:AZ11&lt;&gt;"ليل")*(AZ4:AZ11&lt;&gt;"راحة"))</f>
        <v/>
      </c>
      <c r="BA16" s="64">
        <f>SUMPRODUCT((BA4:BA11&lt;&gt;"")*(BA4:BA11&lt;&gt;"صباح")*(BA4:BA11&lt;&gt;"عصر")*(BA4:BA11&lt;&gt;"ليل")*(BA4:BA11&lt;&gt;"راحة"))</f>
        <v/>
      </c>
      <c r="BB16" s="64">
        <f>SUMPRODUCT((BB4:BB11&lt;&gt;"")*(BB4:BB11&lt;&gt;"صباح")*(BB4:BB11&lt;&gt;"عصر")*(BB4:BB11&lt;&gt;"ليل")*(BB4:BB11&lt;&gt;"راحة"))</f>
        <v/>
      </c>
      <c r="BC16" s="64">
        <f>SUMPRODUCT((BC4:BC11&lt;&gt;"")*(BC4:BC11&lt;&gt;"صباح")*(BC4:BC11&lt;&gt;"عصر")*(BC4:BC11&lt;&gt;"ليل")*(BC4:BC11&lt;&gt;"راحة"))</f>
        <v/>
      </c>
      <c r="BD16" s="64">
        <f>SUMPRODUCT((BD4:BD11&lt;&gt;"")*(BD4:BD11&lt;&gt;"صباح")*(BD4:BD11&lt;&gt;"عصر")*(BD4:BD11&lt;&gt;"ليل")*(BD4:BD11&lt;&gt;"راحة"))</f>
        <v/>
      </c>
      <c r="BE16" s="64">
        <f>SUMPRODUCT((BE4:BE11&lt;&gt;"")*(BE4:BE11&lt;&gt;"صباح")*(BE4:BE11&lt;&gt;"عصر")*(BE4:BE11&lt;&gt;"ليل")*(BE4:BE11&lt;&gt;"راحة"))</f>
        <v/>
      </c>
      <c r="BF16" s="64">
        <f>SUMPRODUCT((BF4:BF11&lt;&gt;"")*(BF4:BF11&lt;&gt;"صباح")*(BF4:BF11&lt;&gt;"عصر")*(BF4:BF11&lt;&gt;"ليل")*(BF4:BF11&lt;&gt;"راحة"))</f>
        <v/>
      </c>
      <c r="BG16" s="64">
        <f>SUMPRODUCT((BG4:BG11&lt;&gt;"")*(BG4:BG11&lt;&gt;"صباح")*(BG4:BG11&lt;&gt;"عصر")*(BG4:BG11&lt;&gt;"ليل")*(BG4:BG11&lt;&gt;"راحة"))</f>
        <v/>
      </c>
      <c r="BH16" s="64">
        <f>SUMPRODUCT((BH4:BH11&lt;&gt;"")*(BH4:BH11&lt;&gt;"صباح")*(BH4:BH11&lt;&gt;"عصر")*(BH4:BH11&lt;&gt;"ليل")*(BH4:BH11&lt;&gt;"راحة"))</f>
        <v/>
      </c>
      <c r="BI16" s="64">
        <f>SUMPRODUCT((BI4:BI11&lt;&gt;"")*(BI4:BI11&lt;&gt;"صباح")*(BI4:BI11&lt;&gt;"عصر")*(BI4:BI11&lt;&gt;"ليل")*(BI4:BI11&lt;&gt;"راحة"))</f>
        <v/>
      </c>
      <c r="BJ16" s="64">
        <f>SUMPRODUCT((BJ4:BJ11&lt;&gt;"")*(BJ4:BJ11&lt;&gt;"صباح")*(BJ4:BJ11&lt;&gt;"عصر")*(BJ4:BJ11&lt;&gt;"ليل")*(BJ4:BJ11&lt;&gt;"راحة"))</f>
        <v/>
      </c>
      <c r="BK16" s="64">
        <f>SUMPRODUCT((BK4:BK11&lt;&gt;"")*(BK4:BK11&lt;&gt;"صباح")*(BK4:BK11&lt;&gt;"عصر")*(BK4:BK11&lt;&gt;"ليل")*(BK4:BK11&lt;&gt;"راحة"))</f>
        <v/>
      </c>
      <c r="BL16" s="64">
        <f>SUMPRODUCT((BL4:BL11&lt;&gt;"")*(BL4:BL11&lt;&gt;"صباح")*(BL4:BL11&lt;&gt;"عصر")*(BL4:BL11&lt;&gt;"ليل")*(BL4:BL11&lt;&gt;"راحة"))</f>
        <v/>
      </c>
      <c r="BM16" s="64">
        <f>SUMPRODUCT((BM4:BM11&lt;&gt;"")*(BM4:BM11&lt;&gt;"صباح")*(BM4:BM11&lt;&gt;"عصر")*(BM4:BM11&lt;&gt;"ليل")*(BM4:BM11&lt;&gt;"راحة"))</f>
        <v/>
      </c>
      <c r="BN16" s="64">
        <f>SUMPRODUCT((BN4:BN11&lt;&gt;"")*(BN4:BN11&lt;&gt;"صباح")*(BN4:BN11&lt;&gt;"عصر")*(BN4:BN11&lt;&gt;"ليل")*(BN4:BN11&lt;&gt;"راحة"))</f>
        <v/>
      </c>
      <c r="BO16" s="64">
        <f>SUMPRODUCT((BO4:BO11&lt;&gt;"")*(BO4:BO11&lt;&gt;"صباح")*(BO4:BO11&lt;&gt;"عصر")*(BO4:BO11&lt;&gt;"ليل")*(BO4:BO11&lt;&gt;"راحة"))</f>
        <v/>
      </c>
      <c r="BP16" s="64">
        <f>SUMPRODUCT((BP4:BP11&lt;&gt;"")*(BP4:BP11&lt;&gt;"صباح")*(BP4:BP11&lt;&gt;"عصر")*(BP4:BP11&lt;&gt;"ليل")*(BP4:BP11&lt;&gt;"راحة"))</f>
        <v/>
      </c>
      <c r="BQ16" s="64">
        <f>SUMPRODUCT((BQ4:BQ11&lt;&gt;"")*(BQ4:BQ11&lt;&gt;"صباح")*(BQ4:BQ11&lt;&gt;"عصر")*(BQ4:BQ11&lt;&gt;"ليل")*(BQ4:BQ11&lt;&gt;"راحة"))</f>
        <v/>
      </c>
      <c r="BR16" s="64">
        <f>SUMPRODUCT((BR4:BR11&lt;&gt;"")*(BR4:BR11&lt;&gt;"صباح")*(BR4:BR11&lt;&gt;"عصر")*(BR4:BR11&lt;&gt;"ليل")*(BR4:BR11&lt;&gt;"راحة"))</f>
        <v/>
      </c>
      <c r="BS16" s="64">
        <f>SUMPRODUCT((BS4:BS11&lt;&gt;"")*(BS4:BS11&lt;&gt;"صباح")*(BS4:BS11&lt;&gt;"عصر")*(BS4:BS11&lt;&gt;"ليل")*(BS4:BS11&lt;&gt;"راحة"))</f>
        <v/>
      </c>
      <c r="BT16" s="64">
        <f>SUMPRODUCT((BT4:BT11&lt;&gt;"")*(BT4:BT11&lt;&gt;"صباح")*(BT4:BT11&lt;&gt;"عصر")*(BT4:BT11&lt;&gt;"ليل")*(BT4:BT11&lt;&gt;"راحة"))</f>
        <v/>
      </c>
      <c r="BU16" s="64">
        <f>SUMPRODUCT((BU4:BU11&lt;&gt;"")*(BU4:BU11&lt;&gt;"صباح")*(BU4:BU11&lt;&gt;"عصر")*(BU4:BU11&lt;&gt;"ليل")*(BU4:BU11&lt;&gt;"راحة"))</f>
        <v/>
      </c>
      <c r="BV16" s="64">
        <f>SUMPRODUCT((BV4:BV11&lt;&gt;"")*(BV4:BV11&lt;&gt;"صباح")*(BV4:BV11&lt;&gt;"عصر")*(BV4:BV11&lt;&gt;"ليل")*(BV4:BV11&lt;&gt;"راحة"))</f>
        <v/>
      </c>
      <c r="BW16" s="64">
        <f>SUMPRODUCT((BW4:BW11&lt;&gt;"")*(BW4:BW11&lt;&gt;"صباح")*(BW4:BW11&lt;&gt;"عصر")*(BW4:BW11&lt;&gt;"ليل")*(BW4:BW11&lt;&gt;"راحة"))</f>
        <v/>
      </c>
      <c r="BX16" s="64">
        <f>SUMPRODUCT((BX4:BX11&lt;&gt;"")*(BX4:BX11&lt;&gt;"صباح")*(BX4:BX11&lt;&gt;"عصر")*(BX4:BX11&lt;&gt;"ليل")*(BX4:BX11&lt;&gt;"راحة"))</f>
        <v/>
      </c>
      <c r="BY16" s="64">
        <f>SUMPRODUCT((BY4:BY11&lt;&gt;"")*(BY4:BY11&lt;&gt;"صباح")*(BY4:BY11&lt;&gt;"عصر")*(BY4:BY11&lt;&gt;"ليل")*(BY4:BY11&lt;&gt;"راحة"))</f>
        <v/>
      </c>
      <c r="BZ16" s="64">
        <f>SUMPRODUCT((BZ4:BZ11&lt;&gt;"")*(BZ4:BZ11&lt;&gt;"صباح")*(BZ4:BZ11&lt;&gt;"عصر")*(BZ4:BZ11&lt;&gt;"ليل")*(BZ4:BZ11&lt;&gt;"راحة"))</f>
        <v/>
      </c>
      <c r="CA16" s="64">
        <f>SUMPRODUCT((CA4:CA11&lt;&gt;"")*(CA4:CA11&lt;&gt;"صباح")*(CA4:CA11&lt;&gt;"عصر")*(CA4:CA11&lt;&gt;"ليل")*(CA4:CA11&lt;&gt;"راحة"))</f>
        <v/>
      </c>
      <c r="CB16" s="64">
        <f>SUMPRODUCT((CB4:CB11&lt;&gt;"")*(CB4:CB11&lt;&gt;"صباح")*(CB4:CB11&lt;&gt;"عصر")*(CB4:CB11&lt;&gt;"ليل")*(CB4:CB11&lt;&gt;"راحة"))</f>
        <v/>
      </c>
      <c r="CC16" s="64">
        <f>SUMPRODUCT((CC4:CC11&lt;&gt;"")*(CC4:CC11&lt;&gt;"صباح")*(CC4:CC11&lt;&gt;"عصر")*(CC4:CC11&lt;&gt;"ليل")*(CC4:CC11&lt;&gt;"راحة"))</f>
        <v/>
      </c>
      <c r="CD16" s="64">
        <f>SUMPRODUCT((CD4:CD11&lt;&gt;"")*(CD4:CD11&lt;&gt;"صباح")*(CD4:CD11&lt;&gt;"عصر")*(CD4:CD11&lt;&gt;"ليل")*(CD4:CD11&lt;&gt;"راحة"))</f>
        <v/>
      </c>
      <c r="CE16" s="64">
        <f>SUMPRODUCT((CE4:CE11&lt;&gt;"")*(CE4:CE11&lt;&gt;"صباح")*(CE4:CE11&lt;&gt;"عصر")*(CE4:CE11&lt;&gt;"ليل")*(CE4:CE11&lt;&gt;"راحة"))</f>
        <v/>
      </c>
      <c r="CF16" s="64">
        <f>SUMPRODUCT((CF4:CF11&lt;&gt;"")*(CF4:CF11&lt;&gt;"صباح")*(CF4:CF11&lt;&gt;"عصر")*(CF4:CF11&lt;&gt;"ليل")*(CF4:CF11&lt;&gt;"راحة"))</f>
        <v/>
      </c>
      <c r="CG16" s="64">
        <f>SUMPRODUCT((CG4:CG11&lt;&gt;"")*(CG4:CG11&lt;&gt;"صباح")*(CG4:CG11&lt;&gt;"عصر")*(CG4:CG11&lt;&gt;"ليل")*(CG4:CG11&lt;&gt;"راحة"))</f>
        <v/>
      </c>
      <c r="CH16" s="64">
        <f>SUMPRODUCT((CH4:CH11&lt;&gt;"")*(CH4:CH11&lt;&gt;"صباح")*(CH4:CH11&lt;&gt;"عصر")*(CH4:CH11&lt;&gt;"ليل")*(CH4:CH11&lt;&gt;"راحة"))</f>
        <v/>
      </c>
      <c r="CI16" s="64">
        <f>SUMPRODUCT((CI4:CI11&lt;&gt;"")*(CI4:CI11&lt;&gt;"صباح")*(CI4:CI11&lt;&gt;"عصر")*(CI4:CI11&lt;&gt;"ليل")*(CI4:CI11&lt;&gt;"راحة"))</f>
        <v/>
      </c>
      <c r="CJ16" s="64">
        <f>SUMPRODUCT((CJ4:CJ11&lt;&gt;"")*(CJ4:CJ11&lt;&gt;"صباح")*(CJ4:CJ11&lt;&gt;"عصر")*(CJ4:CJ11&lt;&gt;"ليل")*(CJ4:CJ11&lt;&gt;"راحة"))</f>
        <v/>
      </c>
      <c r="CK16" s="64">
        <f>SUMPRODUCT((CK4:CK11&lt;&gt;"")*(CK4:CK11&lt;&gt;"صباح")*(CK4:CK11&lt;&gt;"عصر")*(CK4:CK11&lt;&gt;"ليل")*(CK4:CK11&lt;&gt;"راحة"))</f>
        <v/>
      </c>
      <c r="CL16" s="64">
        <f>SUMPRODUCT((CL4:CL11&lt;&gt;"")*(CL4:CL11&lt;&gt;"صباح")*(CL4:CL11&lt;&gt;"عصر")*(CL4:CL11&lt;&gt;"ليل")*(CL4:CL11&lt;&gt;"راحة"))</f>
        <v/>
      </c>
      <c r="CM16" s="64">
        <f>SUMPRODUCT((CM4:CM11&lt;&gt;"")*(CM4:CM11&lt;&gt;"صباح")*(CM4:CM11&lt;&gt;"عصر")*(CM4:CM11&lt;&gt;"ليل")*(CM4:CM11&lt;&gt;"راحة"))</f>
        <v/>
      </c>
      <c r="CN16" s="64">
        <f>SUMPRODUCT((CN4:CN11&lt;&gt;"")*(CN4:CN11&lt;&gt;"صباح")*(CN4:CN11&lt;&gt;"عصر")*(CN4:CN11&lt;&gt;"ليل")*(CN4:CN11&lt;&gt;"راحة"))</f>
        <v/>
      </c>
      <c r="CO16" s="64">
        <f>SUMPRODUCT((CO4:CO11&lt;&gt;"")*(CO4:CO11&lt;&gt;"صباح")*(CO4:CO11&lt;&gt;"عصر")*(CO4:CO11&lt;&gt;"ليل")*(CO4:CO11&lt;&gt;"راحة"))</f>
        <v/>
      </c>
      <c r="CP16" s="64">
        <f>SUMPRODUCT((CP4:CP11&lt;&gt;"")*(CP4:CP11&lt;&gt;"صباح")*(CP4:CP11&lt;&gt;"عصر")*(CP4:CP11&lt;&gt;"ليل")*(CP4:CP11&lt;&gt;"راحة"))</f>
        <v/>
      </c>
      <c r="CQ16" s="64">
        <f>SUMPRODUCT((CQ4:CQ11&lt;&gt;"")*(CQ4:CQ11&lt;&gt;"صباح")*(CQ4:CQ11&lt;&gt;"عصر")*(CQ4:CQ11&lt;&gt;"ليل")*(CQ4:CQ11&lt;&gt;"راحة"))</f>
        <v/>
      </c>
      <c r="CR16" s="64">
        <f>SUMPRODUCT((CR4:CR11&lt;&gt;"")*(CR4:CR11&lt;&gt;"صباح")*(CR4:CR11&lt;&gt;"عصر")*(CR4:CR11&lt;&gt;"ليل")*(CR4:CR11&lt;&gt;"راحة"))</f>
        <v/>
      </c>
      <c r="CS16" s="64">
        <f>SUMPRODUCT((CS4:CS11&lt;&gt;"")*(CS4:CS11&lt;&gt;"صباح")*(CS4:CS11&lt;&gt;"عصر")*(CS4:CS11&lt;&gt;"ليل")*(CS4:CS11&lt;&gt;"راحة"))</f>
        <v/>
      </c>
      <c r="CT16" s="64">
        <f>SUMPRODUCT((CT4:CT11&lt;&gt;"")*(CT4:CT11&lt;&gt;"صباح")*(CT4:CT11&lt;&gt;"عصر")*(CT4:CT11&lt;&gt;"ليل")*(CT4:CT11&lt;&gt;"راحة"))</f>
        <v/>
      </c>
      <c r="CU16" s="64">
        <f>SUMPRODUCT((CU4:CU11&lt;&gt;"")*(CU4:CU11&lt;&gt;"صباح")*(CU4:CU11&lt;&gt;"عصر")*(CU4:CU11&lt;&gt;"ليل")*(CU4:CU11&lt;&gt;"راحة"))</f>
        <v/>
      </c>
      <c r="CV16" s="64">
        <f>SUMPRODUCT((CV4:CV11&lt;&gt;"")*(CV4:CV11&lt;&gt;"صباح")*(CV4:CV11&lt;&gt;"عصر")*(CV4:CV11&lt;&gt;"ليل")*(CV4:CV11&lt;&gt;"راحة"))</f>
        <v/>
      </c>
      <c r="CW16" s="64">
        <f>SUMPRODUCT((CW4:CW11&lt;&gt;"")*(CW4:CW11&lt;&gt;"صباح")*(CW4:CW11&lt;&gt;"عصر")*(CW4:CW11&lt;&gt;"ليل")*(CW4:CW11&lt;&gt;"راحة"))</f>
        <v/>
      </c>
      <c r="CX16" s="64">
        <f>SUMPRODUCT((CX4:CX11&lt;&gt;"")*(CX4:CX11&lt;&gt;"صباح")*(CX4:CX11&lt;&gt;"عصر")*(CX4:CX11&lt;&gt;"ليل")*(CX4:CX11&lt;&gt;"راحة"))</f>
        <v/>
      </c>
      <c r="CY16" s="64">
        <f>SUMPRODUCT((CY4:CY11&lt;&gt;"")*(CY4:CY11&lt;&gt;"صباح")*(CY4:CY11&lt;&gt;"عصر")*(CY4:CY11&lt;&gt;"ليل")*(CY4:CY11&lt;&gt;"راحة"))</f>
        <v/>
      </c>
      <c r="CZ16" s="64">
        <f>SUMPRODUCT((CZ4:CZ11&lt;&gt;"")*(CZ4:CZ11&lt;&gt;"صباح")*(CZ4:CZ11&lt;&gt;"عصر")*(CZ4:CZ11&lt;&gt;"ليل")*(CZ4:CZ11&lt;&gt;"راحة"))</f>
        <v/>
      </c>
      <c r="DA16" s="64">
        <f>SUMPRODUCT((DA4:DA11&lt;&gt;"")*(DA4:DA11&lt;&gt;"صباح")*(DA4:DA11&lt;&gt;"عصر")*(DA4:DA11&lt;&gt;"ليل")*(DA4:DA11&lt;&gt;"راحة"))</f>
        <v/>
      </c>
      <c r="DB16" s="64">
        <f>SUMPRODUCT((DB4:DB11&lt;&gt;"")*(DB4:DB11&lt;&gt;"صباح")*(DB4:DB11&lt;&gt;"عصر")*(DB4:DB11&lt;&gt;"ليل")*(DB4:DB11&lt;&gt;"راحة"))</f>
        <v/>
      </c>
      <c r="DC16" s="64">
        <f>SUMPRODUCT((DC4:DC11&lt;&gt;"")*(DC4:DC11&lt;&gt;"صباح")*(DC4:DC11&lt;&gt;"عصر")*(DC4:DC11&lt;&gt;"ليل")*(DC4:DC11&lt;&gt;"راحة"))</f>
        <v/>
      </c>
      <c r="DD16" s="64">
        <f>SUMPRODUCT((DD4:DD11&lt;&gt;"")*(DD4:DD11&lt;&gt;"صباح")*(DD4:DD11&lt;&gt;"عصر")*(DD4:DD11&lt;&gt;"ليل")*(DD4:DD11&lt;&gt;"راحة"))</f>
        <v/>
      </c>
      <c r="DE16" s="64">
        <f>SUMPRODUCT((DE4:DE11&lt;&gt;"")*(DE4:DE11&lt;&gt;"صباح")*(DE4:DE11&lt;&gt;"عصر")*(DE4:DE11&lt;&gt;"ليل")*(DE4:DE11&lt;&gt;"راحة"))</f>
        <v/>
      </c>
      <c r="DF16" s="64">
        <f>SUMPRODUCT((DF4:DF11&lt;&gt;"")*(DF4:DF11&lt;&gt;"صباح")*(DF4:DF11&lt;&gt;"عصر")*(DF4:DF11&lt;&gt;"ليل")*(DF4:DF11&lt;&gt;"راحة"))</f>
        <v/>
      </c>
      <c r="DG16" s="64">
        <f>SUMPRODUCT((DG4:DG11&lt;&gt;"")*(DG4:DG11&lt;&gt;"صباح")*(DG4:DG11&lt;&gt;"عصر")*(DG4:DG11&lt;&gt;"ليل")*(DG4:DG11&lt;&gt;"راحة"))</f>
        <v/>
      </c>
      <c r="DH16" s="64">
        <f>SUMPRODUCT((DH4:DH11&lt;&gt;"")*(DH4:DH11&lt;&gt;"صباح")*(DH4:DH11&lt;&gt;"عصر")*(DH4:DH11&lt;&gt;"ليل")*(DH4:DH11&lt;&gt;"راحة"))</f>
        <v/>
      </c>
      <c r="DI16" s="64">
        <f>SUMPRODUCT((DI4:DI11&lt;&gt;"")*(DI4:DI11&lt;&gt;"صباح")*(DI4:DI11&lt;&gt;"عصر")*(DI4:DI11&lt;&gt;"ليل")*(DI4:DI11&lt;&gt;"راحة"))</f>
        <v/>
      </c>
      <c r="DJ16" s="64">
        <f>SUMPRODUCT((DJ4:DJ11&lt;&gt;"")*(DJ4:DJ11&lt;&gt;"صباح")*(DJ4:DJ11&lt;&gt;"عصر")*(DJ4:DJ11&lt;&gt;"ليل")*(DJ4:DJ11&lt;&gt;"راحة"))</f>
        <v/>
      </c>
      <c r="DK16" s="64">
        <f>SUMPRODUCT((DK4:DK11&lt;&gt;"")*(DK4:DK11&lt;&gt;"صباح")*(DK4:DK11&lt;&gt;"عصر")*(DK4:DK11&lt;&gt;"ليل")*(DK4:DK11&lt;&gt;"راحة"))</f>
        <v/>
      </c>
      <c r="DL16" s="64">
        <f>SUMPRODUCT((DL4:DL11&lt;&gt;"")*(DL4:DL11&lt;&gt;"صباح")*(DL4:DL11&lt;&gt;"عصر")*(DL4:DL11&lt;&gt;"ليل")*(DL4:DL11&lt;&gt;"راحة"))</f>
        <v/>
      </c>
      <c r="DM16" s="64">
        <f>SUMPRODUCT((DM4:DM11&lt;&gt;"")*(DM4:DM11&lt;&gt;"صباح")*(DM4:DM11&lt;&gt;"عصر")*(DM4:DM11&lt;&gt;"ليل")*(DM4:DM11&lt;&gt;"راحة"))</f>
        <v/>
      </c>
      <c r="DN16" s="64">
        <f>SUMPRODUCT((DN4:DN11&lt;&gt;"")*(DN4:DN11&lt;&gt;"صباح")*(DN4:DN11&lt;&gt;"عصر")*(DN4:DN11&lt;&gt;"ليل")*(DN4:DN11&lt;&gt;"راحة"))</f>
        <v/>
      </c>
      <c r="DO16" s="64">
        <f>SUMPRODUCT((DO4:DO11&lt;&gt;"")*(DO4:DO11&lt;&gt;"صباح")*(DO4:DO11&lt;&gt;"عصر")*(DO4:DO11&lt;&gt;"ليل")*(DO4:DO11&lt;&gt;"راحة"))</f>
        <v/>
      </c>
      <c r="DP16" s="64">
        <f>SUMPRODUCT((DP4:DP11&lt;&gt;"")*(DP4:DP11&lt;&gt;"صباح")*(DP4:DP11&lt;&gt;"عصر")*(DP4:DP11&lt;&gt;"ليل")*(DP4:DP11&lt;&gt;"راحة"))</f>
        <v/>
      </c>
      <c r="DQ16" s="64">
        <f>SUMPRODUCT((DQ4:DQ11&lt;&gt;"")*(DQ4:DQ11&lt;&gt;"صباح")*(DQ4:DQ11&lt;&gt;"عصر")*(DQ4:DQ11&lt;&gt;"ليل")*(DQ4:DQ11&lt;&gt;"راحة"))</f>
        <v/>
      </c>
      <c r="DR16" s="64">
        <f>SUMPRODUCT((DR4:DR11&lt;&gt;"")*(DR4:DR11&lt;&gt;"صباح")*(DR4:DR11&lt;&gt;"عصر")*(DR4:DR11&lt;&gt;"ليل")*(DR4:DR11&lt;&gt;"راحة"))</f>
        <v/>
      </c>
      <c r="DS16" s="64">
        <f>SUMPRODUCT((DS4:DS11&lt;&gt;"")*(DS4:DS11&lt;&gt;"صباح")*(DS4:DS11&lt;&gt;"عصر")*(DS4:DS11&lt;&gt;"ليل")*(DS4:DS11&lt;&gt;"راحة"))</f>
        <v/>
      </c>
      <c r="DT16" s="64">
        <f>SUMPRODUCT((DT4:DT11&lt;&gt;"")*(DT4:DT11&lt;&gt;"صباح")*(DT4:DT11&lt;&gt;"عصر")*(DT4:DT11&lt;&gt;"ليل")*(DT4:DT11&lt;&gt;"راحة"))</f>
        <v/>
      </c>
      <c r="DU16" s="64">
        <f>SUMPRODUCT((DU4:DU11&lt;&gt;"")*(DU4:DU11&lt;&gt;"صباح")*(DU4:DU11&lt;&gt;"عصر")*(DU4:DU11&lt;&gt;"ليل")*(DU4:DU11&lt;&gt;"راحة"))</f>
        <v/>
      </c>
      <c r="DV16" s="64">
        <f>SUMPRODUCT((DV4:DV11&lt;&gt;"")*(DV4:DV11&lt;&gt;"صباح")*(DV4:DV11&lt;&gt;"عصر")*(DV4:DV11&lt;&gt;"ليل")*(DV4:DV11&lt;&gt;"راحة"))</f>
        <v/>
      </c>
      <c r="DW16" s="64">
        <f>SUMPRODUCT((DW4:DW11&lt;&gt;"")*(DW4:DW11&lt;&gt;"صباح")*(DW4:DW11&lt;&gt;"عصر")*(DW4:DW11&lt;&gt;"ليل")*(DW4:DW11&lt;&gt;"راحة"))</f>
        <v/>
      </c>
      <c r="DX16" s="64">
        <f>SUMPRODUCT((DX4:DX11&lt;&gt;"")*(DX4:DX11&lt;&gt;"صباح")*(DX4:DX11&lt;&gt;"عصر")*(DX4:DX11&lt;&gt;"ليل")*(DX4:DX11&lt;&gt;"راحة"))</f>
        <v/>
      </c>
      <c r="DY16" s="64">
        <f>SUMPRODUCT((DY4:DY11&lt;&gt;"")*(DY4:DY11&lt;&gt;"صباح")*(DY4:DY11&lt;&gt;"عصر")*(DY4:DY11&lt;&gt;"ليل")*(DY4:DY11&lt;&gt;"راحة"))</f>
        <v/>
      </c>
      <c r="DZ16" s="64">
        <f>SUMPRODUCT((DZ4:DZ11&lt;&gt;"")*(DZ4:DZ11&lt;&gt;"صباح")*(DZ4:DZ11&lt;&gt;"عصر")*(DZ4:DZ11&lt;&gt;"ليل")*(DZ4:DZ11&lt;&gt;"راحة"))</f>
        <v/>
      </c>
      <c r="EA16" s="64">
        <f>SUMPRODUCT((EA4:EA11&lt;&gt;"")*(EA4:EA11&lt;&gt;"صباح")*(EA4:EA11&lt;&gt;"عصر")*(EA4:EA11&lt;&gt;"ليل")*(EA4:EA11&lt;&gt;"راحة"))</f>
        <v/>
      </c>
      <c r="EB16" s="64">
        <f>SUMPRODUCT((EB4:EB11&lt;&gt;"")*(EB4:EB11&lt;&gt;"صباح")*(EB4:EB11&lt;&gt;"عصر")*(EB4:EB11&lt;&gt;"ليل")*(EB4:EB11&lt;&gt;"راحة"))</f>
        <v/>
      </c>
      <c r="EC16" s="64">
        <f>SUMPRODUCT((EC4:EC11&lt;&gt;"")*(EC4:EC11&lt;&gt;"صباح")*(EC4:EC11&lt;&gt;"عصر")*(EC4:EC11&lt;&gt;"ليل")*(EC4:EC11&lt;&gt;"راحة"))</f>
        <v/>
      </c>
      <c r="ED16" s="64">
        <f>SUMPRODUCT((ED4:ED11&lt;&gt;"")*(ED4:ED11&lt;&gt;"صباح")*(ED4:ED11&lt;&gt;"عصر")*(ED4:ED11&lt;&gt;"ليل")*(ED4:ED11&lt;&gt;"راحة"))</f>
        <v/>
      </c>
      <c r="EE16" s="64">
        <f>SUMPRODUCT((EE4:EE11&lt;&gt;"")*(EE4:EE11&lt;&gt;"صباح")*(EE4:EE11&lt;&gt;"عصر")*(EE4:EE11&lt;&gt;"ليل")*(EE4:EE11&lt;&gt;"راحة"))</f>
        <v/>
      </c>
      <c r="EF16" s="64">
        <f>SUMPRODUCT((EF4:EF11&lt;&gt;"")*(EF4:EF11&lt;&gt;"صباح")*(EF4:EF11&lt;&gt;"عصر")*(EF4:EF11&lt;&gt;"ليل")*(EF4:EF11&lt;&gt;"راحة"))</f>
        <v/>
      </c>
      <c r="EG16" s="64">
        <f>SUMPRODUCT((EG4:EG11&lt;&gt;"")*(EG4:EG11&lt;&gt;"صباح")*(EG4:EG11&lt;&gt;"عصر")*(EG4:EG11&lt;&gt;"ليل")*(EG4:EG11&lt;&gt;"راحة"))</f>
        <v/>
      </c>
      <c r="EH16" s="64">
        <f>SUMPRODUCT((EH4:EH11&lt;&gt;"")*(EH4:EH11&lt;&gt;"صباح")*(EH4:EH11&lt;&gt;"عصر")*(EH4:EH11&lt;&gt;"ليل")*(EH4:EH11&lt;&gt;"راحة"))</f>
        <v/>
      </c>
      <c r="EI16" s="64">
        <f>SUMPRODUCT((EI4:EI11&lt;&gt;"")*(EI4:EI11&lt;&gt;"صباح")*(EI4:EI11&lt;&gt;"عصر")*(EI4:EI11&lt;&gt;"ليل")*(EI4:EI11&lt;&gt;"راحة"))</f>
        <v/>
      </c>
      <c r="EJ16" s="64">
        <f>SUMPRODUCT((EJ4:EJ11&lt;&gt;"")*(EJ4:EJ11&lt;&gt;"صباح")*(EJ4:EJ11&lt;&gt;"عصر")*(EJ4:EJ11&lt;&gt;"ليل")*(EJ4:EJ11&lt;&gt;"راحة"))</f>
        <v/>
      </c>
      <c r="EK16" s="64">
        <f>SUMPRODUCT((EK4:EK11&lt;&gt;"")*(EK4:EK11&lt;&gt;"صباح")*(EK4:EK11&lt;&gt;"عصر")*(EK4:EK11&lt;&gt;"ليل")*(EK4:EK11&lt;&gt;"راحة"))</f>
        <v/>
      </c>
      <c r="EL16" s="64">
        <f>SUMPRODUCT((EL4:EL11&lt;&gt;"")*(EL4:EL11&lt;&gt;"صباح")*(EL4:EL11&lt;&gt;"عصر")*(EL4:EL11&lt;&gt;"ليل")*(EL4:EL11&lt;&gt;"راحة"))</f>
        <v/>
      </c>
      <c r="EM16" s="64">
        <f>SUMPRODUCT((EM4:EM11&lt;&gt;"")*(EM4:EM11&lt;&gt;"صباح")*(EM4:EM11&lt;&gt;"عصر")*(EM4:EM11&lt;&gt;"ليل")*(EM4:EM11&lt;&gt;"راحة"))</f>
        <v/>
      </c>
      <c r="EN16" s="64">
        <f>SUMPRODUCT((EN4:EN11&lt;&gt;"")*(EN4:EN11&lt;&gt;"صباح")*(EN4:EN11&lt;&gt;"عصر")*(EN4:EN11&lt;&gt;"ليل")*(EN4:EN11&lt;&gt;"راحة"))</f>
        <v/>
      </c>
      <c r="EO16" s="64">
        <f>SUMPRODUCT((EO4:EO11&lt;&gt;"")*(EO4:EO11&lt;&gt;"صباح")*(EO4:EO11&lt;&gt;"عصر")*(EO4:EO11&lt;&gt;"ليل")*(EO4:EO11&lt;&gt;"راحة"))</f>
        <v/>
      </c>
      <c r="EP16" s="64">
        <f>SUMPRODUCT((EP4:EP11&lt;&gt;"")*(EP4:EP11&lt;&gt;"صباح")*(EP4:EP11&lt;&gt;"عصر")*(EP4:EP11&lt;&gt;"ليل")*(EP4:EP11&lt;&gt;"راحة"))</f>
        <v/>
      </c>
      <c r="EQ16" s="64">
        <f>SUMPRODUCT((EQ4:EQ11&lt;&gt;"")*(EQ4:EQ11&lt;&gt;"صباح")*(EQ4:EQ11&lt;&gt;"عصر")*(EQ4:EQ11&lt;&gt;"ليل")*(EQ4:EQ11&lt;&gt;"راحة"))</f>
        <v/>
      </c>
      <c r="ER16" s="64">
        <f>SUMPRODUCT((ER4:ER11&lt;&gt;"")*(ER4:ER11&lt;&gt;"صباح")*(ER4:ER11&lt;&gt;"عصر")*(ER4:ER11&lt;&gt;"ليل")*(ER4:ER11&lt;&gt;"راحة"))</f>
        <v/>
      </c>
      <c r="ES16" s="64">
        <f>SUMPRODUCT((ES4:ES11&lt;&gt;"")*(ES4:ES11&lt;&gt;"صباح")*(ES4:ES11&lt;&gt;"عصر")*(ES4:ES11&lt;&gt;"ليل")*(ES4:ES11&lt;&gt;"راحة"))</f>
        <v/>
      </c>
      <c r="ET16" s="64">
        <f>SUMPRODUCT((ET4:ET11&lt;&gt;"")*(ET4:ET11&lt;&gt;"صباح")*(ET4:ET11&lt;&gt;"عصر")*(ET4:ET11&lt;&gt;"ليل")*(ET4:ET11&lt;&gt;"راحة"))</f>
        <v/>
      </c>
      <c r="EU16" s="64">
        <f>SUMPRODUCT((EU4:EU11&lt;&gt;"")*(EU4:EU11&lt;&gt;"صباح")*(EU4:EU11&lt;&gt;"عصر")*(EU4:EU11&lt;&gt;"ليل")*(EU4:EU11&lt;&gt;"راحة"))</f>
        <v/>
      </c>
      <c r="EV16" s="64">
        <f>SUMPRODUCT((EV4:EV11&lt;&gt;"")*(EV4:EV11&lt;&gt;"صباح")*(EV4:EV11&lt;&gt;"عصر")*(EV4:EV11&lt;&gt;"ليل")*(EV4:EV11&lt;&gt;"راحة"))</f>
        <v/>
      </c>
      <c r="EW16" s="64">
        <f>SUMPRODUCT((EW4:EW11&lt;&gt;"")*(EW4:EW11&lt;&gt;"صباح")*(EW4:EW11&lt;&gt;"عصر")*(EW4:EW11&lt;&gt;"ليل")*(EW4:EW11&lt;&gt;"راحة"))</f>
        <v/>
      </c>
      <c r="EX16" s="64">
        <f>SUMPRODUCT((EX4:EX11&lt;&gt;"")*(EX4:EX11&lt;&gt;"صباح")*(EX4:EX11&lt;&gt;"عصر")*(EX4:EX11&lt;&gt;"ليل")*(EX4:EX11&lt;&gt;"راحة"))</f>
        <v/>
      </c>
      <c r="EY16" s="64">
        <f>SUMPRODUCT((EY4:EY11&lt;&gt;"")*(EY4:EY11&lt;&gt;"صباح")*(EY4:EY11&lt;&gt;"عصر")*(EY4:EY11&lt;&gt;"ليل")*(EY4:EY11&lt;&gt;"راحة"))</f>
        <v/>
      </c>
      <c r="EZ16" s="64">
        <f>SUMPRODUCT((EZ4:EZ11&lt;&gt;"")*(EZ4:EZ11&lt;&gt;"صباح")*(EZ4:EZ11&lt;&gt;"عصر")*(EZ4:EZ11&lt;&gt;"ليل")*(EZ4:EZ11&lt;&gt;"راحة"))</f>
        <v/>
      </c>
      <c r="FA16" s="64">
        <f>SUMPRODUCT((FA4:FA11&lt;&gt;"")*(FA4:FA11&lt;&gt;"صباح")*(FA4:FA11&lt;&gt;"عصر")*(FA4:FA11&lt;&gt;"ليل")*(FA4:FA11&lt;&gt;"راحة"))</f>
        <v/>
      </c>
      <c r="FB16" s="64">
        <f>SUMPRODUCT((FB4:FB11&lt;&gt;"")*(FB4:FB11&lt;&gt;"صباح")*(FB4:FB11&lt;&gt;"عصر")*(FB4:FB11&lt;&gt;"ليل")*(FB4:FB11&lt;&gt;"راحة"))</f>
        <v/>
      </c>
      <c r="FC16" s="64">
        <f>SUMPRODUCT((FC4:FC11&lt;&gt;"")*(FC4:FC11&lt;&gt;"صباح")*(FC4:FC11&lt;&gt;"عصر")*(FC4:FC11&lt;&gt;"ليل")*(FC4:FC11&lt;&gt;"راحة"))</f>
        <v/>
      </c>
      <c r="FD16" s="64">
        <f>SUMPRODUCT((FD4:FD11&lt;&gt;"")*(FD4:FD11&lt;&gt;"صباح")*(FD4:FD11&lt;&gt;"عصر")*(FD4:FD11&lt;&gt;"ليل")*(FD4:FD11&lt;&gt;"راحة"))</f>
        <v/>
      </c>
      <c r="FE16" s="64">
        <f>SUMPRODUCT((FE4:FE11&lt;&gt;"")*(FE4:FE11&lt;&gt;"صباح")*(FE4:FE11&lt;&gt;"عصر")*(FE4:FE11&lt;&gt;"ليل")*(FE4:FE11&lt;&gt;"راحة"))</f>
        <v/>
      </c>
      <c r="FF16" s="64">
        <f>SUMPRODUCT((FF4:FF11&lt;&gt;"")*(FF4:FF11&lt;&gt;"صباح")*(FF4:FF11&lt;&gt;"عصر")*(FF4:FF11&lt;&gt;"ليل")*(FF4:FF11&lt;&gt;"راحة"))</f>
        <v/>
      </c>
      <c r="FG16" s="64">
        <f>SUMPRODUCT((FG4:FG11&lt;&gt;"")*(FG4:FG11&lt;&gt;"صباح")*(FG4:FG11&lt;&gt;"عصر")*(FG4:FG11&lt;&gt;"ليل")*(FG4:FG11&lt;&gt;"راحة"))</f>
        <v/>
      </c>
      <c r="FH16" s="64">
        <f>SUMPRODUCT((FH4:FH11&lt;&gt;"")*(FH4:FH11&lt;&gt;"صباح")*(FH4:FH11&lt;&gt;"عصر")*(FH4:FH11&lt;&gt;"ليل")*(FH4:FH11&lt;&gt;"راحة"))</f>
        <v/>
      </c>
      <c r="FI16" s="64">
        <f>SUMPRODUCT((FI4:FI11&lt;&gt;"")*(FI4:FI11&lt;&gt;"صباح")*(FI4:FI11&lt;&gt;"عصر")*(FI4:FI11&lt;&gt;"ليل")*(FI4:FI11&lt;&gt;"راحة"))</f>
        <v/>
      </c>
      <c r="FJ16" s="64">
        <f>SUMPRODUCT((FJ4:FJ11&lt;&gt;"")*(FJ4:FJ11&lt;&gt;"صباح")*(FJ4:FJ11&lt;&gt;"عصر")*(FJ4:FJ11&lt;&gt;"ليل")*(FJ4:FJ11&lt;&gt;"راحة"))</f>
        <v/>
      </c>
      <c r="FK16" s="64">
        <f>SUMPRODUCT((FK4:FK11&lt;&gt;"")*(FK4:FK11&lt;&gt;"صباح")*(FK4:FK11&lt;&gt;"عصر")*(FK4:FK11&lt;&gt;"ليل")*(FK4:FK11&lt;&gt;"راحة"))</f>
        <v/>
      </c>
      <c r="FL16" s="64">
        <f>SUMPRODUCT((FL4:FL11&lt;&gt;"")*(FL4:FL11&lt;&gt;"صباح")*(FL4:FL11&lt;&gt;"عصر")*(FL4:FL11&lt;&gt;"ليل")*(FL4:FL11&lt;&gt;"راحة"))</f>
        <v/>
      </c>
      <c r="FM16" s="64">
        <f>SUMPRODUCT((FM4:FM11&lt;&gt;"")*(FM4:FM11&lt;&gt;"صباح")*(FM4:FM11&lt;&gt;"عصر")*(FM4:FM11&lt;&gt;"ليل")*(FM4:FM11&lt;&gt;"راحة"))</f>
        <v/>
      </c>
      <c r="FN16" s="64">
        <f>SUMPRODUCT((FN4:FN11&lt;&gt;"")*(FN4:FN11&lt;&gt;"صباح")*(FN4:FN11&lt;&gt;"عصر")*(FN4:FN11&lt;&gt;"ليل")*(FN4:FN11&lt;&gt;"راحة"))</f>
        <v/>
      </c>
      <c r="FO16" s="64">
        <f>SUMPRODUCT((FO4:FO11&lt;&gt;"")*(FO4:FO11&lt;&gt;"صباح")*(FO4:FO11&lt;&gt;"عصر")*(FO4:FO11&lt;&gt;"ليل")*(FO4:FO11&lt;&gt;"راحة"))</f>
        <v/>
      </c>
      <c r="FP16" s="64">
        <f>SUMPRODUCT((FP4:FP11&lt;&gt;"")*(FP4:FP11&lt;&gt;"صباح")*(FP4:FP11&lt;&gt;"عصر")*(FP4:FP11&lt;&gt;"ليل")*(FP4:FP11&lt;&gt;"راحة"))</f>
        <v/>
      </c>
      <c r="FQ16" s="64">
        <f>SUMPRODUCT((FQ4:FQ11&lt;&gt;"")*(FQ4:FQ11&lt;&gt;"صباح")*(FQ4:FQ11&lt;&gt;"عصر")*(FQ4:FQ11&lt;&gt;"ليل")*(FQ4:FQ11&lt;&gt;"راحة"))</f>
        <v/>
      </c>
      <c r="FR16" s="64">
        <f>SUMPRODUCT((FR4:FR11&lt;&gt;"")*(FR4:FR11&lt;&gt;"صباح")*(FR4:FR11&lt;&gt;"عصر")*(FR4:FR11&lt;&gt;"ليل")*(FR4:FR11&lt;&gt;"راحة"))</f>
        <v/>
      </c>
      <c r="FS16" s="64">
        <f>SUMPRODUCT((FS4:FS11&lt;&gt;"")*(FS4:FS11&lt;&gt;"صباح")*(FS4:FS11&lt;&gt;"عصر")*(FS4:FS11&lt;&gt;"ليل")*(FS4:FS11&lt;&gt;"راحة"))</f>
        <v/>
      </c>
      <c r="FT16" s="64">
        <f>SUMPRODUCT((FT4:FT11&lt;&gt;"")*(FT4:FT11&lt;&gt;"صباح")*(FT4:FT11&lt;&gt;"عصر")*(FT4:FT11&lt;&gt;"ليل")*(FT4:FT11&lt;&gt;"راحة"))</f>
        <v/>
      </c>
      <c r="FU16" s="64">
        <f>SUMPRODUCT((FU4:FU11&lt;&gt;"")*(FU4:FU11&lt;&gt;"صباح")*(FU4:FU11&lt;&gt;"عصر")*(FU4:FU11&lt;&gt;"ليل")*(FU4:FU11&lt;&gt;"راحة"))</f>
        <v/>
      </c>
      <c r="FV16" s="64">
        <f>SUMPRODUCT((FV4:FV11&lt;&gt;"")*(FV4:FV11&lt;&gt;"صباح")*(FV4:FV11&lt;&gt;"عصر")*(FV4:FV11&lt;&gt;"ليل")*(FV4:FV11&lt;&gt;"راحة"))</f>
        <v/>
      </c>
      <c r="FW16" s="64">
        <f>SUMPRODUCT((FW4:FW11&lt;&gt;"")*(FW4:FW11&lt;&gt;"صباح")*(FW4:FW11&lt;&gt;"عصر")*(FW4:FW11&lt;&gt;"ليل")*(FW4:FW11&lt;&gt;"راحة"))</f>
        <v/>
      </c>
      <c r="FX16" s="64">
        <f>SUMPRODUCT((FX4:FX11&lt;&gt;"")*(FX4:FX11&lt;&gt;"صباح")*(FX4:FX11&lt;&gt;"عصر")*(FX4:FX11&lt;&gt;"ليل")*(FX4:FX11&lt;&gt;"راحة"))</f>
        <v/>
      </c>
      <c r="FY16" s="64">
        <f>SUMPRODUCT((FY4:FY11&lt;&gt;"")*(FY4:FY11&lt;&gt;"صباح")*(FY4:FY11&lt;&gt;"عصر")*(FY4:FY11&lt;&gt;"ليل")*(FY4:FY11&lt;&gt;"راحة"))</f>
        <v/>
      </c>
      <c r="FZ16" s="64">
        <f>SUMPRODUCT((FZ4:FZ11&lt;&gt;"")*(FZ4:FZ11&lt;&gt;"صباح")*(FZ4:FZ11&lt;&gt;"عصر")*(FZ4:FZ11&lt;&gt;"ليل")*(FZ4:FZ11&lt;&gt;"راحة"))</f>
        <v/>
      </c>
      <c r="GA16" s="64">
        <f>SUMPRODUCT((GA4:GA11&lt;&gt;"")*(GA4:GA11&lt;&gt;"صباح")*(GA4:GA11&lt;&gt;"عصر")*(GA4:GA11&lt;&gt;"ليل")*(GA4:GA11&lt;&gt;"راحة"))</f>
        <v/>
      </c>
      <c r="GB16" s="64">
        <f>SUMPRODUCT((GB4:GB11&lt;&gt;"")*(GB4:GB11&lt;&gt;"صباح")*(GB4:GB11&lt;&gt;"عصر")*(GB4:GB11&lt;&gt;"ليل")*(GB4:GB11&lt;&gt;"راحة"))</f>
        <v/>
      </c>
      <c r="GC16" s="64">
        <f>SUMPRODUCT((GC4:GC11&lt;&gt;"")*(GC4:GC11&lt;&gt;"صباح")*(GC4:GC11&lt;&gt;"عصر")*(GC4:GC11&lt;&gt;"ليل")*(GC4:GC11&lt;&gt;"راحة"))</f>
        <v/>
      </c>
      <c r="GD16" s="64">
        <f>SUMPRODUCT((GD4:GD11&lt;&gt;"")*(GD4:GD11&lt;&gt;"صباح")*(GD4:GD11&lt;&gt;"عصر")*(GD4:GD11&lt;&gt;"ليل")*(GD4:GD11&lt;&gt;"راحة"))</f>
        <v/>
      </c>
      <c r="GE16" s="64">
        <f>SUMPRODUCT((GE4:GE11&lt;&gt;"")*(GE4:GE11&lt;&gt;"صباح")*(GE4:GE11&lt;&gt;"عصر")*(GE4:GE11&lt;&gt;"ليل")*(GE4:GE11&lt;&gt;"راحة"))</f>
        <v/>
      </c>
      <c r="GF16" s="64">
        <f>SUMPRODUCT((GF4:GF11&lt;&gt;"")*(GF4:GF11&lt;&gt;"صباح")*(GF4:GF11&lt;&gt;"عصر")*(GF4:GF11&lt;&gt;"ليل")*(GF4:GF11&lt;&gt;"راحة"))</f>
        <v/>
      </c>
      <c r="GG16" s="64">
        <f>SUMPRODUCT((GG4:GG11&lt;&gt;"")*(GG4:GG11&lt;&gt;"صباح")*(GG4:GG11&lt;&gt;"عصر")*(GG4:GG11&lt;&gt;"ليل")*(GG4:GG11&lt;&gt;"راحة"))</f>
        <v/>
      </c>
      <c r="GH16" s="64">
        <f>SUMPRODUCT((GH4:GH11&lt;&gt;"")*(GH4:GH11&lt;&gt;"صباح")*(GH4:GH11&lt;&gt;"عصر")*(GH4:GH11&lt;&gt;"ليل")*(GH4:GH11&lt;&gt;"راحة"))</f>
        <v/>
      </c>
      <c r="GI16" s="64">
        <f>SUMPRODUCT((GI4:GI11&lt;&gt;"")*(GI4:GI11&lt;&gt;"صباح")*(GI4:GI11&lt;&gt;"عصر")*(GI4:GI11&lt;&gt;"ليل")*(GI4:GI11&lt;&gt;"راحة"))</f>
        <v/>
      </c>
      <c r="GJ16" s="64">
        <f>SUMPRODUCT((GJ4:GJ11&lt;&gt;"")*(GJ4:GJ11&lt;&gt;"صباح")*(GJ4:GJ11&lt;&gt;"عصر")*(GJ4:GJ11&lt;&gt;"ليل")*(GJ4:GJ11&lt;&gt;"راحة"))</f>
        <v/>
      </c>
      <c r="GK16" s="64">
        <f>SUMPRODUCT((GK4:GK11&lt;&gt;"")*(GK4:GK11&lt;&gt;"صباح")*(GK4:GK11&lt;&gt;"عصر")*(GK4:GK11&lt;&gt;"ليل")*(GK4:GK11&lt;&gt;"راحة"))</f>
        <v/>
      </c>
      <c r="GL16" s="64">
        <f>SUMPRODUCT((GL4:GL11&lt;&gt;"")*(GL4:GL11&lt;&gt;"صباح")*(GL4:GL11&lt;&gt;"عصر")*(GL4:GL11&lt;&gt;"ليل")*(GL4:GL11&lt;&gt;"راحة"))</f>
        <v/>
      </c>
      <c r="GM16" s="64">
        <f>SUMPRODUCT((GM4:GM11&lt;&gt;"")*(GM4:GM11&lt;&gt;"صباح")*(GM4:GM11&lt;&gt;"عصر")*(GM4:GM11&lt;&gt;"ليل")*(GM4:GM11&lt;&gt;"راحة"))</f>
        <v/>
      </c>
      <c r="GN16" s="64">
        <f>SUMPRODUCT((GN4:GN11&lt;&gt;"")*(GN4:GN11&lt;&gt;"صباح")*(GN4:GN11&lt;&gt;"عصر")*(GN4:GN11&lt;&gt;"ليل")*(GN4:GN11&lt;&gt;"راحة"))</f>
        <v/>
      </c>
      <c r="GO16" s="64">
        <f>SUMPRODUCT((GO4:GO11&lt;&gt;"")*(GO4:GO11&lt;&gt;"صباح")*(GO4:GO11&lt;&gt;"عصر")*(GO4:GO11&lt;&gt;"ليل")*(GO4:GO11&lt;&gt;"راحة"))</f>
        <v/>
      </c>
      <c r="GP16" s="64">
        <f>SUMPRODUCT((GP4:GP11&lt;&gt;"")*(GP4:GP11&lt;&gt;"صباح")*(GP4:GP11&lt;&gt;"عصر")*(GP4:GP11&lt;&gt;"ليل")*(GP4:GP11&lt;&gt;"راحة"))</f>
        <v/>
      </c>
      <c r="GQ16" s="64">
        <f>SUMPRODUCT((GQ4:GQ11&lt;&gt;"")*(GQ4:GQ11&lt;&gt;"صباح")*(GQ4:GQ11&lt;&gt;"عصر")*(GQ4:GQ11&lt;&gt;"ليل")*(GQ4:GQ11&lt;&gt;"راحة"))</f>
        <v/>
      </c>
      <c r="GR16" s="64">
        <f>SUMPRODUCT((GR4:GR11&lt;&gt;"")*(GR4:GR11&lt;&gt;"صباح")*(GR4:GR11&lt;&gt;"عصر")*(GR4:GR11&lt;&gt;"ليل")*(GR4:GR11&lt;&gt;"راحة"))</f>
        <v/>
      </c>
      <c r="GS16" s="64">
        <f>SUMPRODUCT((GS4:GS11&lt;&gt;"")*(GS4:GS11&lt;&gt;"صباح")*(GS4:GS11&lt;&gt;"عصر")*(GS4:GS11&lt;&gt;"ليل")*(GS4:GS11&lt;&gt;"راحة"))</f>
        <v/>
      </c>
      <c r="GT16" s="64">
        <f>SUMPRODUCT((GT4:GT11&lt;&gt;"")*(GT4:GT11&lt;&gt;"صباح")*(GT4:GT11&lt;&gt;"عصر")*(GT4:GT11&lt;&gt;"ليل")*(GT4:GT11&lt;&gt;"راحة"))</f>
        <v/>
      </c>
      <c r="GU16" s="64">
        <f>SUMPRODUCT((GU4:GU11&lt;&gt;"")*(GU4:GU11&lt;&gt;"صباح")*(GU4:GU11&lt;&gt;"عصر")*(GU4:GU11&lt;&gt;"ليل")*(GU4:GU11&lt;&gt;"راحة"))</f>
        <v/>
      </c>
      <c r="GV16" s="64">
        <f>SUMPRODUCT((GV4:GV11&lt;&gt;"")*(GV4:GV11&lt;&gt;"صباح")*(GV4:GV11&lt;&gt;"عصر")*(GV4:GV11&lt;&gt;"ليل")*(GV4:GV11&lt;&gt;"راحة"))</f>
        <v/>
      </c>
      <c r="GW16" s="64">
        <f>SUMPRODUCT((GW4:GW11&lt;&gt;"")*(GW4:GW11&lt;&gt;"صباح")*(GW4:GW11&lt;&gt;"عصر")*(GW4:GW11&lt;&gt;"ليل")*(GW4:GW11&lt;&gt;"راحة"))</f>
        <v/>
      </c>
      <c r="GX16" s="64">
        <f>SUMPRODUCT((GX4:GX11&lt;&gt;"")*(GX4:GX11&lt;&gt;"صباح")*(GX4:GX11&lt;&gt;"عصر")*(GX4:GX11&lt;&gt;"ليل")*(GX4:GX11&lt;&gt;"راحة"))</f>
        <v/>
      </c>
      <c r="GY16" s="64">
        <f>SUMPRODUCT((GY4:GY11&lt;&gt;"")*(GY4:GY11&lt;&gt;"صباح")*(GY4:GY11&lt;&gt;"عصر")*(GY4:GY11&lt;&gt;"ليل")*(GY4:GY11&lt;&gt;"راحة"))</f>
        <v/>
      </c>
      <c r="GZ16" s="64">
        <f>SUMPRODUCT((GZ4:GZ11&lt;&gt;"")*(GZ4:GZ11&lt;&gt;"صباح")*(GZ4:GZ11&lt;&gt;"عصر")*(GZ4:GZ11&lt;&gt;"ليل")*(GZ4:GZ11&lt;&gt;"راحة"))</f>
        <v/>
      </c>
      <c r="HA16" s="64">
        <f>SUMPRODUCT((HA4:HA11&lt;&gt;"")*(HA4:HA11&lt;&gt;"صباح")*(HA4:HA11&lt;&gt;"عصر")*(HA4:HA11&lt;&gt;"ليل")*(HA4:HA11&lt;&gt;"راحة"))</f>
        <v/>
      </c>
      <c r="HB16" s="64">
        <f>SUMPRODUCT((HB4:HB11&lt;&gt;"")*(HB4:HB11&lt;&gt;"صباح")*(HB4:HB11&lt;&gt;"عصر")*(HB4:HB11&lt;&gt;"ليل")*(HB4:HB11&lt;&gt;"راحة"))</f>
        <v/>
      </c>
      <c r="HC16" s="64">
        <f>SUMPRODUCT((HC4:HC11&lt;&gt;"")*(HC4:HC11&lt;&gt;"صباح")*(HC4:HC11&lt;&gt;"عصر")*(HC4:HC11&lt;&gt;"ليل")*(HC4:HC11&lt;&gt;"راحة"))</f>
        <v/>
      </c>
      <c r="HD16" s="64">
        <f>SUMPRODUCT((HD4:HD11&lt;&gt;"")*(HD4:HD11&lt;&gt;"صباح")*(HD4:HD11&lt;&gt;"عصر")*(HD4:HD11&lt;&gt;"ليل")*(HD4:HD11&lt;&gt;"راحة"))</f>
        <v/>
      </c>
      <c r="HE16" s="64">
        <f>SUMPRODUCT((HE4:HE11&lt;&gt;"")*(HE4:HE11&lt;&gt;"صباح")*(HE4:HE11&lt;&gt;"عصر")*(HE4:HE11&lt;&gt;"ليل")*(HE4:HE11&lt;&gt;"راحة"))</f>
        <v/>
      </c>
      <c r="HF16" s="64">
        <f>SUMPRODUCT((HF4:HF11&lt;&gt;"")*(HF4:HF11&lt;&gt;"صباح")*(HF4:HF11&lt;&gt;"عصر")*(HF4:HF11&lt;&gt;"ليل")*(HF4:HF11&lt;&gt;"راحة"))</f>
        <v/>
      </c>
      <c r="HG16" s="64">
        <f>SUMPRODUCT((HG4:HG11&lt;&gt;"")*(HG4:HG11&lt;&gt;"صباح")*(HG4:HG11&lt;&gt;"عصر")*(HG4:HG11&lt;&gt;"ليل")*(HG4:HG11&lt;&gt;"راحة"))</f>
        <v/>
      </c>
      <c r="HH16" s="64">
        <f>SUMPRODUCT((HH4:HH11&lt;&gt;"")*(HH4:HH11&lt;&gt;"صباح")*(HH4:HH11&lt;&gt;"عصر")*(HH4:HH11&lt;&gt;"ليل")*(HH4:HH11&lt;&gt;"راحة"))</f>
        <v/>
      </c>
      <c r="HI16" s="64">
        <f>SUMPRODUCT((HI4:HI11&lt;&gt;"")*(HI4:HI11&lt;&gt;"صباح")*(HI4:HI11&lt;&gt;"عصر")*(HI4:HI11&lt;&gt;"ليل")*(HI4:HI11&lt;&gt;"راحة"))</f>
        <v/>
      </c>
      <c r="HJ16" s="64">
        <f>SUMPRODUCT((HJ4:HJ11&lt;&gt;"")*(HJ4:HJ11&lt;&gt;"صباح")*(HJ4:HJ11&lt;&gt;"عصر")*(HJ4:HJ11&lt;&gt;"ليل")*(HJ4:HJ11&lt;&gt;"راحة"))</f>
        <v/>
      </c>
      <c r="HK16" s="64">
        <f>SUMPRODUCT((HK4:HK11&lt;&gt;"")*(HK4:HK11&lt;&gt;"صباح")*(HK4:HK11&lt;&gt;"عصر")*(HK4:HK11&lt;&gt;"ليل")*(HK4:HK11&lt;&gt;"راحة"))</f>
        <v/>
      </c>
      <c r="HL16" s="64">
        <f>SUMPRODUCT((HL4:HL11&lt;&gt;"")*(HL4:HL11&lt;&gt;"صباح")*(HL4:HL11&lt;&gt;"عصر")*(HL4:HL11&lt;&gt;"ليل")*(HL4:HL11&lt;&gt;"راحة"))</f>
        <v/>
      </c>
      <c r="HM16" s="64">
        <f>SUMPRODUCT((HM4:HM11&lt;&gt;"")*(HM4:HM11&lt;&gt;"صباح")*(HM4:HM11&lt;&gt;"عصر")*(HM4:HM11&lt;&gt;"ليل")*(HM4:HM11&lt;&gt;"راحة"))</f>
        <v/>
      </c>
      <c r="HN16" s="64">
        <f>SUMPRODUCT((HN4:HN11&lt;&gt;"")*(HN4:HN11&lt;&gt;"صباح")*(HN4:HN11&lt;&gt;"عصر")*(HN4:HN11&lt;&gt;"ليل")*(HN4:HN11&lt;&gt;"راحة"))</f>
        <v/>
      </c>
      <c r="HO16" s="64">
        <f>SUMPRODUCT((HO4:HO11&lt;&gt;"")*(HO4:HO11&lt;&gt;"صباح")*(HO4:HO11&lt;&gt;"عصر")*(HO4:HO11&lt;&gt;"ليل")*(HO4:HO11&lt;&gt;"راحة"))</f>
        <v/>
      </c>
      <c r="HP16" s="64">
        <f>SUMPRODUCT((HP4:HP11&lt;&gt;"")*(HP4:HP11&lt;&gt;"صباح")*(HP4:HP11&lt;&gt;"عصر")*(HP4:HP11&lt;&gt;"ليل")*(HP4:HP11&lt;&gt;"راحة"))</f>
        <v/>
      </c>
      <c r="HQ16" s="64">
        <f>SUMPRODUCT((HQ4:HQ11&lt;&gt;"")*(HQ4:HQ11&lt;&gt;"صباح")*(HQ4:HQ11&lt;&gt;"عصر")*(HQ4:HQ11&lt;&gt;"ليل")*(HQ4:HQ11&lt;&gt;"راحة"))</f>
        <v/>
      </c>
      <c r="HR16" s="64">
        <f>SUMPRODUCT((HR4:HR11&lt;&gt;"")*(HR4:HR11&lt;&gt;"صباح")*(HR4:HR11&lt;&gt;"عصر")*(HR4:HR11&lt;&gt;"ليل")*(HR4:HR11&lt;&gt;"راحة"))</f>
        <v/>
      </c>
      <c r="HS16" s="64">
        <f>SUMPRODUCT((HS4:HS11&lt;&gt;"")*(HS4:HS11&lt;&gt;"صباح")*(HS4:HS11&lt;&gt;"عصر")*(HS4:HS11&lt;&gt;"ليل")*(HS4:HS11&lt;&gt;"راحة"))</f>
        <v/>
      </c>
      <c r="HT16" s="64">
        <f>SUMPRODUCT((HT4:HT11&lt;&gt;"")*(HT4:HT11&lt;&gt;"صباح")*(HT4:HT11&lt;&gt;"عصر")*(HT4:HT11&lt;&gt;"ليل")*(HT4:HT11&lt;&gt;"راحة"))</f>
        <v/>
      </c>
      <c r="HU16" s="64">
        <f>SUMPRODUCT((HU4:HU11&lt;&gt;"")*(HU4:HU11&lt;&gt;"صباح")*(HU4:HU11&lt;&gt;"عصر")*(HU4:HU11&lt;&gt;"ليل")*(HU4:HU11&lt;&gt;"راحة"))</f>
        <v/>
      </c>
      <c r="HV16" s="64">
        <f>SUMPRODUCT((HV4:HV11&lt;&gt;"")*(HV4:HV11&lt;&gt;"صباح")*(HV4:HV11&lt;&gt;"عصر")*(HV4:HV11&lt;&gt;"ليل")*(HV4:HV11&lt;&gt;"راحة"))</f>
        <v/>
      </c>
      <c r="HW16" s="64">
        <f>SUMPRODUCT((HW4:HW11&lt;&gt;"")*(HW4:HW11&lt;&gt;"صباح")*(HW4:HW11&lt;&gt;"عصر")*(HW4:HW11&lt;&gt;"ليل")*(HW4:HW11&lt;&gt;"راحة"))</f>
        <v/>
      </c>
      <c r="HX16" s="64">
        <f>SUMPRODUCT((HX4:HX11&lt;&gt;"")*(HX4:HX11&lt;&gt;"صباح")*(HX4:HX11&lt;&gt;"عصر")*(HX4:HX11&lt;&gt;"ليل")*(HX4:HX11&lt;&gt;"راحة"))</f>
        <v/>
      </c>
      <c r="HY16" s="64">
        <f>SUMPRODUCT((HY4:HY11&lt;&gt;"")*(HY4:HY11&lt;&gt;"صباح")*(HY4:HY11&lt;&gt;"عصر")*(HY4:HY11&lt;&gt;"ليل")*(HY4:HY11&lt;&gt;"راحة"))</f>
        <v/>
      </c>
      <c r="HZ16" s="64">
        <f>SUMPRODUCT((HZ4:HZ11&lt;&gt;"")*(HZ4:HZ11&lt;&gt;"صباح")*(HZ4:HZ11&lt;&gt;"عصر")*(HZ4:HZ11&lt;&gt;"ليل")*(HZ4:HZ11&lt;&gt;"راحة"))</f>
        <v/>
      </c>
      <c r="IA16" s="64">
        <f>SUMPRODUCT((IA4:IA11&lt;&gt;"")*(IA4:IA11&lt;&gt;"صباح")*(IA4:IA11&lt;&gt;"عصر")*(IA4:IA11&lt;&gt;"ليل")*(IA4:IA11&lt;&gt;"راحة"))</f>
        <v/>
      </c>
      <c r="IB16" s="64">
        <f>SUMPRODUCT((IB4:IB11&lt;&gt;"")*(IB4:IB11&lt;&gt;"صباح")*(IB4:IB11&lt;&gt;"عصر")*(IB4:IB11&lt;&gt;"ليل")*(IB4:IB11&lt;&gt;"راحة"))</f>
        <v/>
      </c>
      <c r="IC16" s="64">
        <f>SUMPRODUCT((IC4:IC11&lt;&gt;"")*(IC4:IC11&lt;&gt;"صباح")*(IC4:IC11&lt;&gt;"عصر")*(IC4:IC11&lt;&gt;"ليل")*(IC4:IC11&lt;&gt;"راحة"))</f>
        <v/>
      </c>
      <c r="ID16" s="64">
        <f>SUMPRODUCT((ID4:ID11&lt;&gt;"")*(ID4:ID11&lt;&gt;"صباح")*(ID4:ID11&lt;&gt;"عصر")*(ID4:ID11&lt;&gt;"ليل")*(ID4:ID11&lt;&gt;"راحة"))</f>
        <v/>
      </c>
      <c r="IE16" s="64">
        <f>SUMPRODUCT((IE4:IE11&lt;&gt;"")*(IE4:IE11&lt;&gt;"صباح")*(IE4:IE11&lt;&gt;"عصر")*(IE4:IE11&lt;&gt;"ليل")*(IE4:IE11&lt;&gt;"راحة"))</f>
        <v/>
      </c>
      <c r="IF16" s="64">
        <f>SUMPRODUCT((IF4:IF11&lt;&gt;"")*(IF4:IF11&lt;&gt;"صباح")*(IF4:IF11&lt;&gt;"عصر")*(IF4:IF11&lt;&gt;"ليل")*(IF4:IF11&lt;&gt;"راحة"))</f>
        <v/>
      </c>
      <c r="IG16" s="64">
        <f>SUMPRODUCT((IG4:IG11&lt;&gt;"")*(IG4:IG11&lt;&gt;"صباح")*(IG4:IG11&lt;&gt;"عصر")*(IG4:IG11&lt;&gt;"ليل")*(IG4:IG11&lt;&gt;"راحة"))</f>
        <v/>
      </c>
      <c r="IH16" s="64">
        <f>SUMPRODUCT((IH4:IH11&lt;&gt;"")*(IH4:IH11&lt;&gt;"صباح")*(IH4:IH11&lt;&gt;"عصر")*(IH4:IH11&lt;&gt;"ليل")*(IH4:IH11&lt;&gt;"راحة"))</f>
        <v/>
      </c>
      <c r="II16" s="64">
        <f>SUMPRODUCT((II4:II11&lt;&gt;"")*(II4:II11&lt;&gt;"صباح")*(II4:II11&lt;&gt;"عصر")*(II4:II11&lt;&gt;"ليل")*(II4:II11&lt;&gt;"راحة"))</f>
        <v/>
      </c>
      <c r="IJ16" s="64">
        <f>SUMPRODUCT((IJ4:IJ11&lt;&gt;"")*(IJ4:IJ11&lt;&gt;"صباح")*(IJ4:IJ11&lt;&gt;"عصر")*(IJ4:IJ11&lt;&gt;"ليل")*(IJ4:IJ11&lt;&gt;"راحة"))</f>
        <v/>
      </c>
      <c r="IK16" s="64">
        <f>SUMPRODUCT((IK4:IK11&lt;&gt;"")*(IK4:IK11&lt;&gt;"صباح")*(IK4:IK11&lt;&gt;"عصر")*(IK4:IK11&lt;&gt;"ليل")*(IK4:IK11&lt;&gt;"راحة"))</f>
        <v/>
      </c>
      <c r="IL16" s="64">
        <f>SUMPRODUCT((IL4:IL11&lt;&gt;"")*(IL4:IL11&lt;&gt;"صباح")*(IL4:IL11&lt;&gt;"عصر")*(IL4:IL11&lt;&gt;"ليل")*(IL4:IL11&lt;&gt;"راحة"))</f>
        <v/>
      </c>
      <c r="IM16" s="64">
        <f>SUMPRODUCT((IM4:IM11&lt;&gt;"")*(IM4:IM11&lt;&gt;"صباح")*(IM4:IM11&lt;&gt;"عصر")*(IM4:IM11&lt;&gt;"ليل")*(IM4:IM11&lt;&gt;"راحة"))</f>
        <v/>
      </c>
      <c r="IN16" s="64">
        <f>SUMPRODUCT((IN4:IN11&lt;&gt;"")*(IN4:IN11&lt;&gt;"صباح")*(IN4:IN11&lt;&gt;"عصر")*(IN4:IN11&lt;&gt;"ليل")*(IN4:IN11&lt;&gt;"راحة"))</f>
        <v/>
      </c>
      <c r="IO16" s="64">
        <f>SUMPRODUCT((IO4:IO11&lt;&gt;"")*(IO4:IO11&lt;&gt;"صباح")*(IO4:IO11&lt;&gt;"عصر")*(IO4:IO11&lt;&gt;"ليل")*(IO4:IO11&lt;&gt;"راحة"))</f>
        <v/>
      </c>
      <c r="IP16" s="64">
        <f>SUMPRODUCT((IP4:IP11&lt;&gt;"")*(IP4:IP11&lt;&gt;"صباح")*(IP4:IP11&lt;&gt;"عصر")*(IP4:IP11&lt;&gt;"ليل")*(IP4:IP11&lt;&gt;"راحة"))</f>
        <v/>
      </c>
      <c r="IQ16" s="64">
        <f>SUMPRODUCT((IQ4:IQ11&lt;&gt;"")*(IQ4:IQ11&lt;&gt;"صباح")*(IQ4:IQ11&lt;&gt;"عصر")*(IQ4:IQ11&lt;&gt;"ليل")*(IQ4:IQ11&lt;&gt;"راحة"))</f>
        <v/>
      </c>
      <c r="IR16" s="64">
        <f>SUMPRODUCT((IR4:IR11&lt;&gt;"")*(IR4:IR11&lt;&gt;"صباح")*(IR4:IR11&lt;&gt;"عصر")*(IR4:IR11&lt;&gt;"ليل")*(IR4:IR11&lt;&gt;"راحة"))</f>
        <v/>
      </c>
      <c r="IS16" s="64">
        <f>SUMPRODUCT((IS4:IS11&lt;&gt;"")*(IS4:IS11&lt;&gt;"صباح")*(IS4:IS11&lt;&gt;"عصر")*(IS4:IS11&lt;&gt;"ليل")*(IS4:IS11&lt;&gt;"راحة"))</f>
        <v/>
      </c>
      <c r="IT16" s="64">
        <f>SUMPRODUCT((IT4:IT11&lt;&gt;"")*(IT4:IT11&lt;&gt;"صباح")*(IT4:IT11&lt;&gt;"عصر")*(IT4:IT11&lt;&gt;"ليل")*(IT4:IT11&lt;&gt;"راحة"))</f>
        <v/>
      </c>
      <c r="IU16" s="64">
        <f>SUMPRODUCT((IU4:IU11&lt;&gt;"")*(IU4:IU11&lt;&gt;"صباح")*(IU4:IU11&lt;&gt;"عصر")*(IU4:IU11&lt;&gt;"ليل")*(IU4:IU11&lt;&gt;"راحة"))</f>
        <v/>
      </c>
      <c r="IV16" s="64">
        <f>SUMPRODUCT((IV4:IV11&lt;&gt;"")*(IV4:IV11&lt;&gt;"صباح")*(IV4:IV11&lt;&gt;"عصر")*(IV4:IV11&lt;&gt;"ليل")*(IV4:IV11&lt;&gt;"راحة"))</f>
        <v/>
      </c>
      <c r="IW16" s="64">
        <f>SUMPRODUCT((IW4:IW11&lt;&gt;"")*(IW4:IW11&lt;&gt;"صباح")*(IW4:IW11&lt;&gt;"عصر")*(IW4:IW11&lt;&gt;"ليل")*(IW4:IW11&lt;&gt;"راحة"))</f>
        <v/>
      </c>
      <c r="IX16" s="64">
        <f>SUMPRODUCT((IX4:IX11&lt;&gt;"")*(IX4:IX11&lt;&gt;"صباح")*(IX4:IX11&lt;&gt;"عصر")*(IX4:IX11&lt;&gt;"ليل")*(IX4:IX11&lt;&gt;"راحة"))</f>
        <v/>
      </c>
      <c r="IY16" s="64">
        <f>SUMPRODUCT((IY4:IY11&lt;&gt;"")*(IY4:IY11&lt;&gt;"صباح")*(IY4:IY11&lt;&gt;"عصر")*(IY4:IY11&lt;&gt;"ليل")*(IY4:IY11&lt;&gt;"راحة"))</f>
        <v/>
      </c>
      <c r="IZ16" s="64">
        <f>SUMPRODUCT((IZ4:IZ11&lt;&gt;"")*(IZ4:IZ11&lt;&gt;"صباح")*(IZ4:IZ11&lt;&gt;"عصر")*(IZ4:IZ11&lt;&gt;"ليل")*(IZ4:IZ11&lt;&gt;"راحة"))</f>
        <v/>
      </c>
      <c r="JA16" s="64">
        <f>SUMPRODUCT((JA4:JA11&lt;&gt;"")*(JA4:JA11&lt;&gt;"صباح")*(JA4:JA11&lt;&gt;"عصر")*(JA4:JA11&lt;&gt;"ليل")*(JA4:JA11&lt;&gt;"راحة"))</f>
        <v/>
      </c>
      <c r="JB16" s="64">
        <f>SUMPRODUCT((JB4:JB11&lt;&gt;"")*(JB4:JB11&lt;&gt;"صباح")*(JB4:JB11&lt;&gt;"عصر")*(JB4:JB11&lt;&gt;"ليل")*(JB4:JB11&lt;&gt;"راحة"))</f>
        <v/>
      </c>
      <c r="JC16" s="64">
        <f>SUMPRODUCT((JC4:JC11&lt;&gt;"")*(JC4:JC11&lt;&gt;"صباح")*(JC4:JC11&lt;&gt;"عصر")*(JC4:JC11&lt;&gt;"ليل")*(JC4:JC11&lt;&gt;"راحة"))</f>
        <v/>
      </c>
      <c r="JD16" s="64">
        <f>SUMPRODUCT((JD4:JD11&lt;&gt;"")*(JD4:JD11&lt;&gt;"صباح")*(JD4:JD11&lt;&gt;"عصر")*(JD4:JD11&lt;&gt;"ليل")*(JD4:JD11&lt;&gt;"راحة"))</f>
        <v/>
      </c>
      <c r="JE16" s="64">
        <f>SUMPRODUCT((JE4:JE11&lt;&gt;"")*(JE4:JE11&lt;&gt;"صباح")*(JE4:JE11&lt;&gt;"عصر")*(JE4:JE11&lt;&gt;"ليل")*(JE4:JE11&lt;&gt;"راحة"))</f>
        <v/>
      </c>
      <c r="JF16" s="64">
        <f>SUMPRODUCT((JF4:JF11&lt;&gt;"")*(JF4:JF11&lt;&gt;"صباح")*(JF4:JF11&lt;&gt;"عصر")*(JF4:JF11&lt;&gt;"ليل")*(JF4:JF11&lt;&gt;"راحة"))</f>
        <v/>
      </c>
      <c r="JG16" s="64">
        <f>SUMPRODUCT((JG4:JG11&lt;&gt;"")*(JG4:JG11&lt;&gt;"صباح")*(JG4:JG11&lt;&gt;"عصر")*(JG4:JG11&lt;&gt;"ليل")*(JG4:JG11&lt;&gt;"راحة"))</f>
        <v/>
      </c>
      <c r="JH16" s="64">
        <f>SUMPRODUCT((JH4:JH11&lt;&gt;"")*(JH4:JH11&lt;&gt;"صباح")*(JH4:JH11&lt;&gt;"عصر")*(JH4:JH11&lt;&gt;"ليل")*(JH4:JH11&lt;&gt;"راحة"))</f>
        <v/>
      </c>
      <c r="JI16" s="64">
        <f>SUMPRODUCT((JI4:JI11&lt;&gt;"")*(JI4:JI11&lt;&gt;"صباح")*(JI4:JI11&lt;&gt;"عصر")*(JI4:JI11&lt;&gt;"ليل")*(JI4:JI11&lt;&gt;"راحة"))</f>
        <v/>
      </c>
      <c r="JJ16" s="64">
        <f>SUMPRODUCT((JJ4:JJ11&lt;&gt;"")*(JJ4:JJ11&lt;&gt;"صباح")*(JJ4:JJ11&lt;&gt;"عصر")*(JJ4:JJ11&lt;&gt;"ليل")*(JJ4:JJ11&lt;&gt;"راحة"))</f>
        <v/>
      </c>
      <c r="JK16" s="64">
        <f>SUMPRODUCT((JK4:JK11&lt;&gt;"")*(JK4:JK11&lt;&gt;"صباح")*(JK4:JK11&lt;&gt;"عصر")*(JK4:JK11&lt;&gt;"ليل")*(JK4:JK11&lt;&gt;"راحة"))</f>
        <v/>
      </c>
      <c r="JL16" s="64">
        <f>SUMPRODUCT((JL4:JL11&lt;&gt;"")*(JL4:JL11&lt;&gt;"صباح")*(JL4:JL11&lt;&gt;"عصر")*(JL4:JL11&lt;&gt;"ليل")*(JL4:JL11&lt;&gt;"راحة"))</f>
        <v/>
      </c>
      <c r="JM16" s="64">
        <f>SUMPRODUCT((JM4:JM11&lt;&gt;"")*(JM4:JM11&lt;&gt;"صباح")*(JM4:JM11&lt;&gt;"عصر")*(JM4:JM11&lt;&gt;"ليل")*(JM4:JM11&lt;&gt;"راحة"))</f>
        <v/>
      </c>
      <c r="JN16" s="64">
        <f>SUMPRODUCT((JN4:JN11&lt;&gt;"")*(JN4:JN11&lt;&gt;"صباح")*(JN4:JN11&lt;&gt;"عصر")*(JN4:JN11&lt;&gt;"ليل")*(JN4:JN11&lt;&gt;"راحة"))</f>
        <v/>
      </c>
      <c r="JO16" s="64">
        <f>SUMPRODUCT((JO4:JO11&lt;&gt;"")*(JO4:JO11&lt;&gt;"صباح")*(JO4:JO11&lt;&gt;"عصر")*(JO4:JO11&lt;&gt;"ليل")*(JO4:JO11&lt;&gt;"راحة"))</f>
        <v/>
      </c>
      <c r="JP16" s="64">
        <f>SUMPRODUCT((JP4:JP11&lt;&gt;"")*(JP4:JP11&lt;&gt;"صباح")*(JP4:JP11&lt;&gt;"عصر")*(JP4:JP11&lt;&gt;"ليل")*(JP4:JP11&lt;&gt;"راحة"))</f>
        <v/>
      </c>
      <c r="JQ16" s="64">
        <f>SUMPRODUCT((JQ4:JQ11&lt;&gt;"")*(JQ4:JQ11&lt;&gt;"صباح")*(JQ4:JQ11&lt;&gt;"عصر")*(JQ4:JQ11&lt;&gt;"ليل")*(JQ4:JQ11&lt;&gt;"راحة"))</f>
        <v/>
      </c>
      <c r="JR16" s="64">
        <f>SUMPRODUCT((JR4:JR11&lt;&gt;"")*(JR4:JR11&lt;&gt;"صباح")*(JR4:JR11&lt;&gt;"عصر")*(JR4:JR11&lt;&gt;"ليل")*(JR4:JR11&lt;&gt;"راحة"))</f>
        <v/>
      </c>
      <c r="JS16" s="64">
        <f>SUMPRODUCT((JS4:JS11&lt;&gt;"")*(JS4:JS11&lt;&gt;"صباح")*(JS4:JS11&lt;&gt;"عصر")*(JS4:JS11&lt;&gt;"ليل")*(JS4:JS11&lt;&gt;"راحة"))</f>
        <v/>
      </c>
      <c r="JT16" s="64">
        <f>SUMPRODUCT((JT4:JT11&lt;&gt;"")*(JT4:JT11&lt;&gt;"صباح")*(JT4:JT11&lt;&gt;"عصر")*(JT4:JT11&lt;&gt;"ليل")*(JT4:JT11&lt;&gt;"راحة"))</f>
        <v/>
      </c>
      <c r="JU16" s="64">
        <f>SUMPRODUCT((JU4:JU11&lt;&gt;"")*(JU4:JU11&lt;&gt;"صباح")*(JU4:JU11&lt;&gt;"عصر")*(JU4:JU11&lt;&gt;"ليل")*(JU4:JU11&lt;&gt;"راحة"))</f>
        <v/>
      </c>
      <c r="JV16" s="64">
        <f>SUMPRODUCT((JV4:JV11&lt;&gt;"")*(JV4:JV11&lt;&gt;"صباح")*(JV4:JV11&lt;&gt;"عصر")*(JV4:JV11&lt;&gt;"ليل")*(JV4:JV11&lt;&gt;"راحة"))</f>
        <v/>
      </c>
      <c r="JW16" s="64">
        <f>SUMPRODUCT((JW4:JW11&lt;&gt;"")*(JW4:JW11&lt;&gt;"صباح")*(JW4:JW11&lt;&gt;"عصر")*(JW4:JW11&lt;&gt;"ليل")*(JW4:JW11&lt;&gt;"راحة"))</f>
        <v/>
      </c>
      <c r="JX16" s="64">
        <f>SUMPRODUCT((JX4:JX11&lt;&gt;"")*(JX4:JX11&lt;&gt;"صباح")*(JX4:JX11&lt;&gt;"عصر")*(JX4:JX11&lt;&gt;"ليل")*(JX4:JX11&lt;&gt;"راحة"))</f>
        <v/>
      </c>
      <c r="JY16" s="64">
        <f>SUMPRODUCT((JY4:JY11&lt;&gt;"")*(JY4:JY11&lt;&gt;"صباح")*(JY4:JY11&lt;&gt;"عصر")*(JY4:JY11&lt;&gt;"ليل")*(JY4:JY11&lt;&gt;"راحة"))</f>
        <v/>
      </c>
      <c r="JZ16" s="64">
        <f>SUMPRODUCT((JZ4:JZ11&lt;&gt;"")*(JZ4:JZ11&lt;&gt;"صباح")*(JZ4:JZ11&lt;&gt;"عصر")*(JZ4:JZ11&lt;&gt;"ليل")*(JZ4:JZ11&lt;&gt;"راحة"))</f>
        <v/>
      </c>
      <c r="KA16" s="64">
        <f>SUMPRODUCT((KA4:KA11&lt;&gt;"")*(KA4:KA11&lt;&gt;"صباح")*(KA4:KA11&lt;&gt;"عصر")*(KA4:KA11&lt;&gt;"ليل")*(KA4:KA11&lt;&gt;"راحة"))</f>
        <v/>
      </c>
      <c r="KB16" s="64">
        <f>SUMPRODUCT((KB4:KB11&lt;&gt;"")*(KB4:KB11&lt;&gt;"صباح")*(KB4:KB11&lt;&gt;"عصر")*(KB4:KB11&lt;&gt;"ليل")*(KB4:KB11&lt;&gt;"راحة"))</f>
        <v/>
      </c>
      <c r="KC16" s="64">
        <f>SUMPRODUCT((KC4:KC11&lt;&gt;"")*(KC4:KC11&lt;&gt;"صباح")*(KC4:KC11&lt;&gt;"عصر")*(KC4:KC11&lt;&gt;"ليل")*(KC4:KC11&lt;&gt;"راحة"))</f>
        <v/>
      </c>
      <c r="KD16" s="64">
        <f>SUMPRODUCT((KD4:KD11&lt;&gt;"")*(KD4:KD11&lt;&gt;"صباح")*(KD4:KD11&lt;&gt;"عصر")*(KD4:KD11&lt;&gt;"ليل")*(KD4:KD11&lt;&gt;"راحة"))</f>
        <v/>
      </c>
      <c r="KE16" s="64">
        <f>SUMPRODUCT((KE4:KE11&lt;&gt;"")*(KE4:KE11&lt;&gt;"صباح")*(KE4:KE11&lt;&gt;"عصر")*(KE4:KE11&lt;&gt;"ليل")*(KE4:KE11&lt;&gt;"راحة"))</f>
        <v/>
      </c>
      <c r="KF16" s="64">
        <f>SUMPRODUCT((KF4:KF11&lt;&gt;"")*(KF4:KF11&lt;&gt;"صباح")*(KF4:KF11&lt;&gt;"عصر")*(KF4:KF11&lt;&gt;"ليل")*(KF4:KF11&lt;&gt;"راحة"))</f>
        <v/>
      </c>
      <c r="KG16" s="64">
        <f>SUMPRODUCT((KG4:KG11&lt;&gt;"")*(KG4:KG11&lt;&gt;"صباح")*(KG4:KG11&lt;&gt;"عصر")*(KG4:KG11&lt;&gt;"ليل")*(KG4:KG11&lt;&gt;"راحة"))</f>
        <v/>
      </c>
      <c r="KH16" s="64">
        <f>SUMPRODUCT((KH4:KH11&lt;&gt;"")*(KH4:KH11&lt;&gt;"صباح")*(KH4:KH11&lt;&gt;"عصر")*(KH4:KH11&lt;&gt;"ليل")*(KH4:KH11&lt;&gt;"راحة"))</f>
        <v/>
      </c>
      <c r="KI16" s="64">
        <f>SUMPRODUCT((KI4:KI11&lt;&gt;"")*(KI4:KI11&lt;&gt;"صباح")*(KI4:KI11&lt;&gt;"عصر")*(KI4:KI11&lt;&gt;"ليل")*(KI4:KI11&lt;&gt;"راحة"))</f>
        <v/>
      </c>
      <c r="KJ16" s="64">
        <f>SUMPRODUCT((KJ4:KJ11&lt;&gt;"")*(KJ4:KJ11&lt;&gt;"صباح")*(KJ4:KJ11&lt;&gt;"عصر")*(KJ4:KJ11&lt;&gt;"ليل")*(KJ4:KJ11&lt;&gt;"راحة"))</f>
        <v/>
      </c>
      <c r="KK16" s="64">
        <f>SUMPRODUCT((KK4:KK11&lt;&gt;"")*(KK4:KK11&lt;&gt;"صباح")*(KK4:KK11&lt;&gt;"عصر")*(KK4:KK11&lt;&gt;"ليل")*(KK4:KK11&lt;&gt;"راحة"))</f>
        <v/>
      </c>
      <c r="KL16" s="64">
        <f>SUMPRODUCT((KL4:KL11&lt;&gt;"")*(KL4:KL11&lt;&gt;"صباح")*(KL4:KL11&lt;&gt;"عصر")*(KL4:KL11&lt;&gt;"ليل")*(KL4:KL11&lt;&gt;"راحة"))</f>
        <v/>
      </c>
      <c r="KM16" s="64">
        <f>SUMPRODUCT((KM4:KM11&lt;&gt;"")*(KM4:KM11&lt;&gt;"صباح")*(KM4:KM11&lt;&gt;"عصر")*(KM4:KM11&lt;&gt;"ليل")*(KM4:KM11&lt;&gt;"راحة"))</f>
        <v/>
      </c>
      <c r="KN16" s="64">
        <f>SUMPRODUCT((KN4:KN11&lt;&gt;"")*(KN4:KN11&lt;&gt;"صباح")*(KN4:KN11&lt;&gt;"عصر")*(KN4:KN11&lt;&gt;"ليل")*(KN4:KN11&lt;&gt;"راحة"))</f>
        <v/>
      </c>
      <c r="KO16" s="64">
        <f>SUMPRODUCT((KO4:KO11&lt;&gt;"")*(KO4:KO11&lt;&gt;"صباح")*(KO4:KO11&lt;&gt;"عصر")*(KO4:KO11&lt;&gt;"ليل")*(KO4:KO11&lt;&gt;"راحة"))</f>
        <v/>
      </c>
      <c r="KP16" s="64">
        <f>SUMPRODUCT((KP4:KP11&lt;&gt;"")*(KP4:KP11&lt;&gt;"صباح")*(KP4:KP11&lt;&gt;"عصر")*(KP4:KP11&lt;&gt;"ليل")*(KP4:KP11&lt;&gt;"راحة"))</f>
        <v/>
      </c>
      <c r="KQ16" s="64">
        <f>SUMPRODUCT((KQ4:KQ11&lt;&gt;"")*(KQ4:KQ11&lt;&gt;"صباح")*(KQ4:KQ11&lt;&gt;"عصر")*(KQ4:KQ11&lt;&gt;"ليل")*(KQ4:KQ11&lt;&gt;"راحة"))</f>
        <v/>
      </c>
      <c r="KR16" s="64">
        <f>SUMPRODUCT((KR4:KR11&lt;&gt;"")*(KR4:KR11&lt;&gt;"صباح")*(KR4:KR11&lt;&gt;"عصر")*(KR4:KR11&lt;&gt;"ليل")*(KR4:KR11&lt;&gt;"راحة"))</f>
        <v/>
      </c>
      <c r="KS16" s="64">
        <f>SUMPRODUCT((KS4:KS11&lt;&gt;"")*(KS4:KS11&lt;&gt;"صباح")*(KS4:KS11&lt;&gt;"عصر")*(KS4:KS11&lt;&gt;"ليل")*(KS4:KS11&lt;&gt;"راحة"))</f>
        <v/>
      </c>
      <c r="KT16" s="64">
        <f>SUMPRODUCT((KT4:KT11&lt;&gt;"")*(KT4:KT11&lt;&gt;"صباح")*(KT4:KT11&lt;&gt;"عصر")*(KT4:KT11&lt;&gt;"ليل")*(KT4:KT11&lt;&gt;"راحة"))</f>
        <v/>
      </c>
      <c r="KU16" s="64">
        <f>SUMPRODUCT((KU4:KU11&lt;&gt;"")*(KU4:KU11&lt;&gt;"صباح")*(KU4:KU11&lt;&gt;"عصر")*(KU4:KU11&lt;&gt;"ليل")*(KU4:KU11&lt;&gt;"راحة"))</f>
        <v/>
      </c>
      <c r="KV16" s="64">
        <f>SUMPRODUCT((KV4:KV11&lt;&gt;"")*(KV4:KV11&lt;&gt;"صباح")*(KV4:KV11&lt;&gt;"عصر")*(KV4:KV11&lt;&gt;"ليل")*(KV4:KV11&lt;&gt;"راحة"))</f>
        <v/>
      </c>
      <c r="KW16" s="64">
        <f>SUMPRODUCT((KW4:KW11&lt;&gt;"")*(KW4:KW11&lt;&gt;"صباح")*(KW4:KW11&lt;&gt;"عصر")*(KW4:KW11&lt;&gt;"ليل")*(KW4:KW11&lt;&gt;"راحة"))</f>
        <v/>
      </c>
      <c r="KX16" s="64">
        <f>SUMPRODUCT((KX4:KX11&lt;&gt;"")*(KX4:KX11&lt;&gt;"صباح")*(KX4:KX11&lt;&gt;"عصر")*(KX4:KX11&lt;&gt;"ليل")*(KX4:KX11&lt;&gt;"راحة"))</f>
        <v/>
      </c>
      <c r="KY16" s="64">
        <f>SUMPRODUCT((KY4:KY11&lt;&gt;"")*(KY4:KY11&lt;&gt;"صباح")*(KY4:KY11&lt;&gt;"عصر")*(KY4:KY11&lt;&gt;"ليل")*(KY4:KY11&lt;&gt;"راحة"))</f>
        <v/>
      </c>
      <c r="KZ16" s="64">
        <f>SUMPRODUCT((KZ4:KZ11&lt;&gt;"")*(KZ4:KZ11&lt;&gt;"صباح")*(KZ4:KZ11&lt;&gt;"عصر")*(KZ4:KZ11&lt;&gt;"ليل")*(KZ4:KZ11&lt;&gt;"راحة"))</f>
        <v/>
      </c>
      <c r="LA16" s="64">
        <f>SUMPRODUCT((LA4:LA11&lt;&gt;"")*(LA4:LA11&lt;&gt;"صباح")*(LA4:LA11&lt;&gt;"عصر")*(LA4:LA11&lt;&gt;"ليل")*(LA4:LA11&lt;&gt;"راحة"))</f>
        <v/>
      </c>
      <c r="LB16" s="64">
        <f>SUMPRODUCT((LB4:LB11&lt;&gt;"")*(LB4:LB11&lt;&gt;"صباح")*(LB4:LB11&lt;&gt;"عصر")*(LB4:LB11&lt;&gt;"ليل")*(LB4:LB11&lt;&gt;"راحة"))</f>
        <v/>
      </c>
      <c r="LC16" s="64">
        <f>SUMPRODUCT((LC4:LC11&lt;&gt;"")*(LC4:LC11&lt;&gt;"صباح")*(LC4:LC11&lt;&gt;"عصر")*(LC4:LC11&lt;&gt;"ليل")*(LC4:LC11&lt;&gt;"راحة"))</f>
        <v/>
      </c>
      <c r="LD16" s="64">
        <f>SUMPRODUCT((LD4:LD11&lt;&gt;"")*(LD4:LD11&lt;&gt;"صباح")*(LD4:LD11&lt;&gt;"عصر")*(LD4:LD11&lt;&gt;"ليل")*(LD4:LD11&lt;&gt;"راحة"))</f>
        <v/>
      </c>
      <c r="LE16" s="64">
        <f>SUMPRODUCT((LE4:LE11&lt;&gt;"")*(LE4:LE11&lt;&gt;"صباح")*(LE4:LE11&lt;&gt;"عصر")*(LE4:LE11&lt;&gt;"ليل")*(LE4:LE11&lt;&gt;"راحة"))</f>
        <v/>
      </c>
      <c r="LF16" s="64">
        <f>SUMPRODUCT((LF4:LF11&lt;&gt;"")*(LF4:LF11&lt;&gt;"صباح")*(LF4:LF11&lt;&gt;"عصر")*(LF4:LF11&lt;&gt;"ليل")*(LF4:LF11&lt;&gt;"راحة"))</f>
        <v/>
      </c>
      <c r="LG16" s="64">
        <f>SUMPRODUCT((LG4:LG11&lt;&gt;"")*(LG4:LG11&lt;&gt;"صباح")*(LG4:LG11&lt;&gt;"عصر")*(LG4:LG11&lt;&gt;"ليل")*(LG4:LG11&lt;&gt;"راحة"))</f>
        <v/>
      </c>
      <c r="LH16" s="64">
        <f>SUMPRODUCT((LH4:LH11&lt;&gt;"")*(LH4:LH11&lt;&gt;"صباح")*(LH4:LH11&lt;&gt;"عصر")*(LH4:LH11&lt;&gt;"ليل")*(LH4:LH11&lt;&gt;"راحة"))</f>
        <v/>
      </c>
      <c r="LI16" s="64">
        <f>SUMPRODUCT((LI4:LI11&lt;&gt;"")*(LI4:LI11&lt;&gt;"صباح")*(LI4:LI11&lt;&gt;"عصر")*(LI4:LI11&lt;&gt;"ليل")*(LI4:LI11&lt;&gt;"راحة"))</f>
        <v/>
      </c>
      <c r="LJ16" s="64">
        <f>SUMPRODUCT((LJ4:LJ11&lt;&gt;"")*(LJ4:LJ11&lt;&gt;"صباح")*(LJ4:LJ11&lt;&gt;"عصر")*(LJ4:LJ11&lt;&gt;"ليل")*(LJ4:LJ11&lt;&gt;"راحة"))</f>
        <v/>
      </c>
      <c r="LK16" s="64">
        <f>SUMPRODUCT((LK4:LK11&lt;&gt;"")*(LK4:LK11&lt;&gt;"صباح")*(LK4:LK11&lt;&gt;"عصر")*(LK4:LK11&lt;&gt;"ليل")*(LK4:LK11&lt;&gt;"راحة"))</f>
        <v/>
      </c>
      <c r="LL16" s="64">
        <f>SUMPRODUCT((LL4:LL11&lt;&gt;"")*(LL4:LL11&lt;&gt;"صباح")*(LL4:LL11&lt;&gt;"عصر")*(LL4:LL11&lt;&gt;"ليل")*(LL4:LL11&lt;&gt;"راحة"))</f>
        <v/>
      </c>
      <c r="LM16" s="64">
        <f>SUMPRODUCT((LM4:LM11&lt;&gt;"")*(LM4:LM11&lt;&gt;"صباح")*(LM4:LM11&lt;&gt;"عصر")*(LM4:LM11&lt;&gt;"ليل")*(LM4:LM11&lt;&gt;"راحة"))</f>
        <v/>
      </c>
      <c r="LN16" s="64">
        <f>SUMPRODUCT((LN4:LN11&lt;&gt;"")*(LN4:LN11&lt;&gt;"صباح")*(LN4:LN11&lt;&gt;"عصر")*(LN4:LN11&lt;&gt;"ليل")*(LN4:LN11&lt;&gt;"راحة"))</f>
        <v/>
      </c>
      <c r="LO16" s="64">
        <f>SUMPRODUCT((LO4:LO11&lt;&gt;"")*(LO4:LO11&lt;&gt;"صباح")*(LO4:LO11&lt;&gt;"عصر")*(LO4:LO11&lt;&gt;"ليل")*(LO4:LO11&lt;&gt;"راحة"))</f>
        <v/>
      </c>
      <c r="LP16" s="64">
        <f>SUMPRODUCT((LP4:LP11&lt;&gt;"")*(LP4:LP11&lt;&gt;"صباح")*(LP4:LP11&lt;&gt;"عصر")*(LP4:LP11&lt;&gt;"ليل")*(LP4:LP11&lt;&gt;"راحة"))</f>
        <v/>
      </c>
      <c r="LQ16" s="64">
        <f>SUMPRODUCT((LQ4:LQ11&lt;&gt;"")*(LQ4:LQ11&lt;&gt;"صباح")*(LQ4:LQ11&lt;&gt;"عصر")*(LQ4:LQ11&lt;&gt;"ليل")*(LQ4:LQ11&lt;&gt;"راحة"))</f>
        <v/>
      </c>
      <c r="LR16" s="64">
        <f>SUMPRODUCT((LR4:LR11&lt;&gt;"")*(LR4:LR11&lt;&gt;"صباح")*(LR4:LR11&lt;&gt;"عصر")*(LR4:LR11&lt;&gt;"ليل")*(LR4:LR11&lt;&gt;"راحة"))</f>
        <v/>
      </c>
      <c r="LS16" s="64">
        <f>SUMPRODUCT((LS4:LS11&lt;&gt;"")*(LS4:LS11&lt;&gt;"صباح")*(LS4:LS11&lt;&gt;"عصر")*(LS4:LS11&lt;&gt;"ليل")*(LS4:LS11&lt;&gt;"راحة"))</f>
        <v/>
      </c>
      <c r="LT16" s="64">
        <f>SUMPRODUCT((LT4:LT11&lt;&gt;"")*(LT4:LT11&lt;&gt;"صباح")*(LT4:LT11&lt;&gt;"عصر")*(LT4:LT11&lt;&gt;"ليل")*(LT4:LT11&lt;&gt;"راحة"))</f>
        <v/>
      </c>
      <c r="LU16" s="64">
        <f>SUMPRODUCT((LU4:LU11&lt;&gt;"")*(LU4:LU11&lt;&gt;"صباح")*(LU4:LU11&lt;&gt;"عصر")*(LU4:LU11&lt;&gt;"ليل")*(LU4:LU11&lt;&gt;"راحة"))</f>
        <v/>
      </c>
      <c r="LV16" s="64">
        <f>SUMPRODUCT((LV4:LV11&lt;&gt;"")*(LV4:LV11&lt;&gt;"صباح")*(LV4:LV11&lt;&gt;"عصر")*(LV4:LV11&lt;&gt;"ليل")*(LV4:LV11&lt;&gt;"راحة"))</f>
        <v/>
      </c>
      <c r="LW16" s="64">
        <f>SUMPRODUCT((LW4:LW11&lt;&gt;"")*(LW4:LW11&lt;&gt;"صباح")*(LW4:LW11&lt;&gt;"عصر")*(LW4:LW11&lt;&gt;"ليل")*(LW4:LW11&lt;&gt;"راحة"))</f>
        <v/>
      </c>
      <c r="LX16" s="64">
        <f>SUMPRODUCT((LX4:LX11&lt;&gt;"")*(LX4:LX11&lt;&gt;"صباح")*(LX4:LX11&lt;&gt;"عصر")*(LX4:LX11&lt;&gt;"ليل")*(LX4:LX11&lt;&gt;"راحة"))</f>
        <v/>
      </c>
      <c r="LY16" s="64">
        <f>SUMPRODUCT((LY4:LY11&lt;&gt;"")*(LY4:LY11&lt;&gt;"صباح")*(LY4:LY11&lt;&gt;"عصر")*(LY4:LY11&lt;&gt;"ليل")*(LY4:LY11&lt;&gt;"راحة"))</f>
        <v/>
      </c>
      <c r="LZ16" s="64">
        <f>SUMPRODUCT((LZ4:LZ11&lt;&gt;"")*(LZ4:LZ11&lt;&gt;"صباح")*(LZ4:LZ11&lt;&gt;"عصر")*(LZ4:LZ11&lt;&gt;"ليل")*(LZ4:LZ11&lt;&gt;"راحة"))</f>
        <v/>
      </c>
      <c r="MA16" s="64">
        <f>SUMPRODUCT((MA4:MA11&lt;&gt;"")*(MA4:MA11&lt;&gt;"صباح")*(MA4:MA11&lt;&gt;"عصر")*(MA4:MA11&lt;&gt;"ليل")*(MA4:MA11&lt;&gt;"راحة"))</f>
        <v/>
      </c>
      <c r="MB16" s="64">
        <f>SUMPRODUCT((MB4:MB11&lt;&gt;"")*(MB4:MB11&lt;&gt;"صباح")*(MB4:MB11&lt;&gt;"عصر")*(MB4:MB11&lt;&gt;"ليل")*(MB4:MB11&lt;&gt;"راحة"))</f>
        <v/>
      </c>
      <c r="MC16" s="64">
        <f>SUMPRODUCT((MC4:MC11&lt;&gt;"")*(MC4:MC11&lt;&gt;"صباح")*(MC4:MC11&lt;&gt;"عصر")*(MC4:MC11&lt;&gt;"ليل")*(MC4:MC11&lt;&gt;"راحة"))</f>
        <v/>
      </c>
      <c r="MD16" s="64">
        <f>SUMPRODUCT((MD4:MD11&lt;&gt;"")*(MD4:MD11&lt;&gt;"صباح")*(MD4:MD11&lt;&gt;"عصر")*(MD4:MD11&lt;&gt;"ليل")*(MD4:MD11&lt;&gt;"راحة"))</f>
        <v/>
      </c>
      <c r="ME16" s="64">
        <f>SUMPRODUCT((ME4:ME11&lt;&gt;"")*(ME4:ME11&lt;&gt;"صباح")*(ME4:ME11&lt;&gt;"عصر")*(ME4:ME11&lt;&gt;"ليل")*(ME4:ME11&lt;&gt;"راحة"))</f>
        <v/>
      </c>
      <c r="MF16" s="64">
        <f>SUMPRODUCT((MF4:MF11&lt;&gt;"")*(MF4:MF11&lt;&gt;"صباح")*(MF4:MF11&lt;&gt;"عصر")*(MF4:MF11&lt;&gt;"ليل")*(MF4:MF11&lt;&gt;"راحة"))</f>
        <v/>
      </c>
      <c r="MG16" s="64">
        <f>SUMPRODUCT((MG4:MG11&lt;&gt;"")*(MG4:MG11&lt;&gt;"صباح")*(MG4:MG11&lt;&gt;"عصر")*(MG4:MG11&lt;&gt;"ليل")*(MG4:MG11&lt;&gt;"راحة"))</f>
        <v/>
      </c>
      <c r="MH16" s="64">
        <f>SUMPRODUCT((MH4:MH11&lt;&gt;"")*(MH4:MH11&lt;&gt;"صباح")*(MH4:MH11&lt;&gt;"عصر")*(MH4:MH11&lt;&gt;"ليل")*(MH4:MH11&lt;&gt;"راحة"))</f>
        <v/>
      </c>
      <c r="MI16" s="64">
        <f>SUMPRODUCT((MI4:MI11&lt;&gt;"")*(MI4:MI11&lt;&gt;"صباح")*(MI4:MI11&lt;&gt;"عصر")*(MI4:MI11&lt;&gt;"ليل")*(MI4:MI11&lt;&gt;"راحة"))</f>
        <v/>
      </c>
      <c r="MJ16" s="64">
        <f>SUMPRODUCT((MJ4:MJ11&lt;&gt;"")*(MJ4:MJ11&lt;&gt;"صباح")*(MJ4:MJ11&lt;&gt;"عصر")*(MJ4:MJ11&lt;&gt;"ليل")*(MJ4:MJ11&lt;&gt;"راحة"))</f>
        <v/>
      </c>
      <c r="MK16" s="64">
        <f>SUMPRODUCT((MK4:MK11&lt;&gt;"")*(MK4:MK11&lt;&gt;"صباح")*(MK4:MK11&lt;&gt;"عصر")*(MK4:MK11&lt;&gt;"ليل")*(MK4:MK11&lt;&gt;"راحة"))</f>
        <v/>
      </c>
      <c r="ML16" s="64">
        <f>SUMPRODUCT((ML4:ML11&lt;&gt;"")*(ML4:ML11&lt;&gt;"صباح")*(ML4:ML11&lt;&gt;"عصر")*(ML4:ML11&lt;&gt;"ليل")*(ML4:ML11&lt;&gt;"راحة"))</f>
        <v/>
      </c>
      <c r="MM16" s="64">
        <f>SUMPRODUCT((MM4:MM11&lt;&gt;"")*(MM4:MM11&lt;&gt;"صباح")*(MM4:MM11&lt;&gt;"عصر")*(MM4:MM11&lt;&gt;"ليل")*(MM4:MM11&lt;&gt;"راحة"))</f>
        <v/>
      </c>
      <c r="MN16" s="64">
        <f>SUMPRODUCT((MN4:MN11&lt;&gt;"")*(MN4:MN11&lt;&gt;"صباح")*(MN4:MN11&lt;&gt;"عصر")*(MN4:MN11&lt;&gt;"ليل")*(MN4:MN11&lt;&gt;"راحة"))</f>
        <v/>
      </c>
      <c r="MO16" s="64">
        <f>SUMPRODUCT((MO4:MO11&lt;&gt;"")*(MO4:MO11&lt;&gt;"صباح")*(MO4:MO11&lt;&gt;"عصر")*(MO4:MO11&lt;&gt;"ليل")*(MO4:MO11&lt;&gt;"راحة"))</f>
        <v/>
      </c>
      <c r="MP16" s="64">
        <f>SUMPRODUCT((MP4:MP11&lt;&gt;"")*(MP4:MP11&lt;&gt;"صباح")*(MP4:MP11&lt;&gt;"عصر")*(MP4:MP11&lt;&gt;"ليل")*(MP4:MP11&lt;&gt;"راحة"))</f>
        <v/>
      </c>
      <c r="MQ16" s="64">
        <f>SUMPRODUCT((MQ4:MQ11&lt;&gt;"")*(MQ4:MQ11&lt;&gt;"صباح")*(MQ4:MQ11&lt;&gt;"عصر")*(MQ4:MQ11&lt;&gt;"ليل")*(MQ4:MQ11&lt;&gt;"راحة"))</f>
        <v/>
      </c>
      <c r="MR16" s="64">
        <f>SUMPRODUCT((MR4:MR11&lt;&gt;"")*(MR4:MR11&lt;&gt;"صباح")*(MR4:MR11&lt;&gt;"عصر")*(MR4:MR11&lt;&gt;"ليل")*(MR4:MR11&lt;&gt;"راحة"))</f>
        <v/>
      </c>
      <c r="MS16" s="64">
        <f>SUMPRODUCT((MS4:MS11&lt;&gt;"")*(MS4:MS11&lt;&gt;"صباح")*(MS4:MS11&lt;&gt;"عصر")*(MS4:MS11&lt;&gt;"ليل")*(MS4:MS11&lt;&gt;"راحة"))</f>
        <v/>
      </c>
      <c r="MT16" s="64">
        <f>SUMPRODUCT((MT4:MT11&lt;&gt;"")*(MT4:MT11&lt;&gt;"صباح")*(MT4:MT11&lt;&gt;"عصر")*(MT4:MT11&lt;&gt;"ليل")*(MT4:MT11&lt;&gt;"راحة"))</f>
        <v/>
      </c>
      <c r="MU16" s="64">
        <f>SUMPRODUCT((MU4:MU11&lt;&gt;"")*(MU4:MU11&lt;&gt;"صباح")*(MU4:MU11&lt;&gt;"عصر")*(MU4:MU11&lt;&gt;"ليل")*(MU4:MU11&lt;&gt;"راحة"))</f>
        <v/>
      </c>
      <c r="MV16" s="64">
        <f>SUMPRODUCT((MV4:MV11&lt;&gt;"")*(MV4:MV11&lt;&gt;"صباح")*(MV4:MV11&lt;&gt;"عصر")*(MV4:MV11&lt;&gt;"ليل")*(MV4:MV11&lt;&gt;"راحة"))</f>
        <v/>
      </c>
      <c r="MW16" s="64">
        <f>SUMPRODUCT((MW4:MW11&lt;&gt;"")*(MW4:MW11&lt;&gt;"صباح")*(MW4:MW11&lt;&gt;"عصر")*(MW4:MW11&lt;&gt;"ليل")*(MW4:MW11&lt;&gt;"راحة"))</f>
        <v/>
      </c>
      <c r="MX16" s="64">
        <f>SUMPRODUCT((MX4:MX11&lt;&gt;"")*(MX4:MX11&lt;&gt;"صباح")*(MX4:MX11&lt;&gt;"عصر")*(MX4:MX11&lt;&gt;"ليل")*(MX4:MX11&lt;&gt;"راحة"))</f>
        <v/>
      </c>
      <c r="MY16" s="64">
        <f>SUMPRODUCT((MY4:MY11&lt;&gt;"")*(MY4:MY11&lt;&gt;"صباح")*(MY4:MY11&lt;&gt;"عصر")*(MY4:MY11&lt;&gt;"ليل")*(MY4:MY11&lt;&gt;"راحة"))</f>
        <v/>
      </c>
      <c r="MZ16" s="64">
        <f>SUMPRODUCT((MZ4:MZ11&lt;&gt;"")*(MZ4:MZ11&lt;&gt;"صباح")*(MZ4:MZ11&lt;&gt;"عصر")*(MZ4:MZ11&lt;&gt;"ليل")*(MZ4:MZ11&lt;&gt;"راحة"))</f>
        <v/>
      </c>
      <c r="NA16" s="64">
        <f>SUMPRODUCT((NA4:NA11&lt;&gt;"")*(NA4:NA11&lt;&gt;"صباح")*(NA4:NA11&lt;&gt;"عصر")*(NA4:NA11&lt;&gt;"ليل")*(NA4:NA11&lt;&gt;"راحة"))</f>
        <v/>
      </c>
      <c r="NB16" s="64">
        <f>SUMPRODUCT((NB4:NB11&lt;&gt;"")*(NB4:NB11&lt;&gt;"صباح")*(NB4:NB11&lt;&gt;"عصر")*(NB4:NB11&lt;&gt;"ليل")*(NB4:NB11&lt;&gt;"راحة"))</f>
        <v/>
      </c>
      <c r="NC16" s="64">
        <f>SUMPRODUCT((NC4:NC11&lt;&gt;"")*(NC4:NC11&lt;&gt;"صباح")*(NC4:NC11&lt;&gt;"عصر")*(NC4:NC11&lt;&gt;"ليل")*(NC4:NC11&lt;&gt;"راحة"))</f>
        <v/>
      </c>
      <c r="ND16" s="64">
        <f>SUMPRODUCT((ND4:ND11&lt;&gt;"")*(ND4:ND11&lt;&gt;"صباح")*(ND4:ND11&lt;&gt;"عصر")*(ND4:ND11&lt;&gt;"ليل")*(ND4:ND11&lt;&gt;"راحة"))</f>
        <v/>
      </c>
    </row>
    <row r="18">
      <c r="B18" s="68" t="inlineStr">
        <is>
          <t>مفتاح الألوان:</t>
        </is>
      </c>
    </row>
    <row r="19">
      <c r="B19" s="69" t="inlineStr">
        <is>
          <t>صباح</t>
        </is>
      </c>
    </row>
    <row r="20">
      <c r="B20" s="23" t="inlineStr">
        <is>
          <t>عصر</t>
        </is>
      </c>
    </row>
    <row r="21">
      <c r="B21" s="70" t="inlineStr">
        <is>
          <t>ليل</t>
        </is>
      </c>
    </row>
    <row r="22">
      <c r="B22" s="71" t="inlineStr">
        <is>
          <t>راحة</t>
        </is>
      </c>
    </row>
    <row r="23">
      <c r="B23" s="72" t="inlineStr">
        <is>
          <t>عطلة</t>
        </is>
      </c>
    </row>
    <row r="24">
      <c r="B24" s="15" t="inlineStr">
        <is>
          <t>سنوية</t>
        </is>
      </c>
    </row>
    <row r="25">
      <c r="B25" s="17" t="inlineStr">
        <is>
          <t>عارض</t>
        </is>
      </c>
    </row>
    <row r="26">
      <c r="B26" s="18" t="inlineStr">
        <is>
          <t>دورية</t>
        </is>
      </c>
    </row>
    <row r="27">
      <c r="B27" s="19" t="inlineStr">
        <is>
          <t>مرضية</t>
        </is>
      </c>
    </row>
    <row r="28">
      <c r="B28" s="20" t="inlineStr">
        <is>
          <t>مرافق مريض</t>
        </is>
      </c>
    </row>
    <row r="29">
      <c r="B29" s="21" t="inlineStr">
        <is>
          <t>أخرى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conditionalFormatting sqref="D15">
    <cfRule type="cellIs" priority="1" operator="lessThan" dxfId="4">
      <formula>MinStaff</formula>
    </cfRule>
  </conditionalFormatting>
  <conditionalFormatting sqref="E15">
    <cfRule type="cellIs" priority="2" operator="lessThan" dxfId="4">
      <formula>MinStaff</formula>
    </cfRule>
  </conditionalFormatting>
  <conditionalFormatting sqref="F15">
    <cfRule type="cellIs" priority="3" operator="lessThan" dxfId="4">
      <formula>MinStaff</formula>
    </cfRule>
  </conditionalFormatting>
  <conditionalFormatting sqref="G15">
    <cfRule type="cellIs" priority="4" operator="lessThan" dxfId="4">
      <formula>MinStaff</formula>
    </cfRule>
  </conditionalFormatting>
  <conditionalFormatting sqref="H15">
    <cfRule type="cellIs" priority="5" operator="lessThan" dxfId="4">
      <formula>MinStaff</formula>
    </cfRule>
  </conditionalFormatting>
  <conditionalFormatting sqref="I15">
    <cfRule type="cellIs" priority="6" operator="lessThan" dxfId="4">
      <formula>MinStaff</formula>
    </cfRule>
  </conditionalFormatting>
  <conditionalFormatting sqref="J15">
    <cfRule type="cellIs" priority="7" operator="lessThan" dxfId="4">
      <formula>MinStaff</formula>
    </cfRule>
  </conditionalFormatting>
  <conditionalFormatting sqref="K15">
    <cfRule type="cellIs" priority="8" operator="lessThan" dxfId="4">
      <formula>MinStaff</formula>
    </cfRule>
  </conditionalFormatting>
  <conditionalFormatting sqref="L15">
    <cfRule type="cellIs" priority="9" operator="lessThan" dxfId="4">
      <formula>MinStaff</formula>
    </cfRule>
  </conditionalFormatting>
  <conditionalFormatting sqref="M15">
    <cfRule type="cellIs" priority="10" operator="lessThan" dxfId="4">
      <formula>MinStaff</formula>
    </cfRule>
  </conditionalFormatting>
  <conditionalFormatting sqref="N15">
    <cfRule type="cellIs" priority="11" operator="lessThan" dxfId="4">
      <formula>MinStaff</formula>
    </cfRule>
  </conditionalFormatting>
  <conditionalFormatting sqref="O15">
    <cfRule type="cellIs" priority="12" operator="lessThan" dxfId="4">
      <formula>MinStaff</formula>
    </cfRule>
  </conditionalFormatting>
  <conditionalFormatting sqref="P15">
    <cfRule type="cellIs" priority="13" operator="lessThan" dxfId="4">
      <formula>MinStaff</formula>
    </cfRule>
  </conditionalFormatting>
  <conditionalFormatting sqref="Q15">
    <cfRule type="cellIs" priority="14" operator="lessThan" dxfId="4">
      <formula>MinStaff</formula>
    </cfRule>
  </conditionalFormatting>
  <conditionalFormatting sqref="R15">
    <cfRule type="cellIs" priority="15" operator="lessThan" dxfId="4">
      <formula>MinStaff</formula>
    </cfRule>
  </conditionalFormatting>
  <conditionalFormatting sqref="S15">
    <cfRule type="cellIs" priority="16" operator="lessThan" dxfId="4">
      <formula>MinStaff</formula>
    </cfRule>
  </conditionalFormatting>
  <conditionalFormatting sqref="T15">
    <cfRule type="cellIs" priority="17" operator="lessThan" dxfId="4">
      <formula>MinStaff</formula>
    </cfRule>
  </conditionalFormatting>
  <conditionalFormatting sqref="U15">
    <cfRule type="cellIs" priority="18" operator="lessThan" dxfId="4">
      <formula>MinStaff</formula>
    </cfRule>
  </conditionalFormatting>
  <conditionalFormatting sqref="V15">
    <cfRule type="cellIs" priority="19" operator="lessThan" dxfId="4">
      <formula>MinStaff</formula>
    </cfRule>
  </conditionalFormatting>
  <conditionalFormatting sqref="W15">
    <cfRule type="cellIs" priority="20" operator="lessThan" dxfId="4">
      <formula>MinStaff</formula>
    </cfRule>
  </conditionalFormatting>
  <conditionalFormatting sqref="X15">
    <cfRule type="cellIs" priority="21" operator="lessThan" dxfId="4">
      <formula>MinStaff</formula>
    </cfRule>
  </conditionalFormatting>
  <conditionalFormatting sqref="Y15">
    <cfRule type="cellIs" priority="22" operator="lessThan" dxfId="4">
      <formula>MinStaff</formula>
    </cfRule>
  </conditionalFormatting>
  <conditionalFormatting sqref="Z15">
    <cfRule type="cellIs" priority="23" operator="lessThan" dxfId="4">
      <formula>MinStaff</formula>
    </cfRule>
  </conditionalFormatting>
  <conditionalFormatting sqref="AA15">
    <cfRule type="cellIs" priority="24" operator="lessThan" dxfId="4">
      <formula>MinStaff</formula>
    </cfRule>
  </conditionalFormatting>
  <conditionalFormatting sqref="AB15">
    <cfRule type="cellIs" priority="25" operator="lessThan" dxfId="4">
      <formula>MinStaff</formula>
    </cfRule>
  </conditionalFormatting>
  <conditionalFormatting sqref="AC15">
    <cfRule type="cellIs" priority="26" operator="lessThan" dxfId="4">
      <formula>MinStaff</formula>
    </cfRule>
  </conditionalFormatting>
  <conditionalFormatting sqref="AD15">
    <cfRule type="cellIs" priority="27" operator="lessThan" dxfId="4">
      <formula>MinStaff</formula>
    </cfRule>
  </conditionalFormatting>
  <conditionalFormatting sqref="AE15">
    <cfRule type="cellIs" priority="28" operator="lessThan" dxfId="4">
      <formula>MinStaff</formula>
    </cfRule>
  </conditionalFormatting>
  <conditionalFormatting sqref="AF15">
    <cfRule type="cellIs" priority="29" operator="lessThan" dxfId="4">
      <formula>MinStaff</formula>
    </cfRule>
  </conditionalFormatting>
  <conditionalFormatting sqref="AG15">
    <cfRule type="cellIs" priority="30" operator="lessThan" dxfId="4">
      <formula>MinStaff</formula>
    </cfRule>
  </conditionalFormatting>
  <conditionalFormatting sqref="AH15">
    <cfRule type="cellIs" priority="31" operator="lessThan" dxfId="4">
      <formula>MinStaff</formula>
    </cfRule>
  </conditionalFormatting>
  <conditionalFormatting sqref="AI15">
    <cfRule type="cellIs" priority="32" operator="lessThan" dxfId="4">
      <formula>MinStaff</formula>
    </cfRule>
  </conditionalFormatting>
  <conditionalFormatting sqref="AJ15">
    <cfRule type="cellIs" priority="33" operator="lessThan" dxfId="4">
      <formula>MinStaff</formula>
    </cfRule>
  </conditionalFormatting>
  <conditionalFormatting sqref="AK15">
    <cfRule type="cellIs" priority="34" operator="lessThan" dxfId="4">
      <formula>MinStaff</formula>
    </cfRule>
  </conditionalFormatting>
  <conditionalFormatting sqref="AL15">
    <cfRule type="cellIs" priority="35" operator="lessThan" dxfId="4">
      <formula>MinStaff</formula>
    </cfRule>
  </conditionalFormatting>
  <conditionalFormatting sqref="AM15">
    <cfRule type="cellIs" priority="36" operator="lessThan" dxfId="4">
      <formula>MinStaff</formula>
    </cfRule>
  </conditionalFormatting>
  <conditionalFormatting sqref="AN15">
    <cfRule type="cellIs" priority="37" operator="lessThan" dxfId="4">
      <formula>MinStaff</formula>
    </cfRule>
  </conditionalFormatting>
  <conditionalFormatting sqref="AO15">
    <cfRule type="cellIs" priority="38" operator="lessThan" dxfId="4">
      <formula>MinStaff</formula>
    </cfRule>
  </conditionalFormatting>
  <conditionalFormatting sqref="AP15">
    <cfRule type="cellIs" priority="39" operator="lessThan" dxfId="4">
      <formula>MinStaff</formula>
    </cfRule>
  </conditionalFormatting>
  <conditionalFormatting sqref="AQ15">
    <cfRule type="cellIs" priority="40" operator="lessThan" dxfId="4">
      <formula>MinStaff</formula>
    </cfRule>
  </conditionalFormatting>
  <conditionalFormatting sqref="AR15">
    <cfRule type="cellIs" priority="41" operator="lessThan" dxfId="4">
      <formula>MinStaff</formula>
    </cfRule>
  </conditionalFormatting>
  <conditionalFormatting sqref="AS15">
    <cfRule type="cellIs" priority="42" operator="lessThan" dxfId="4">
      <formula>MinStaff</formula>
    </cfRule>
  </conditionalFormatting>
  <conditionalFormatting sqref="AT15">
    <cfRule type="cellIs" priority="43" operator="lessThan" dxfId="4">
      <formula>MinStaff</formula>
    </cfRule>
  </conditionalFormatting>
  <conditionalFormatting sqref="AU15">
    <cfRule type="cellIs" priority="44" operator="lessThan" dxfId="4">
      <formula>MinStaff</formula>
    </cfRule>
  </conditionalFormatting>
  <conditionalFormatting sqref="AV15">
    <cfRule type="cellIs" priority="45" operator="lessThan" dxfId="4">
      <formula>MinStaff</formula>
    </cfRule>
  </conditionalFormatting>
  <conditionalFormatting sqref="AW15">
    <cfRule type="cellIs" priority="46" operator="lessThan" dxfId="4">
      <formula>MinStaff</formula>
    </cfRule>
  </conditionalFormatting>
  <conditionalFormatting sqref="AX15">
    <cfRule type="cellIs" priority="47" operator="lessThan" dxfId="4">
      <formula>MinStaff</formula>
    </cfRule>
  </conditionalFormatting>
  <conditionalFormatting sqref="AY15">
    <cfRule type="cellIs" priority="48" operator="lessThan" dxfId="4">
      <formula>MinStaff</formula>
    </cfRule>
  </conditionalFormatting>
  <conditionalFormatting sqref="AZ15">
    <cfRule type="cellIs" priority="49" operator="lessThan" dxfId="4">
      <formula>MinStaff</formula>
    </cfRule>
  </conditionalFormatting>
  <conditionalFormatting sqref="BA15">
    <cfRule type="cellIs" priority="50" operator="lessThan" dxfId="4">
      <formula>MinStaff</formula>
    </cfRule>
  </conditionalFormatting>
  <conditionalFormatting sqref="BB15">
    <cfRule type="cellIs" priority="51" operator="lessThan" dxfId="4">
      <formula>MinStaff</formula>
    </cfRule>
  </conditionalFormatting>
  <conditionalFormatting sqref="BC15">
    <cfRule type="cellIs" priority="52" operator="lessThan" dxfId="4">
      <formula>MinStaff</formula>
    </cfRule>
  </conditionalFormatting>
  <conditionalFormatting sqref="BD15">
    <cfRule type="cellIs" priority="53" operator="lessThan" dxfId="4">
      <formula>MinStaff</formula>
    </cfRule>
  </conditionalFormatting>
  <conditionalFormatting sqref="BE15">
    <cfRule type="cellIs" priority="54" operator="lessThan" dxfId="4">
      <formula>MinStaff</formula>
    </cfRule>
  </conditionalFormatting>
  <conditionalFormatting sqref="BF15">
    <cfRule type="cellIs" priority="55" operator="lessThan" dxfId="4">
      <formula>MinStaff</formula>
    </cfRule>
  </conditionalFormatting>
  <conditionalFormatting sqref="BG15">
    <cfRule type="cellIs" priority="56" operator="lessThan" dxfId="4">
      <formula>MinStaff</formula>
    </cfRule>
  </conditionalFormatting>
  <conditionalFormatting sqref="BH15">
    <cfRule type="cellIs" priority="57" operator="lessThan" dxfId="4">
      <formula>MinStaff</formula>
    </cfRule>
  </conditionalFormatting>
  <conditionalFormatting sqref="BI15">
    <cfRule type="cellIs" priority="58" operator="lessThan" dxfId="4">
      <formula>MinStaff</formula>
    </cfRule>
  </conditionalFormatting>
  <conditionalFormatting sqref="BJ15">
    <cfRule type="cellIs" priority="59" operator="lessThan" dxfId="4">
      <formula>MinStaff</formula>
    </cfRule>
  </conditionalFormatting>
  <conditionalFormatting sqref="BK15">
    <cfRule type="cellIs" priority="60" operator="lessThan" dxfId="4">
      <formula>MinStaff</formula>
    </cfRule>
  </conditionalFormatting>
  <conditionalFormatting sqref="BL15">
    <cfRule type="cellIs" priority="61" operator="lessThan" dxfId="4">
      <formula>MinStaff</formula>
    </cfRule>
  </conditionalFormatting>
  <conditionalFormatting sqref="BM15">
    <cfRule type="cellIs" priority="62" operator="lessThan" dxfId="4">
      <formula>MinStaff</formula>
    </cfRule>
  </conditionalFormatting>
  <conditionalFormatting sqref="BN15">
    <cfRule type="cellIs" priority="63" operator="lessThan" dxfId="4">
      <formula>MinStaff</formula>
    </cfRule>
  </conditionalFormatting>
  <conditionalFormatting sqref="BO15">
    <cfRule type="cellIs" priority="64" operator="lessThan" dxfId="4">
      <formula>MinStaff</formula>
    </cfRule>
  </conditionalFormatting>
  <conditionalFormatting sqref="BP15">
    <cfRule type="cellIs" priority="65" operator="lessThan" dxfId="4">
      <formula>MinStaff</formula>
    </cfRule>
  </conditionalFormatting>
  <conditionalFormatting sqref="BQ15">
    <cfRule type="cellIs" priority="66" operator="lessThan" dxfId="4">
      <formula>MinStaff</formula>
    </cfRule>
  </conditionalFormatting>
  <conditionalFormatting sqref="BR15">
    <cfRule type="cellIs" priority="67" operator="lessThan" dxfId="4">
      <formula>MinStaff</formula>
    </cfRule>
  </conditionalFormatting>
  <conditionalFormatting sqref="BS15">
    <cfRule type="cellIs" priority="68" operator="lessThan" dxfId="4">
      <formula>MinStaff</formula>
    </cfRule>
  </conditionalFormatting>
  <conditionalFormatting sqref="BT15">
    <cfRule type="cellIs" priority="69" operator="lessThan" dxfId="4">
      <formula>MinStaff</formula>
    </cfRule>
  </conditionalFormatting>
  <conditionalFormatting sqref="BU15">
    <cfRule type="cellIs" priority="70" operator="lessThan" dxfId="4">
      <formula>MinStaff</formula>
    </cfRule>
  </conditionalFormatting>
  <conditionalFormatting sqref="BV15">
    <cfRule type="cellIs" priority="71" operator="lessThan" dxfId="4">
      <formula>MinStaff</formula>
    </cfRule>
  </conditionalFormatting>
  <conditionalFormatting sqref="BW15">
    <cfRule type="cellIs" priority="72" operator="lessThan" dxfId="4">
      <formula>MinStaff</formula>
    </cfRule>
  </conditionalFormatting>
  <conditionalFormatting sqref="BX15">
    <cfRule type="cellIs" priority="73" operator="lessThan" dxfId="4">
      <formula>MinStaff</formula>
    </cfRule>
  </conditionalFormatting>
  <conditionalFormatting sqref="BY15">
    <cfRule type="cellIs" priority="74" operator="lessThan" dxfId="4">
      <formula>MinStaff</formula>
    </cfRule>
  </conditionalFormatting>
  <conditionalFormatting sqref="BZ15">
    <cfRule type="cellIs" priority="75" operator="lessThan" dxfId="4">
      <formula>MinStaff</formula>
    </cfRule>
  </conditionalFormatting>
  <conditionalFormatting sqref="CA15">
    <cfRule type="cellIs" priority="76" operator="lessThan" dxfId="4">
      <formula>MinStaff</formula>
    </cfRule>
  </conditionalFormatting>
  <conditionalFormatting sqref="CB15">
    <cfRule type="cellIs" priority="77" operator="lessThan" dxfId="4">
      <formula>MinStaff</formula>
    </cfRule>
  </conditionalFormatting>
  <conditionalFormatting sqref="CC15">
    <cfRule type="cellIs" priority="78" operator="lessThan" dxfId="4">
      <formula>MinStaff</formula>
    </cfRule>
  </conditionalFormatting>
  <conditionalFormatting sqref="CD15">
    <cfRule type="cellIs" priority="79" operator="lessThan" dxfId="4">
      <formula>MinStaff</formula>
    </cfRule>
  </conditionalFormatting>
  <conditionalFormatting sqref="CE15">
    <cfRule type="cellIs" priority="80" operator="lessThan" dxfId="4">
      <formula>MinStaff</formula>
    </cfRule>
  </conditionalFormatting>
  <conditionalFormatting sqref="CF15">
    <cfRule type="cellIs" priority="81" operator="lessThan" dxfId="4">
      <formula>MinStaff</formula>
    </cfRule>
  </conditionalFormatting>
  <conditionalFormatting sqref="CG15">
    <cfRule type="cellIs" priority="82" operator="lessThan" dxfId="4">
      <formula>MinStaff</formula>
    </cfRule>
  </conditionalFormatting>
  <conditionalFormatting sqref="CH15">
    <cfRule type="cellIs" priority="83" operator="lessThan" dxfId="4">
      <formula>MinStaff</formula>
    </cfRule>
  </conditionalFormatting>
  <conditionalFormatting sqref="CI15">
    <cfRule type="cellIs" priority="84" operator="lessThan" dxfId="4">
      <formula>MinStaff</formula>
    </cfRule>
  </conditionalFormatting>
  <conditionalFormatting sqref="CJ15">
    <cfRule type="cellIs" priority="85" operator="lessThan" dxfId="4">
      <formula>MinStaff</formula>
    </cfRule>
  </conditionalFormatting>
  <conditionalFormatting sqref="CK15">
    <cfRule type="cellIs" priority="86" operator="lessThan" dxfId="4">
      <formula>MinStaff</formula>
    </cfRule>
  </conditionalFormatting>
  <conditionalFormatting sqref="CL15">
    <cfRule type="cellIs" priority="87" operator="lessThan" dxfId="4">
      <formula>MinStaff</formula>
    </cfRule>
  </conditionalFormatting>
  <conditionalFormatting sqref="CM15">
    <cfRule type="cellIs" priority="88" operator="lessThan" dxfId="4">
      <formula>MinStaff</formula>
    </cfRule>
  </conditionalFormatting>
  <conditionalFormatting sqref="CN15">
    <cfRule type="cellIs" priority="89" operator="lessThan" dxfId="4">
      <formula>MinStaff</formula>
    </cfRule>
  </conditionalFormatting>
  <conditionalFormatting sqref="CO15">
    <cfRule type="cellIs" priority="90" operator="lessThan" dxfId="4">
      <formula>MinStaff</formula>
    </cfRule>
  </conditionalFormatting>
  <conditionalFormatting sqref="CP15">
    <cfRule type="cellIs" priority="91" operator="lessThan" dxfId="4">
      <formula>MinStaff</formula>
    </cfRule>
  </conditionalFormatting>
  <conditionalFormatting sqref="CQ15">
    <cfRule type="cellIs" priority="92" operator="lessThan" dxfId="4">
      <formula>MinStaff</formula>
    </cfRule>
  </conditionalFormatting>
  <conditionalFormatting sqref="CR15">
    <cfRule type="cellIs" priority="93" operator="lessThan" dxfId="4">
      <formula>MinStaff</formula>
    </cfRule>
  </conditionalFormatting>
  <conditionalFormatting sqref="CS15">
    <cfRule type="cellIs" priority="94" operator="lessThan" dxfId="4">
      <formula>MinStaff</formula>
    </cfRule>
  </conditionalFormatting>
  <conditionalFormatting sqref="CT15">
    <cfRule type="cellIs" priority="95" operator="lessThan" dxfId="4">
      <formula>MinStaff</formula>
    </cfRule>
  </conditionalFormatting>
  <conditionalFormatting sqref="CU15">
    <cfRule type="cellIs" priority="96" operator="lessThan" dxfId="4">
      <formula>MinStaff</formula>
    </cfRule>
  </conditionalFormatting>
  <conditionalFormatting sqref="CV15">
    <cfRule type="cellIs" priority="97" operator="lessThan" dxfId="4">
      <formula>MinStaff</formula>
    </cfRule>
  </conditionalFormatting>
  <conditionalFormatting sqref="CW15">
    <cfRule type="cellIs" priority="98" operator="lessThan" dxfId="4">
      <formula>MinStaff</formula>
    </cfRule>
  </conditionalFormatting>
  <conditionalFormatting sqref="CX15">
    <cfRule type="cellIs" priority="99" operator="lessThan" dxfId="4">
      <formula>MinStaff</formula>
    </cfRule>
  </conditionalFormatting>
  <conditionalFormatting sqref="CY15">
    <cfRule type="cellIs" priority="100" operator="lessThan" dxfId="4">
      <formula>MinStaff</formula>
    </cfRule>
  </conditionalFormatting>
  <conditionalFormatting sqref="CZ15">
    <cfRule type="cellIs" priority="101" operator="lessThan" dxfId="4">
      <formula>MinStaff</formula>
    </cfRule>
  </conditionalFormatting>
  <conditionalFormatting sqref="DA15">
    <cfRule type="cellIs" priority="102" operator="lessThan" dxfId="4">
      <formula>MinStaff</formula>
    </cfRule>
  </conditionalFormatting>
  <conditionalFormatting sqref="DB15">
    <cfRule type="cellIs" priority="103" operator="lessThan" dxfId="4">
      <formula>MinStaff</formula>
    </cfRule>
  </conditionalFormatting>
  <conditionalFormatting sqref="DC15">
    <cfRule type="cellIs" priority="104" operator="lessThan" dxfId="4">
      <formula>MinStaff</formula>
    </cfRule>
  </conditionalFormatting>
  <conditionalFormatting sqref="DD15">
    <cfRule type="cellIs" priority="105" operator="lessThan" dxfId="4">
      <formula>MinStaff</formula>
    </cfRule>
  </conditionalFormatting>
  <conditionalFormatting sqref="DE15">
    <cfRule type="cellIs" priority="106" operator="lessThan" dxfId="4">
      <formula>MinStaff</formula>
    </cfRule>
  </conditionalFormatting>
  <conditionalFormatting sqref="DF15">
    <cfRule type="cellIs" priority="107" operator="lessThan" dxfId="4">
      <formula>MinStaff</formula>
    </cfRule>
  </conditionalFormatting>
  <conditionalFormatting sqref="DG15">
    <cfRule type="cellIs" priority="108" operator="lessThan" dxfId="4">
      <formula>MinStaff</formula>
    </cfRule>
  </conditionalFormatting>
  <conditionalFormatting sqref="DH15">
    <cfRule type="cellIs" priority="109" operator="lessThan" dxfId="4">
      <formula>MinStaff</formula>
    </cfRule>
  </conditionalFormatting>
  <conditionalFormatting sqref="DI15">
    <cfRule type="cellIs" priority="110" operator="lessThan" dxfId="4">
      <formula>MinStaff</formula>
    </cfRule>
  </conditionalFormatting>
  <conditionalFormatting sqref="DJ15">
    <cfRule type="cellIs" priority="111" operator="lessThan" dxfId="4">
      <formula>MinStaff</formula>
    </cfRule>
  </conditionalFormatting>
  <conditionalFormatting sqref="DK15">
    <cfRule type="cellIs" priority="112" operator="lessThan" dxfId="4">
      <formula>MinStaff</formula>
    </cfRule>
  </conditionalFormatting>
  <conditionalFormatting sqref="DL15">
    <cfRule type="cellIs" priority="113" operator="lessThan" dxfId="4">
      <formula>MinStaff</formula>
    </cfRule>
  </conditionalFormatting>
  <conditionalFormatting sqref="DM15">
    <cfRule type="cellIs" priority="114" operator="lessThan" dxfId="4">
      <formula>MinStaff</formula>
    </cfRule>
  </conditionalFormatting>
  <conditionalFormatting sqref="DN15">
    <cfRule type="cellIs" priority="115" operator="lessThan" dxfId="4">
      <formula>MinStaff</formula>
    </cfRule>
  </conditionalFormatting>
  <conditionalFormatting sqref="DO15">
    <cfRule type="cellIs" priority="116" operator="lessThan" dxfId="4">
      <formula>MinStaff</formula>
    </cfRule>
  </conditionalFormatting>
  <conditionalFormatting sqref="DP15">
    <cfRule type="cellIs" priority="117" operator="lessThan" dxfId="4">
      <formula>MinStaff</formula>
    </cfRule>
  </conditionalFormatting>
  <conditionalFormatting sqref="DQ15">
    <cfRule type="cellIs" priority="118" operator="lessThan" dxfId="4">
      <formula>MinStaff</formula>
    </cfRule>
  </conditionalFormatting>
  <conditionalFormatting sqref="DR15">
    <cfRule type="cellIs" priority="119" operator="lessThan" dxfId="4">
      <formula>MinStaff</formula>
    </cfRule>
  </conditionalFormatting>
  <conditionalFormatting sqref="DS15">
    <cfRule type="cellIs" priority="120" operator="lessThan" dxfId="4">
      <formula>MinStaff</formula>
    </cfRule>
  </conditionalFormatting>
  <conditionalFormatting sqref="DT15">
    <cfRule type="cellIs" priority="121" operator="lessThan" dxfId="4">
      <formula>MinStaff</formula>
    </cfRule>
  </conditionalFormatting>
  <conditionalFormatting sqref="DU15">
    <cfRule type="cellIs" priority="122" operator="lessThan" dxfId="4">
      <formula>MinStaff</formula>
    </cfRule>
  </conditionalFormatting>
  <conditionalFormatting sqref="DV15">
    <cfRule type="cellIs" priority="123" operator="lessThan" dxfId="4">
      <formula>MinStaff</formula>
    </cfRule>
  </conditionalFormatting>
  <conditionalFormatting sqref="DW15">
    <cfRule type="cellIs" priority="124" operator="lessThan" dxfId="4">
      <formula>MinStaff</formula>
    </cfRule>
  </conditionalFormatting>
  <conditionalFormatting sqref="DX15">
    <cfRule type="cellIs" priority="125" operator="lessThan" dxfId="4">
      <formula>MinStaff</formula>
    </cfRule>
  </conditionalFormatting>
  <conditionalFormatting sqref="DY15">
    <cfRule type="cellIs" priority="126" operator="lessThan" dxfId="4">
      <formula>MinStaff</formula>
    </cfRule>
  </conditionalFormatting>
  <conditionalFormatting sqref="DZ15">
    <cfRule type="cellIs" priority="127" operator="lessThan" dxfId="4">
      <formula>MinStaff</formula>
    </cfRule>
  </conditionalFormatting>
  <conditionalFormatting sqref="EA15">
    <cfRule type="cellIs" priority="128" operator="lessThan" dxfId="4">
      <formula>MinStaff</formula>
    </cfRule>
  </conditionalFormatting>
  <conditionalFormatting sqref="EB15">
    <cfRule type="cellIs" priority="129" operator="lessThan" dxfId="4">
      <formula>MinStaff</formula>
    </cfRule>
  </conditionalFormatting>
  <conditionalFormatting sqref="EC15">
    <cfRule type="cellIs" priority="130" operator="lessThan" dxfId="4">
      <formula>MinStaff</formula>
    </cfRule>
  </conditionalFormatting>
  <conditionalFormatting sqref="ED15">
    <cfRule type="cellIs" priority="131" operator="lessThan" dxfId="4">
      <formula>MinStaff</formula>
    </cfRule>
  </conditionalFormatting>
  <conditionalFormatting sqref="EE15">
    <cfRule type="cellIs" priority="132" operator="lessThan" dxfId="4">
      <formula>MinStaff</formula>
    </cfRule>
  </conditionalFormatting>
  <conditionalFormatting sqref="EF15">
    <cfRule type="cellIs" priority="133" operator="lessThan" dxfId="4">
      <formula>MinStaff</formula>
    </cfRule>
  </conditionalFormatting>
  <conditionalFormatting sqref="EG15">
    <cfRule type="cellIs" priority="134" operator="lessThan" dxfId="4">
      <formula>MinStaff</formula>
    </cfRule>
  </conditionalFormatting>
  <conditionalFormatting sqref="EH15">
    <cfRule type="cellIs" priority="135" operator="lessThan" dxfId="4">
      <formula>MinStaff</formula>
    </cfRule>
  </conditionalFormatting>
  <conditionalFormatting sqref="EI15">
    <cfRule type="cellIs" priority="136" operator="lessThan" dxfId="4">
      <formula>MinStaff</formula>
    </cfRule>
  </conditionalFormatting>
  <conditionalFormatting sqref="EJ15">
    <cfRule type="cellIs" priority="137" operator="lessThan" dxfId="4">
      <formula>MinStaff</formula>
    </cfRule>
  </conditionalFormatting>
  <conditionalFormatting sqref="EK15">
    <cfRule type="cellIs" priority="138" operator="lessThan" dxfId="4">
      <formula>MinStaff</formula>
    </cfRule>
  </conditionalFormatting>
  <conditionalFormatting sqref="EL15">
    <cfRule type="cellIs" priority="139" operator="lessThan" dxfId="4">
      <formula>MinStaff</formula>
    </cfRule>
  </conditionalFormatting>
  <conditionalFormatting sqref="EM15">
    <cfRule type="cellIs" priority="140" operator="lessThan" dxfId="4">
      <formula>MinStaff</formula>
    </cfRule>
  </conditionalFormatting>
  <conditionalFormatting sqref="EN15">
    <cfRule type="cellIs" priority="141" operator="lessThan" dxfId="4">
      <formula>MinStaff</formula>
    </cfRule>
  </conditionalFormatting>
  <conditionalFormatting sqref="EO15">
    <cfRule type="cellIs" priority="142" operator="lessThan" dxfId="4">
      <formula>MinStaff</formula>
    </cfRule>
  </conditionalFormatting>
  <conditionalFormatting sqref="EP15">
    <cfRule type="cellIs" priority="143" operator="lessThan" dxfId="4">
      <formula>MinStaff</formula>
    </cfRule>
  </conditionalFormatting>
  <conditionalFormatting sqref="EQ15">
    <cfRule type="cellIs" priority="144" operator="lessThan" dxfId="4">
      <formula>MinStaff</formula>
    </cfRule>
  </conditionalFormatting>
  <conditionalFormatting sqref="ER15">
    <cfRule type="cellIs" priority="145" operator="lessThan" dxfId="4">
      <formula>MinStaff</formula>
    </cfRule>
  </conditionalFormatting>
  <conditionalFormatting sqref="ES15">
    <cfRule type="cellIs" priority="146" operator="lessThan" dxfId="4">
      <formula>MinStaff</formula>
    </cfRule>
  </conditionalFormatting>
  <conditionalFormatting sqref="ET15">
    <cfRule type="cellIs" priority="147" operator="lessThan" dxfId="4">
      <formula>MinStaff</formula>
    </cfRule>
  </conditionalFormatting>
  <conditionalFormatting sqref="EU15">
    <cfRule type="cellIs" priority="148" operator="lessThan" dxfId="4">
      <formula>MinStaff</formula>
    </cfRule>
  </conditionalFormatting>
  <conditionalFormatting sqref="EV15">
    <cfRule type="cellIs" priority="149" operator="lessThan" dxfId="4">
      <formula>MinStaff</formula>
    </cfRule>
  </conditionalFormatting>
  <conditionalFormatting sqref="EW15">
    <cfRule type="cellIs" priority="150" operator="lessThan" dxfId="4">
      <formula>MinStaff</formula>
    </cfRule>
  </conditionalFormatting>
  <conditionalFormatting sqref="EX15">
    <cfRule type="cellIs" priority="151" operator="lessThan" dxfId="4">
      <formula>MinStaff</formula>
    </cfRule>
  </conditionalFormatting>
  <conditionalFormatting sqref="EY15">
    <cfRule type="cellIs" priority="152" operator="lessThan" dxfId="4">
      <formula>MinStaff</formula>
    </cfRule>
  </conditionalFormatting>
  <conditionalFormatting sqref="EZ15">
    <cfRule type="cellIs" priority="153" operator="lessThan" dxfId="4">
      <formula>MinStaff</formula>
    </cfRule>
  </conditionalFormatting>
  <conditionalFormatting sqref="FA15">
    <cfRule type="cellIs" priority="154" operator="lessThan" dxfId="4">
      <formula>MinStaff</formula>
    </cfRule>
  </conditionalFormatting>
  <conditionalFormatting sqref="FB15">
    <cfRule type="cellIs" priority="155" operator="lessThan" dxfId="4">
      <formula>MinStaff</formula>
    </cfRule>
  </conditionalFormatting>
  <conditionalFormatting sqref="FC15">
    <cfRule type="cellIs" priority="156" operator="lessThan" dxfId="4">
      <formula>MinStaff</formula>
    </cfRule>
  </conditionalFormatting>
  <conditionalFormatting sqref="FD15">
    <cfRule type="cellIs" priority="157" operator="lessThan" dxfId="4">
      <formula>MinStaff</formula>
    </cfRule>
  </conditionalFormatting>
  <conditionalFormatting sqref="FE15">
    <cfRule type="cellIs" priority="158" operator="lessThan" dxfId="4">
      <formula>MinStaff</formula>
    </cfRule>
  </conditionalFormatting>
  <conditionalFormatting sqref="FF15">
    <cfRule type="cellIs" priority="159" operator="lessThan" dxfId="4">
      <formula>MinStaff</formula>
    </cfRule>
  </conditionalFormatting>
  <conditionalFormatting sqref="FG15">
    <cfRule type="cellIs" priority="160" operator="lessThan" dxfId="4">
      <formula>MinStaff</formula>
    </cfRule>
  </conditionalFormatting>
  <conditionalFormatting sqref="FH15">
    <cfRule type="cellIs" priority="161" operator="lessThan" dxfId="4">
      <formula>MinStaff</formula>
    </cfRule>
  </conditionalFormatting>
  <conditionalFormatting sqref="FI15">
    <cfRule type="cellIs" priority="162" operator="lessThan" dxfId="4">
      <formula>MinStaff</formula>
    </cfRule>
  </conditionalFormatting>
  <conditionalFormatting sqref="FJ15">
    <cfRule type="cellIs" priority="163" operator="lessThan" dxfId="4">
      <formula>MinStaff</formula>
    </cfRule>
  </conditionalFormatting>
  <conditionalFormatting sqref="FK15">
    <cfRule type="cellIs" priority="164" operator="lessThan" dxfId="4">
      <formula>MinStaff</formula>
    </cfRule>
  </conditionalFormatting>
  <conditionalFormatting sqref="FL15">
    <cfRule type="cellIs" priority="165" operator="lessThan" dxfId="4">
      <formula>MinStaff</formula>
    </cfRule>
  </conditionalFormatting>
  <conditionalFormatting sqref="FM15">
    <cfRule type="cellIs" priority="166" operator="lessThan" dxfId="4">
      <formula>MinStaff</formula>
    </cfRule>
  </conditionalFormatting>
  <conditionalFormatting sqref="FN15">
    <cfRule type="cellIs" priority="167" operator="lessThan" dxfId="4">
      <formula>MinStaff</formula>
    </cfRule>
  </conditionalFormatting>
  <conditionalFormatting sqref="FO15">
    <cfRule type="cellIs" priority="168" operator="lessThan" dxfId="4">
      <formula>MinStaff</formula>
    </cfRule>
  </conditionalFormatting>
  <conditionalFormatting sqref="FP15">
    <cfRule type="cellIs" priority="169" operator="lessThan" dxfId="4">
      <formula>MinStaff</formula>
    </cfRule>
  </conditionalFormatting>
  <conditionalFormatting sqref="FQ15">
    <cfRule type="cellIs" priority="170" operator="lessThan" dxfId="4">
      <formula>MinStaff</formula>
    </cfRule>
  </conditionalFormatting>
  <conditionalFormatting sqref="FR15">
    <cfRule type="cellIs" priority="171" operator="lessThan" dxfId="4">
      <formula>MinStaff</formula>
    </cfRule>
  </conditionalFormatting>
  <conditionalFormatting sqref="FS15">
    <cfRule type="cellIs" priority="172" operator="lessThan" dxfId="4">
      <formula>MinStaff</formula>
    </cfRule>
  </conditionalFormatting>
  <conditionalFormatting sqref="FT15">
    <cfRule type="cellIs" priority="173" operator="lessThan" dxfId="4">
      <formula>MinStaff</formula>
    </cfRule>
  </conditionalFormatting>
  <conditionalFormatting sqref="FU15">
    <cfRule type="cellIs" priority="174" operator="lessThan" dxfId="4">
      <formula>MinStaff</formula>
    </cfRule>
  </conditionalFormatting>
  <conditionalFormatting sqref="FV15">
    <cfRule type="cellIs" priority="175" operator="lessThan" dxfId="4">
      <formula>MinStaff</formula>
    </cfRule>
  </conditionalFormatting>
  <conditionalFormatting sqref="FW15">
    <cfRule type="cellIs" priority="176" operator="lessThan" dxfId="4">
      <formula>MinStaff</formula>
    </cfRule>
  </conditionalFormatting>
  <conditionalFormatting sqref="FX15">
    <cfRule type="cellIs" priority="177" operator="lessThan" dxfId="4">
      <formula>MinStaff</formula>
    </cfRule>
  </conditionalFormatting>
  <conditionalFormatting sqref="FY15">
    <cfRule type="cellIs" priority="178" operator="lessThan" dxfId="4">
      <formula>MinStaff</formula>
    </cfRule>
  </conditionalFormatting>
  <conditionalFormatting sqref="FZ15">
    <cfRule type="cellIs" priority="179" operator="lessThan" dxfId="4">
      <formula>MinStaff</formula>
    </cfRule>
  </conditionalFormatting>
  <conditionalFormatting sqref="GA15">
    <cfRule type="cellIs" priority="180" operator="lessThan" dxfId="4">
      <formula>MinStaff</formula>
    </cfRule>
  </conditionalFormatting>
  <conditionalFormatting sqref="GB15">
    <cfRule type="cellIs" priority="181" operator="lessThan" dxfId="4">
      <formula>MinStaff</formula>
    </cfRule>
  </conditionalFormatting>
  <conditionalFormatting sqref="GC15">
    <cfRule type="cellIs" priority="182" operator="lessThan" dxfId="4">
      <formula>MinStaff</formula>
    </cfRule>
  </conditionalFormatting>
  <conditionalFormatting sqref="GD15">
    <cfRule type="cellIs" priority="183" operator="lessThan" dxfId="4">
      <formula>MinStaff</formula>
    </cfRule>
  </conditionalFormatting>
  <conditionalFormatting sqref="GE15">
    <cfRule type="cellIs" priority="184" operator="lessThan" dxfId="4">
      <formula>MinStaff</formula>
    </cfRule>
  </conditionalFormatting>
  <conditionalFormatting sqref="GF15">
    <cfRule type="cellIs" priority="185" operator="lessThan" dxfId="4">
      <formula>MinStaff</formula>
    </cfRule>
  </conditionalFormatting>
  <conditionalFormatting sqref="GG15">
    <cfRule type="cellIs" priority="186" operator="lessThan" dxfId="4">
      <formula>MinStaff</formula>
    </cfRule>
  </conditionalFormatting>
  <conditionalFormatting sqref="GH15">
    <cfRule type="cellIs" priority="187" operator="lessThan" dxfId="4">
      <formula>MinStaff</formula>
    </cfRule>
  </conditionalFormatting>
  <conditionalFormatting sqref="GI15">
    <cfRule type="cellIs" priority="188" operator="lessThan" dxfId="4">
      <formula>MinStaff</formula>
    </cfRule>
  </conditionalFormatting>
  <conditionalFormatting sqref="GJ15">
    <cfRule type="cellIs" priority="189" operator="lessThan" dxfId="4">
      <formula>MinStaff</formula>
    </cfRule>
  </conditionalFormatting>
  <conditionalFormatting sqref="GK15">
    <cfRule type="cellIs" priority="190" operator="lessThan" dxfId="4">
      <formula>MinStaff</formula>
    </cfRule>
  </conditionalFormatting>
  <conditionalFormatting sqref="GL15">
    <cfRule type="cellIs" priority="191" operator="lessThan" dxfId="4">
      <formula>MinStaff</formula>
    </cfRule>
  </conditionalFormatting>
  <conditionalFormatting sqref="GM15">
    <cfRule type="cellIs" priority="192" operator="lessThan" dxfId="4">
      <formula>MinStaff</formula>
    </cfRule>
  </conditionalFormatting>
  <conditionalFormatting sqref="GN15">
    <cfRule type="cellIs" priority="193" operator="lessThan" dxfId="4">
      <formula>MinStaff</formula>
    </cfRule>
  </conditionalFormatting>
  <conditionalFormatting sqref="GO15">
    <cfRule type="cellIs" priority="194" operator="lessThan" dxfId="4">
      <formula>MinStaff</formula>
    </cfRule>
  </conditionalFormatting>
  <conditionalFormatting sqref="GP15">
    <cfRule type="cellIs" priority="195" operator="lessThan" dxfId="4">
      <formula>MinStaff</formula>
    </cfRule>
  </conditionalFormatting>
  <conditionalFormatting sqref="GQ15">
    <cfRule type="cellIs" priority="196" operator="lessThan" dxfId="4">
      <formula>MinStaff</formula>
    </cfRule>
  </conditionalFormatting>
  <conditionalFormatting sqref="GR15">
    <cfRule type="cellIs" priority="197" operator="lessThan" dxfId="4">
      <formula>MinStaff</formula>
    </cfRule>
  </conditionalFormatting>
  <conditionalFormatting sqref="GS15">
    <cfRule type="cellIs" priority="198" operator="lessThan" dxfId="4">
      <formula>MinStaff</formula>
    </cfRule>
  </conditionalFormatting>
  <conditionalFormatting sqref="GT15">
    <cfRule type="cellIs" priority="199" operator="lessThan" dxfId="4">
      <formula>MinStaff</formula>
    </cfRule>
  </conditionalFormatting>
  <conditionalFormatting sqref="GU15">
    <cfRule type="cellIs" priority="200" operator="lessThan" dxfId="4">
      <formula>MinStaff</formula>
    </cfRule>
  </conditionalFormatting>
  <conditionalFormatting sqref="GV15">
    <cfRule type="cellIs" priority="201" operator="lessThan" dxfId="4">
      <formula>MinStaff</formula>
    </cfRule>
  </conditionalFormatting>
  <conditionalFormatting sqref="GW15">
    <cfRule type="cellIs" priority="202" operator="lessThan" dxfId="4">
      <formula>MinStaff</formula>
    </cfRule>
  </conditionalFormatting>
  <conditionalFormatting sqref="GX15">
    <cfRule type="cellIs" priority="203" operator="lessThan" dxfId="4">
      <formula>MinStaff</formula>
    </cfRule>
  </conditionalFormatting>
  <conditionalFormatting sqref="GY15">
    <cfRule type="cellIs" priority="204" operator="lessThan" dxfId="4">
      <formula>MinStaff</formula>
    </cfRule>
  </conditionalFormatting>
  <conditionalFormatting sqref="GZ15">
    <cfRule type="cellIs" priority="205" operator="lessThan" dxfId="4">
      <formula>MinStaff</formula>
    </cfRule>
  </conditionalFormatting>
  <conditionalFormatting sqref="HA15">
    <cfRule type="cellIs" priority="206" operator="lessThan" dxfId="4">
      <formula>MinStaff</formula>
    </cfRule>
  </conditionalFormatting>
  <conditionalFormatting sqref="HB15">
    <cfRule type="cellIs" priority="207" operator="lessThan" dxfId="4">
      <formula>MinStaff</formula>
    </cfRule>
  </conditionalFormatting>
  <conditionalFormatting sqref="HC15">
    <cfRule type="cellIs" priority="208" operator="lessThan" dxfId="4">
      <formula>MinStaff</formula>
    </cfRule>
  </conditionalFormatting>
  <conditionalFormatting sqref="HD15">
    <cfRule type="cellIs" priority="209" operator="lessThan" dxfId="4">
      <formula>MinStaff</formula>
    </cfRule>
  </conditionalFormatting>
  <conditionalFormatting sqref="HE15">
    <cfRule type="cellIs" priority="210" operator="lessThan" dxfId="4">
      <formula>MinStaff</formula>
    </cfRule>
  </conditionalFormatting>
  <conditionalFormatting sqref="HF15">
    <cfRule type="cellIs" priority="211" operator="lessThan" dxfId="4">
      <formula>MinStaff</formula>
    </cfRule>
  </conditionalFormatting>
  <conditionalFormatting sqref="HG15">
    <cfRule type="cellIs" priority="212" operator="lessThan" dxfId="4">
      <formula>MinStaff</formula>
    </cfRule>
  </conditionalFormatting>
  <conditionalFormatting sqref="HH15">
    <cfRule type="cellIs" priority="213" operator="lessThan" dxfId="4">
      <formula>MinStaff</formula>
    </cfRule>
  </conditionalFormatting>
  <conditionalFormatting sqref="HI15">
    <cfRule type="cellIs" priority="214" operator="lessThan" dxfId="4">
      <formula>MinStaff</formula>
    </cfRule>
  </conditionalFormatting>
  <conditionalFormatting sqref="HJ15">
    <cfRule type="cellIs" priority="215" operator="lessThan" dxfId="4">
      <formula>MinStaff</formula>
    </cfRule>
  </conditionalFormatting>
  <conditionalFormatting sqref="HK15">
    <cfRule type="cellIs" priority="216" operator="lessThan" dxfId="4">
      <formula>MinStaff</formula>
    </cfRule>
  </conditionalFormatting>
  <conditionalFormatting sqref="HL15">
    <cfRule type="cellIs" priority="217" operator="lessThan" dxfId="4">
      <formula>MinStaff</formula>
    </cfRule>
  </conditionalFormatting>
  <conditionalFormatting sqref="HM15">
    <cfRule type="cellIs" priority="218" operator="lessThan" dxfId="4">
      <formula>MinStaff</formula>
    </cfRule>
  </conditionalFormatting>
  <conditionalFormatting sqref="HN15">
    <cfRule type="cellIs" priority="219" operator="lessThan" dxfId="4">
      <formula>MinStaff</formula>
    </cfRule>
  </conditionalFormatting>
  <conditionalFormatting sqref="HO15">
    <cfRule type="cellIs" priority="220" operator="lessThan" dxfId="4">
      <formula>MinStaff</formula>
    </cfRule>
  </conditionalFormatting>
  <conditionalFormatting sqref="HP15">
    <cfRule type="cellIs" priority="221" operator="lessThan" dxfId="4">
      <formula>MinStaff</formula>
    </cfRule>
  </conditionalFormatting>
  <conditionalFormatting sqref="HQ15">
    <cfRule type="cellIs" priority="222" operator="lessThan" dxfId="4">
      <formula>MinStaff</formula>
    </cfRule>
  </conditionalFormatting>
  <conditionalFormatting sqref="HR15">
    <cfRule type="cellIs" priority="223" operator="lessThan" dxfId="4">
      <formula>MinStaff</formula>
    </cfRule>
  </conditionalFormatting>
  <conditionalFormatting sqref="HS15">
    <cfRule type="cellIs" priority="224" operator="lessThan" dxfId="4">
      <formula>MinStaff</formula>
    </cfRule>
  </conditionalFormatting>
  <conditionalFormatting sqref="HT15">
    <cfRule type="cellIs" priority="225" operator="lessThan" dxfId="4">
      <formula>MinStaff</formula>
    </cfRule>
  </conditionalFormatting>
  <conditionalFormatting sqref="HU15">
    <cfRule type="cellIs" priority="226" operator="lessThan" dxfId="4">
      <formula>MinStaff</formula>
    </cfRule>
  </conditionalFormatting>
  <conditionalFormatting sqref="HV15">
    <cfRule type="cellIs" priority="227" operator="lessThan" dxfId="4">
      <formula>MinStaff</formula>
    </cfRule>
  </conditionalFormatting>
  <conditionalFormatting sqref="HW15">
    <cfRule type="cellIs" priority="228" operator="lessThan" dxfId="4">
      <formula>MinStaff</formula>
    </cfRule>
  </conditionalFormatting>
  <conditionalFormatting sqref="HX15">
    <cfRule type="cellIs" priority="229" operator="lessThan" dxfId="4">
      <formula>MinStaff</formula>
    </cfRule>
  </conditionalFormatting>
  <conditionalFormatting sqref="HY15">
    <cfRule type="cellIs" priority="230" operator="lessThan" dxfId="4">
      <formula>MinStaff</formula>
    </cfRule>
  </conditionalFormatting>
  <conditionalFormatting sqref="HZ15">
    <cfRule type="cellIs" priority="231" operator="lessThan" dxfId="4">
      <formula>MinStaff</formula>
    </cfRule>
  </conditionalFormatting>
  <conditionalFormatting sqref="IA15">
    <cfRule type="cellIs" priority="232" operator="lessThan" dxfId="4">
      <formula>MinStaff</formula>
    </cfRule>
  </conditionalFormatting>
  <conditionalFormatting sqref="IB15">
    <cfRule type="cellIs" priority="233" operator="lessThan" dxfId="4">
      <formula>MinStaff</formula>
    </cfRule>
  </conditionalFormatting>
  <conditionalFormatting sqref="IC15">
    <cfRule type="cellIs" priority="234" operator="lessThan" dxfId="4">
      <formula>MinStaff</formula>
    </cfRule>
  </conditionalFormatting>
  <conditionalFormatting sqref="ID15">
    <cfRule type="cellIs" priority="235" operator="lessThan" dxfId="4">
      <formula>MinStaff</formula>
    </cfRule>
  </conditionalFormatting>
  <conditionalFormatting sqref="IE15">
    <cfRule type="cellIs" priority="236" operator="lessThan" dxfId="4">
      <formula>MinStaff</formula>
    </cfRule>
  </conditionalFormatting>
  <conditionalFormatting sqref="IF15">
    <cfRule type="cellIs" priority="237" operator="lessThan" dxfId="4">
      <formula>MinStaff</formula>
    </cfRule>
  </conditionalFormatting>
  <conditionalFormatting sqref="IG15">
    <cfRule type="cellIs" priority="238" operator="lessThan" dxfId="4">
      <formula>MinStaff</formula>
    </cfRule>
  </conditionalFormatting>
  <conditionalFormatting sqref="IH15">
    <cfRule type="cellIs" priority="239" operator="lessThan" dxfId="4">
      <formula>MinStaff</formula>
    </cfRule>
  </conditionalFormatting>
  <conditionalFormatting sqref="II15">
    <cfRule type="cellIs" priority="240" operator="lessThan" dxfId="4">
      <formula>MinStaff</formula>
    </cfRule>
  </conditionalFormatting>
  <conditionalFormatting sqref="IJ15">
    <cfRule type="cellIs" priority="241" operator="lessThan" dxfId="4">
      <formula>MinStaff</formula>
    </cfRule>
  </conditionalFormatting>
  <conditionalFormatting sqref="IK15">
    <cfRule type="cellIs" priority="242" operator="lessThan" dxfId="4">
      <formula>MinStaff</formula>
    </cfRule>
  </conditionalFormatting>
  <conditionalFormatting sqref="IL15">
    <cfRule type="cellIs" priority="243" operator="lessThan" dxfId="4">
      <formula>MinStaff</formula>
    </cfRule>
  </conditionalFormatting>
  <conditionalFormatting sqref="IM15">
    <cfRule type="cellIs" priority="244" operator="lessThan" dxfId="4">
      <formula>MinStaff</formula>
    </cfRule>
  </conditionalFormatting>
  <conditionalFormatting sqref="IN15">
    <cfRule type="cellIs" priority="245" operator="lessThan" dxfId="4">
      <formula>MinStaff</formula>
    </cfRule>
  </conditionalFormatting>
  <conditionalFormatting sqref="IO15">
    <cfRule type="cellIs" priority="246" operator="lessThan" dxfId="4">
      <formula>MinStaff</formula>
    </cfRule>
  </conditionalFormatting>
  <conditionalFormatting sqref="IP15">
    <cfRule type="cellIs" priority="247" operator="lessThan" dxfId="4">
      <formula>MinStaff</formula>
    </cfRule>
  </conditionalFormatting>
  <conditionalFormatting sqref="IQ15">
    <cfRule type="cellIs" priority="248" operator="lessThan" dxfId="4">
      <formula>MinStaff</formula>
    </cfRule>
  </conditionalFormatting>
  <conditionalFormatting sqref="IR15">
    <cfRule type="cellIs" priority="249" operator="lessThan" dxfId="4">
      <formula>MinStaff</formula>
    </cfRule>
  </conditionalFormatting>
  <conditionalFormatting sqref="IS15">
    <cfRule type="cellIs" priority="250" operator="lessThan" dxfId="4">
      <formula>MinStaff</formula>
    </cfRule>
  </conditionalFormatting>
  <conditionalFormatting sqref="IT15">
    <cfRule type="cellIs" priority="251" operator="lessThan" dxfId="4">
      <formula>MinStaff</formula>
    </cfRule>
  </conditionalFormatting>
  <conditionalFormatting sqref="IU15">
    <cfRule type="cellIs" priority="252" operator="lessThan" dxfId="4">
      <formula>MinStaff</formula>
    </cfRule>
  </conditionalFormatting>
  <conditionalFormatting sqref="IV15">
    <cfRule type="cellIs" priority="253" operator="lessThan" dxfId="4">
      <formula>MinStaff</formula>
    </cfRule>
  </conditionalFormatting>
  <conditionalFormatting sqref="IW15">
    <cfRule type="cellIs" priority="254" operator="lessThan" dxfId="4">
      <formula>MinStaff</formula>
    </cfRule>
  </conditionalFormatting>
  <conditionalFormatting sqref="IX15">
    <cfRule type="cellIs" priority="255" operator="lessThan" dxfId="4">
      <formula>MinStaff</formula>
    </cfRule>
  </conditionalFormatting>
  <conditionalFormatting sqref="IY15">
    <cfRule type="cellIs" priority="256" operator="lessThan" dxfId="4">
      <formula>MinStaff</formula>
    </cfRule>
  </conditionalFormatting>
  <conditionalFormatting sqref="IZ15">
    <cfRule type="cellIs" priority="257" operator="lessThan" dxfId="4">
      <formula>MinStaff</formula>
    </cfRule>
  </conditionalFormatting>
  <conditionalFormatting sqref="JA15">
    <cfRule type="cellIs" priority="258" operator="lessThan" dxfId="4">
      <formula>MinStaff</formula>
    </cfRule>
  </conditionalFormatting>
  <conditionalFormatting sqref="JB15">
    <cfRule type="cellIs" priority="259" operator="lessThan" dxfId="4">
      <formula>MinStaff</formula>
    </cfRule>
  </conditionalFormatting>
  <conditionalFormatting sqref="JC15">
    <cfRule type="cellIs" priority="260" operator="lessThan" dxfId="4">
      <formula>MinStaff</formula>
    </cfRule>
  </conditionalFormatting>
  <conditionalFormatting sqref="JD15">
    <cfRule type="cellIs" priority="261" operator="lessThan" dxfId="4">
      <formula>MinStaff</formula>
    </cfRule>
  </conditionalFormatting>
  <conditionalFormatting sqref="JE15">
    <cfRule type="cellIs" priority="262" operator="lessThan" dxfId="4">
      <formula>MinStaff</formula>
    </cfRule>
  </conditionalFormatting>
  <conditionalFormatting sqref="JF15">
    <cfRule type="cellIs" priority="263" operator="lessThan" dxfId="4">
      <formula>MinStaff</formula>
    </cfRule>
  </conditionalFormatting>
  <conditionalFormatting sqref="JG15">
    <cfRule type="cellIs" priority="264" operator="lessThan" dxfId="4">
      <formula>MinStaff</formula>
    </cfRule>
  </conditionalFormatting>
  <conditionalFormatting sqref="JH15">
    <cfRule type="cellIs" priority="265" operator="lessThan" dxfId="4">
      <formula>MinStaff</formula>
    </cfRule>
  </conditionalFormatting>
  <conditionalFormatting sqref="JI15">
    <cfRule type="cellIs" priority="266" operator="lessThan" dxfId="4">
      <formula>MinStaff</formula>
    </cfRule>
  </conditionalFormatting>
  <conditionalFormatting sqref="JJ15">
    <cfRule type="cellIs" priority="267" operator="lessThan" dxfId="4">
      <formula>MinStaff</formula>
    </cfRule>
  </conditionalFormatting>
  <conditionalFormatting sqref="JK15">
    <cfRule type="cellIs" priority="268" operator="lessThan" dxfId="4">
      <formula>MinStaff</formula>
    </cfRule>
  </conditionalFormatting>
  <conditionalFormatting sqref="JL15">
    <cfRule type="cellIs" priority="269" operator="lessThan" dxfId="4">
      <formula>MinStaff</formula>
    </cfRule>
  </conditionalFormatting>
  <conditionalFormatting sqref="JM15">
    <cfRule type="cellIs" priority="270" operator="lessThan" dxfId="4">
      <formula>MinStaff</formula>
    </cfRule>
  </conditionalFormatting>
  <conditionalFormatting sqref="JN15">
    <cfRule type="cellIs" priority="271" operator="lessThan" dxfId="4">
      <formula>MinStaff</formula>
    </cfRule>
  </conditionalFormatting>
  <conditionalFormatting sqref="JO15">
    <cfRule type="cellIs" priority="272" operator="lessThan" dxfId="4">
      <formula>MinStaff</formula>
    </cfRule>
  </conditionalFormatting>
  <conditionalFormatting sqref="JP15">
    <cfRule type="cellIs" priority="273" operator="lessThan" dxfId="4">
      <formula>MinStaff</formula>
    </cfRule>
  </conditionalFormatting>
  <conditionalFormatting sqref="JQ15">
    <cfRule type="cellIs" priority="274" operator="lessThan" dxfId="4">
      <formula>MinStaff</formula>
    </cfRule>
  </conditionalFormatting>
  <conditionalFormatting sqref="JR15">
    <cfRule type="cellIs" priority="275" operator="lessThan" dxfId="4">
      <formula>MinStaff</formula>
    </cfRule>
  </conditionalFormatting>
  <conditionalFormatting sqref="JS15">
    <cfRule type="cellIs" priority="276" operator="lessThan" dxfId="4">
      <formula>MinStaff</formula>
    </cfRule>
  </conditionalFormatting>
  <conditionalFormatting sqref="JT15">
    <cfRule type="cellIs" priority="277" operator="lessThan" dxfId="4">
      <formula>MinStaff</formula>
    </cfRule>
  </conditionalFormatting>
  <conditionalFormatting sqref="JU15">
    <cfRule type="cellIs" priority="278" operator="lessThan" dxfId="4">
      <formula>MinStaff</formula>
    </cfRule>
  </conditionalFormatting>
  <conditionalFormatting sqref="JV15">
    <cfRule type="cellIs" priority="279" operator="lessThan" dxfId="4">
      <formula>MinStaff</formula>
    </cfRule>
  </conditionalFormatting>
  <conditionalFormatting sqref="JW15">
    <cfRule type="cellIs" priority="280" operator="lessThan" dxfId="4">
      <formula>MinStaff</formula>
    </cfRule>
  </conditionalFormatting>
  <conditionalFormatting sqref="JX15">
    <cfRule type="cellIs" priority="281" operator="lessThan" dxfId="4">
      <formula>MinStaff</formula>
    </cfRule>
  </conditionalFormatting>
  <conditionalFormatting sqref="JY15">
    <cfRule type="cellIs" priority="282" operator="lessThan" dxfId="4">
      <formula>MinStaff</formula>
    </cfRule>
  </conditionalFormatting>
  <conditionalFormatting sqref="JZ15">
    <cfRule type="cellIs" priority="283" operator="lessThan" dxfId="4">
      <formula>MinStaff</formula>
    </cfRule>
  </conditionalFormatting>
  <conditionalFormatting sqref="KA15">
    <cfRule type="cellIs" priority="284" operator="lessThan" dxfId="4">
      <formula>MinStaff</formula>
    </cfRule>
  </conditionalFormatting>
  <conditionalFormatting sqref="KB15">
    <cfRule type="cellIs" priority="285" operator="lessThan" dxfId="4">
      <formula>MinStaff</formula>
    </cfRule>
  </conditionalFormatting>
  <conditionalFormatting sqref="KC15">
    <cfRule type="cellIs" priority="286" operator="lessThan" dxfId="4">
      <formula>MinStaff</formula>
    </cfRule>
  </conditionalFormatting>
  <conditionalFormatting sqref="KD15">
    <cfRule type="cellIs" priority="287" operator="lessThan" dxfId="4">
      <formula>MinStaff</formula>
    </cfRule>
  </conditionalFormatting>
  <conditionalFormatting sqref="KE15">
    <cfRule type="cellIs" priority="288" operator="lessThan" dxfId="4">
      <formula>MinStaff</formula>
    </cfRule>
  </conditionalFormatting>
  <conditionalFormatting sqref="KF15">
    <cfRule type="cellIs" priority="289" operator="lessThan" dxfId="4">
      <formula>MinStaff</formula>
    </cfRule>
  </conditionalFormatting>
  <conditionalFormatting sqref="KG15">
    <cfRule type="cellIs" priority="290" operator="lessThan" dxfId="4">
      <formula>MinStaff</formula>
    </cfRule>
  </conditionalFormatting>
  <conditionalFormatting sqref="KH15">
    <cfRule type="cellIs" priority="291" operator="lessThan" dxfId="4">
      <formula>MinStaff</formula>
    </cfRule>
  </conditionalFormatting>
  <conditionalFormatting sqref="KI15">
    <cfRule type="cellIs" priority="292" operator="lessThan" dxfId="4">
      <formula>MinStaff</formula>
    </cfRule>
  </conditionalFormatting>
  <conditionalFormatting sqref="KJ15">
    <cfRule type="cellIs" priority="293" operator="lessThan" dxfId="4">
      <formula>MinStaff</formula>
    </cfRule>
  </conditionalFormatting>
  <conditionalFormatting sqref="KK15">
    <cfRule type="cellIs" priority="294" operator="lessThan" dxfId="4">
      <formula>MinStaff</formula>
    </cfRule>
  </conditionalFormatting>
  <conditionalFormatting sqref="KL15">
    <cfRule type="cellIs" priority="295" operator="lessThan" dxfId="4">
      <formula>MinStaff</formula>
    </cfRule>
  </conditionalFormatting>
  <conditionalFormatting sqref="KM15">
    <cfRule type="cellIs" priority="296" operator="lessThan" dxfId="4">
      <formula>MinStaff</formula>
    </cfRule>
  </conditionalFormatting>
  <conditionalFormatting sqref="KN15">
    <cfRule type="cellIs" priority="297" operator="lessThan" dxfId="4">
      <formula>MinStaff</formula>
    </cfRule>
  </conditionalFormatting>
  <conditionalFormatting sqref="KO15">
    <cfRule type="cellIs" priority="298" operator="lessThan" dxfId="4">
      <formula>MinStaff</formula>
    </cfRule>
  </conditionalFormatting>
  <conditionalFormatting sqref="KP15">
    <cfRule type="cellIs" priority="299" operator="lessThan" dxfId="4">
      <formula>MinStaff</formula>
    </cfRule>
  </conditionalFormatting>
  <conditionalFormatting sqref="KQ15">
    <cfRule type="cellIs" priority="300" operator="lessThan" dxfId="4">
      <formula>MinStaff</formula>
    </cfRule>
  </conditionalFormatting>
  <conditionalFormatting sqref="KR15">
    <cfRule type="cellIs" priority="301" operator="lessThan" dxfId="4">
      <formula>MinStaff</formula>
    </cfRule>
  </conditionalFormatting>
  <conditionalFormatting sqref="KS15">
    <cfRule type="cellIs" priority="302" operator="lessThan" dxfId="4">
      <formula>MinStaff</formula>
    </cfRule>
  </conditionalFormatting>
  <conditionalFormatting sqref="KT15">
    <cfRule type="cellIs" priority="303" operator="lessThan" dxfId="4">
      <formula>MinStaff</formula>
    </cfRule>
  </conditionalFormatting>
  <conditionalFormatting sqref="KU15">
    <cfRule type="cellIs" priority="304" operator="lessThan" dxfId="4">
      <formula>MinStaff</formula>
    </cfRule>
  </conditionalFormatting>
  <conditionalFormatting sqref="KV15">
    <cfRule type="cellIs" priority="305" operator="lessThan" dxfId="4">
      <formula>MinStaff</formula>
    </cfRule>
  </conditionalFormatting>
  <conditionalFormatting sqref="KW15">
    <cfRule type="cellIs" priority="306" operator="lessThan" dxfId="4">
      <formula>MinStaff</formula>
    </cfRule>
  </conditionalFormatting>
  <conditionalFormatting sqref="KX15">
    <cfRule type="cellIs" priority="307" operator="lessThan" dxfId="4">
      <formula>MinStaff</formula>
    </cfRule>
  </conditionalFormatting>
  <conditionalFormatting sqref="KY15">
    <cfRule type="cellIs" priority="308" operator="lessThan" dxfId="4">
      <formula>MinStaff</formula>
    </cfRule>
  </conditionalFormatting>
  <conditionalFormatting sqref="KZ15">
    <cfRule type="cellIs" priority="309" operator="lessThan" dxfId="4">
      <formula>MinStaff</formula>
    </cfRule>
  </conditionalFormatting>
  <conditionalFormatting sqref="LA15">
    <cfRule type="cellIs" priority="310" operator="lessThan" dxfId="4">
      <formula>MinStaff</formula>
    </cfRule>
  </conditionalFormatting>
  <conditionalFormatting sqref="LB15">
    <cfRule type="cellIs" priority="311" operator="lessThan" dxfId="4">
      <formula>MinStaff</formula>
    </cfRule>
  </conditionalFormatting>
  <conditionalFormatting sqref="LC15">
    <cfRule type="cellIs" priority="312" operator="lessThan" dxfId="4">
      <formula>MinStaff</formula>
    </cfRule>
  </conditionalFormatting>
  <conditionalFormatting sqref="LD15">
    <cfRule type="cellIs" priority="313" operator="lessThan" dxfId="4">
      <formula>MinStaff</formula>
    </cfRule>
  </conditionalFormatting>
  <conditionalFormatting sqref="LE15">
    <cfRule type="cellIs" priority="314" operator="lessThan" dxfId="4">
      <formula>MinStaff</formula>
    </cfRule>
  </conditionalFormatting>
  <conditionalFormatting sqref="LF15">
    <cfRule type="cellIs" priority="315" operator="lessThan" dxfId="4">
      <formula>MinStaff</formula>
    </cfRule>
  </conditionalFormatting>
  <conditionalFormatting sqref="LG15">
    <cfRule type="cellIs" priority="316" operator="lessThan" dxfId="4">
      <formula>MinStaff</formula>
    </cfRule>
  </conditionalFormatting>
  <conditionalFormatting sqref="LH15">
    <cfRule type="cellIs" priority="317" operator="lessThan" dxfId="4">
      <formula>MinStaff</formula>
    </cfRule>
  </conditionalFormatting>
  <conditionalFormatting sqref="LI15">
    <cfRule type="cellIs" priority="318" operator="lessThan" dxfId="4">
      <formula>MinStaff</formula>
    </cfRule>
  </conditionalFormatting>
  <conditionalFormatting sqref="LJ15">
    <cfRule type="cellIs" priority="319" operator="lessThan" dxfId="4">
      <formula>MinStaff</formula>
    </cfRule>
  </conditionalFormatting>
  <conditionalFormatting sqref="LK15">
    <cfRule type="cellIs" priority="320" operator="lessThan" dxfId="4">
      <formula>MinStaff</formula>
    </cfRule>
  </conditionalFormatting>
  <conditionalFormatting sqref="LL15">
    <cfRule type="cellIs" priority="321" operator="lessThan" dxfId="4">
      <formula>MinStaff</formula>
    </cfRule>
  </conditionalFormatting>
  <conditionalFormatting sqref="LM15">
    <cfRule type="cellIs" priority="322" operator="lessThan" dxfId="4">
      <formula>MinStaff</formula>
    </cfRule>
  </conditionalFormatting>
  <conditionalFormatting sqref="LN15">
    <cfRule type="cellIs" priority="323" operator="lessThan" dxfId="4">
      <formula>MinStaff</formula>
    </cfRule>
  </conditionalFormatting>
  <conditionalFormatting sqref="LO15">
    <cfRule type="cellIs" priority="324" operator="lessThan" dxfId="4">
      <formula>MinStaff</formula>
    </cfRule>
  </conditionalFormatting>
  <conditionalFormatting sqref="LP15">
    <cfRule type="cellIs" priority="325" operator="lessThan" dxfId="4">
      <formula>MinStaff</formula>
    </cfRule>
  </conditionalFormatting>
  <conditionalFormatting sqref="LQ15">
    <cfRule type="cellIs" priority="326" operator="lessThan" dxfId="4">
      <formula>MinStaff</formula>
    </cfRule>
  </conditionalFormatting>
  <conditionalFormatting sqref="LR15">
    <cfRule type="cellIs" priority="327" operator="lessThan" dxfId="4">
      <formula>MinStaff</formula>
    </cfRule>
  </conditionalFormatting>
  <conditionalFormatting sqref="LS15">
    <cfRule type="cellIs" priority="328" operator="lessThan" dxfId="4">
      <formula>MinStaff</formula>
    </cfRule>
  </conditionalFormatting>
  <conditionalFormatting sqref="LT15">
    <cfRule type="cellIs" priority="329" operator="lessThan" dxfId="4">
      <formula>MinStaff</formula>
    </cfRule>
  </conditionalFormatting>
  <conditionalFormatting sqref="LU15">
    <cfRule type="cellIs" priority="330" operator="lessThan" dxfId="4">
      <formula>MinStaff</formula>
    </cfRule>
  </conditionalFormatting>
  <conditionalFormatting sqref="LV15">
    <cfRule type="cellIs" priority="331" operator="lessThan" dxfId="4">
      <formula>MinStaff</formula>
    </cfRule>
  </conditionalFormatting>
  <conditionalFormatting sqref="LW15">
    <cfRule type="cellIs" priority="332" operator="lessThan" dxfId="4">
      <formula>MinStaff</formula>
    </cfRule>
  </conditionalFormatting>
  <conditionalFormatting sqref="LX15">
    <cfRule type="cellIs" priority="333" operator="lessThan" dxfId="4">
      <formula>MinStaff</formula>
    </cfRule>
  </conditionalFormatting>
  <conditionalFormatting sqref="LY15">
    <cfRule type="cellIs" priority="334" operator="lessThan" dxfId="4">
      <formula>MinStaff</formula>
    </cfRule>
  </conditionalFormatting>
  <conditionalFormatting sqref="LZ15">
    <cfRule type="cellIs" priority="335" operator="lessThan" dxfId="4">
      <formula>MinStaff</formula>
    </cfRule>
  </conditionalFormatting>
  <conditionalFormatting sqref="MA15">
    <cfRule type="cellIs" priority="336" operator="lessThan" dxfId="4">
      <formula>MinStaff</formula>
    </cfRule>
  </conditionalFormatting>
  <conditionalFormatting sqref="MB15">
    <cfRule type="cellIs" priority="337" operator="lessThan" dxfId="4">
      <formula>MinStaff</formula>
    </cfRule>
  </conditionalFormatting>
  <conditionalFormatting sqref="MC15">
    <cfRule type="cellIs" priority="338" operator="lessThan" dxfId="4">
      <formula>MinStaff</formula>
    </cfRule>
  </conditionalFormatting>
  <conditionalFormatting sqref="MD15">
    <cfRule type="cellIs" priority="339" operator="lessThan" dxfId="4">
      <formula>MinStaff</formula>
    </cfRule>
  </conditionalFormatting>
  <conditionalFormatting sqref="ME15">
    <cfRule type="cellIs" priority="340" operator="lessThan" dxfId="4">
      <formula>MinStaff</formula>
    </cfRule>
  </conditionalFormatting>
  <conditionalFormatting sqref="MF15">
    <cfRule type="cellIs" priority="341" operator="lessThan" dxfId="4">
      <formula>MinStaff</formula>
    </cfRule>
  </conditionalFormatting>
  <conditionalFormatting sqref="MG15">
    <cfRule type="cellIs" priority="342" operator="lessThan" dxfId="4">
      <formula>MinStaff</formula>
    </cfRule>
  </conditionalFormatting>
  <conditionalFormatting sqref="MH15">
    <cfRule type="cellIs" priority="343" operator="lessThan" dxfId="4">
      <formula>MinStaff</formula>
    </cfRule>
  </conditionalFormatting>
  <conditionalFormatting sqref="MI15">
    <cfRule type="cellIs" priority="344" operator="lessThan" dxfId="4">
      <formula>MinStaff</formula>
    </cfRule>
  </conditionalFormatting>
  <conditionalFormatting sqref="MJ15">
    <cfRule type="cellIs" priority="345" operator="lessThan" dxfId="4">
      <formula>MinStaff</formula>
    </cfRule>
  </conditionalFormatting>
  <conditionalFormatting sqref="MK15">
    <cfRule type="cellIs" priority="346" operator="lessThan" dxfId="4">
      <formula>MinStaff</formula>
    </cfRule>
  </conditionalFormatting>
  <conditionalFormatting sqref="ML15">
    <cfRule type="cellIs" priority="347" operator="lessThan" dxfId="4">
      <formula>MinStaff</formula>
    </cfRule>
  </conditionalFormatting>
  <conditionalFormatting sqref="MM15">
    <cfRule type="cellIs" priority="348" operator="lessThan" dxfId="4">
      <formula>MinStaff</formula>
    </cfRule>
  </conditionalFormatting>
  <conditionalFormatting sqref="MN15">
    <cfRule type="cellIs" priority="349" operator="lessThan" dxfId="4">
      <formula>MinStaff</formula>
    </cfRule>
  </conditionalFormatting>
  <conditionalFormatting sqref="MO15">
    <cfRule type="cellIs" priority="350" operator="lessThan" dxfId="4">
      <formula>MinStaff</formula>
    </cfRule>
  </conditionalFormatting>
  <conditionalFormatting sqref="MP15">
    <cfRule type="cellIs" priority="351" operator="lessThan" dxfId="4">
      <formula>MinStaff</formula>
    </cfRule>
  </conditionalFormatting>
  <conditionalFormatting sqref="MQ15">
    <cfRule type="cellIs" priority="352" operator="lessThan" dxfId="4">
      <formula>MinStaff</formula>
    </cfRule>
  </conditionalFormatting>
  <conditionalFormatting sqref="MR15">
    <cfRule type="cellIs" priority="353" operator="lessThan" dxfId="4">
      <formula>MinStaff</formula>
    </cfRule>
  </conditionalFormatting>
  <conditionalFormatting sqref="MS15">
    <cfRule type="cellIs" priority="354" operator="lessThan" dxfId="4">
      <formula>MinStaff</formula>
    </cfRule>
  </conditionalFormatting>
  <conditionalFormatting sqref="MT15">
    <cfRule type="cellIs" priority="355" operator="lessThan" dxfId="4">
      <formula>MinStaff</formula>
    </cfRule>
  </conditionalFormatting>
  <conditionalFormatting sqref="MU15">
    <cfRule type="cellIs" priority="356" operator="lessThan" dxfId="4">
      <formula>MinStaff</formula>
    </cfRule>
  </conditionalFormatting>
  <conditionalFormatting sqref="MV15">
    <cfRule type="cellIs" priority="357" operator="lessThan" dxfId="4">
      <formula>MinStaff</formula>
    </cfRule>
  </conditionalFormatting>
  <conditionalFormatting sqref="MW15">
    <cfRule type="cellIs" priority="358" operator="lessThan" dxfId="4">
      <formula>MinStaff</formula>
    </cfRule>
  </conditionalFormatting>
  <conditionalFormatting sqref="MX15">
    <cfRule type="cellIs" priority="359" operator="lessThan" dxfId="4">
      <formula>MinStaff</formula>
    </cfRule>
  </conditionalFormatting>
  <conditionalFormatting sqref="MY15">
    <cfRule type="cellIs" priority="360" operator="lessThan" dxfId="4">
      <formula>MinStaff</formula>
    </cfRule>
  </conditionalFormatting>
  <conditionalFormatting sqref="MZ15">
    <cfRule type="cellIs" priority="361" operator="lessThan" dxfId="4">
      <formula>MinStaff</formula>
    </cfRule>
  </conditionalFormatting>
  <conditionalFormatting sqref="NA15">
    <cfRule type="cellIs" priority="362" operator="lessThan" dxfId="4">
      <formula>MinStaff</formula>
    </cfRule>
  </conditionalFormatting>
  <conditionalFormatting sqref="NB15">
    <cfRule type="cellIs" priority="363" operator="lessThan" dxfId="4">
      <formula>MinStaff</formula>
    </cfRule>
  </conditionalFormatting>
  <conditionalFormatting sqref="NC15">
    <cfRule type="cellIs" priority="364" operator="lessThan" dxfId="4">
      <formula>MinStaff</formula>
    </cfRule>
  </conditionalFormatting>
  <conditionalFormatting sqref="ND15">
    <cfRule type="cellIs" priority="365" operator="lessThan" dxfId="4">
      <formula>MinStaff</formula>
    </cfRule>
  </conditionalFormatting>
  <conditionalFormatting sqref="D4:ND11">
    <cfRule type="cellIs" priority="366" operator="equal" dxfId="1">
      <formula>"صباح"</formula>
    </cfRule>
    <cfRule type="cellIs" priority="367" operator="equal" dxfId="2">
      <formula>"عصر"</formula>
    </cfRule>
    <cfRule type="cellIs" priority="368" operator="equal" dxfId="3">
      <formula>"ليل"</formula>
    </cfRule>
    <cfRule type="cellIs" priority="369" operator="equal" dxfId="13">
      <formula>"راحة"</formula>
    </cfRule>
    <cfRule type="cellIs" priority="370" operator="equal" dxfId="7">
      <formula>"سنوية"</formula>
    </cfRule>
    <cfRule type="cellIs" priority="371" operator="equal" dxfId="8">
      <formula>"عارض"</formula>
    </cfRule>
    <cfRule type="cellIs" priority="372" operator="equal" dxfId="9">
      <formula>"دورية"</formula>
    </cfRule>
    <cfRule type="cellIs" priority="373" operator="equal" dxfId="10">
      <formula>"مرضية"</formula>
    </cfRule>
    <cfRule type="cellIs" priority="374" operator="equal" dxfId="11">
      <formula>"مرافق مريض"</formula>
    </cfRule>
    <cfRule type="cellIs" priority="375" operator="equal" dxfId="12">
      <formula>"أخرى"</formula>
    </cfRule>
    <cfRule type="cellIs" priority="376" operator="equal" dxfId="14">
      <formula>"عطلة"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E20"/>
  <sheetViews>
    <sheetView rightToLeft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6" customWidth="1" min="86" max="86"/>
    <col width="6" customWidth="1" min="87" max="87"/>
    <col width="6" customWidth="1" min="88" max="88"/>
    <col width="6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6" customWidth="1" min="95" max="95"/>
    <col width="6" customWidth="1" min="96" max="96"/>
    <col width="6" customWidth="1" min="97" max="97"/>
    <col width="6" customWidth="1" min="98" max="98"/>
    <col width="6" customWidth="1" min="99" max="99"/>
    <col width="6" customWidth="1" min="100" max="100"/>
    <col width="6" customWidth="1" min="101" max="101"/>
    <col width="6" customWidth="1" min="102" max="102"/>
    <col width="6" customWidth="1" min="103" max="103"/>
    <col width="6" customWidth="1" min="104" max="104"/>
    <col width="6" customWidth="1" min="105" max="105"/>
    <col width="6" customWidth="1" min="106" max="106"/>
    <col width="6" customWidth="1" min="107" max="107"/>
    <col width="6" customWidth="1" min="108" max="108"/>
    <col width="6" customWidth="1" min="109" max="109"/>
    <col width="6" customWidth="1" min="110" max="110"/>
    <col width="6" customWidth="1" min="111" max="111"/>
    <col width="6" customWidth="1" min="112" max="112"/>
    <col width="6" customWidth="1" min="113" max="113"/>
    <col width="6" customWidth="1" min="114" max="114"/>
    <col width="6" customWidth="1" min="115" max="115"/>
    <col width="6" customWidth="1" min="116" max="116"/>
    <col width="6" customWidth="1" min="117" max="117"/>
    <col width="6" customWidth="1" min="118" max="118"/>
    <col width="6" customWidth="1" min="119" max="119"/>
    <col width="6" customWidth="1" min="120" max="120"/>
    <col width="6" customWidth="1" min="121" max="121"/>
    <col width="6" customWidth="1" min="122" max="122"/>
    <col width="6" customWidth="1" min="123" max="123"/>
    <col width="6" customWidth="1" min="124" max="124"/>
    <col width="6" customWidth="1" min="125" max="125"/>
    <col width="6" customWidth="1" min="126" max="126"/>
    <col width="6" customWidth="1" min="127" max="127"/>
    <col width="6" customWidth="1" min="128" max="128"/>
    <col width="6" customWidth="1" min="129" max="129"/>
    <col width="6" customWidth="1" min="130" max="130"/>
    <col width="6" customWidth="1" min="131" max="131"/>
    <col width="6" customWidth="1" min="132" max="132"/>
    <col width="6" customWidth="1" min="133" max="133"/>
    <col width="6" customWidth="1" min="134" max="134"/>
    <col width="6" customWidth="1" min="135" max="135"/>
    <col width="6" customWidth="1" min="136" max="136"/>
    <col width="6" customWidth="1" min="137" max="137"/>
    <col width="6" customWidth="1" min="138" max="138"/>
    <col width="6" customWidth="1" min="139" max="139"/>
    <col width="6" customWidth="1" min="140" max="140"/>
    <col width="6" customWidth="1" min="141" max="141"/>
    <col width="6" customWidth="1" min="142" max="142"/>
    <col width="6" customWidth="1" min="143" max="143"/>
    <col width="6" customWidth="1" min="144" max="144"/>
    <col width="6" customWidth="1" min="145" max="145"/>
    <col width="6" customWidth="1" min="146" max="146"/>
    <col width="6" customWidth="1" min="147" max="147"/>
    <col width="6" customWidth="1" min="148" max="148"/>
    <col width="6" customWidth="1" min="149" max="149"/>
    <col width="6" customWidth="1" min="150" max="150"/>
    <col width="6" customWidth="1" min="151" max="151"/>
    <col width="6" customWidth="1" min="152" max="152"/>
    <col width="6" customWidth="1" min="153" max="153"/>
    <col width="6" customWidth="1" min="154" max="154"/>
    <col width="6" customWidth="1" min="155" max="155"/>
    <col width="6" customWidth="1" min="156" max="156"/>
    <col width="6" customWidth="1" min="157" max="157"/>
    <col width="6" customWidth="1" min="158" max="158"/>
    <col width="6" customWidth="1" min="159" max="159"/>
    <col width="6" customWidth="1" min="160" max="160"/>
    <col width="6" customWidth="1" min="161" max="161"/>
    <col width="6" customWidth="1" min="162" max="162"/>
    <col width="6" customWidth="1" min="163" max="163"/>
    <col width="6" customWidth="1" min="164" max="164"/>
    <col width="6" customWidth="1" min="165" max="165"/>
    <col width="6" customWidth="1" min="166" max="166"/>
    <col width="6" customWidth="1" min="167" max="167"/>
    <col width="6" customWidth="1" min="168" max="168"/>
    <col width="6" customWidth="1" min="169" max="169"/>
    <col width="6" customWidth="1" min="170" max="170"/>
    <col width="6" customWidth="1" min="171" max="171"/>
    <col width="6" customWidth="1" min="172" max="172"/>
    <col width="6" customWidth="1" min="173" max="173"/>
    <col width="6" customWidth="1" min="174" max="174"/>
    <col width="6" customWidth="1" min="175" max="175"/>
    <col width="6" customWidth="1" min="176" max="176"/>
    <col width="6" customWidth="1" min="177" max="177"/>
    <col width="6" customWidth="1" min="178" max="178"/>
    <col width="6" customWidth="1" min="179" max="179"/>
    <col width="6" customWidth="1" min="180" max="180"/>
    <col width="6" customWidth="1" min="181" max="181"/>
    <col width="6" customWidth="1" min="182" max="182"/>
    <col width="6" customWidth="1" min="183" max="183"/>
    <col width="6" customWidth="1" min="184" max="184"/>
    <col width="6" customWidth="1" min="185" max="185"/>
    <col width="6" customWidth="1" min="186" max="186"/>
    <col width="6" customWidth="1" min="187" max="187"/>
    <col width="6" customWidth="1" min="188" max="188"/>
    <col width="6" customWidth="1" min="189" max="189"/>
    <col width="6" customWidth="1" min="190" max="190"/>
    <col width="6" customWidth="1" min="191" max="191"/>
    <col width="6" customWidth="1" min="192" max="192"/>
    <col width="6" customWidth="1" min="193" max="193"/>
    <col width="6" customWidth="1" min="194" max="194"/>
    <col width="6" customWidth="1" min="195" max="195"/>
    <col width="6" customWidth="1" min="196" max="196"/>
    <col width="6" customWidth="1" min="197" max="197"/>
    <col width="6" customWidth="1" min="198" max="198"/>
    <col width="6" customWidth="1" min="199" max="199"/>
    <col width="6" customWidth="1" min="200" max="200"/>
    <col width="6" customWidth="1" min="201" max="201"/>
    <col width="6" customWidth="1" min="202" max="202"/>
    <col width="6" customWidth="1" min="203" max="203"/>
    <col width="6" customWidth="1" min="204" max="204"/>
    <col width="6" customWidth="1" min="205" max="205"/>
    <col width="6" customWidth="1" min="206" max="206"/>
    <col width="6" customWidth="1" min="207" max="207"/>
    <col width="6" customWidth="1" min="208" max="208"/>
    <col width="6" customWidth="1" min="209" max="209"/>
    <col width="6" customWidth="1" min="210" max="210"/>
    <col width="6" customWidth="1" min="211" max="211"/>
    <col width="6" customWidth="1" min="212" max="212"/>
    <col width="6" customWidth="1" min="213" max="213"/>
    <col width="6" customWidth="1" min="214" max="214"/>
    <col width="6" customWidth="1" min="215" max="215"/>
    <col width="6" customWidth="1" min="216" max="216"/>
    <col width="6" customWidth="1" min="217" max="217"/>
    <col width="6" customWidth="1" min="218" max="218"/>
    <col width="6" customWidth="1" min="219" max="219"/>
    <col width="6" customWidth="1" min="220" max="220"/>
    <col width="6" customWidth="1" min="221" max="221"/>
    <col width="6" customWidth="1" min="222" max="222"/>
    <col width="6" customWidth="1" min="223" max="223"/>
    <col width="6" customWidth="1" min="224" max="224"/>
    <col width="6" customWidth="1" min="225" max="225"/>
    <col width="6" customWidth="1" min="226" max="226"/>
    <col width="6" customWidth="1" min="227" max="227"/>
    <col width="6" customWidth="1" min="228" max="228"/>
    <col width="6" customWidth="1" min="229" max="229"/>
    <col width="6" customWidth="1" min="230" max="230"/>
    <col width="6" customWidth="1" min="231" max="231"/>
    <col width="6" customWidth="1" min="232" max="232"/>
    <col width="6" customWidth="1" min="233" max="233"/>
    <col width="6" customWidth="1" min="234" max="234"/>
    <col width="6" customWidth="1" min="235" max="235"/>
    <col width="6" customWidth="1" min="236" max="236"/>
    <col width="6" customWidth="1" min="237" max="237"/>
    <col width="6" customWidth="1" min="238" max="238"/>
    <col width="6" customWidth="1" min="239" max="239"/>
    <col width="6" customWidth="1" min="240" max="240"/>
    <col width="6" customWidth="1" min="241" max="241"/>
    <col width="6" customWidth="1" min="242" max="242"/>
    <col width="6" customWidth="1" min="243" max="243"/>
    <col width="6" customWidth="1" min="244" max="244"/>
    <col width="6" customWidth="1" min="245" max="245"/>
    <col width="6" customWidth="1" min="246" max="246"/>
    <col width="6" customWidth="1" min="247" max="247"/>
    <col width="6" customWidth="1" min="248" max="248"/>
    <col width="6" customWidth="1" min="249" max="249"/>
    <col width="6" customWidth="1" min="250" max="250"/>
    <col width="6" customWidth="1" min="251" max="251"/>
    <col width="6" customWidth="1" min="252" max="252"/>
    <col width="6" customWidth="1" min="253" max="253"/>
    <col width="6" customWidth="1" min="254" max="254"/>
    <col width="6" customWidth="1" min="255" max="255"/>
    <col width="6" customWidth="1" min="256" max="256"/>
    <col width="6" customWidth="1" min="257" max="257"/>
    <col width="6" customWidth="1" min="258" max="258"/>
    <col width="6" customWidth="1" min="259" max="259"/>
    <col width="6" customWidth="1" min="260" max="260"/>
    <col width="6" customWidth="1" min="261" max="261"/>
    <col width="6" customWidth="1" min="262" max="262"/>
    <col width="6" customWidth="1" min="263" max="263"/>
    <col width="6" customWidth="1" min="264" max="264"/>
    <col width="6" customWidth="1" min="265" max="265"/>
    <col width="6" customWidth="1" min="266" max="266"/>
    <col width="6" customWidth="1" min="267" max="267"/>
    <col width="6" customWidth="1" min="268" max="268"/>
    <col width="6" customWidth="1" min="269" max="269"/>
    <col width="6" customWidth="1" min="270" max="270"/>
    <col width="6" customWidth="1" min="271" max="271"/>
    <col width="6" customWidth="1" min="272" max="272"/>
    <col width="6" customWidth="1" min="273" max="273"/>
    <col width="6" customWidth="1" min="274" max="274"/>
    <col width="6" customWidth="1" min="275" max="275"/>
    <col width="6" customWidth="1" min="276" max="276"/>
    <col width="6" customWidth="1" min="277" max="277"/>
    <col width="6" customWidth="1" min="278" max="278"/>
    <col width="6" customWidth="1" min="279" max="279"/>
    <col width="6" customWidth="1" min="280" max="280"/>
    <col width="6" customWidth="1" min="281" max="281"/>
    <col width="6" customWidth="1" min="282" max="282"/>
    <col width="6" customWidth="1" min="283" max="283"/>
    <col width="6" customWidth="1" min="284" max="284"/>
    <col width="6" customWidth="1" min="285" max="285"/>
    <col width="6" customWidth="1" min="286" max="286"/>
    <col width="6" customWidth="1" min="287" max="287"/>
    <col width="6" customWidth="1" min="288" max="288"/>
    <col width="6" customWidth="1" min="289" max="289"/>
    <col width="6" customWidth="1" min="290" max="290"/>
    <col width="6" customWidth="1" min="291" max="291"/>
    <col width="6" customWidth="1" min="292" max="292"/>
    <col width="6" customWidth="1" min="293" max="293"/>
    <col width="6" customWidth="1" min="294" max="294"/>
    <col width="6" customWidth="1" min="295" max="295"/>
    <col width="6" customWidth="1" min="296" max="296"/>
    <col width="6" customWidth="1" min="297" max="297"/>
    <col width="6" customWidth="1" min="298" max="298"/>
    <col width="6" customWidth="1" min="299" max="299"/>
    <col width="6" customWidth="1" min="300" max="300"/>
    <col width="6" customWidth="1" min="301" max="301"/>
    <col width="6" customWidth="1" min="302" max="302"/>
    <col width="6" customWidth="1" min="303" max="303"/>
    <col width="6" customWidth="1" min="304" max="304"/>
    <col width="6" customWidth="1" min="305" max="305"/>
    <col width="6" customWidth="1" min="306" max="306"/>
    <col width="6" customWidth="1" min="307" max="307"/>
    <col width="6" customWidth="1" min="308" max="308"/>
    <col width="6" customWidth="1" min="309" max="309"/>
    <col width="6" customWidth="1" min="310" max="310"/>
    <col width="6" customWidth="1" min="311" max="311"/>
    <col width="6" customWidth="1" min="312" max="312"/>
    <col width="6" customWidth="1" min="313" max="313"/>
    <col width="6" customWidth="1" min="314" max="314"/>
    <col width="6" customWidth="1" min="315" max="315"/>
    <col width="6" customWidth="1" min="316" max="316"/>
    <col width="6" customWidth="1" min="317" max="317"/>
    <col width="6" customWidth="1" min="318" max="318"/>
    <col width="6" customWidth="1" min="319" max="319"/>
    <col width="6" customWidth="1" min="320" max="320"/>
    <col width="6" customWidth="1" min="321" max="321"/>
    <col width="6" customWidth="1" min="322" max="322"/>
    <col width="6" customWidth="1" min="323" max="323"/>
    <col width="6" customWidth="1" min="324" max="324"/>
    <col width="6" customWidth="1" min="325" max="325"/>
    <col width="6" customWidth="1" min="326" max="326"/>
    <col width="6" customWidth="1" min="327" max="327"/>
    <col width="6" customWidth="1" min="328" max="328"/>
    <col width="6" customWidth="1" min="329" max="329"/>
    <col width="6" customWidth="1" min="330" max="330"/>
    <col width="6" customWidth="1" min="331" max="331"/>
    <col width="6" customWidth="1" min="332" max="332"/>
    <col width="6" customWidth="1" min="333" max="333"/>
    <col width="6" customWidth="1" min="334" max="334"/>
    <col width="6" customWidth="1" min="335" max="335"/>
    <col width="6" customWidth="1" min="336" max="336"/>
    <col width="6" customWidth="1" min="337" max="337"/>
    <col width="6" customWidth="1" min="338" max="338"/>
    <col width="6" customWidth="1" min="339" max="339"/>
    <col width="6" customWidth="1" min="340" max="340"/>
    <col width="6" customWidth="1" min="341" max="341"/>
    <col width="6" customWidth="1" min="342" max="342"/>
    <col width="6" customWidth="1" min="343" max="343"/>
    <col width="6" customWidth="1" min="344" max="344"/>
    <col width="6" customWidth="1" min="345" max="345"/>
    <col width="6" customWidth="1" min="346" max="346"/>
    <col width="6" customWidth="1" min="347" max="347"/>
    <col width="6" customWidth="1" min="348" max="348"/>
    <col width="6" customWidth="1" min="349" max="349"/>
    <col width="6" customWidth="1" min="350" max="350"/>
    <col width="6" customWidth="1" min="351" max="351"/>
    <col width="6" customWidth="1" min="352" max="352"/>
    <col width="6" customWidth="1" min="353" max="353"/>
    <col width="6" customWidth="1" min="354" max="354"/>
    <col width="6" customWidth="1" min="355" max="355"/>
    <col width="6" customWidth="1" min="356" max="356"/>
    <col width="6" customWidth="1" min="357" max="357"/>
    <col width="6" customWidth="1" min="358" max="358"/>
    <col width="6" customWidth="1" min="359" max="359"/>
    <col width="6" customWidth="1" min="360" max="360"/>
    <col width="6" customWidth="1" min="361" max="361"/>
    <col width="6" customWidth="1" min="362" max="362"/>
    <col width="6" customWidth="1" min="363" max="363"/>
    <col width="6" customWidth="1" min="364" max="364"/>
    <col width="6" customWidth="1" min="365" max="365"/>
    <col width="6" customWidth="1" min="366" max="366"/>
    <col width="6" customWidth="1" min="367" max="367"/>
    <col width="6" customWidth="1" min="368" max="368"/>
    <col width="11" customWidth="1" min="369" max="369"/>
  </cols>
  <sheetData>
    <row r="1">
      <c r="A1" s="48" t="inlineStr">
        <is>
          <t>تقويم الإجازات — يعرض الإجازات المعتمدة فقط بألوانها</t>
        </is>
      </c>
      <c r="D1" s="57" t="inlineStr">
        <is>
          <t>يونيو 2026</t>
        </is>
      </c>
      <c r="U1" s="57" t="inlineStr">
        <is>
          <t>يوليو 2026</t>
        </is>
      </c>
      <c r="AZ1" s="57" t="inlineStr">
        <is>
          <t>أغسطس 2026</t>
        </is>
      </c>
      <c r="CE1" s="57" t="inlineStr">
        <is>
          <t>سبتمبر 2026</t>
        </is>
      </c>
      <c r="DI1" s="57" t="inlineStr">
        <is>
          <t>أكتوبر 2026</t>
        </is>
      </c>
      <c r="EN1" s="57" t="inlineStr">
        <is>
          <t>نوفمبر 2026</t>
        </is>
      </c>
      <c r="FR1" s="57" t="inlineStr">
        <is>
          <t>ديسمبر 2026</t>
        </is>
      </c>
      <c r="GW1" s="57" t="inlineStr">
        <is>
          <t>يناير 2027</t>
        </is>
      </c>
      <c r="IB1" s="57" t="inlineStr">
        <is>
          <t>فبراير 2027</t>
        </is>
      </c>
      <c r="JD1" s="57" t="inlineStr">
        <is>
          <t>مارس 2027</t>
        </is>
      </c>
      <c r="KI1" s="57" t="inlineStr">
        <is>
          <t>أبريل 2027</t>
        </is>
      </c>
      <c r="LM1" s="57" t="inlineStr">
        <is>
          <t>مايو 2027</t>
        </is>
      </c>
      <c r="MR1" s="57" t="inlineStr">
        <is>
          <t>يونيو 2027</t>
        </is>
      </c>
    </row>
    <row r="2">
      <c r="A2" s="73" t="inlineStr">
        <is>
          <t>كل خلية ملوّنة = إجازة معتمدة لذلك اليوم. الخلايا الفارغة = لا توجد إجازة.</t>
        </is>
      </c>
      <c r="D2" s="59" t="inlineStr">
        <is>
          <t>الأحد</t>
        </is>
      </c>
      <c r="E2" s="59" t="inlineStr">
        <is>
          <t>الإثنين</t>
        </is>
      </c>
      <c r="F2" s="59" t="inlineStr">
        <is>
          <t>الثلاثاء</t>
        </is>
      </c>
      <c r="G2" s="59" t="inlineStr">
        <is>
          <t>الأربعاء</t>
        </is>
      </c>
      <c r="H2" s="59" t="inlineStr">
        <is>
          <t>الخميس</t>
        </is>
      </c>
      <c r="I2" s="59" t="inlineStr">
        <is>
          <t>الجمعة</t>
        </is>
      </c>
      <c r="J2" s="59" t="inlineStr">
        <is>
          <t>السبت</t>
        </is>
      </c>
      <c r="K2" s="59" t="inlineStr">
        <is>
          <t>الأحد</t>
        </is>
      </c>
      <c r="L2" s="59" t="inlineStr">
        <is>
          <t>الإثنين</t>
        </is>
      </c>
      <c r="M2" s="59" t="inlineStr">
        <is>
          <t>الثلاثاء</t>
        </is>
      </c>
      <c r="N2" s="59" t="inlineStr">
        <is>
          <t>الأربعاء</t>
        </is>
      </c>
      <c r="O2" s="59" t="inlineStr">
        <is>
          <t>الخميس</t>
        </is>
      </c>
      <c r="P2" s="59" t="inlineStr">
        <is>
          <t>الجمعة</t>
        </is>
      </c>
      <c r="Q2" s="59" t="inlineStr">
        <is>
          <t>السبت</t>
        </is>
      </c>
      <c r="R2" s="59" t="inlineStr">
        <is>
          <t>الأحد</t>
        </is>
      </c>
      <c r="S2" s="59" t="inlineStr">
        <is>
          <t>الإثنين</t>
        </is>
      </c>
      <c r="T2" s="59" t="inlineStr">
        <is>
          <t>الثلاثاء</t>
        </is>
      </c>
      <c r="U2" s="59" t="inlineStr">
        <is>
          <t>الأربعاء</t>
        </is>
      </c>
      <c r="V2" s="59" t="inlineStr">
        <is>
          <t>الخميس</t>
        </is>
      </c>
      <c r="W2" s="59" t="inlineStr">
        <is>
          <t>الجمعة</t>
        </is>
      </c>
      <c r="X2" s="59" t="inlineStr">
        <is>
          <t>السبت</t>
        </is>
      </c>
      <c r="Y2" s="59" t="inlineStr">
        <is>
          <t>الأحد</t>
        </is>
      </c>
      <c r="Z2" s="59" t="inlineStr">
        <is>
          <t>الإثنين</t>
        </is>
      </c>
      <c r="AA2" s="59" t="inlineStr">
        <is>
          <t>الثلاثاء</t>
        </is>
      </c>
      <c r="AB2" s="59" t="inlineStr">
        <is>
          <t>الأربعاء</t>
        </is>
      </c>
      <c r="AC2" s="59" t="inlineStr">
        <is>
          <t>الخميس</t>
        </is>
      </c>
      <c r="AD2" s="59" t="inlineStr">
        <is>
          <t>الجمعة</t>
        </is>
      </c>
      <c r="AE2" s="59" t="inlineStr">
        <is>
          <t>السبت</t>
        </is>
      </c>
      <c r="AF2" s="59" t="inlineStr">
        <is>
          <t>الأحد</t>
        </is>
      </c>
      <c r="AG2" s="59" t="inlineStr">
        <is>
          <t>الإثنين</t>
        </is>
      </c>
      <c r="AH2" s="59" t="inlineStr">
        <is>
          <t>الثلاثاء</t>
        </is>
      </c>
      <c r="AI2" s="59" t="inlineStr">
        <is>
          <t>الأربعاء</t>
        </is>
      </c>
      <c r="AJ2" s="59" t="inlineStr">
        <is>
          <t>الخميس</t>
        </is>
      </c>
      <c r="AK2" s="59" t="inlineStr">
        <is>
          <t>الجمعة</t>
        </is>
      </c>
      <c r="AL2" s="59" t="inlineStr">
        <is>
          <t>السبت</t>
        </is>
      </c>
      <c r="AM2" s="59" t="inlineStr">
        <is>
          <t>الأحد</t>
        </is>
      </c>
      <c r="AN2" s="59" t="inlineStr">
        <is>
          <t>الإثنين</t>
        </is>
      </c>
      <c r="AO2" s="59" t="inlineStr">
        <is>
          <t>الثلاثاء</t>
        </is>
      </c>
      <c r="AP2" s="59" t="inlineStr">
        <is>
          <t>الأربعاء</t>
        </is>
      </c>
      <c r="AQ2" s="59" t="inlineStr">
        <is>
          <t>الخميس</t>
        </is>
      </c>
      <c r="AR2" s="59" t="inlineStr">
        <is>
          <t>الجمعة</t>
        </is>
      </c>
      <c r="AS2" s="59" t="inlineStr">
        <is>
          <t>السبت</t>
        </is>
      </c>
      <c r="AT2" s="59" t="inlineStr">
        <is>
          <t>الأحد</t>
        </is>
      </c>
      <c r="AU2" s="59" t="inlineStr">
        <is>
          <t>الإثنين</t>
        </is>
      </c>
      <c r="AV2" s="59" t="inlineStr">
        <is>
          <t>الثلاثاء</t>
        </is>
      </c>
      <c r="AW2" s="59" t="inlineStr">
        <is>
          <t>الأربعاء</t>
        </is>
      </c>
      <c r="AX2" s="59" t="inlineStr">
        <is>
          <t>الخميس</t>
        </is>
      </c>
      <c r="AY2" s="59" t="inlineStr">
        <is>
          <t>الجمعة</t>
        </is>
      </c>
      <c r="AZ2" s="59" t="inlineStr">
        <is>
          <t>السبت</t>
        </is>
      </c>
      <c r="BA2" s="59" t="inlineStr">
        <is>
          <t>الأحد</t>
        </is>
      </c>
      <c r="BB2" s="59" t="inlineStr">
        <is>
          <t>الإثنين</t>
        </is>
      </c>
      <c r="BC2" s="59" t="inlineStr">
        <is>
          <t>الثلاثاء</t>
        </is>
      </c>
      <c r="BD2" s="59" t="inlineStr">
        <is>
          <t>الأربعاء</t>
        </is>
      </c>
      <c r="BE2" s="59" t="inlineStr">
        <is>
          <t>الخميس</t>
        </is>
      </c>
      <c r="BF2" s="59" t="inlineStr">
        <is>
          <t>الجمعة</t>
        </is>
      </c>
      <c r="BG2" s="59" t="inlineStr">
        <is>
          <t>السبت</t>
        </is>
      </c>
      <c r="BH2" s="59" t="inlineStr">
        <is>
          <t>الأحد</t>
        </is>
      </c>
      <c r="BI2" s="59" t="inlineStr">
        <is>
          <t>الإثنين</t>
        </is>
      </c>
      <c r="BJ2" s="59" t="inlineStr">
        <is>
          <t>الثلاثاء</t>
        </is>
      </c>
      <c r="BK2" s="59" t="inlineStr">
        <is>
          <t>الأربعاء</t>
        </is>
      </c>
      <c r="BL2" s="59" t="inlineStr">
        <is>
          <t>الخميس</t>
        </is>
      </c>
      <c r="BM2" s="59" t="inlineStr">
        <is>
          <t>الجمعة</t>
        </is>
      </c>
      <c r="BN2" s="59" t="inlineStr">
        <is>
          <t>السبت</t>
        </is>
      </c>
      <c r="BO2" s="59" t="inlineStr">
        <is>
          <t>الأحد</t>
        </is>
      </c>
      <c r="BP2" s="59" t="inlineStr">
        <is>
          <t>الإثنين</t>
        </is>
      </c>
      <c r="BQ2" s="59" t="inlineStr">
        <is>
          <t>الثلاثاء</t>
        </is>
      </c>
      <c r="BR2" s="59" t="inlineStr">
        <is>
          <t>الأربعاء</t>
        </is>
      </c>
      <c r="BS2" s="59" t="inlineStr">
        <is>
          <t>الخميس</t>
        </is>
      </c>
      <c r="BT2" s="59" t="inlineStr">
        <is>
          <t>الجمعة</t>
        </is>
      </c>
      <c r="BU2" s="59" t="inlineStr">
        <is>
          <t>السبت</t>
        </is>
      </c>
      <c r="BV2" s="59" t="inlineStr">
        <is>
          <t>الأحد</t>
        </is>
      </c>
      <c r="BW2" s="59" t="inlineStr">
        <is>
          <t>الإثنين</t>
        </is>
      </c>
      <c r="BX2" s="59" t="inlineStr">
        <is>
          <t>الثلاثاء</t>
        </is>
      </c>
      <c r="BY2" s="59" t="inlineStr">
        <is>
          <t>الأربعاء</t>
        </is>
      </c>
      <c r="BZ2" s="59" t="inlineStr">
        <is>
          <t>الخميس</t>
        </is>
      </c>
      <c r="CA2" s="59" t="inlineStr">
        <is>
          <t>الجمعة</t>
        </is>
      </c>
      <c r="CB2" s="59" t="inlineStr">
        <is>
          <t>السبت</t>
        </is>
      </c>
      <c r="CC2" s="59" t="inlineStr">
        <is>
          <t>الأحد</t>
        </is>
      </c>
      <c r="CD2" s="59" t="inlineStr">
        <is>
          <t>الإثنين</t>
        </is>
      </c>
      <c r="CE2" s="59" t="inlineStr">
        <is>
          <t>الثلاثاء</t>
        </is>
      </c>
      <c r="CF2" s="59" t="inlineStr">
        <is>
          <t>الأربعاء</t>
        </is>
      </c>
      <c r="CG2" s="59" t="inlineStr">
        <is>
          <t>الخميس</t>
        </is>
      </c>
      <c r="CH2" s="59" t="inlineStr">
        <is>
          <t>الجمعة</t>
        </is>
      </c>
      <c r="CI2" s="59" t="inlineStr">
        <is>
          <t>السبت</t>
        </is>
      </c>
      <c r="CJ2" s="59" t="inlineStr">
        <is>
          <t>الأحد</t>
        </is>
      </c>
      <c r="CK2" s="59" t="inlineStr">
        <is>
          <t>الإثنين</t>
        </is>
      </c>
      <c r="CL2" s="59" t="inlineStr">
        <is>
          <t>الثلاثاء</t>
        </is>
      </c>
      <c r="CM2" s="59" t="inlineStr">
        <is>
          <t>الأربعاء</t>
        </is>
      </c>
      <c r="CN2" s="59" t="inlineStr">
        <is>
          <t>الخميس</t>
        </is>
      </c>
      <c r="CO2" s="59" t="inlineStr">
        <is>
          <t>الجمعة</t>
        </is>
      </c>
      <c r="CP2" s="59" t="inlineStr">
        <is>
          <t>السبت</t>
        </is>
      </c>
      <c r="CQ2" s="59" t="inlineStr">
        <is>
          <t>الأحد</t>
        </is>
      </c>
      <c r="CR2" s="59" t="inlineStr">
        <is>
          <t>الإثنين</t>
        </is>
      </c>
      <c r="CS2" s="59" t="inlineStr">
        <is>
          <t>الثلاثاء</t>
        </is>
      </c>
      <c r="CT2" s="59" t="inlineStr">
        <is>
          <t>الأربعاء</t>
        </is>
      </c>
      <c r="CU2" s="59" t="inlineStr">
        <is>
          <t>الخميس</t>
        </is>
      </c>
      <c r="CV2" s="59" t="inlineStr">
        <is>
          <t>الجمعة</t>
        </is>
      </c>
      <c r="CW2" s="59" t="inlineStr">
        <is>
          <t>السبت</t>
        </is>
      </c>
      <c r="CX2" s="59" t="inlineStr">
        <is>
          <t>الأحد</t>
        </is>
      </c>
      <c r="CY2" s="59" t="inlineStr">
        <is>
          <t>الإثنين</t>
        </is>
      </c>
      <c r="CZ2" s="59" t="inlineStr">
        <is>
          <t>الثلاثاء</t>
        </is>
      </c>
      <c r="DA2" s="59" t="inlineStr">
        <is>
          <t>الأربعاء</t>
        </is>
      </c>
      <c r="DB2" s="59" t="inlineStr">
        <is>
          <t>الخميس</t>
        </is>
      </c>
      <c r="DC2" s="59" t="inlineStr">
        <is>
          <t>الجمعة</t>
        </is>
      </c>
      <c r="DD2" s="59" t="inlineStr">
        <is>
          <t>السبت</t>
        </is>
      </c>
      <c r="DE2" s="59" t="inlineStr">
        <is>
          <t>الأحد</t>
        </is>
      </c>
      <c r="DF2" s="59" t="inlineStr">
        <is>
          <t>الإثنين</t>
        </is>
      </c>
      <c r="DG2" s="59" t="inlineStr">
        <is>
          <t>الثلاثاء</t>
        </is>
      </c>
      <c r="DH2" s="59" t="inlineStr">
        <is>
          <t>الأربعاء</t>
        </is>
      </c>
      <c r="DI2" s="59" t="inlineStr">
        <is>
          <t>الخميس</t>
        </is>
      </c>
      <c r="DJ2" s="59" t="inlineStr">
        <is>
          <t>الجمعة</t>
        </is>
      </c>
      <c r="DK2" s="59" t="inlineStr">
        <is>
          <t>السبت</t>
        </is>
      </c>
      <c r="DL2" s="59" t="inlineStr">
        <is>
          <t>الأحد</t>
        </is>
      </c>
      <c r="DM2" s="59" t="inlineStr">
        <is>
          <t>الإثنين</t>
        </is>
      </c>
      <c r="DN2" s="59" t="inlineStr">
        <is>
          <t>الثلاثاء</t>
        </is>
      </c>
      <c r="DO2" s="59" t="inlineStr">
        <is>
          <t>الأربعاء</t>
        </is>
      </c>
      <c r="DP2" s="59" t="inlineStr">
        <is>
          <t>الخميس</t>
        </is>
      </c>
      <c r="DQ2" s="59" t="inlineStr">
        <is>
          <t>الجمعة</t>
        </is>
      </c>
      <c r="DR2" s="59" t="inlineStr">
        <is>
          <t>السبت</t>
        </is>
      </c>
      <c r="DS2" s="59" t="inlineStr">
        <is>
          <t>الأحد</t>
        </is>
      </c>
      <c r="DT2" s="59" t="inlineStr">
        <is>
          <t>الإثنين</t>
        </is>
      </c>
      <c r="DU2" s="59" t="inlineStr">
        <is>
          <t>الثلاثاء</t>
        </is>
      </c>
      <c r="DV2" s="59" t="inlineStr">
        <is>
          <t>الأربعاء</t>
        </is>
      </c>
      <c r="DW2" s="59" t="inlineStr">
        <is>
          <t>الخميس</t>
        </is>
      </c>
      <c r="DX2" s="59" t="inlineStr">
        <is>
          <t>الجمعة</t>
        </is>
      </c>
      <c r="DY2" s="59" t="inlineStr">
        <is>
          <t>السبت</t>
        </is>
      </c>
      <c r="DZ2" s="59" t="inlineStr">
        <is>
          <t>الأحد</t>
        </is>
      </c>
      <c r="EA2" s="59" t="inlineStr">
        <is>
          <t>الإثنين</t>
        </is>
      </c>
      <c r="EB2" s="59" t="inlineStr">
        <is>
          <t>الثلاثاء</t>
        </is>
      </c>
      <c r="EC2" s="59" t="inlineStr">
        <is>
          <t>الأربعاء</t>
        </is>
      </c>
      <c r="ED2" s="59" t="inlineStr">
        <is>
          <t>الخميس</t>
        </is>
      </c>
      <c r="EE2" s="59" t="inlineStr">
        <is>
          <t>الجمعة</t>
        </is>
      </c>
      <c r="EF2" s="59" t="inlineStr">
        <is>
          <t>السبت</t>
        </is>
      </c>
      <c r="EG2" s="59" t="inlineStr">
        <is>
          <t>الأحد</t>
        </is>
      </c>
      <c r="EH2" s="59" t="inlineStr">
        <is>
          <t>الإثنين</t>
        </is>
      </c>
      <c r="EI2" s="59" t="inlineStr">
        <is>
          <t>الثلاثاء</t>
        </is>
      </c>
      <c r="EJ2" s="59" t="inlineStr">
        <is>
          <t>الأربعاء</t>
        </is>
      </c>
      <c r="EK2" s="59" t="inlineStr">
        <is>
          <t>الخميس</t>
        </is>
      </c>
      <c r="EL2" s="59" t="inlineStr">
        <is>
          <t>الجمعة</t>
        </is>
      </c>
      <c r="EM2" s="59" t="inlineStr">
        <is>
          <t>السبت</t>
        </is>
      </c>
      <c r="EN2" s="59" t="inlineStr">
        <is>
          <t>الأحد</t>
        </is>
      </c>
      <c r="EO2" s="59" t="inlineStr">
        <is>
          <t>الإثنين</t>
        </is>
      </c>
      <c r="EP2" s="59" t="inlineStr">
        <is>
          <t>الثلاثاء</t>
        </is>
      </c>
      <c r="EQ2" s="59" t="inlineStr">
        <is>
          <t>الأربعاء</t>
        </is>
      </c>
      <c r="ER2" s="59" t="inlineStr">
        <is>
          <t>الخميس</t>
        </is>
      </c>
      <c r="ES2" s="59" t="inlineStr">
        <is>
          <t>الجمعة</t>
        </is>
      </c>
      <c r="ET2" s="59" t="inlineStr">
        <is>
          <t>السبت</t>
        </is>
      </c>
      <c r="EU2" s="59" t="inlineStr">
        <is>
          <t>الأحد</t>
        </is>
      </c>
      <c r="EV2" s="59" t="inlineStr">
        <is>
          <t>الإثنين</t>
        </is>
      </c>
      <c r="EW2" s="59" t="inlineStr">
        <is>
          <t>الثلاثاء</t>
        </is>
      </c>
      <c r="EX2" s="59" t="inlineStr">
        <is>
          <t>الأربعاء</t>
        </is>
      </c>
      <c r="EY2" s="59" t="inlineStr">
        <is>
          <t>الخميس</t>
        </is>
      </c>
      <c r="EZ2" s="59" t="inlineStr">
        <is>
          <t>الجمعة</t>
        </is>
      </c>
      <c r="FA2" s="59" t="inlineStr">
        <is>
          <t>السبت</t>
        </is>
      </c>
      <c r="FB2" s="59" t="inlineStr">
        <is>
          <t>الأحد</t>
        </is>
      </c>
      <c r="FC2" s="59" t="inlineStr">
        <is>
          <t>الإثنين</t>
        </is>
      </c>
      <c r="FD2" s="59" t="inlineStr">
        <is>
          <t>الثلاثاء</t>
        </is>
      </c>
      <c r="FE2" s="59" t="inlineStr">
        <is>
          <t>الأربعاء</t>
        </is>
      </c>
      <c r="FF2" s="59" t="inlineStr">
        <is>
          <t>الخميس</t>
        </is>
      </c>
      <c r="FG2" s="59" t="inlineStr">
        <is>
          <t>الجمعة</t>
        </is>
      </c>
      <c r="FH2" s="59" t="inlineStr">
        <is>
          <t>السبت</t>
        </is>
      </c>
      <c r="FI2" s="59" t="inlineStr">
        <is>
          <t>الأحد</t>
        </is>
      </c>
      <c r="FJ2" s="59" t="inlineStr">
        <is>
          <t>الإثنين</t>
        </is>
      </c>
      <c r="FK2" s="59" t="inlineStr">
        <is>
          <t>الثلاثاء</t>
        </is>
      </c>
      <c r="FL2" s="59" t="inlineStr">
        <is>
          <t>الأربعاء</t>
        </is>
      </c>
      <c r="FM2" s="59" t="inlineStr">
        <is>
          <t>الخميس</t>
        </is>
      </c>
      <c r="FN2" s="59" t="inlineStr">
        <is>
          <t>الجمعة</t>
        </is>
      </c>
      <c r="FO2" s="59" t="inlineStr">
        <is>
          <t>السبت</t>
        </is>
      </c>
      <c r="FP2" s="59" t="inlineStr">
        <is>
          <t>الأحد</t>
        </is>
      </c>
      <c r="FQ2" s="59" t="inlineStr">
        <is>
          <t>الإثنين</t>
        </is>
      </c>
      <c r="FR2" s="59" t="inlineStr">
        <is>
          <t>الثلاثاء</t>
        </is>
      </c>
      <c r="FS2" s="59" t="inlineStr">
        <is>
          <t>الأربعاء</t>
        </is>
      </c>
      <c r="FT2" s="59" t="inlineStr">
        <is>
          <t>الخميس</t>
        </is>
      </c>
      <c r="FU2" s="59" t="inlineStr">
        <is>
          <t>الجمعة</t>
        </is>
      </c>
      <c r="FV2" s="59" t="inlineStr">
        <is>
          <t>السبت</t>
        </is>
      </c>
      <c r="FW2" s="59" t="inlineStr">
        <is>
          <t>الأحد</t>
        </is>
      </c>
      <c r="FX2" s="59" t="inlineStr">
        <is>
          <t>الإثنين</t>
        </is>
      </c>
      <c r="FY2" s="59" t="inlineStr">
        <is>
          <t>الثلاثاء</t>
        </is>
      </c>
      <c r="FZ2" s="59" t="inlineStr">
        <is>
          <t>الأربعاء</t>
        </is>
      </c>
      <c r="GA2" s="59" t="inlineStr">
        <is>
          <t>الخميس</t>
        </is>
      </c>
      <c r="GB2" s="59" t="inlineStr">
        <is>
          <t>الجمعة</t>
        </is>
      </c>
      <c r="GC2" s="59" t="inlineStr">
        <is>
          <t>السبت</t>
        </is>
      </c>
      <c r="GD2" s="59" t="inlineStr">
        <is>
          <t>الأحد</t>
        </is>
      </c>
      <c r="GE2" s="59" t="inlineStr">
        <is>
          <t>الإثنين</t>
        </is>
      </c>
      <c r="GF2" s="59" t="inlineStr">
        <is>
          <t>الثلاثاء</t>
        </is>
      </c>
      <c r="GG2" s="59" t="inlineStr">
        <is>
          <t>الأربعاء</t>
        </is>
      </c>
      <c r="GH2" s="59" t="inlineStr">
        <is>
          <t>الخميس</t>
        </is>
      </c>
      <c r="GI2" s="59" t="inlineStr">
        <is>
          <t>الجمعة</t>
        </is>
      </c>
      <c r="GJ2" s="59" t="inlineStr">
        <is>
          <t>السبت</t>
        </is>
      </c>
      <c r="GK2" s="59" t="inlineStr">
        <is>
          <t>الأحد</t>
        </is>
      </c>
      <c r="GL2" s="59" t="inlineStr">
        <is>
          <t>الإثنين</t>
        </is>
      </c>
      <c r="GM2" s="59" t="inlineStr">
        <is>
          <t>الثلاثاء</t>
        </is>
      </c>
      <c r="GN2" s="59" t="inlineStr">
        <is>
          <t>الأربعاء</t>
        </is>
      </c>
      <c r="GO2" s="59" t="inlineStr">
        <is>
          <t>الخميس</t>
        </is>
      </c>
      <c r="GP2" s="59" t="inlineStr">
        <is>
          <t>الجمعة</t>
        </is>
      </c>
      <c r="GQ2" s="59" t="inlineStr">
        <is>
          <t>السبت</t>
        </is>
      </c>
      <c r="GR2" s="59" t="inlineStr">
        <is>
          <t>الأحد</t>
        </is>
      </c>
      <c r="GS2" s="59" t="inlineStr">
        <is>
          <t>الإثنين</t>
        </is>
      </c>
      <c r="GT2" s="59" t="inlineStr">
        <is>
          <t>الثلاثاء</t>
        </is>
      </c>
      <c r="GU2" s="59" t="inlineStr">
        <is>
          <t>الأربعاء</t>
        </is>
      </c>
      <c r="GV2" s="59" t="inlineStr">
        <is>
          <t>الخميس</t>
        </is>
      </c>
      <c r="GW2" s="59" t="inlineStr">
        <is>
          <t>الجمعة</t>
        </is>
      </c>
      <c r="GX2" s="59" t="inlineStr">
        <is>
          <t>السبت</t>
        </is>
      </c>
      <c r="GY2" s="59" t="inlineStr">
        <is>
          <t>الأحد</t>
        </is>
      </c>
      <c r="GZ2" s="59" t="inlineStr">
        <is>
          <t>الإثنين</t>
        </is>
      </c>
      <c r="HA2" s="59" t="inlineStr">
        <is>
          <t>الثلاثاء</t>
        </is>
      </c>
      <c r="HB2" s="59" t="inlineStr">
        <is>
          <t>الأربعاء</t>
        </is>
      </c>
      <c r="HC2" s="59" t="inlineStr">
        <is>
          <t>الخميس</t>
        </is>
      </c>
      <c r="HD2" s="59" t="inlineStr">
        <is>
          <t>الجمعة</t>
        </is>
      </c>
      <c r="HE2" s="59" t="inlineStr">
        <is>
          <t>السبت</t>
        </is>
      </c>
      <c r="HF2" s="59" t="inlineStr">
        <is>
          <t>الأحد</t>
        </is>
      </c>
      <c r="HG2" s="59" t="inlineStr">
        <is>
          <t>الإثنين</t>
        </is>
      </c>
      <c r="HH2" s="59" t="inlineStr">
        <is>
          <t>الثلاثاء</t>
        </is>
      </c>
      <c r="HI2" s="59" t="inlineStr">
        <is>
          <t>الأربعاء</t>
        </is>
      </c>
      <c r="HJ2" s="59" t="inlineStr">
        <is>
          <t>الخميس</t>
        </is>
      </c>
      <c r="HK2" s="59" t="inlineStr">
        <is>
          <t>الجمعة</t>
        </is>
      </c>
      <c r="HL2" s="59" t="inlineStr">
        <is>
          <t>السبت</t>
        </is>
      </c>
      <c r="HM2" s="59" t="inlineStr">
        <is>
          <t>الأحد</t>
        </is>
      </c>
      <c r="HN2" s="59" t="inlineStr">
        <is>
          <t>الإثنين</t>
        </is>
      </c>
      <c r="HO2" s="59" t="inlineStr">
        <is>
          <t>الثلاثاء</t>
        </is>
      </c>
      <c r="HP2" s="59" t="inlineStr">
        <is>
          <t>الأربعاء</t>
        </is>
      </c>
      <c r="HQ2" s="59" t="inlineStr">
        <is>
          <t>الخميس</t>
        </is>
      </c>
      <c r="HR2" s="59" t="inlineStr">
        <is>
          <t>الجمعة</t>
        </is>
      </c>
      <c r="HS2" s="59" t="inlineStr">
        <is>
          <t>السبت</t>
        </is>
      </c>
      <c r="HT2" s="59" t="inlineStr">
        <is>
          <t>الأحد</t>
        </is>
      </c>
      <c r="HU2" s="59" t="inlineStr">
        <is>
          <t>الإثنين</t>
        </is>
      </c>
      <c r="HV2" s="59" t="inlineStr">
        <is>
          <t>الثلاثاء</t>
        </is>
      </c>
      <c r="HW2" s="59" t="inlineStr">
        <is>
          <t>الأربعاء</t>
        </is>
      </c>
      <c r="HX2" s="59" t="inlineStr">
        <is>
          <t>الخميس</t>
        </is>
      </c>
      <c r="HY2" s="59" t="inlineStr">
        <is>
          <t>الجمعة</t>
        </is>
      </c>
      <c r="HZ2" s="59" t="inlineStr">
        <is>
          <t>السبت</t>
        </is>
      </c>
      <c r="IA2" s="59" t="inlineStr">
        <is>
          <t>الأحد</t>
        </is>
      </c>
      <c r="IB2" s="59" t="inlineStr">
        <is>
          <t>الإثنين</t>
        </is>
      </c>
      <c r="IC2" s="59" t="inlineStr">
        <is>
          <t>الثلاثاء</t>
        </is>
      </c>
      <c r="ID2" s="59" t="inlineStr">
        <is>
          <t>الأربعاء</t>
        </is>
      </c>
      <c r="IE2" s="59" t="inlineStr">
        <is>
          <t>الخميس</t>
        </is>
      </c>
      <c r="IF2" s="59" t="inlineStr">
        <is>
          <t>الجمعة</t>
        </is>
      </c>
      <c r="IG2" s="59" t="inlineStr">
        <is>
          <t>السبت</t>
        </is>
      </c>
      <c r="IH2" s="59" t="inlineStr">
        <is>
          <t>الأحد</t>
        </is>
      </c>
      <c r="II2" s="59" t="inlineStr">
        <is>
          <t>الإثنين</t>
        </is>
      </c>
      <c r="IJ2" s="59" t="inlineStr">
        <is>
          <t>الثلاثاء</t>
        </is>
      </c>
      <c r="IK2" s="59" t="inlineStr">
        <is>
          <t>الأربعاء</t>
        </is>
      </c>
      <c r="IL2" s="59" t="inlineStr">
        <is>
          <t>الخميس</t>
        </is>
      </c>
      <c r="IM2" s="59" t="inlineStr">
        <is>
          <t>الجمعة</t>
        </is>
      </c>
      <c r="IN2" s="59" t="inlineStr">
        <is>
          <t>السبت</t>
        </is>
      </c>
      <c r="IO2" s="59" t="inlineStr">
        <is>
          <t>الأحد</t>
        </is>
      </c>
      <c r="IP2" s="59" t="inlineStr">
        <is>
          <t>الإثنين</t>
        </is>
      </c>
      <c r="IQ2" s="59" t="inlineStr">
        <is>
          <t>الثلاثاء</t>
        </is>
      </c>
      <c r="IR2" s="59" t="inlineStr">
        <is>
          <t>الأربعاء</t>
        </is>
      </c>
      <c r="IS2" s="59" t="inlineStr">
        <is>
          <t>الخميس</t>
        </is>
      </c>
      <c r="IT2" s="59" t="inlineStr">
        <is>
          <t>الجمعة</t>
        </is>
      </c>
      <c r="IU2" s="59" t="inlineStr">
        <is>
          <t>السبت</t>
        </is>
      </c>
      <c r="IV2" s="59" t="inlineStr">
        <is>
          <t>الأحد</t>
        </is>
      </c>
      <c r="IW2" s="59" t="inlineStr">
        <is>
          <t>الإثنين</t>
        </is>
      </c>
      <c r="IX2" s="59" t="inlineStr">
        <is>
          <t>الثلاثاء</t>
        </is>
      </c>
      <c r="IY2" s="59" t="inlineStr">
        <is>
          <t>الأربعاء</t>
        </is>
      </c>
      <c r="IZ2" s="59" t="inlineStr">
        <is>
          <t>الخميس</t>
        </is>
      </c>
      <c r="JA2" s="59" t="inlineStr">
        <is>
          <t>الجمعة</t>
        </is>
      </c>
      <c r="JB2" s="59" t="inlineStr">
        <is>
          <t>السبت</t>
        </is>
      </c>
      <c r="JC2" s="59" t="inlineStr">
        <is>
          <t>الأحد</t>
        </is>
      </c>
      <c r="JD2" s="59" t="inlineStr">
        <is>
          <t>الإثنين</t>
        </is>
      </c>
      <c r="JE2" s="59" t="inlineStr">
        <is>
          <t>الثلاثاء</t>
        </is>
      </c>
      <c r="JF2" s="59" t="inlineStr">
        <is>
          <t>الأربعاء</t>
        </is>
      </c>
      <c r="JG2" s="59" t="inlineStr">
        <is>
          <t>الخميس</t>
        </is>
      </c>
      <c r="JH2" s="59" t="inlineStr">
        <is>
          <t>الجمعة</t>
        </is>
      </c>
      <c r="JI2" s="59" t="inlineStr">
        <is>
          <t>السبت</t>
        </is>
      </c>
      <c r="JJ2" s="59" t="inlineStr">
        <is>
          <t>الأحد</t>
        </is>
      </c>
      <c r="JK2" s="59" t="inlineStr">
        <is>
          <t>الإثنين</t>
        </is>
      </c>
      <c r="JL2" s="59" t="inlineStr">
        <is>
          <t>الثلاثاء</t>
        </is>
      </c>
      <c r="JM2" s="59" t="inlineStr">
        <is>
          <t>الأربعاء</t>
        </is>
      </c>
      <c r="JN2" s="59" t="inlineStr">
        <is>
          <t>الخميس</t>
        </is>
      </c>
      <c r="JO2" s="59" t="inlineStr">
        <is>
          <t>الجمعة</t>
        </is>
      </c>
      <c r="JP2" s="59" t="inlineStr">
        <is>
          <t>السبت</t>
        </is>
      </c>
      <c r="JQ2" s="59" t="inlineStr">
        <is>
          <t>الأحد</t>
        </is>
      </c>
      <c r="JR2" s="59" t="inlineStr">
        <is>
          <t>الإثنين</t>
        </is>
      </c>
      <c r="JS2" s="59" t="inlineStr">
        <is>
          <t>الثلاثاء</t>
        </is>
      </c>
      <c r="JT2" s="59" t="inlineStr">
        <is>
          <t>الأربعاء</t>
        </is>
      </c>
      <c r="JU2" s="59" t="inlineStr">
        <is>
          <t>الخميس</t>
        </is>
      </c>
      <c r="JV2" s="59" t="inlineStr">
        <is>
          <t>الجمعة</t>
        </is>
      </c>
      <c r="JW2" s="59" t="inlineStr">
        <is>
          <t>السبت</t>
        </is>
      </c>
      <c r="JX2" s="59" t="inlineStr">
        <is>
          <t>الأحد</t>
        </is>
      </c>
      <c r="JY2" s="59" t="inlineStr">
        <is>
          <t>الإثنين</t>
        </is>
      </c>
      <c r="JZ2" s="59" t="inlineStr">
        <is>
          <t>الثلاثاء</t>
        </is>
      </c>
      <c r="KA2" s="59" t="inlineStr">
        <is>
          <t>الأربعاء</t>
        </is>
      </c>
      <c r="KB2" s="59" t="inlineStr">
        <is>
          <t>الخميس</t>
        </is>
      </c>
      <c r="KC2" s="59" t="inlineStr">
        <is>
          <t>الجمعة</t>
        </is>
      </c>
      <c r="KD2" s="59" t="inlineStr">
        <is>
          <t>السبت</t>
        </is>
      </c>
      <c r="KE2" s="59" t="inlineStr">
        <is>
          <t>الأحد</t>
        </is>
      </c>
      <c r="KF2" s="59" t="inlineStr">
        <is>
          <t>الإثنين</t>
        </is>
      </c>
      <c r="KG2" s="59" t="inlineStr">
        <is>
          <t>الثلاثاء</t>
        </is>
      </c>
      <c r="KH2" s="59" t="inlineStr">
        <is>
          <t>الأربعاء</t>
        </is>
      </c>
      <c r="KI2" s="59" t="inlineStr">
        <is>
          <t>الخميس</t>
        </is>
      </c>
      <c r="KJ2" s="59" t="inlineStr">
        <is>
          <t>الجمعة</t>
        </is>
      </c>
      <c r="KK2" s="59" t="inlineStr">
        <is>
          <t>السبت</t>
        </is>
      </c>
      <c r="KL2" s="59" t="inlineStr">
        <is>
          <t>الأحد</t>
        </is>
      </c>
      <c r="KM2" s="59" t="inlineStr">
        <is>
          <t>الإثنين</t>
        </is>
      </c>
      <c r="KN2" s="59" t="inlineStr">
        <is>
          <t>الثلاثاء</t>
        </is>
      </c>
      <c r="KO2" s="59" t="inlineStr">
        <is>
          <t>الأربعاء</t>
        </is>
      </c>
      <c r="KP2" s="59" t="inlineStr">
        <is>
          <t>الخميس</t>
        </is>
      </c>
      <c r="KQ2" s="59" t="inlineStr">
        <is>
          <t>الجمعة</t>
        </is>
      </c>
      <c r="KR2" s="59" t="inlineStr">
        <is>
          <t>السبت</t>
        </is>
      </c>
      <c r="KS2" s="59" t="inlineStr">
        <is>
          <t>الأحد</t>
        </is>
      </c>
      <c r="KT2" s="59" t="inlineStr">
        <is>
          <t>الإثنين</t>
        </is>
      </c>
      <c r="KU2" s="59" t="inlineStr">
        <is>
          <t>الثلاثاء</t>
        </is>
      </c>
      <c r="KV2" s="59" t="inlineStr">
        <is>
          <t>الأربعاء</t>
        </is>
      </c>
      <c r="KW2" s="59" t="inlineStr">
        <is>
          <t>الخميس</t>
        </is>
      </c>
      <c r="KX2" s="59" t="inlineStr">
        <is>
          <t>الجمعة</t>
        </is>
      </c>
      <c r="KY2" s="59" t="inlineStr">
        <is>
          <t>السبت</t>
        </is>
      </c>
      <c r="KZ2" s="59" t="inlineStr">
        <is>
          <t>الأحد</t>
        </is>
      </c>
      <c r="LA2" s="59" t="inlineStr">
        <is>
          <t>الإثنين</t>
        </is>
      </c>
      <c r="LB2" s="59" t="inlineStr">
        <is>
          <t>الثلاثاء</t>
        </is>
      </c>
      <c r="LC2" s="59" t="inlineStr">
        <is>
          <t>الأربعاء</t>
        </is>
      </c>
      <c r="LD2" s="59" t="inlineStr">
        <is>
          <t>الخميس</t>
        </is>
      </c>
      <c r="LE2" s="59" t="inlineStr">
        <is>
          <t>الجمعة</t>
        </is>
      </c>
      <c r="LF2" s="59" t="inlineStr">
        <is>
          <t>السبت</t>
        </is>
      </c>
      <c r="LG2" s="59" t="inlineStr">
        <is>
          <t>الأحد</t>
        </is>
      </c>
      <c r="LH2" s="59" t="inlineStr">
        <is>
          <t>الإثنين</t>
        </is>
      </c>
      <c r="LI2" s="59" t="inlineStr">
        <is>
          <t>الثلاثاء</t>
        </is>
      </c>
      <c r="LJ2" s="59" t="inlineStr">
        <is>
          <t>الأربعاء</t>
        </is>
      </c>
      <c r="LK2" s="59" t="inlineStr">
        <is>
          <t>الخميس</t>
        </is>
      </c>
      <c r="LL2" s="59" t="inlineStr">
        <is>
          <t>الجمعة</t>
        </is>
      </c>
      <c r="LM2" s="59" t="inlineStr">
        <is>
          <t>السبت</t>
        </is>
      </c>
      <c r="LN2" s="59" t="inlineStr">
        <is>
          <t>الأحد</t>
        </is>
      </c>
      <c r="LO2" s="59" t="inlineStr">
        <is>
          <t>الإثنين</t>
        </is>
      </c>
      <c r="LP2" s="59" t="inlineStr">
        <is>
          <t>الثلاثاء</t>
        </is>
      </c>
      <c r="LQ2" s="59" t="inlineStr">
        <is>
          <t>الأربعاء</t>
        </is>
      </c>
      <c r="LR2" s="59" t="inlineStr">
        <is>
          <t>الخميس</t>
        </is>
      </c>
      <c r="LS2" s="59" t="inlineStr">
        <is>
          <t>الجمعة</t>
        </is>
      </c>
      <c r="LT2" s="59" t="inlineStr">
        <is>
          <t>السبت</t>
        </is>
      </c>
      <c r="LU2" s="59" t="inlineStr">
        <is>
          <t>الأحد</t>
        </is>
      </c>
      <c r="LV2" s="59" t="inlineStr">
        <is>
          <t>الإثنين</t>
        </is>
      </c>
      <c r="LW2" s="59" t="inlineStr">
        <is>
          <t>الثلاثاء</t>
        </is>
      </c>
      <c r="LX2" s="59" t="inlineStr">
        <is>
          <t>الأربعاء</t>
        </is>
      </c>
      <c r="LY2" s="59" t="inlineStr">
        <is>
          <t>الخميس</t>
        </is>
      </c>
      <c r="LZ2" s="59" t="inlineStr">
        <is>
          <t>الجمعة</t>
        </is>
      </c>
      <c r="MA2" s="59" t="inlineStr">
        <is>
          <t>السبت</t>
        </is>
      </c>
      <c r="MB2" s="59" t="inlineStr">
        <is>
          <t>الأحد</t>
        </is>
      </c>
      <c r="MC2" s="59" t="inlineStr">
        <is>
          <t>الإثنين</t>
        </is>
      </c>
      <c r="MD2" s="59" t="inlineStr">
        <is>
          <t>الثلاثاء</t>
        </is>
      </c>
      <c r="ME2" s="59" t="inlineStr">
        <is>
          <t>الأربعاء</t>
        </is>
      </c>
      <c r="MF2" s="59" t="inlineStr">
        <is>
          <t>الخميس</t>
        </is>
      </c>
      <c r="MG2" s="59" t="inlineStr">
        <is>
          <t>الجمعة</t>
        </is>
      </c>
      <c r="MH2" s="59" t="inlineStr">
        <is>
          <t>السبت</t>
        </is>
      </c>
      <c r="MI2" s="59" t="inlineStr">
        <is>
          <t>الأحد</t>
        </is>
      </c>
      <c r="MJ2" s="59" t="inlineStr">
        <is>
          <t>الإثنين</t>
        </is>
      </c>
      <c r="MK2" s="59" t="inlineStr">
        <is>
          <t>الثلاثاء</t>
        </is>
      </c>
      <c r="ML2" s="59" t="inlineStr">
        <is>
          <t>الأربعاء</t>
        </is>
      </c>
      <c r="MM2" s="59" t="inlineStr">
        <is>
          <t>الخميس</t>
        </is>
      </c>
      <c r="MN2" s="59" t="inlineStr">
        <is>
          <t>الجمعة</t>
        </is>
      </c>
      <c r="MO2" s="59" t="inlineStr">
        <is>
          <t>السبت</t>
        </is>
      </c>
      <c r="MP2" s="59" t="inlineStr">
        <is>
          <t>الأحد</t>
        </is>
      </c>
      <c r="MQ2" s="59" t="inlineStr">
        <is>
          <t>الإثنين</t>
        </is>
      </c>
      <c r="MR2" s="59" t="inlineStr">
        <is>
          <t>الثلاثاء</t>
        </is>
      </c>
      <c r="MS2" s="59" t="inlineStr">
        <is>
          <t>الأربعاء</t>
        </is>
      </c>
      <c r="MT2" s="59" t="inlineStr">
        <is>
          <t>الخميس</t>
        </is>
      </c>
      <c r="MU2" s="59" t="inlineStr">
        <is>
          <t>الجمعة</t>
        </is>
      </c>
      <c r="MV2" s="59" t="inlineStr">
        <is>
          <t>السبت</t>
        </is>
      </c>
      <c r="MW2" s="59" t="inlineStr">
        <is>
          <t>الأحد</t>
        </is>
      </c>
      <c r="MX2" s="59" t="inlineStr">
        <is>
          <t>الإثنين</t>
        </is>
      </c>
      <c r="MY2" s="59" t="inlineStr">
        <is>
          <t>الثلاثاء</t>
        </is>
      </c>
      <c r="MZ2" s="59" t="inlineStr">
        <is>
          <t>الأربعاء</t>
        </is>
      </c>
      <c r="NA2" s="59" t="inlineStr">
        <is>
          <t>الخميس</t>
        </is>
      </c>
      <c r="NB2" s="59" t="inlineStr">
        <is>
          <t>الجمعة</t>
        </is>
      </c>
      <c r="NC2" s="59" t="inlineStr">
        <is>
          <t>السبت</t>
        </is>
      </c>
      <c r="ND2" s="59" t="inlineStr">
        <is>
          <t>الأحد</t>
        </is>
      </c>
    </row>
    <row r="3">
      <c r="A3" s="14" t="inlineStr">
        <is>
          <t>م</t>
        </is>
      </c>
      <c r="B3" s="14" t="inlineStr">
        <is>
          <t>الاسم</t>
        </is>
      </c>
      <c r="C3" s="14" t="inlineStr">
        <is>
          <t>الرقم الوظيفي</t>
        </is>
      </c>
      <c r="D3" s="60" t="n">
        <v>46187</v>
      </c>
      <c r="E3" s="60" t="n">
        <v>46188</v>
      </c>
      <c r="F3" s="60" t="n">
        <v>46189</v>
      </c>
      <c r="G3" s="60" t="n">
        <v>46190</v>
      </c>
      <c r="H3" s="60" t="n">
        <v>46191</v>
      </c>
      <c r="I3" s="61" t="n">
        <v>46192</v>
      </c>
      <c r="J3" s="60" t="n">
        <v>46193</v>
      </c>
      <c r="K3" s="60" t="n">
        <v>46194</v>
      </c>
      <c r="L3" s="60" t="n">
        <v>46195</v>
      </c>
      <c r="M3" s="60" t="n">
        <v>46196</v>
      </c>
      <c r="N3" s="60" t="n">
        <v>46197</v>
      </c>
      <c r="O3" s="60" t="n">
        <v>46198</v>
      </c>
      <c r="P3" s="61" t="n">
        <v>46199</v>
      </c>
      <c r="Q3" s="60" t="n">
        <v>46200</v>
      </c>
      <c r="R3" s="60" t="n">
        <v>46201</v>
      </c>
      <c r="S3" s="60" t="n">
        <v>46202</v>
      </c>
      <c r="T3" s="60" t="n">
        <v>46203</v>
      </c>
      <c r="U3" s="60" t="n">
        <v>46204</v>
      </c>
      <c r="V3" s="60" t="n">
        <v>46205</v>
      </c>
      <c r="W3" s="61" t="n">
        <v>46206</v>
      </c>
      <c r="X3" s="60" t="n">
        <v>46207</v>
      </c>
      <c r="Y3" s="60" t="n">
        <v>46208</v>
      </c>
      <c r="Z3" s="60" t="n">
        <v>46209</v>
      </c>
      <c r="AA3" s="60" t="n">
        <v>46210</v>
      </c>
      <c r="AB3" s="60" t="n">
        <v>46211</v>
      </c>
      <c r="AC3" s="60" t="n">
        <v>46212</v>
      </c>
      <c r="AD3" s="61" t="n">
        <v>46213</v>
      </c>
      <c r="AE3" s="60" t="n">
        <v>46214</v>
      </c>
      <c r="AF3" s="60" t="n">
        <v>46215</v>
      </c>
      <c r="AG3" s="60" t="n">
        <v>46216</v>
      </c>
      <c r="AH3" s="60" t="n">
        <v>46217</v>
      </c>
      <c r="AI3" s="60" t="n">
        <v>46218</v>
      </c>
      <c r="AJ3" s="60" t="n">
        <v>46219</v>
      </c>
      <c r="AK3" s="61" t="n">
        <v>46220</v>
      </c>
      <c r="AL3" s="60" t="n">
        <v>46221</v>
      </c>
      <c r="AM3" s="60" t="n">
        <v>46222</v>
      </c>
      <c r="AN3" s="60" t="n">
        <v>46223</v>
      </c>
      <c r="AO3" s="60" t="n">
        <v>46224</v>
      </c>
      <c r="AP3" s="60" t="n">
        <v>46225</v>
      </c>
      <c r="AQ3" s="60" t="n">
        <v>46226</v>
      </c>
      <c r="AR3" s="61" t="n">
        <v>46227</v>
      </c>
      <c r="AS3" s="60" t="n">
        <v>46228</v>
      </c>
      <c r="AT3" s="60" t="n">
        <v>46229</v>
      </c>
      <c r="AU3" s="60" t="n">
        <v>46230</v>
      </c>
      <c r="AV3" s="60" t="n">
        <v>46231</v>
      </c>
      <c r="AW3" s="60" t="n">
        <v>46232</v>
      </c>
      <c r="AX3" s="60" t="n">
        <v>46233</v>
      </c>
      <c r="AY3" s="61" t="n">
        <v>46234</v>
      </c>
      <c r="AZ3" s="60" t="n">
        <v>46235</v>
      </c>
      <c r="BA3" s="60" t="n">
        <v>46236</v>
      </c>
      <c r="BB3" s="60" t="n">
        <v>46237</v>
      </c>
      <c r="BC3" s="60" t="n">
        <v>46238</v>
      </c>
      <c r="BD3" s="60" t="n">
        <v>46239</v>
      </c>
      <c r="BE3" s="60" t="n">
        <v>46240</v>
      </c>
      <c r="BF3" s="61" t="n">
        <v>46241</v>
      </c>
      <c r="BG3" s="60" t="n">
        <v>46242</v>
      </c>
      <c r="BH3" s="60" t="n">
        <v>46243</v>
      </c>
      <c r="BI3" s="60" t="n">
        <v>46244</v>
      </c>
      <c r="BJ3" s="60" t="n">
        <v>46245</v>
      </c>
      <c r="BK3" s="60" t="n">
        <v>46246</v>
      </c>
      <c r="BL3" s="60" t="n">
        <v>46247</v>
      </c>
      <c r="BM3" s="61" t="n">
        <v>46248</v>
      </c>
      <c r="BN3" s="60" t="n">
        <v>46249</v>
      </c>
      <c r="BO3" s="60" t="n">
        <v>46250</v>
      </c>
      <c r="BP3" s="60" t="n">
        <v>46251</v>
      </c>
      <c r="BQ3" s="60" t="n">
        <v>46252</v>
      </c>
      <c r="BR3" s="60" t="n">
        <v>46253</v>
      </c>
      <c r="BS3" s="60" t="n">
        <v>46254</v>
      </c>
      <c r="BT3" s="61" t="n">
        <v>46255</v>
      </c>
      <c r="BU3" s="60" t="n">
        <v>46256</v>
      </c>
      <c r="BV3" s="60" t="n">
        <v>46257</v>
      </c>
      <c r="BW3" s="60" t="n">
        <v>46258</v>
      </c>
      <c r="BX3" s="60" t="n">
        <v>46259</v>
      </c>
      <c r="BY3" s="60" t="n">
        <v>46260</v>
      </c>
      <c r="BZ3" s="60" t="n">
        <v>46261</v>
      </c>
      <c r="CA3" s="61" t="n">
        <v>46262</v>
      </c>
      <c r="CB3" s="60" t="n">
        <v>46263</v>
      </c>
      <c r="CC3" s="60" t="n">
        <v>46264</v>
      </c>
      <c r="CD3" s="60" t="n">
        <v>46265</v>
      </c>
      <c r="CE3" s="60" t="n">
        <v>46266</v>
      </c>
      <c r="CF3" s="60" t="n">
        <v>46267</v>
      </c>
      <c r="CG3" s="60" t="n">
        <v>46268</v>
      </c>
      <c r="CH3" s="61" t="n">
        <v>46269</v>
      </c>
      <c r="CI3" s="60" t="n">
        <v>46270</v>
      </c>
      <c r="CJ3" s="60" t="n">
        <v>46271</v>
      </c>
      <c r="CK3" s="60" t="n">
        <v>46272</v>
      </c>
      <c r="CL3" s="60" t="n">
        <v>46273</v>
      </c>
      <c r="CM3" s="60" t="n">
        <v>46274</v>
      </c>
      <c r="CN3" s="60" t="n">
        <v>46275</v>
      </c>
      <c r="CO3" s="61" t="n">
        <v>46276</v>
      </c>
      <c r="CP3" s="60" t="n">
        <v>46277</v>
      </c>
      <c r="CQ3" s="60" t="n">
        <v>46278</v>
      </c>
      <c r="CR3" s="60" t="n">
        <v>46279</v>
      </c>
      <c r="CS3" s="60" t="n">
        <v>46280</v>
      </c>
      <c r="CT3" s="60" t="n">
        <v>46281</v>
      </c>
      <c r="CU3" s="60" t="n">
        <v>46282</v>
      </c>
      <c r="CV3" s="61" t="n">
        <v>46283</v>
      </c>
      <c r="CW3" s="60" t="n">
        <v>46284</v>
      </c>
      <c r="CX3" s="60" t="n">
        <v>46285</v>
      </c>
      <c r="CY3" s="60" t="n">
        <v>46286</v>
      </c>
      <c r="CZ3" s="60" t="n">
        <v>46287</v>
      </c>
      <c r="DA3" s="60" t="n">
        <v>46288</v>
      </c>
      <c r="DB3" s="60" t="n">
        <v>46289</v>
      </c>
      <c r="DC3" s="61" t="n">
        <v>46290</v>
      </c>
      <c r="DD3" s="60" t="n">
        <v>46291</v>
      </c>
      <c r="DE3" s="60" t="n">
        <v>46292</v>
      </c>
      <c r="DF3" s="60" t="n">
        <v>46293</v>
      </c>
      <c r="DG3" s="60" t="n">
        <v>46294</v>
      </c>
      <c r="DH3" s="60" t="n">
        <v>46295</v>
      </c>
      <c r="DI3" s="60" t="n">
        <v>46296</v>
      </c>
      <c r="DJ3" s="61" t="n">
        <v>46297</v>
      </c>
      <c r="DK3" s="60" t="n">
        <v>46298</v>
      </c>
      <c r="DL3" s="60" t="n">
        <v>46299</v>
      </c>
      <c r="DM3" s="60" t="n">
        <v>46300</v>
      </c>
      <c r="DN3" s="60" t="n">
        <v>46301</v>
      </c>
      <c r="DO3" s="60" t="n">
        <v>46302</v>
      </c>
      <c r="DP3" s="60" t="n">
        <v>46303</v>
      </c>
      <c r="DQ3" s="61" t="n">
        <v>46304</v>
      </c>
      <c r="DR3" s="60" t="n">
        <v>46305</v>
      </c>
      <c r="DS3" s="60" t="n">
        <v>46306</v>
      </c>
      <c r="DT3" s="60" t="n">
        <v>46307</v>
      </c>
      <c r="DU3" s="60" t="n">
        <v>46308</v>
      </c>
      <c r="DV3" s="60" t="n">
        <v>46309</v>
      </c>
      <c r="DW3" s="60" t="n">
        <v>46310</v>
      </c>
      <c r="DX3" s="61" t="n">
        <v>46311</v>
      </c>
      <c r="DY3" s="60" t="n">
        <v>46312</v>
      </c>
      <c r="DZ3" s="60" t="n">
        <v>46313</v>
      </c>
      <c r="EA3" s="60" t="n">
        <v>46314</v>
      </c>
      <c r="EB3" s="60" t="n">
        <v>46315</v>
      </c>
      <c r="EC3" s="60" t="n">
        <v>46316</v>
      </c>
      <c r="ED3" s="60" t="n">
        <v>46317</v>
      </c>
      <c r="EE3" s="61" t="n">
        <v>46318</v>
      </c>
      <c r="EF3" s="60" t="n">
        <v>46319</v>
      </c>
      <c r="EG3" s="60" t="n">
        <v>46320</v>
      </c>
      <c r="EH3" s="60" t="n">
        <v>46321</v>
      </c>
      <c r="EI3" s="60" t="n">
        <v>46322</v>
      </c>
      <c r="EJ3" s="60" t="n">
        <v>46323</v>
      </c>
      <c r="EK3" s="60" t="n">
        <v>46324</v>
      </c>
      <c r="EL3" s="61" t="n">
        <v>46325</v>
      </c>
      <c r="EM3" s="60" t="n">
        <v>46326</v>
      </c>
      <c r="EN3" s="60" t="n">
        <v>46327</v>
      </c>
      <c r="EO3" s="60" t="n">
        <v>46328</v>
      </c>
      <c r="EP3" s="60" t="n">
        <v>46329</v>
      </c>
      <c r="EQ3" s="60" t="n">
        <v>46330</v>
      </c>
      <c r="ER3" s="60" t="n">
        <v>46331</v>
      </c>
      <c r="ES3" s="61" t="n">
        <v>46332</v>
      </c>
      <c r="ET3" s="60" t="n">
        <v>46333</v>
      </c>
      <c r="EU3" s="60" t="n">
        <v>46334</v>
      </c>
      <c r="EV3" s="60" t="n">
        <v>46335</v>
      </c>
      <c r="EW3" s="60" t="n">
        <v>46336</v>
      </c>
      <c r="EX3" s="60" t="n">
        <v>46337</v>
      </c>
      <c r="EY3" s="60" t="n">
        <v>46338</v>
      </c>
      <c r="EZ3" s="61" t="n">
        <v>46339</v>
      </c>
      <c r="FA3" s="60" t="n">
        <v>46340</v>
      </c>
      <c r="FB3" s="60" t="n">
        <v>46341</v>
      </c>
      <c r="FC3" s="60" t="n">
        <v>46342</v>
      </c>
      <c r="FD3" s="60" t="n">
        <v>46343</v>
      </c>
      <c r="FE3" s="60" t="n">
        <v>46344</v>
      </c>
      <c r="FF3" s="60" t="n">
        <v>46345</v>
      </c>
      <c r="FG3" s="61" t="n">
        <v>46346</v>
      </c>
      <c r="FH3" s="60" t="n">
        <v>46347</v>
      </c>
      <c r="FI3" s="60" t="n">
        <v>46348</v>
      </c>
      <c r="FJ3" s="60" t="n">
        <v>46349</v>
      </c>
      <c r="FK3" s="60" t="n">
        <v>46350</v>
      </c>
      <c r="FL3" s="60" t="n">
        <v>46351</v>
      </c>
      <c r="FM3" s="60" t="n">
        <v>46352</v>
      </c>
      <c r="FN3" s="61" t="n">
        <v>46353</v>
      </c>
      <c r="FO3" s="60" t="n">
        <v>46354</v>
      </c>
      <c r="FP3" s="60" t="n">
        <v>46355</v>
      </c>
      <c r="FQ3" s="60" t="n">
        <v>46356</v>
      </c>
      <c r="FR3" s="60" t="n">
        <v>46357</v>
      </c>
      <c r="FS3" s="60" t="n">
        <v>46358</v>
      </c>
      <c r="FT3" s="60" t="n">
        <v>46359</v>
      </c>
      <c r="FU3" s="61" t="n">
        <v>46360</v>
      </c>
      <c r="FV3" s="60" t="n">
        <v>46361</v>
      </c>
      <c r="FW3" s="60" t="n">
        <v>46362</v>
      </c>
      <c r="FX3" s="60" t="n">
        <v>46363</v>
      </c>
      <c r="FY3" s="60" t="n">
        <v>46364</v>
      </c>
      <c r="FZ3" s="60" t="n">
        <v>46365</v>
      </c>
      <c r="GA3" s="60" t="n">
        <v>46366</v>
      </c>
      <c r="GB3" s="61" t="n">
        <v>46367</v>
      </c>
      <c r="GC3" s="60" t="n">
        <v>46368</v>
      </c>
      <c r="GD3" s="60" t="n">
        <v>46369</v>
      </c>
      <c r="GE3" s="60" t="n">
        <v>46370</v>
      </c>
      <c r="GF3" s="60" t="n">
        <v>46371</v>
      </c>
      <c r="GG3" s="60" t="n">
        <v>46372</v>
      </c>
      <c r="GH3" s="60" t="n">
        <v>46373</v>
      </c>
      <c r="GI3" s="61" t="n">
        <v>46374</v>
      </c>
      <c r="GJ3" s="60" t="n">
        <v>46375</v>
      </c>
      <c r="GK3" s="60" t="n">
        <v>46376</v>
      </c>
      <c r="GL3" s="60" t="n">
        <v>46377</v>
      </c>
      <c r="GM3" s="60" t="n">
        <v>46378</v>
      </c>
      <c r="GN3" s="60" t="n">
        <v>46379</v>
      </c>
      <c r="GO3" s="60" t="n">
        <v>46380</v>
      </c>
      <c r="GP3" s="61" t="n">
        <v>46381</v>
      </c>
      <c r="GQ3" s="60" t="n">
        <v>46382</v>
      </c>
      <c r="GR3" s="60" t="n">
        <v>46383</v>
      </c>
      <c r="GS3" s="60" t="n">
        <v>46384</v>
      </c>
      <c r="GT3" s="60" t="n">
        <v>46385</v>
      </c>
      <c r="GU3" s="60" t="n">
        <v>46386</v>
      </c>
      <c r="GV3" s="60" t="n">
        <v>46387</v>
      </c>
      <c r="GW3" s="61" t="n">
        <v>46388</v>
      </c>
      <c r="GX3" s="60" t="n">
        <v>46389</v>
      </c>
      <c r="GY3" s="60" t="n">
        <v>46390</v>
      </c>
      <c r="GZ3" s="60" t="n">
        <v>46391</v>
      </c>
      <c r="HA3" s="60" t="n">
        <v>46392</v>
      </c>
      <c r="HB3" s="60" t="n">
        <v>46393</v>
      </c>
      <c r="HC3" s="60" t="n">
        <v>46394</v>
      </c>
      <c r="HD3" s="61" t="n">
        <v>46395</v>
      </c>
      <c r="HE3" s="60" t="n">
        <v>46396</v>
      </c>
      <c r="HF3" s="60" t="n">
        <v>46397</v>
      </c>
      <c r="HG3" s="60" t="n">
        <v>46398</v>
      </c>
      <c r="HH3" s="60" t="n">
        <v>46399</v>
      </c>
      <c r="HI3" s="60" t="n">
        <v>46400</v>
      </c>
      <c r="HJ3" s="60" t="n">
        <v>46401</v>
      </c>
      <c r="HK3" s="61" t="n">
        <v>46402</v>
      </c>
      <c r="HL3" s="60" t="n">
        <v>46403</v>
      </c>
      <c r="HM3" s="60" t="n">
        <v>46404</v>
      </c>
      <c r="HN3" s="60" t="n">
        <v>46405</v>
      </c>
      <c r="HO3" s="60" t="n">
        <v>46406</v>
      </c>
      <c r="HP3" s="60" t="n">
        <v>46407</v>
      </c>
      <c r="HQ3" s="60" t="n">
        <v>46408</v>
      </c>
      <c r="HR3" s="61" t="n">
        <v>46409</v>
      </c>
      <c r="HS3" s="60" t="n">
        <v>46410</v>
      </c>
      <c r="HT3" s="60" t="n">
        <v>46411</v>
      </c>
      <c r="HU3" s="60" t="n">
        <v>46412</v>
      </c>
      <c r="HV3" s="60" t="n">
        <v>46413</v>
      </c>
      <c r="HW3" s="60" t="n">
        <v>46414</v>
      </c>
      <c r="HX3" s="60" t="n">
        <v>46415</v>
      </c>
      <c r="HY3" s="61" t="n">
        <v>46416</v>
      </c>
      <c r="HZ3" s="60" t="n">
        <v>46417</v>
      </c>
      <c r="IA3" s="60" t="n">
        <v>46418</v>
      </c>
      <c r="IB3" s="60" t="n">
        <v>46419</v>
      </c>
      <c r="IC3" s="60" t="n">
        <v>46420</v>
      </c>
      <c r="ID3" s="60" t="n">
        <v>46421</v>
      </c>
      <c r="IE3" s="60" t="n">
        <v>46422</v>
      </c>
      <c r="IF3" s="61" t="n">
        <v>46423</v>
      </c>
      <c r="IG3" s="60" t="n">
        <v>46424</v>
      </c>
      <c r="IH3" s="60" t="n">
        <v>46425</v>
      </c>
      <c r="II3" s="60" t="n">
        <v>46426</v>
      </c>
      <c r="IJ3" s="60" t="n">
        <v>46427</v>
      </c>
      <c r="IK3" s="60" t="n">
        <v>46428</v>
      </c>
      <c r="IL3" s="60" t="n">
        <v>46429</v>
      </c>
      <c r="IM3" s="61" t="n">
        <v>46430</v>
      </c>
      <c r="IN3" s="60" t="n">
        <v>46431</v>
      </c>
      <c r="IO3" s="60" t="n">
        <v>46432</v>
      </c>
      <c r="IP3" s="60" t="n">
        <v>46433</v>
      </c>
      <c r="IQ3" s="60" t="n">
        <v>46434</v>
      </c>
      <c r="IR3" s="60" t="n">
        <v>46435</v>
      </c>
      <c r="IS3" s="60" t="n">
        <v>46436</v>
      </c>
      <c r="IT3" s="61" t="n">
        <v>46437</v>
      </c>
      <c r="IU3" s="60" t="n">
        <v>46438</v>
      </c>
      <c r="IV3" s="60" t="n">
        <v>46439</v>
      </c>
      <c r="IW3" s="60" t="n">
        <v>46440</v>
      </c>
      <c r="IX3" s="60" t="n">
        <v>46441</v>
      </c>
      <c r="IY3" s="60" t="n">
        <v>46442</v>
      </c>
      <c r="IZ3" s="60" t="n">
        <v>46443</v>
      </c>
      <c r="JA3" s="61" t="n">
        <v>46444</v>
      </c>
      <c r="JB3" s="60" t="n">
        <v>46445</v>
      </c>
      <c r="JC3" s="60" t="n">
        <v>46446</v>
      </c>
      <c r="JD3" s="60" t="n">
        <v>46447</v>
      </c>
      <c r="JE3" s="60" t="n">
        <v>46448</v>
      </c>
      <c r="JF3" s="60" t="n">
        <v>46449</v>
      </c>
      <c r="JG3" s="60" t="n">
        <v>46450</v>
      </c>
      <c r="JH3" s="61" t="n">
        <v>46451</v>
      </c>
      <c r="JI3" s="60" t="n">
        <v>46452</v>
      </c>
      <c r="JJ3" s="60" t="n">
        <v>46453</v>
      </c>
      <c r="JK3" s="60" t="n">
        <v>46454</v>
      </c>
      <c r="JL3" s="60" t="n">
        <v>46455</v>
      </c>
      <c r="JM3" s="60" t="n">
        <v>46456</v>
      </c>
      <c r="JN3" s="60" t="n">
        <v>46457</v>
      </c>
      <c r="JO3" s="61" t="n">
        <v>46458</v>
      </c>
      <c r="JP3" s="60" t="n">
        <v>46459</v>
      </c>
      <c r="JQ3" s="60" t="n">
        <v>46460</v>
      </c>
      <c r="JR3" s="60" t="n">
        <v>46461</v>
      </c>
      <c r="JS3" s="60" t="n">
        <v>46462</v>
      </c>
      <c r="JT3" s="60" t="n">
        <v>46463</v>
      </c>
      <c r="JU3" s="60" t="n">
        <v>46464</v>
      </c>
      <c r="JV3" s="61" t="n">
        <v>46465</v>
      </c>
      <c r="JW3" s="60" t="n">
        <v>46466</v>
      </c>
      <c r="JX3" s="60" t="n">
        <v>46467</v>
      </c>
      <c r="JY3" s="60" t="n">
        <v>46468</v>
      </c>
      <c r="JZ3" s="60" t="n">
        <v>46469</v>
      </c>
      <c r="KA3" s="60" t="n">
        <v>46470</v>
      </c>
      <c r="KB3" s="60" t="n">
        <v>46471</v>
      </c>
      <c r="KC3" s="61" t="n">
        <v>46472</v>
      </c>
      <c r="KD3" s="60" t="n">
        <v>46473</v>
      </c>
      <c r="KE3" s="60" t="n">
        <v>46474</v>
      </c>
      <c r="KF3" s="60" t="n">
        <v>46475</v>
      </c>
      <c r="KG3" s="60" t="n">
        <v>46476</v>
      </c>
      <c r="KH3" s="60" t="n">
        <v>46477</v>
      </c>
      <c r="KI3" s="60" t="n">
        <v>46478</v>
      </c>
      <c r="KJ3" s="61" t="n">
        <v>46479</v>
      </c>
      <c r="KK3" s="60" t="n">
        <v>46480</v>
      </c>
      <c r="KL3" s="60" t="n">
        <v>46481</v>
      </c>
      <c r="KM3" s="60" t="n">
        <v>46482</v>
      </c>
      <c r="KN3" s="60" t="n">
        <v>46483</v>
      </c>
      <c r="KO3" s="60" t="n">
        <v>46484</v>
      </c>
      <c r="KP3" s="60" t="n">
        <v>46485</v>
      </c>
      <c r="KQ3" s="61" t="n">
        <v>46486</v>
      </c>
      <c r="KR3" s="60" t="n">
        <v>46487</v>
      </c>
      <c r="KS3" s="60" t="n">
        <v>46488</v>
      </c>
      <c r="KT3" s="60" t="n">
        <v>46489</v>
      </c>
      <c r="KU3" s="60" t="n">
        <v>46490</v>
      </c>
      <c r="KV3" s="60" t="n">
        <v>46491</v>
      </c>
      <c r="KW3" s="60" t="n">
        <v>46492</v>
      </c>
      <c r="KX3" s="61" t="n">
        <v>46493</v>
      </c>
      <c r="KY3" s="60" t="n">
        <v>46494</v>
      </c>
      <c r="KZ3" s="60" t="n">
        <v>46495</v>
      </c>
      <c r="LA3" s="60" t="n">
        <v>46496</v>
      </c>
      <c r="LB3" s="60" t="n">
        <v>46497</v>
      </c>
      <c r="LC3" s="60" t="n">
        <v>46498</v>
      </c>
      <c r="LD3" s="60" t="n">
        <v>46499</v>
      </c>
      <c r="LE3" s="61" t="n">
        <v>46500</v>
      </c>
      <c r="LF3" s="60" t="n">
        <v>46501</v>
      </c>
      <c r="LG3" s="60" t="n">
        <v>46502</v>
      </c>
      <c r="LH3" s="60" t="n">
        <v>46503</v>
      </c>
      <c r="LI3" s="60" t="n">
        <v>46504</v>
      </c>
      <c r="LJ3" s="60" t="n">
        <v>46505</v>
      </c>
      <c r="LK3" s="60" t="n">
        <v>46506</v>
      </c>
      <c r="LL3" s="61" t="n">
        <v>46507</v>
      </c>
      <c r="LM3" s="60" t="n">
        <v>46508</v>
      </c>
      <c r="LN3" s="60" t="n">
        <v>46509</v>
      </c>
      <c r="LO3" s="60" t="n">
        <v>46510</v>
      </c>
      <c r="LP3" s="60" t="n">
        <v>46511</v>
      </c>
      <c r="LQ3" s="60" t="n">
        <v>46512</v>
      </c>
      <c r="LR3" s="60" t="n">
        <v>46513</v>
      </c>
      <c r="LS3" s="61" t="n">
        <v>46514</v>
      </c>
      <c r="LT3" s="60" t="n">
        <v>46515</v>
      </c>
      <c r="LU3" s="60" t="n">
        <v>46516</v>
      </c>
      <c r="LV3" s="60" t="n">
        <v>46517</v>
      </c>
      <c r="LW3" s="60" t="n">
        <v>46518</v>
      </c>
      <c r="LX3" s="60" t="n">
        <v>46519</v>
      </c>
      <c r="LY3" s="60" t="n">
        <v>46520</v>
      </c>
      <c r="LZ3" s="61" t="n">
        <v>46521</v>
      </c>
      <c r="MA3" s="60" t="n">
        <v>46522</v>
      </c>
      <c r="MB3" s="60" t="n">
        <v>46523</v>
      </c>
      <c r="MC3" s="60" t="n">
        <v>46524</v>
      </c>
      <c r="MD3" s="60" t="n">
        <v>46525</v>
      </c>
      <c r="ME3" s="60" t="n">
        <v>46526</v>
      </c>
      <c r="MF3" s="60" t="n">
        <v>46527</v>
      </c>
      <c r="MG3" s="61" t="n">
        <v>46528</v>
      </c>
      <c r="MH3" s="60" t="n">
        <v>46529</v>
      </c>
      <c r="MI3" s="60" t="n">
        <v>46530</v>
      </c>
      <c r="MJ3" s="60" t="n">
        <v>46531</v>
      </c>
      <c r="MK3" s="60" t="n">
        <v>46532</v>
      </c>
      <c r="ML3" s="60" t="n">
        <v>46533</v>
      </c>
      <c r="MM3" s="60" t="n">
        <v>46534</v>
      </c>
      <c r="MN3" s="61" t="n">
        <v>46535</v>
      </c>
      <c r="MO3" s="60" t="n">
        <v>46536</v>
      </c>
      <c r="MP3" s="60" t="n">
        <v>46537</v>
      </c>
      <c r="MQ3" s="60" t="n">
        <v>46538</v>
      </c>
      <c r="MR3" s="60" t="n">
        <v>46539</v>
      </c>
      <c r="MS3" s="60" t="n">
        <v>46540</v>
      </c>
      <c r="MT3" s="60" t="n">
        <v>46541</v>
      </c>
      <c r="MU3" s="61" t="n">
        <v>46542</v>
      </c>
      <c r="MV3" s="60" t="n">
        <v>46543</v>
      </c>
      <c r="MW3" s="60" t="n">
        <v>46544</v>
      </c>
      <c r="MX3" s="60" t="n">
        <v>46545</v>
      </c>
      <c r="MY3" s="60" t="n">
        <v>46546</v>
      </c>
      <c r="MZ3" s="60" t="n">
        <v>46547</v>
      </c>
      <c r="NA3" s="60" t="n">
        <v>46548</v>
      </c>
      <c r="NB3" s="61" t="n">
        <v>46549</v>
      </c>
      <c r="NC3" s="60" t="n">
        <v>46550</v>
      </c>
      <c r="ND3" s="60" t="n">
        <v>46551</v>
      </c>
      <c r="NE3" s="14" t="inlineStr">
        <is>
          <t>إجمالي الأيام</t>
        </is>
      </c>
    </row>
    <row r="4">
      <c r="A4" s="16" t="n">
        <v>1</v>
      </c>
      <c r="B4" s="22">
        <f>'الموظفون'!B2</f>
        <v/>
      </c>
      <c r="C4" s="16">
        <f>'الموظفون'!C2</f>
        <v/>
      </c>
      <c r="D4" s="62">
        <f>IF(SUMPRODUCT(('حجز الإجازات'!$B$5:$B$104='الموظفون'!$B$2)*('حجز الإجازات'!$D$5:$D$104&lt;=D$3)*(('حجز الإجازات'!$E$5:$E$104)&gt;=D$3)*('حجز الإجازات'!$G$5:$G$104="معتمد")*ROW('حجز الإجازات'!$B$5:$B$104))=0,"",INDEX('حجز الإجازات'!$C$5:$C$104,(SUMPRODUCT(('حجز الإجازات'!$B$5:$B$104='الموظفون'!$B$2)*('حجز الإجازات'!$D$5:$D$104&lt;=D$3)*(('حجز الإجازات'!$E$5:$E$104)&gt;=D$3)*('حجز الإجازات'!$G$5:$G$104="معتمد")*ROW('حجز الإجازات'!$B$5:$B$104)))-5+1))</f>
        <v/>
      </c>
      <c r="E4" s="62">
        <f>IF(SUMPRODUCT(('حجز الإجازات'!$B$5:$B$104='الموظفون'!$B$2)*('حجز الإجازات'!$D$5:$D$104&lt;=E$3)*(('حجز الإجازات'!$E$5:$E$104)&gt;=E$3)*('حجز الإجازات'!$G$5:$G$104="معتمد")*ROW('حجز الإجازات'!$B$5:$B$104))=0,"",INDEX('حجز الإجازات'!$C$5:$C$104,(SUMPRODUCT(('حجز الإجازات'!$B$5:$B$104='الموظفون'!$B$2)*('حجز الإجازات'!$D$5:$D$104&lt;=E$3)*(('حجز الإجازات'!$E$5:$E$104)&gt;=E$3)*('حجز الإجازات'!$G$5:$G$104="معتمد")*ROW('حجز الإجازات'!$B$5:$B$104)))-5+1))</f>
        <v/>
      </c>
      <c r="F4" s="62">
        <f>IF(SUMPRODUCT(('حجز الإجازات'!$B$5:$B$104='الموظفون'!$B$2)*('حجز الإجازات'!$D$5:$D$104&lt;=F$3)*(('حجز الإجازات'!$E$5:$E$104)&gt;=F$3)*('حجز الإجازات'!$G$5:$G$104="معتمد")*ROW('حجز الإجازات'!$B$5:$B$104))=0,"",INDEX('حجز الإجازات'!$C$5:$C$104,(SUMPRODUCT(('حجز الإجازات'!$B$5:$B$104='الموظفون'!$B$2)*('حجز الإجازات'!$D$5:$D$104&lt;=F$3)*(('حجز الإجازات'!$E$5:$E$104)&gt;=F$3)*('حجز الإجازات'!$G$5:$G$104="معتمد")*ROW('حجز الإجازات'!$B$5:$B$104)))-5+1))</f>
        <v/>
      </c>
      <c r="G4" s="62">
        <f>IF(SUMPRODUCT(('حجز الإجازات'!$B$5:$B$104='الموظفون'!$B$2)*('حجز الإجازات'!$D$5:$D$104&lt;=G$3)*(('حجز الإجازات'!$E$5:$E$104)&gt;=G$3)*('حجز الإجازات'!$G$5:$G$104="معتمد")*ROW('حجز الإجازات'!$B$5:$B$104))=0,"",INDEX('حجز الإجازات'!$C$5:$C$104,(SUMPRODUCT(('حجز الإجازات'!$B$5:$B$104='الموظفون'!$B$2)*('حجز الإجازات'!$D$5:$D$104&lt;=G$3)*(('حجز الإجازات'!$E$5:$E$104)&gt;=G$3)*('حجز الإجازات'!$G$5:$G$104="معتمد")*ROW('حجز الإجازات'!$B$5:$B$104)))-5+1))</f>
        <v/>
      </c>
      <c r="H4" s="62">
        <f>IF(SUMPRODUCT(('حجز الإجازات'!$B$5:$B$104='الموظفون'!$B$2)*('حجز الإجازات'!$D$5:$D$104&lt;=H$3)*(('حجز الإجازات'!$E$5:$E$104)&gt;=H$3)*('حجز الإجازات'!$G$5:$G$104="معتمد")*ROW('حجز الإجازات'!$B$5:$B$104))=0,"",INDEX('حجز الإجازات'!$C$5:$C$104,(SUMPRODUCT(('حجز الإجازات'!$B$5:$B$104='الموظفون'!$B$2)*('حجز الإجازات'!$D$5:$D$104&lt;=H$3)*(('حجز الإجازات'!$E$5:$E$104)&gt;=H$3)*('حجز الإجازات'!$G$5:$G$104="معتمد")*ROW('حجز الإجازات'!$B$5:$B$104)))-5+1))</f>
        <v/>
      </c>
      <c r="I4" s="62">
        <f>IF(SUMPRODUCT(('حجز الإجازات'!$B$5:$B$104='الموظفون'!$B$2)*('حجز الإجازات'!$D$5:$D$104&lt;=I$3)*(('حجز الإجازات'!$E$5:$E$104)&gt;=I$3)*('حجز الإجازات'!$G$5:$G$104="معتمد")*ROW('حجز الإجازات'!$B$5:$B$104))=0,"",INDEX('حجز الإجازات'!$C$5:$C$104,(SUMPRODUCT(('حجز الإجازات'!$B$5:$B$104='الموظفون'!$B$2)*('حجز الإجازات'!$D$5:$D$104&lt;=I$3)*(('حجز الإجازات'!$E$5:$E$104)&gt;=I$3)*('حجز الإجازات'!$G$5:$G$104="معتمد")*ROW('حجز الإجازات'!$B$5:$B$104)))-5+1))</f>
        <v/>
      </c>
      <c r="J4" s="62">
        <f>IF(SUMPRODUCT(('حجز الإجازات'!$B$5:$B$104='الموظفون'!$B$2)*('حجز الإجازات'!$D$5:$D$104&lt;=J$3)*(('حجز الإجازات'!$E$5:$E$104)&gt;=J$3)*('حجز الإجازات'!$G$5:$G$104="معتمد")*ROW('حجز الإجازات'!$B$5:$B$104))=0,"",INDEX('حجز الإجازات'!$C$5:$C$104,(SUMPRODUCT(('حجز الإجازات'!$B$5:$B$104='الموظفون'!$B$2)*('حجز الإجازات'!$D$5:$D$104&lt;=J$3)*(('حجز الإجازات'!$E$5:$E$104)&gt;=J$3)*('حجز الإجازات'!$G$5:$G$104="معتمد")*ROW('حجز الإجازات'!$B$5:$B$104)))-5+1))</f>
        <v/>
      </c>
      <c r="K4" s="62">
        <f>IF(SUMPRODUCT(('حجز الإجازات'!$B$5:$B$104='الموظفون'!$B$2)*('حجز الإجازات'!$D$5:$D$104&lt;=K$3)*(('حجز الإجازات'!$E$5:$E$104)&gt;=K$3)*('حجز الإجازات'!$G$5:$G$104="معتمد")*ROW('حجز الإجازات'!$B$5:$B$104))=0,"",INDEX('حجز الإجازات'!$C$5:$C$104,(SUMPRODUCT(('حجز الإجازات'!$B$5:$B$104='الموظفون'!$B$2)*('حجز الإجازات'!$D$5:$D$104&lt;=K$3)*(('حجز الإجازات'!$E$5:$E$104)&gt;=K$3)*('حجز الإجازات'!$G$5:$G$104="معتمد")*ROW('حجز الإجازات'!$B$5:$B$104)))-5+1))</f>
        <v/>
      </c>
      <c r="L4" s="62">
        <f>IF(SUMPRODUCT(('حجز الإجازات'!$B$5:$B$104='الموظفون'!$B$2)*('حجز الإجازات'!$D$5:$D$104&lt;=L$3)*(('حجز الإجازات'!$E$5:$E$104)&gt;=L$3)*('حجز الإجازات'!$G$5:$G$104="معتمد")*ROW('حجز الإجازات'!$B$5:$B$104))=0,"",INDEX('حجز الإجازات'!$C$5:$C$104,(SUMPRODUCT(('حجز الإجازات'!$B$5:$B$104='الموظفون'!$B$2)*('حجز الإجازات'!$D$5:$D$104&lt;=L$3)*(('حجز الإجازات'!$E$5:$E$104)&gt;=L$3)*('حجز الإجازات'!$G$5:$G$104="معتمد")*ROW('حجز الإجازات'!$B$5:$B$104)))-5+1))</f>
        <v/>
      </c>
      <c r="M4" s="62">
        <f>IF(SUMPRODUCT(('حجز الإجازات'!$B$5:$B$104='الموظفون'!$B$2)*('حجز الإجازات'!$D$5:$D$104&lt;=M$3)*(('حجز الإجازات'!$E$5:$E$104)&gt;=M$3)*('حجز الإجازات'!$G$5:$G$104="معتمد")*ROW('حجز الإجازات'!$B$5:$B$104))=0,"",INDEX('حجز الإجازات'!$C$5:$C$104,(SUMPRODUCT(('حجز الإجازات'!$B$5:$B$104='الموظفون'!$B$2)*('حجز الإجازات'!$D$5:$D$104&lt;=M$3)*(('حجز الإجازات'!$E$5:$E$104)&gt;=M$3)*('حجز الإجازات'!$G$5:$G$104="معتمد")*ROW('حجز الإجازات'!$B$5:$B$104)))-5+1))</f>
        <v/>
      </c>
      <c r="N4" s="62">
        <f>IF(SUMPRODUCT(('حجز الإجازات'!$B$5:$B$104='الموظفون'!$B$2)*('حجز الإجازات'!$D$5:$D$104&lt;=N$3)*(('حجز الإجازات'!$E$5:$E$104)&gt;=N$3)*('حجز الإجازات'!$G$5:$G$104="معتمد")*ROW('حجز الإجازات'!$B$5:$B$104))=0,"",INDEX('حجز الإجازات'!$C$5:$C$104,(SUMPRODUCT(('حجز الإجازات'!$B$5:$B$104='الموظفون'!$B$2)*('حجز الإجازات'!$D$5:$D$104&lt;=N$3)*(('حجز الإجازات'!$E$5:$E$104)&gt;=N$3)*('حجز الإجازات'!$G$5:$G$104="معتمد")*ROW('حجز الإجازات'!$B$5:$B$104)))-5+1))</f>
        <v/>
      </c>
      <c r="O4" s="62">
        <f>IF(SUMPRODUCT(('حجز الإجازات'!$B$5:$B$104='الموظفون'!$B$2)*('حجز الإجازات'!$D$5:$D$104&lt;=O$3)*(('حجز الإجازات'!$E$5:$E$104)&gt;=O$3)*('حجز الإجازات'!$G$5:$G$104="معتمد")*ROW('حجز الإجازات'!$B$5:$B$104))=0,"",INDEX('حجز الإجازات'!$C$5:$C$104,(SUMPRODUCT(('حجز الإجازات'!$B$5:$B$104='الموظفون'!$B$2)*('حجز الإجازات'!$D$5:$D$104&lt;=O$3)*(('حجز الإجازات'!$E$5:$E$104)&gt;=O$3)*('حجز الإجازات'!$G$5:$G$104="معتمد")*ROW('حجز الإجازات'!$B$5:$B$104)))-5+1))</f>
        <v/>
      </c>
      <c r="P4" s="62">
        <f>IF(SUMPRODUCT(('حجز الإجازات'!$B$5:$B$104='الموظفون'!$B$2)*('حجز الإجازات'!$D$5:$D$104&lt;=P$3)*(('حجز الإجازات'!$E$5:$E$104)&gt;=P$3)*('حجز الإجازات'!$G$5:$G$104="معتمد")*ROW('حجز الإجازات'!$B$5:$B$104))=0,"",INDEX('حجز الإجازات'!$C$5:$C$104,(SUMPRODUCT(('حجز الإجازات'!$B$5:$B$104='الموظفون'!$B$2)*('حجز الإجازات'!$D$5:$D$104&lt;=P$3)*(('حجز الإجازات'!$E$5:$E$104)&gt;=P$3)*('حجز الإجازات'!$G$5:$G$104="معتمد")*ROW('حجز الإجازات'!$B$5:$B$104)))-5+1))</f>
        <v/>
      </c>
      <c r="Q4" s="62">
        <f>IF(SUMPRODUCT(('حجز الإجازات'!$B$5:$B$104='الموظفون'!$B$2)*('حجز الإجازات'!$D$5:$D$104&lt;=Q$3)*(('حجز الإجازات'!$E$5:$E$104)&gt;=Q$3)*('حجز الإجازات'!$G$5:$G$104="معتمد")*ROW('حجز الإجازات'!$B$5:$B$104))=0,"",INDEX('حجز الإجازات'!$C$5:$C$104,(SUMPRODUCT(('حجز الإجازات'!$B$5:$B$104='الموظفون'!$B$2)*('حجز الإجازات'!$D$5:$D$104&lt;=Q$3)*(('حجز الإجازات'!$E$5:$E$104)&gt;=Q$3)*('حجز الإجازات'!$G$5:$G$104="معتمد")*ROW('حجز الإجازات'!$B$5:$B$104)))-5+1))</f>
        <v/>
      </c>
      <c r="R4" s="62">
        <f>IF(SUMPRODUCT(('حجز الإجازات'!$B$5:$B$104='الموظفون'!$B$2)*('حجز الإجازات'!$D$5:$D$104&lt;=R$3)*(('حجز الإجازات'!$E$5:$E$104)&gt;=R$3)*('حجز الإجازات'!$G$5:$G$104="معتمد")*ROW('حجز الإجازات'!$B$5:$B$104))=0,"",INDEX('حجز الإجازات'!$C$5:$C$104,(SUMPRODUCT(('حجز الإجازات'!$B$5:$B$104='الموظفون'!$B$2)*('حجز الإجازات'!$D$5:$D$104&lt;=R$3)*(('حجز الإجازات'!$E$5:$E$104)&gt;=R$3)*('حجز الإجازات'!$G$5:$G$104="معتمد")*ROW('حجز الإجازات'!$B$5:$B$104)))-5+1))</f>
        <v/>
      </c>
      <c r="S4" s="62">
        <f>IF(SUMPRODUCT(('حجز الإجازات'!$B$5:$B$104='الموظفون'!$B$2)*('حجز الإجازات'!$D$5:$D$104&lt;=S$3)*(('حجز الإجازات'!$E$5:$E$104)&gt;=S$3)*('حجز الإجازات'!$G$5:$G$104="معتمد")*ROW('حجز الإجازات'!$B$5:$B$104))=0,"",INDEX('حجز الإجازات'!$C$5:$C$104,(SUMPRODUCT(('حجز الإجازات'!$B$5:$B$104='الموظفون'!$B$2)*('حجز الإجازات'!$D$5:$D$104&lt;=S$3)*(('حجز الإجازات'!$E$5:$E$104)&gt;=S$3)*('حجز الإجازات'!$G$5:$G$104="معتمد")*ROW('حجز الإجازات'!$B$5:$B$104)))-5+1))</f>
        <v/>
      </c>
      <c r="T4" s="62">
        <f>IF(SUMPRODUCT(('حجز الإجازات'!$B$5:$B$104='الموظفون'!$B$2)*('حجز الإجازات'!$D$5:$D$104&lt;=T$3)*(('حجز الإجازات'!$E$5:$E$104)&gt;=T$3)*('حجز الإجازات'!$G$5:$G$104="معتمد")*ROW('حجز الإجازات'!$B$5:$B$104))=0,"",INDEX('حجز الإجازات'!$C$5:$C$104,(SUMPRODUCT(('حجز الإجازات'!$B$5:$B$104='الموظفون'!$B$2)*('حجز الإجازات'!$D$5:$D$104&lt;=T$3)*(('حجز الإجازات'!$E$5:$E$104)&gt;=T$3)*('حجز الإجازات'!$G$5:$G$104="معتمد")*ROW('حجز الإجازات'!$B$5:$B$104)))-5+1))</f>
        <v/>
      </c>
      <c r="U4" s="62">
        <f>IF(SUMPRODUCT(('حجز الإجازات'!$B$5:$B$104='الموظفون'!$B$2)*('حجز الإجازات'!$D$5:$D$104&lt;=U$3)*(('حجز الإجازات'!$E$5:$E$104)&gt;=U$3)*('حجز الإجازات'!$G$5:$G$104="معتمد")*ROW('حجز الإجازات'!$B$5:$B$104))=0,"",INDEX('حجز الإجازات'!$C$5:$C$104,(SUMPRODUCT(('حجز الإجازات'!$B$5:$B$104='الموظفون'!$B$2)*('حجز الإجازات'!$D$5:$D$104&lt;=U$3)*(('حجز الإجازات'!$E$5:$E$104)&gt;=U$3)*('حجز الإجازات'!$G$5:$G$104="معتمد")*ROW('حجز الإجازات'!$B$5:$B$104)))-5+1))</f>
        <v/>
      </c>
      <c r="V4" s="62">
        <f>IF(SUMPRODUCT(('حجز الإجازات'!$B$5:$B$104='الموظفون'!$B$2)*('حجز الإجازات'!$D$5:$D$104&lt;=V$3)*(('حجز الإجازات'!$E$5:$E$104)&gt;=V$3)*('حجز الإجازات'!$G$5:$G$104="معتمد")*ROW('حجز الإجازات'!$B$5:$B$104))=0,"",INDEX('حجز الإجازات'!$C$5:$C$104,(SUMPRODUCT(('حجز الإجازات'!$B$5:$B$104='الموظفون'!$B$2)*('حجز الإجازات'!$D$5:$D$104&lt;=V$3)*(('حجز الإجازات'!$E$5:$E$104)&gt;=V$3)*('حجز الإجازات'!$G$5:$G$104="معتمد")*ROW('حجز الإجازات'!$B$5:$B$104)))-5+1))</f>
        <v/>
      </c>
      <c r="W4" s="62">
        <f>IF(SUMPRODUCT(('حجز الإجازات'!$B$5:$B$104='الموظفون'!$B$2)*('حجز الإجازات'!$D$5:$D$104&lt;=W$3)*(('حجز الإجازات'!$E$5:$E$104)&gt;=W$3)*('حجز الإجازات'!$G$5:$G$104="معتمد")*ROW('حجز الإجازات'!$B$5:$B$104))=0,"",INDEX('حجز الإجازات'!$C$5:$C$104,(SUMPRODUCT(('حجز الإجازات'!$B$5:$B$104='الموظفون'!$B$2)*('حجز الإجازات'!$D$5:$D$104&lt;=W$3)*(('حجز الإجازات'!$E$5:$E$104)&gt;=W$3)*('حجز الإجازات'!$G$5:$G$104="معتمد")*ROW('حجز الإجازات'!$B$5:$B$104)))-5+1))</f>
        <v/>
      </c>
      <c r="X4" s="62">
        <f>IF(SUMPRODUCT(('حجز الإجازات'!$B$5:$B$104='الموظفون'!$B$2)*('حجز الإجازات'!$D$5:$D$104&lt;=X$3)*(('حجز الإجازات'!$E$5:$E$104)&gt;=X$3)*('حجز الإجازات'!$G$5:$G$104="معتمد")*ROW('حجز الإجازات'!$B$5:$B$104))=0,"",INDEX('حجز الإجازات'!$C$5:$C$104,(SUMPRODUCT(('حجز الإجازات'!$B$5:$B$104='الموظفون'!$B$2)*('حجز الإجازات'!$D$5:$D$104&lt;=X$3)*(('حجز الإجازات'!$E$5:$E$104)&gt;=X$3)*('حجز الإجازات'!$G$5:$G$104="معتمد")*ROW('حجز الإجازات'!$B$5:$B$104)))-5+1))</f>
        <v/>
      </c>
      <c r="Y4" s="62">
        <f>IF(SUMPRODUCT(('حجز الإجازات'!$B$5:$B$104='الموظفون'!$B$2)*('حجز الإجازات'!$D$5:$D$104&lt;=Y$3)*(('حجز الإجازات'!$E$5:$E$104)&gt;=Y$3)*('حجز الإجازات'!$G$5:$G$104="معتمد")*ROW('حجز الإجازات'!$B$5:$B$104))=0,"",INDEX('حجز الإجازات'!$C$5:$C$104,(SUMPRODUCT(('حجز الإجازات'!$B$5:$B$104='الموظفون'!$B$2)*('حجز الإجازات'!$D$5:$D$104&lt;=Y$3)*(('حجز الإجازات'!$E$5:$E$104)&gt;=Y$3)*('حجز الإجازات'!$G$5:$G$104="معتمد")*ROW('حجز الإجازات'!$B$5:$B$104)))-5+1))</f>
        <v/>
      </c>
      <c r="Z4" s="62">
        <f>IF(SUMPRODUCT(('حجز الإجازات'!$B$5:$B$104='الموظفون'!$B$2)*('حجز الإجازات'!$D$5:$D$104&lt;=Z$3)*(('حجز الإجازات'!$E$5:$E$104)&gt;=Z$3)*('حجز الإجازات'!$G$5:$G$104="معتمد")*ROW('حجز الإجازات'!$B$5:$B$104))=0,"",INDEX('حجز الإجازات'!$C$5:$C$104,(SUMPRODUCT(('حجز الإجازات'!$B$5:$B$104='الموظفون'!$B$2)*('حجز الإجازات'!$D$5:$D$104&lt;=Z$3)*(('حجز الإجازات'!$E$5:$E$104)&gt;=Z$3)*('حجز الإجازات'!$G$5:$G$104="معتمد")*ROW('حجز الإجازات'!$B$5:$B$104)))-5+1))</f>
        <v/>
      </c>
      <c r="AA4" s="62">
        <f>IF(SUMPRODUCT(('حجز الإجازات'!$B$5:$B$104='الموظفون'!$B$2)*('حجز الإجازات'!$D$5:$D$104&lt;=AA$3)*(('حجز الإجازات'!$E$5:$E$104)&gt;=AA$3)*('حجز الإجازات'!$G$5:$G$104="معتمد")*ROW('حجز الإجازات'!$B$5:$B$104))=0,"",INDEX('حجز الإجازات'!$C$5:$C$104,(SUMPRODUCT(('حجز الإجازات'!$B$5:$B$104='الموظفون'!$B$2)*('حجز الإجازات'!$D$5:$D$104&lt;=AA$3)*(('حجز الإجازات'!$E$5:$E$104)&gt;=AA$3)*('حجز الإجازات'!$G$5:$G$104="معتمد")*ROW('حجز الإجازات'!$B$5:$B$104)))-5+1))</f>
        <v/>
      </c>
      <c r="AB4" s="62">
        <f>IF(SUMPRODUCT(('حجز الإجازات'!$B$5:$B$104='الموظفون'!$B$2)*('حجز الإجازات'!$D$5:$D$104&lt;=AB$3)*(('حجز الإجازات'!$E$5:$E$104)&gt;=AB$3)*('حجز الإجازات'!$G$5:$G$104="معتمد")*ROW('حجز الإجازات'!$B$5:$B$104))=0,"",INDEX('حجز الإجازات'!$C$5:$C$104,(SUMPRODUCT(('حجز الإجازات'!$B$5:$B$104='الموظفون'!$B$2)*('حجز الإجازات'!$D$5:$D$104&lt;=AB$3)*(('حجز الإجازات'!$E$5:$E$104)&gt;=AB$3)*('حجز الإجازات'!$G$5:$G$104="معتمد")*ROW('حجز الإجازات'!$B$5:$B$104)))-5+1))</f>
        <v/>
      </c>
      <c r="AC4" s="62">
        <f>IF(SUMPRODUCT(('حجز الإجازات'!$B$5:$B$104='الموظفون'!$B$2)*('حجز الإجازات'!$D$5:$D$104&lt;=AC$3)*(('حجز الإجازات'!$E$5:$E$104)&gt;=AC$3)*('حجز الإجازات'!$G$5:$G$104="معتمد")*ROW('حجز الإجازات'!$B$5:$B$104))=0,"",INDEX('حجز الإجازات'!$C$5:$C$104,(SUMPRODUCT(('حجز الإجازات'!$B$5:$B$104='الموظفون'!$B$2)*('حجز الإجازات'!$D$5:$D$104&lt;=AC$3)*(('حجز الإجازات'!$E$5:$E$104)&gt;=AC$3)*('حجز الإجازات'!$G$5:$G$104="معتمد")*ROW('حجز الإجازات'!$B$5:$B$104)))-5+1))</f>
        <v/>
      </c>
      <c r="AD4" s="62">
        <f>IF(SUMPRODUCT(('حجز الإجازات'!$B$5:$B$104='الموظفون'!$B$2)*('حجز الإجازات'!$D$5:$D$104&lt;=AD$3)*(('حجز الإجازات'!$E$5:$E$104)&gt;=AD$3)*('حجز الإجازات'!$G$5:$G$104="معتمد")*ROW('حجز الإجازات'!$B$5:$B$104))=0,"",INDEX('حجز الإجازات'!$C$5:$C$104,(SUMPRODUCT(('حجز الإجازات'!$B$5:$B$104='الموظفون'!$B$2)*('حجز الإجازات'!$D$5:$D$104&lt;=AD$3)*(('حجز الإجازات'!$E$5:$E$104)&gt;=AD$3)*('حجز الإجازات'!$G$5:$G$104="معتمد")*ROW('حجز الإجازات'!$B$5:$B$104)))-5+1))</f>
        <v/>
      </c>
      <c r="AE4" s="62">
        <f>IF(SUMPRODUCT(('حجز الإجازات'!$B$5:$B$104='الموظفون'!$B$2)*('حجز الإجازات'!$D$5:$D$104&lt;=AE$3)*(('حجز الإجازات'!$E$5:$E$104)&gt;=AE$3)*('حجز الإجازات'!$G$5:$G$104="معتمد")*ROW('حجز الإجازات'!$B$5:$B$104))=0,"",INDEX('حجز الإجازات'!$C$5:$C$104,(SUMPRODUCT(('حجز الإجازات'!$B$5:$B$104='الموظفون'!$B$2)*('حجز الإجازات'!$D$5:$D$104&lt;=AE$3)*(('حجز الإجازات'!$E$5:$E$104)&gt;=AE$3)*('حجز الإجازات'!$G$5:$G$104="معتمد")*ROW('حجز الإجازات'!$B$5:$B$104)))-5+1))</f>
        <v/>
      </c>
      <c r="AF4" s="62">
        <f>IF(SUMPRODUCT(('حجز الإجازات'!$B$5:$B$104='الموظفون'!$B$2)*('حجز الإجازات'!$D$5:$D$104&lt;=AF$3)*(('حجز الإجازات'!$E$5:$E$104)&gt;=AF$3)*('حجز الإجازات'!$G$5:$G$104="معتمد")*ROW('حجز الإجازات'!$B$5:$B$104))=0,"",INDEX('حجز الإجازات'!$C$5:$C$104,(SUMPRODUCT(('حجز الإجازات'!$B$5:$B$104='الموظفون'!$B$2)*('حجز الإجازات'!$D$5:$D$104&lt;=AF$3)*(('حجز الإجازات'!$E$5:$E$104)&gt;=AF$3)*('حجز الإجازات'!$G$5:$G$104="معتمد")*ROW('حجز الإجازات'!$B$5:$B$104)))-5+1))</f>
        <v/>
      </c>
      <c r="AG4" s="62">
        <f>IF(SUMPRODUCT(('حجز الإجازات'!$B$5:$B$104='الموظفون'!$B$2)*('حجز الإجازات'!$D$5:$D$104&lt;=AG$3)*(('حجز الإجازات'!$E$5:$E$104)&gt;=AG$3)*('حجز الإجازات'!$G$5:$G$104="معتمد")*ROW('حجز الإجازات'!$B$5:$B$104))=0,"",INDEX('حجز الإجازات'!$C$5:$C$104,(SUMPRODUCT(('حجز الإجازات'!$B$5:$B$104='الموظفون'!$B$2)*('حجز الإجازات'!$D$5:$D$104&lt;=AG$3)*(('حجز الإجازات'!$E$5:$E$104)&gt;=AG$3)*('حجز الإجازات'!$G$5:$G$104="معتمد")*ROW('حجز الإجازات'!$B$5:$B$104)))-5+1))</f>
        <v/>
      </c>
      <c r="AH4" s="62">
        <f>IF(SUMPRODUCT(('حجز الإجازات'!$B$5:$B$104='الموظفون'!$B$2)*('حجز الإجازات'!$D$5:$D$104&lt;=AH$3)*(('حجز الإجازات'!$E$5:$E$104)&gt;=AH$3)*('حجز الإجازات'!$G$5:$G$104="معتمد")*ROW('حجز الإجازات'!$B$5:$B$104))=0,"",INDEX('حجز الإجازات'!$C$5:$C$104,(SUMPRODUCT(('حجز الإجازات'!$B$5:$B$104='الموظفون'!$B$2)*('حجز الإجازات'!$D$5:$D$104&lt;=AH$3)*(('حجز الإجازات'!$E$5:$E$104)&gt;=AH$3)*('حجز الإجازات'!$G$5:$G$104="معتمد")*ROW('حجز الإجازات'!$B$5:$B$104)))-5+1))</f>
        <v/>
      </c>
      <c r="AI4" s="62">
        <f>IF(SUMPRODUCT(('حجز الإجازات'!$B$5:$B$104='الموظفون'!$B$2)*('حجز الإجازات'!$D$5:$D$104&lt;=AI$3)*(('حجز الإجازات'!$E$5:$E$104)&gt;=AI$3)*('حجز الإجازات'!$G$5:$G$104="معتمد")*ROW('حجز الإجازات'!$B$5:$B$104))=0,"",INDEX('حجز الإجازات'!$C$5:$C$104,(SUMPRODUCT(('حجز الإجازات'!$B$5:$B$104='الموظفون'!$B$2)*('حجز الإجازات'!$D$5:$D$104&lt;=AI$3)*(('حجز الإجازات'!$E$5:$E$104)&gt;=AI$3)*('حجز الإجازات'!$G$5:$G$104="معتمد")*ROW('حجز الإجازات'!$B$5:$B$104)))-5+1))</f>
        <v/>
      </c>
      <c r="AJ4" s="62">
        <f>IF(SUMPRODUCT(('حجز الإجازات'!$B$5:$B$104='الموظفون'!$B$2)*('حجز الإجازات'!$D$5:$D$104&lt;=AJ$3)*(('حجز الإجازات'!$E$5:$E$104)&gt;=AJ$3)*('حجز الإجازات'!$G$5:$G$104="معتمد")*ROW('حجز الإجازات'!$B$5:$B$104))=0,"",INDEX('حجز الإجازات'!$C$5:$C$104,(SUMPRODUCT(('حجز الإجازات'!$B$5:$B$104='الموظفون'!$B$2)*('حجز الإجازات'!$D$5:$D$104&lt;=AJ$3)*(('حجز الإجازات'!$E$5:$E$104)&gt;=AJ$3)*('حجز الإجازات'!$G$5:$G$104="معتمد")*ROW('حجز الإجازات'!$B$5:$B$104)))-5+1))</f>
        <v/>
      </c>
      <c r="AK4" s="62">
        <f>IF(SUMPRODUCT(('حجز الإجازات'!$B$5:$B$104='الموظفون'!$B$2)*('حجز الإجازات'!$D$5:$D$104&lt;=AK$3)*(('حجز الإجازات'!$E$5:$E$104)&gt;=AK$3)*('حجز الإجازات'!$G$5:$G$104="معتمد")*ROW('حجز الإجازات'!$B$5:$B$104))=0,"",INDEX('حجز الإجازات'!$C$5:$C$104,(SUMPRODUCT(('حجز الإجازات'!$B$5:$B$104='الموظفون'!$B$2)*('حجز الإجازات'!$D$5:$D$104&lt;=AK$3)*(('حجز الإجازات'!$E$5:$E$104)&gt;=AK$3)*('حجز الإجازات'!$G$5:$G$104="معتمد")*ROW('حجز الإجازات'!$B$5:$B$104)))-5+1))</f>
        <v/>
      </c>
      <c r="AL4" s="62">
        <f>IF(SUMPRODUCT(('حجز الإجازات'!$B$5:$B$104='الموظفون'!$B$2)*('حجز الإجازات'!$D$5:$D$104&lt;=AL$3)*(('حجز الإجازات'!$E$5:$E$104)&gt;=AL$3)*('حجز الإجازات'!$G$5:$G$104="معتمد")*ROW('حجز الإجازات'!$B$5:$B$104))=0,"",INDEX('حجز الإجازات'!$C$5:$C$104,(SUMPRODUCT(('حجز الإجازات'!$B$5:$B$104='الموظفون'!$B$2)*('حجز الإجازات'!$D$5:$D$104&lt;=AL$3)*(('حجز الإجازات'!$E$5:$E$104)&gt;=AL$3)*('حجز الإجازات'!$G$5:$G$104="معتمد")*ROW('حجز الإجازات'!$B$5:$B$104)))-5+1))</f>
        <v/>
      </c>
      <c r="AM4" s="62">
        <f>IF(SUMPRODUCT(('حجز الإجازات'!$B$5:$B$104='الموظفون'!$B$2)*('حجز الإجازات'!$D$5:$D$104&lt;=AM$3)*(('حجز الإجازات'!$E$5:$E$104)&gt;=AM$3)*('حجز الإجازات'!$G$5:$G$104="معتمد")*ROW('حجز الإجازات'!$B$5:$B$104))=0,"",INDEX('حجز الإجازات'!$C$5:$C$104,(SUMPRODUCT(('حجز الإجازات'!$B$5:$B$104='الموظفون'!$B$2)*('حجز الإجازات'!$D$5:$D$104&lt;=AM$3)*(('حجز الإجازات'!$E$5:$E$104)&gt;=AM$3)*('حجز الإجازات'!$G$5:$G$104="معتمد")*ROW('حجز الإجازات'!$B$5:$B$104)))-5+1))</f>
        <v/>
      </c>
      <c r="AN4" s="62">
        <f>IF(SUMPRODUCT(('حجز الإجازات'!$B$5:$B$104='الموظفون'!$B$2)*('حجز الإجازات'!$D$5:$D$104&lt;=AN$3)*(('حجز الإجازات'!$E$5:$E$104)&gt;=AN$3)*('حجز الإجازات'!$G$5:$G$104="معتمد")*ROW('حجز الإجازات'!$B$5:$B$104))=0,"",INDEX('حجز الإجازات'!$C$5:$C$104,(SUMPRODUCT(('حجز الإجازات'!$B$5:$B$104='الموظفون'!$B$2)*('حجز الإجازات'!$D$5:$D$104&lt;=AN$3)*(('حجز الإجازات'!$E$5:$E$104)&gt;=AN$3)*('حجز الإجازات'!$G$5:$G$104="معتمد")*ROW('حجز الإجازات'!$B$5:$B$104)))-5+1))</f>
        <v/>
      </c>
      <c r="AO4" s="62">
        <f>IF(SUMPRODUCT(('حجز الإجازات'!$B$5:$B$104='الموظفون'!$B$2)*('حجز الإجازات'!$D$5:$D$104&lt;=AO$3)*(('حجز الإجازات'!$E$5:$E$104)&gt;=AO$3)*('حجز الإجازات'!$G$5:$G$104="معتمد")*ROW('حجز الإجازات'!$B$5:$B$104))=0,"",INDEX('حجز الإجازات'!$C$5:$C$104,(SUMPRODUCT(('حجز الإجازات'!$B$5:$B$104='الموظفون'!$B$2)*('حجز الإجازات'!$D$5:$D$104&lt;=AO$3)*(('حجز الإجازات'!$E$5:$E$104)&gt;=AO$3)*('حجز الإجازات'!$G$5:$G$104="معتمد")*ROW('حجز الإجازات'!$B$5:$B$104)))-5+1))</f>
        <v/>
      </c>
      <c r="AP4" s="62">
        <f>IF(SUMPRODUCT(('حجز الإجازات'!$B$5:$B$104='الموظفون'!$B$2)*('حجز الإجازات'!$D$5:$D$104&lt;=AP$3)*(('حجز الإجازات'!$E$5:$E$104)&gt;=AP$3)*('حجز الإجازات'!$G$5:$G$104="معتمد")*ROW('حجز الإجازات'!$B$5:$B$104))=0,"",INDEX('حجز الإجازات'!$C$5:$C$104,(SUMPRODUCT(('حجز الإجازات'!$B$5:$B$104='الموظفون'!$B$2)*('حجز الإجازات'!$D$5:$D$104&lt;=AP$3)*(('حجز الإجازات'!$E$5:$E$104)&gt;=AP$3)*('حجز الإجازات'!$G$5:$G$104="معتمد")*ROW('حجز الإجازات'!$B$5:$B$104)))-5+1))</f>
        <v/>
      </c>
      <c r="AQ4" s="62">
        <f>IF(SUMPRODUCT(('حجز الإجازات'!$B$5:$B$104='الموظفون'!$B$2)*('حجز الإجازات'!$D$5:$D$104&lt;=AQ$3)*(('حجز الإجازات'!$E$5:$E$104)&gt;=AQ$3)*('حجز الإجازات'!$G$5:$G$104="معتمد")*ROW('حجز الإجازات'!$B$5:$B$104))=0,"",INDEX('حجز الإجازات'!$C$5:$C$104,(SUMPRODUCT(('حجز الإجازات'!$B$5:$B$104='الموظفون'!$B$2)*('حجز الإجازات'!$D$5:$D$104&lt;=AQ$3)*(('حجز الإجازات'!$E$5:$E$104)&gt;=AQ$3)*('حجز الإجازات'!$G$5:$G$104="معتمد")*ROW('حجز الإجازات'!$B$5:$B$104)))-5+1))</f>
        <v/>
      </c>
      <c r="AR4" s="62">
        <f>IF(SUMPRODUCT(('حجز الإجازات'!$B$5:$B$104='الموظفون'!$B$2)*('حجز الإجازات'!$D$5:$D$104&lt;=AR$3)*(('حجز الإجازات'!$E$5:$E$104)&gt;=AR$3)*('حجز الإجازات'!$G$5:$G$104="معتمد")*ROW('حجز الإجازات'!$B$5:$B$104))=0,"",INDEX('حجز الإجازات'!$C$5:$C$104,(SUMPRODUCT(('حجز الإجازات'!$B$5:$B$104='الموظفون'!$B$2)*('حجز الإجازات'!$D$5:$D$104&lt;=AR$3)*(('حجز الإجازات'!$E$5:$E$104)&gt;=AR$3)*('حجز الإجازات'!$G$5:$G$104="معتمد")*ROW('حجز الإجازات'!$B$5:$B$104)))-5+1))</f>
        <v/>
      </c>
      <c r="AS4" s="62">
        <f>IF(SUMPRODUCT(('حجز الإجازات'!$B$5:$B$104='الموظفون'!$B$2)*('حجز الإجازات'!$D$5:$D$104&lt;=AS$3)*(('حجز الإجازات'!$E$5:$E$104)&gt;=AS$3)*('حجز الإجازات'!$G$5:$G$104="معتمد")*ROW('حجز الإجازات'!$B$5:$B$104))=0,"",INDEX('حجز الإجازات'!$C$5:$C$104,(SUMPRODUCT(('حجز الإجازات'!$B$5:$B$104='الموظفون'!$B$2)*('حجز الإجازات'!$D$5:$D$104&lt;=AS$3)*(('حجز الإجازات'!$E$5:$E$104)&gt;=AS$3)*('حجز الإجازات'!$G$5:$G$104="معتمد")*ROW('حجز الإجازات'!$B$5:$B$104)))-5+1))</f>
        <v/>
      </c>
      <c r="AT4" s="62">
        <f>IF(SUMPRODUCT(('حجز الإجازات'!$B$5:$B$104='الموظفون'!$B$2)*('حجز الإجازات'!$D$5:$D$104&lt;=AT$3)*(('حجز الإجازات'!$E$5:$E$104)&gt;=AT$3)*('حجز الإجازات'!$G$5:$G$104="معتمد")*ROW('حجز الإجازات'!$B$5:$B$104))=0,"",INDEX('حجز الإجازات'!$C$5:$C$104,(SUMPRODUCT(('حجز الإجازات'!$B$5:$B$104='الموظفون'!$B$2)*('حجز الإجازات'!$D$5:$D$104&lt;=AT$3)*(('حجز الإجازات'!$E$5:$E$104)&gt;=AT$3)*('حجز الإجازات'!$G$5:$G$104="معتمد")*ROW('حجز الإجازات'!$B$5:$B$104)))-5+1))</f>
        <v/>
      </c>
      <c r="AU4" s="62">
        <f>IF(SUMPRODUCT(('حجز الإجازات'!$B$5:$B$104='الموظفون'!$B$2)*('حجز الإجازات'!$D$5:$D$104&lt;=AU$3)*(('حجز الإجازات'!$E$5:$E$104)&gt;=AU$3)*('حجز الإجازات'!$G$5:$G$104="معتمد")*ROW('حجز الإجازات'!$B$5:$B$104))=0,"",INDEX('حجز الإجازات'!$C$5:$C$104,(SUMPRODUCT(('حجز الإجازات'!$B$5:$B$104='الموظفون'!$B$2)*('حجز الإجازات'!$D$5:$D$104&lt;=AU$3)*(('حجز الإجازات'!$E$5:$E$104)&gt;=AU$3)*('حجز الإجازات'!$G$5:$G$104="معتمد")*ROW('حجز الإجازات'!$B$5:$B$104)))-5+1))</f>
        <v/>
      </c>
      <c r="AV4" s="62">
        <f>IF(SUMPRODUCT(('حجز الإجازات'!$B$5:$B$104='الموظفون'!$B$2)*('حجز الإجازات'!$D$5:$D$104&lt;=AV$3)*(('حجز الإجازات'!$E$5:$E$104)&gt;=AV$3)*('حجز الإجازات'!$G$5:$G$104="معتمد")*ROW('حجز الإجازات'!$B$5:$B$104))=0,"",INDEX('حجز الإجازات'!$C$5:$C$104,(SUMPRODUCT(('حجز الإجازات'!$B$5:$B$104='الموظفون'!$B$2)*('حجز الإجازات'!$D$5:$D$104&lt;=AV$3)*(('حجز الإجازات'!$E$5:$E$104)&gt;=AV$3)*('حجز الإجازات'!$G$5:$G$104="معتمد")*ROW('حجز الإجازات'!$B$5:$B$104)))-5+1))</f>
        <v/>
      </c>
      <c r="AW4" s="62">
        <f>IF(SUMPRODUCT(('حجز الإجازات'!$B$5:$B$104='الموظفون'!$B$2)*('حجز الإجازات'!$D$5:$D$104&lt;=AW$3)*(('حجز الإجازات'!$E$5:$E$104)&gt;=AW$3)*('حجز الإجازات'!$G$5:$G$104="معتمد")*ROW('حجز الإجازات'!$B$5:$B$104))=0,"",INDEX('حجز الإجازات'!$C$5:$C$104,(SUMPRODUCT(('حجز الإجازات'!$B$5:$B$104='الموظفون'!$B$2)*('حجز الإجازات'!$D$5:$D$104&lt;=AW$3)*(('حجز الإجازات'!$E$5:$E$104)&gt;=AW$3)*('حجز الإجازات'!$G$5:$G$104="معتمد")*ROW('حجز الإجازات'!$B$5:$B$104)))-5+1))</f>
        <v/>
      </c>
      <c r="AX4" s="62">
        <f>IF(SUMPRODUCT(('حجز الإجازات'!$B$5:$B$104='الموظفون'!$B$2)*('حجز الإجازات'!$D$5:$D$104&lt;=AX$3)*(('حجز الإجازات'!$E$5:$E$104)&gt;=AX$3)*('حجز الإجازات'!$G$5:$G$104="معتمد")*ROW('حجز الإجازات'!$B$5:$B$104))=0,"",INDEX('حجز الإجازات'!$C$5:$C$104,(SUMPRODUCT(('حجز الإجازات'!$B$5:$B$104='الموظفون'!$B$2)*('حجز الإجازات'!$D$5:$D$104&lt;=AX$3)*(('حجز الإجازات'!$E$5:$E$104)&gt;=AX$3)*('حجز الإجازات'!$G$5:$G$104="معتمد")*ROW('حجز الإجازات'!$B$5:$B$104)))-5+1))</f>
        <v/>
      </c>
      <c r="AY4" s="62">
        <f>IF(SUMPRODUCT(('حجز الإجازات'!$B$5:$B$104='الموظفون'!$B$2)*('حجز الإجازات'!$D$5:$D$104&lt;=AY$3)*(('حجز الإجازات'!$E$5:$E$104)&gt;=AY$3)*('حجز الإجازات'!$G$5:$G$104="معتمد")*ROW('حجز الإجازات'!$B$5:$B$104))=0,"",INDEX('حجز الإجازات'!$C$5:$C$104,(SUMPRODUCT(('حجز الإجازات'!$B$5:$B$104='الموظفون'!$B$2)*('حجز الإجازات'!$D$5:$D$104&lt;=AY$3)*(('حجز الإجازات'!$E$5:$E$104)&gt;=AY$3)*('حجز الإجازات'!$G$5:$G$104="معتمد")*ROW('حجز الإجازات'!$B$5:$B$104)))-5+1))</f>
        <v/>
      </c>
      <c r="AZ4" s="62">
        <f>IF(SUMPRODUCT(('حجز الإجازات'!$B$5:$B$104='الموظفون'!$B$2)*('حجز الإجازات'!$D$5:$D$104&lt;=AZ$3)*(('حجز الإجازات'!$E$5:$E$104)&gt;=AZ$3)*('حجز الإجازات'!$G$5:$G$104="معتمد")*ROW('حجز الإجازات'!$B$5:$B$104))=0,"",INDEX('حجز الإجازات'!$C$5:$C$104,(SUMPRODUCT(('حجز الإجازات'!$B$5:$B$104='الموظفون'!$B$2)*('حجز الإجازات'!$D$5:$D$104&lt;=AZ$3)*(('حجز الإجازات'!$E$5:$E$104)&gt;=AZ$3)*('حجز الإجازات'!$G$5:$G$104="معتمد")*ROW('حجز الإجازات'!$B$5:$B$104)))-5+1))</f>
        <v/>
      </c>
      <c r="BA4" s="62">
        <f>IF(SUMPRODUCT(('حجز الإجازات'!$B$5:$B$104='الموظفون'!$B$2)*('حجز الإجازات'!$D$5:$D$104&lt;=BA$3)*(('حجز الإجازات'!$E$5:$E$104)&gt;=BA$3)*('حجز الإجازات'!$G$5:$G$104="معتمد")*ROW('حجز الإجازات'!$B$5:$B$104))=0,"",INDEX('حجز الإجازات'!$C$5:$C$104,(SUMPRODUCT(('حجز الإجازات'!$B$5:$B$104='الموظفون'!$B$2)*('حجز الإجازات'!$D$5:$D$104&lt;=BA$3)*(('حجز الإجازات'!$E$5:$E$104)&gt;=BA$3)*('حجز الإجازات'!$G$5:$G$104="معتمد")*ROW('حجز الإجازات'!$B$5:$B$104)))-5+1))</f>
        <v/>
      </c>
      <c r="BB4" s="62">
        <f>IF(SUMPRODUCT(('حجز الإجازات'!$B$5:$B$104='الموظفون'!$B$2)*('حجز الإجازات'!$D$5:$D$104&lt;=BB$3)*(('حجز الإجازات'!$E$5:$E$104)&gt;=BB$3)*('حجز الإجازات'!$G$5:$G$104="معتمد")*ROW('حجز الإجازات'!$B$5:$B$104))=0,"",INDEX('حجز الإجازات'!$C$5:$C$104,(SUMPRODUCT(('حجز الإجازات'!$B$5:$B$104='الموظفون'!$B$2)*('حجز الإجازات'!$D$5:$D$104&lt;=BB$3)*(('حجز الإجازات'!$E$5:$E$104)&gt;=BB$3)*('حجز الإجازات'!$G$5:$G$104="معتمد")*ROW('حجز الإجازات'!$B$5:$B$104)))-5+1))</f>
        <v/>
      </c>
      <c r="BC4" s="62">
        <f>IF(SUMPRODUCT(('حجز الإجازات'!$B$5:$B$104='الموظفون'!$B$2)*('حجز الإجازات'!$D$5:$D$104&lt;=BC$3)*(('حجز الإجازات'!$E$5:$E$104)&gt;=BC$3)*('حجز الإجازات'!$G$5:$G$104="معتمد")*ROW('حجز الإجازات'!$B$5:$B$104))=0,"",INDEX('حجز الإجازات'!$C$5:$C$104,(SUMPRODUCT(('حجز الإجازات'!$B$5:$B$104='الموظفون'!$B$2)*('حجز الإجازات'!$D$5:$D$104&lt;=BC$3)*(('حجز الإجازات'!$E$5:$E$104)&gt;=BC$3)*('حجز الإجازات'!$G$5:$G$104="معتمد")*ROW('حجز الإجازات'!$B$5:$B$104)))-5+1))</f>
        <v/>
      </c>
      <c r="BD4" s="62">
        <f>IF(SUMPRODUCT(('حجز الإجازات'!$B$5:$B$104='الموظفون'!$B$2)*('حجز الإجازات'!$D$5:$D$104&lt;=BD$3)*(('حجز الإجازات'!$E$5:$E$104)&gt;=BD$3)*('حجز الإجازات'!$G$5:$G$104="معتمد")*ROW('حجز الإجازات'!$B$5:$B$104))=0,"",INDEX('حجز الإجازات'!$C$5:$C$104,(SUMPRODUCT(('حجز الإجازات'!$B$5:$B$104='الموظفون'!$B$2)*('حجز الإجازات'!$D$5:$D$104&lt;=BD$3)*(('حجز الإجازات'!$E$5:$E$104)&gt;=BD$3)*('حجز الإجازات'!$G$5:$G$104="معتمد")*ROW('حجز الإجازات'!$B$5:$B$104)))-5+1))</f>
        <v/>
      </c>
      <c r="BE4" s="62">
        <f>IF(SUMPRODUCT(('حجز الإجازات'!$B$5:$B$104='الموظفون'!$B$2)*('حجز الإجازات'!$D$5:$D$104&lt;=BE$3)*(('حجز الإجازات'!$E$5:$E$104)&gt;=BE$3)*('حجز الإجازات'!$G$5:$G$104="معتمد")*ROW('حجز الإجازات'!$B$5:$B$104))=0,"",INDEX('حجز الإجازات'!$C$5:$C$104,(SUMPRODUCT(('حجز الإجازات'!$B$5:$B$104='الموظفون'!$B$2)*('حجز الإجازات'!$D$5:$D$104&lt;=BE$3)*(('حجز الإجازات'!$E$5:$E$104)&gt;=BE$3)*('حجز الإجازات'!$G$5:$G$104="معتمد")*ROW('حجز الإجازات'!$B$5:$B$104)))-5+1))</f>
        <v/>
      </c>
      <c r="BF4" s="62">
        <f>IF(SUMPRODUCT(('حجز الإجازات'!$B$5:$B$104='الموظفون'!$B$2)*('حجز الإجازات'!$D$5:$D$104&lt;=BF$3)*(('حجز الإجازات'!$E$5:$E$104)&gt;=BF$3)*('حجز الإجازات'!$G$5:$G$104="معتمد")*ROW('حجز الإجازات'!$B$5:$B$104))=0,"",INDEX('حجز الإجازات'!$C$5:$C$104,(SUMPRODUCT(('حجز الإجازات'!$B$5:$B$104='الموظفون'!$B$2)*('حجز الإجازات'!$D$5:$D$104&lt;=BF$3)*(('حجز الإجازات'!$E$5:$E$104)&gt;=BF$3)*('حجز الإجازات'!$G$5:$G$104="معتمد")*ROW('حجز الإجازات'!$B$5:$B$104)))-5+1))</f>
        <v/>
      </c>
      <c r="BG4" s="62">
        <f>IF(SUMPRODUCT(('حجز الإجازات'!$B$5:$B$104='الموظفون'!$B$2)*('حجز الإجازات'!$D$5:$D$104&lt;=BG$3)*(('حجز الإجازات'!$E$5:$E$104)&gt;=BG$3)*('حجز الإجازات'!$G$5:$G$104="معتمد")*ROW('حجز الإجازات'!$B$5:$B$104))=0,"",INDEX('حجز الإجازات'!$C$5:$C$104,(SUMPRODUCT(('حجز الإجازات'!$B$5:$B$104='الموظفون'!$B$2)*('حجز الإجازات'!$D$5:$D$104&lt;=BG$3)*(('حجز الإجازات'!$E$5:$E$104)&gt;=BG$3)*('حجز الإجازات'!$G$5:$G$104="معتمد")*ROW('حجز الإجازات'!$B$5:$B$104)))-5+1))</f>
        <v/>
      </c>
      <c r="BH4" s="62">
        <f>IF(SUMPRODUCT(('حجز الإجازات'!$B$5:$B$104='الموظفون'!$B$2)*('حجز الإجازات'!$D$5:$D$104&lt;=BH$3)*(('حجز الإجازات'!$E$5:$E$104)&gt;=BH$3)*('حجز الإجازات'!$G$5:$G$104="معتمد")*ROW('حجز الإجازات'!$B$5:$B$104))=0,"",INDEX('حجز الإجازات'!$C$5:$C$104,(SUMPRODUCT(('حجز الإجازات'!$B$5:$B$104='الموظفون'!$B$2)*('حجز الإجازات'!$D$5:$D$104&lt;=BH$3)*(('حجز الإجازات'!$E$5:$E$104)&gt;=BH$3)*('حجز الإجازات'!$G$5:$G$104="معتمد")*ROW('حجز الإجازات'!$B$5:$B$104)))-5+1))</f>
        <v/>
      </c>
      <c r="BI4" s="62">
        <f>IF(SUMPRODUCT(('حجز الإجازات'!$B$5:$B$104='الموظفون'!$B$2)*('حجز الإجازات'!$D$5:$D$104&lt;=BI$3)*(('حجز الإجازات'!$E$5:$E$104)&gt;=BI$3)*('حجز الإجازات'!$G$5:$G$104="معتمد")*ROW('حجز الإجازات'!$B$5:$B$104))=0,"",INDEX('حجز الإجازات'!$C$5:$C$104,(SUMPRODUCT(('حجز الإجازات'!$B$5:$B$104='الموظفون'!$B$2)*('حجز الإجازات'!$D$5:$D$104&lt;=BI$3)*(('حجز الإجازات'!$E$5:$E$104)&gt;=BI$3)*('حجز الإجازات'!$G$5:$G$104="معتمد")*ROW('حجز الإجازات'!$B$5:$B$104)))-5+1))</f>
        <v/>
      </c>
      <c r="BJ4" s="62">
        <f>IF(SUMPRODUCT(('حجز الإجازات'!$B$5:$B$104='الموظفون'!$B$2)*('حجز الإجازات'!$D$5:$D$104&lt;=BJ$3)*(('حجز الإجازات'!$E$5:$E$104)&gt;=BJ$3)*('حجز الإجازات'!$G$5:$G$104="معتمد")*ROW('حجز الإجازات'!$B$5:$B$104))=0,"",INDEX('حجز الإجازات'!$C$5:$C$104,(SUMPRODUCT(('حجز الإجازات'!$B$5:$B$104='الموظفون'!$B$2)*('حجز الإجازات'!$D$5:$D$104&lt;=BJ$3)*(('حجز الإجازات'!$E$5:$E$104)&gt;=BJ$3)*('حجز الإجازات'!$G$5:$G$104="معتمد")*ROW('حجز الإجازات'!$B$5:$B$104)))-5+1))</f>
        <v/>
      </c>
      <c r="BK4" s="62">
        <f>IF(SUMPRODUCT(('حجز الإجازات'!$B$5:$B$104='الموظفون'!$B$2)*('حجز الإجازات'!$D$5:$D$104&lt;=BK$3)*(('حجز الإجازات'!$E$5:$E$104)&gt;=BK$3)*('حجز الإجازات'!$G$5:$G$104="معتمد")*ROW('حجز الإجازات'!$B$5:$B$104))=0,"",INDEX('حجز الإجازات'!$C$5:$C$104,(SUMPRODUCT(('حجز الإجازات'!$B$5:$B$104='الموظفون'!$B$2)*('حجز الإجازات'!$D$5:$D$104&lt;=BK$3)*(('حجز الإجازات'!$E$5:$E$104)&gt;=BK$3)*('حجز الإجازات'!$G$5:$G$104="معتمد")*ROW('حجز الإجازات'!$B$5:$B$104)))-5+1))</f>
        <v/>
      </c>
      <c r="BL4" s="62">
        <f>IF(SUMPRODUCT(('حجز الإجازات'!$B$5:$B$104='الموظفون'!$B$2)*('حجز الإجازات'!$D$5:$D$104&lt;=BL$3)*(('حجز الإجازات'!$E$5:$E$104)&gt;=BL$3)*('حجز الإجازات'!$G$5:$G$104="معتمد")*ROW('حجز الإجازات'!$B$5:$B$104))=0,"",INDEX('حجز الإجازات'!$C$5:$C$104,(SUMPRODUCT(('حجز الإجازات'!$B$5:$B$104='الموظفون'!$B$2)*('حجز الإجازات'!$D$5:$D$104&lt;=BL$3)*(('حجز الإجازات'!$E$5:$E$104)&gt;=BL$3)*('حجز الإجازات'!$G$5:$G$104="معتمد")*ROW('حجز الإجازات'!$B$5:$B$104)))-5+1))</f>
        <v/>
      </c>
      <c r="BM4" s="62">
        <f>IF(SUMPRODUCT(('حجز الإجازات'!$B$5:$B$104='الموظفون'!$B$2)*('حجز الإجازات'!$D$5:$D$104&lt;=BM$3)*(('حجز الإجازات'!$E$5:$E$104)&gt;=BM$3)*('حجز الإجازات'!$G$5:$G$104="معتمد")*ROW('حجز الإجازات'!$B$5:$B$104))=0,"",INDEX('حجز الإجازات'!$C$5:$C$104,(SUMPRODUCT(('حجز الإجازات'!$B$5:$B$104='الموظفون'!$B$2)*('حجز الإجازات'!$D$5:$D$104&lt;=BM$3)*(('حجز الإجازات'!$E$5:$E$104)&gt;=BM$3)*('حجز الإجازات'!$G$5:$G$104="معتمد")*ROW('حجز الإجازات'!$B$5:$B$104)))-5+1))</f>
        <v/>
      </c>
      <c r="BN4" s="62">
        <f>IF(SUMPRODUCT(('حجز الإجازات'!$B$5:$B$104='الموظفون'!$B$2)*('حجز الإجازات'!$D$5:$D$104&lt;=BN$3)*(('حجز الإجازات'!$E$5:$E$104)&gt;=BN$3)*('حجز الإجازات'!$G$5:$G$104="معتمد")*ROW('حجز الإجازات'!$B$5:$B$104))=0,"",INDEX('حجز الإجازات'!$C$5:$C$104,(SUMPRODUCT(('حجز الإجازات'!$B$5:$B$104='الموظفون'!$B$2)*('حجز الإجازات'!$D$5:$D$104&lt;=BN$3)*(('حجز الإجازات'!$E$5:$E$104)&gt;=BN$3)*('حجز الإجازات'!$G$5:$G$104="معتمد")*ROW('حجز الإجازات'!$B$5:$B$104)))-5+1))</f>
        <v/>
      </c>
      <c r="BO4" s="62">
        <f>IF(SUMPRODUCT(('حجز الإجازات'!$B$5:$B$104='الموظفون'!$B$2)*('حجز الإجازات'!$D$5:$D$104&lt;=BO$3)*(('حجز الإجازات'!$E$5:$E$104)&gt;=BO$3)*('حجز الإجازات'!$G$5:$G$104="معتمد")*ROW('حجز الإجازات'!$B$5:$B$104))=0,"",INDEX('حجز الإجازات'!$C$5:$C$104,(SUMPRODUCT(('حجز الإجازات'!$B$5:$B$104='الموظفون'!$B$2)*('حجز الإجازات'!$D$5:$D$104&lt;=BO$3)*(('حجز الإجازات'!$E$5:$E$104)&gt;=BO$3)*('حجز الإجازات'!$G$5:$G$104="معتمد")*ROW('حجز الإجازات'!$B$5:$B$104)))-5+1))</f>
        <v/>
      </c>
      <c r="BP4" s="62">
        <f>IF(SUMPRODUCT(('حجز الإجازات'!$B$5:$B$104='الموظفون'!$B$2)*('حجز الإجازات'!$D$5:$D$104&lt;=BP$3)*(('حجز الإجازات'!$E$5:$E$104)&gt;=BP$3)*('حجز الإجازات'!$G$5:$G$104="معتمد")*ROW('حجز الإجازات'!$B$5:$B$104))=0,"",INDEX('حجز الإجازات'!$C$5:$C$104,(SUMPRODUCT(('حجز الإجازات'!$B$5:$B$104='الموظفون'!$B$2)*('حجز الإجازات'!$D$5:$D$104&lt;=BP$3)*(('حجز الإجازات'!$E$5:$E$104)&gt;=BP$3)*('حجز الإجازات'!$G$5:$G$104="معتمد")*ROW('حجز الإجازات'!$B$5:$B$104)))-5+1))</f>
        <v/>
      </c>
      <c r="BQ4" s="62">
        <f>IF(SUMPRODUCT(('حجز الإجازات'!$B$5:$B$104='الموظفون'!$B$2)*('حجز الإجازات'!$D$5:$D$104&lt;=BQ$3)*(('حجز الإجازات'!$E$5:$E$104)&gt;=BQ$3)*('حجز الإجازات'!$G$5:$G$104="معتمد")*ROW('حجز الإجازات'!$B$5:$B$104))=0,"",INDEX('حجز الإجازات'!$C$5:$C$104,(SUMPRODUCT(('حجز الإجازات'!$B$5:$B$104='الموظفون'!$B$2)*('حجز الإجازات'!$D$5:$D$104&lt;=BQ$3)*(('حجز الإجازات'!$E$5:$E$104)&gt;=BQ$3)*('حجز الإجازات'!$G$5:$G$104="معتمد")*ROW('حجز الإجازات'!$B$5:$B$104)))-5+1))</f>
        <v/>
      </c>
      <c r="BR4" s="62">
        <f>IF(SUMPRODUCT(('حجز الإجازات'!$B$5:$B$104='الموظفون'!$B$2)*('حجز الإجازات'!$D$5:$D$104&lt;=BR$3)*(('حجز الإجازات'!$E$5:$E$104)&gt;=BR$3)*('حجز الإجازات'!$G$5:$G$104="معتمد")*ROW('حجز الإجازات'!$B$5:$B$104))=0,"",INDEX('حجز الإجازات'!$C$5:$C$104,(SUMPRODUCT(('حجز الإجازات'!$B$5:$B$104='الموظفون'!$B$2)*('حجز الإجازات'!$D$5:$D$104&lt;=BR$3)*(('حجز الإجازات'!$E$5:$E$104)&gt;=BR$3)*('حجز الإجازات'!$G$5:$G$104="معتمد")*ROW('حجز الإجازات'!$B$5:$B$104)))-5+1))</f>
        <v/>
      </c>
      <c r="BS4" s="62">
        <f>IF(SUMPRODUCT(('حجز الإجازات'!$B$5:$B$104='الموظفون'!$B$2)*('حجز الإجازات'!$D$5:$D$104&lt;=BS$3)*(('حجز الإجازات'!$E$5:$E$104)&gt;=BS$3)*('حجز الإجازات'!$G$5:$G$104="معتمد")*ROW('حجز الإجازات'!$B$5:$B$104))=0,"",INDEX('حجز الإجازات'!$C$5:$C$104,(SUMPRODUCT(('حجز الإجازات'!$B$5:$B$104='الموظفون'!$B$2)*('حجز الإجازات'!$D$5:$D$104&lt;=BS$3)*(('حجز الإجازات'!$E$5:$E$104)&gt;=BS$3)*('حجز الإجازات'!$G$5:$G$104="معتمد")*ROW('حجز الإجازات'!$B$5:$B$104)))-5+1))</f>
        <v/>
      </c>
      <c r="BT4" s="62">
        <f>IF(SUMPRODUCT(('حجز الإجازات'!$B$5:$B$104='الموظفون'!$B$2)*('حجز الإجازات'!$D$5:$D$104&lt;=BT$3)*(('حجز الإجازات'!$E$5:$E$104)&gt;=BT$3)*('حجز الإجازات'!$G$5:$G$104="معتمد")*ROW('حجز الإجازات'!$B$5:$B$104))=0,"",INDEX('حجز الإجازات'!$C$5:$C$104,(SUMPRODUCT(('حجز الإجازات'!$B$5:$B$104='الموظفون'!$B$2)*('حجز الإجازات'!$D$5:$D$104&lt;=BT$3)*(('حجز الإجازات'!$E$5:$E$104)&gt;=BT$3)*('حجز الإجازات'!$G$5:$G$104="معتمد")*ROW('حجز الإجازات'!$B$5:$B$104)))-5+1))</f>
        <v/>
      </c>
      <c r="BU4" s="62">
        <f>IF(SUMPRODUCT(('حجز الإجازات'!$B$5:$B$104='الموظفون'!$B$2)*('حجز الإجازات'!$D$5:$D$104&lt;=BU$3)*(('حجز الإجازات'!$E$5:$E$104)&gt;=BU$3)*('حجز الإجازات'!$G$5:$G$104="معتمد")*ROW('حجز الإجازات'!$B$5:$B$104))=0,"",INDEX('حجز الإجازات'!$C$5:$C$104,(SUMPRODUCT(('حجز الإجازات'!$B$5:$B$104='الموظفون'!$B$2)*('حجز الإجازات'!$D$5:$D$104&lt;=BU$3)*(('حجز الإجازات'!$E$5:$E$104)&gt;=BU$3)*('حجز الإجازات'!$G$5:$G$104="معتمد")*ROW('حجز الإجازات'!$B$5:$B$104)))-5+1))</f>
        <v/>
      </c>
      <c r="BV4" s="62">
        <f>IF(SUMPRODUCT(('حجز الإجازات'!$B$5:$B$104='الموظفون'!$B$2)*('حجز الإجازات'!$D$5:$D$104&lt;=BV$3)*(('حجز الإجازات'!$E$5:$E$104)&gt;=BV$3)*('حجز الإجازات'!$G$5:$G$104="معتمد")*ROW('حجز الإجازات'!$B$5:$B$104))=0,"",INDEX('حجز الإجازات'!$C$5:$C$104,(SUMPRODUCT(('حجز الإجازات'!$B$5:$B$104='الموظفون'!$B$2)*('حجز الإجازات'!$D$5:$D$104&lt;=BV$3)*(('حجز الإجازات'!$E$5:$E$104)&gt;=BV$3)*('حجز الإجازات'!$G$5:$G$104="معتمد")*ROW('حجز الإجازات'!$B$5:$B$104)))-5+1))</f>
        <v/>
      </c>
      <c r="BW4" s="62">
        <f>IF(SUMPRODUCT(('حجز الإجازات'!$B$5:$B$104='الموظفون'!$B$2)*('حجز الإجازات'!$D$5:$D$104&lt;=BW$3)*(('حجز الإجازات'!$E$5:$E$104)&gt;=BW$3)*('حجز الإجازات'!$G$5:$G$104="معتمد")*ROW('حجز الإجازات'!$B$5:$B$104))=0,"",INDEX('حجز الإجازات'!$C$5:$C$104,(SUMPRODUCT(('حجز الإجازات'!$B$5:$B$104='الموظفون'!$B$2)*('حجز الإجازات'!$D$5:$D$104&lt;=BW$3)*(('حجز الإجازات'!$E$5:$E$104)&gt;=BW$3)*('حجز الإجازات'!$G$5:$G$104="معتمد")*ROW('حجز الإجازات'!$B$5:$B$104)))-5+1))</f>
        <v/>
      </c>
      <c r="BX4" s="62">
        <f>IF(SUMPRODUCT(('حجز الإجازات'!$B$5:$B$104='الموظفون'!$B$2)*('حجز الإجازات'!$D$5:$D$104&lt;=BX$3)*(('حجز الإجازات'!$E$5:$E$104)&gt;=BX$3)*('حجز الإجازات'!$G$5:$G$104="معتمد")*ROW('حجز الإجازات'!$B$5:$B$104))=0,"",INDEX('حجز الإجازات'!$C$5:$C$104,(SUMPRODUCT(('حجز الإجازات'!$B$5:$B$104='الموظفون'!$B$2)*('حجز الإجازات'!$D$5:$D$104&lt;=BX$3)*(('حجز الإجازات'!$E$5:$E$104)&gt;=BX$3)*('حجز الإجازات'!$G$5:$G$104="معتمد")*ROW('حجز الإجازات'!$B$5:$B$104)))-5+1))</f>
        <v/>
      </c>
      <c r="BY4" s="62">
        <f>IF(SUMPRODUCT(('حجز الإجازات'!$B$5:$B$104='الموظفون'!$B$2)*('حجز الإجازات'!$D$5:$D$104&lt;=BY$3)*(('حجز الإجازات'!$E$5:$E$104)&gt;=BY$3)*('حجز الإجازات'!$G$5:$G$104="معتمد")*ROW('حجز الإجازات'!$B$5:$B$104))=0,"",INDEX('حجز الإجازات'!$C$5:$C$104,(SUMPRODUCT(('حجز الإجازات'!$B$5:$B$104='الموظفون'!$B$2)*('حجز الإجازات'!$D$5:$D$104&lt;=BY$3)*(('حجز الإجازات'!$E$5:$E$104)&gt;=BY$3)*('حجز الإجازات'!$G$5:$G$104="معتمد")*ROW('حجز الإجازات'!$B$5:$B$104)))-5+1))</f>
        <v/>
      </c>
      <c r="BZ4" s="62">
        <f>IF(SUMPRODUCT(('حجز الإجازات'!$B$5:$B$104='الموظفون'!$B$2)*('حجز الإجازات'!$D$5:$D$104&lt;=BZ$3)*(('حجز الإجازات'!$E$5:$E$104)&gt;=BZ$3)*('حجز الإجازات'!$G$5:$G$104="معتمد")*ROW('حجز الإجازات'!$B$5:$B$104))=0,"",INDEX('حجز الإجازات'!$C$5:$C$104,(SUMPRODUCT(('حجز الإجازات'!$B$5:$B$104='الموظفون'!$B$2)*('حجز الإجازات'!$D$5:$D$104&lt;=BZ$3)*(('حجز الإجازات'!$E$5:$E$104)&gt;=BZ$3)*('حجز الإجازات'!$G$5:$G$104="معتمد")*ROW('حجز الإجازات'!$B$5:$B$104)))-5+1))</f>
        <v/>
      </c>
      <c r="CA4" s="62">
        <f>IF(SUMPRODUCT(('حجز الإجازات'!$B$5:$B$104='الموظفون'!$B$2)*('حجز الإجازات'!$D$5:$D$104&lt;=CA$3)*(('حجز الإجازات'!$E$5:$E$104)&gt;=CA$3)*('حجز الإجازات'!$G$5:$G$104="معتمد")*ROW('حجز الإجازات'!$B$5:$B$104))=0,"",INDEX('حجز الإجازات'!$C$5:$C$104,(SUMPRODUCT(('حجز الإجازات'!$B$5:$B$104='الموظفون'!$B$2)*('حجز الإجازات'!$D$5:$D$104&lt;=CA$3)*(('حجز الإجازات'!$E$5:$E$104)&gt;=CA$3)*('حجز الإجازات'!$G$5:$G$104="معتمد")*ROW('حجز الإجازات'!$B$5:$B$104)))-5+1))</f>
        <v/>
      </c>
      <c r="CB4" s="62">
        <f>IF(SUMPRODUCT(('حجز الإجازات'!$B$5:$B$104='الموظفون'!$B$2)*('حجز الإجازات'!$D$5:$D$104&lt;=CB$3)*(('حجز الإجازات'!$E$5:$E$104)&gt;=CB$3)*('حجز الإجازات'!$G$5:$G$104="معتمد")*ROW('حجز الإجازات'!$B$5:$B$104))=0,"",INDEX('حجز الإجازات'!$C$5:$C$104,(SUMPRODUCT(('حجز الإجازات'!$B$5:$B$104='الموظفون'!$B$2)*('حجز الإجازات'!$D$5:$D$104&lt;=CB$3)*(('حجز الإجازات'!$E$5:$E$104)&gt;=CB$3)*('حجز الإجازات'!$G$5:$G$104="معتمد")*ROW('حجز الإجازات'!$B$5:$B$104)))-5+1))</f>
        <v/>
      </c>
      <c r="CC4" s="62">
        <f>IF(SUMPRODUCT(('حجز الإجازات'!$B$5:$B$104='الموظفون'!$B$2)*('حجز الإجازات'!$D$5:$D$104&lt;=CC$3)*(('حجز الإجازات'!$E$5:$E$104)&gt;=CC$3)*('حجز الإجازات'!$G$5:$G$104="معتمد")*ROW('حجز الإجازات'!$B$5:$B$104))=0,"",INDEX('حجز الإجازات'!$C$5:$C$104,(SUMPRODUCT(('حجز الإجازات'!$B$5:$B$104='الموظفون'!$B$2)*('حجز الإجازات'!$D$5:$D$104&lt;=CC$3)*(('حجز الإجازات'!$E$5:$E$104)&gt;=CC$3)*('حجز الإجازات'!$G$5:$G$104="معتمد")*ROW('حجز الإجازات'!$B$5:$B$104)))-5+1))</f>
        <v/>
      </c>
      <c r="CD4" s="62">
        <f>IF(SUMPRODUCT(('حجز الإجازات'!$B$5:$B$104='الموظفون'!$B$2)*('حجز الإجازات'!$D$5:$D$104&lt;=CD$3)*(('حجز الإجازات'!$E$5:$E$104)&gt;=CD$3)*('حجز الإجازات'!$G$5:$G$104="معتمد")*ROW('حجز الإجازات'!$B$5:$B$104))=0,"",INDEX('حجز الإجازات'!$C$5:$C$104,(SUMPRODUCT(('حجز الإجازات'!$B$5:$B$104='الموظفون'!$B$2)*('حجز الإجازات'!$D$5:$D$104&lt;=CD$3)*(('حجز الإجازات'!$E$5:$E$104)&gt;=CD$3)*('حجز الإجازات'!$G$5:$G$104="معتمد")*ROW('حجز الإجازات'!$B$5:$B$104)))-5+1))</f>
        <v/>
      </c>
      <c r="CE4" s="62">
        <f>IF(SUMPRODUCT(('حجز الإجازات'!$B$5:$B$104='الموظفون'!$B$2)*('حجز الإجازات'!$D$5:$D$104&lt;=CE$3)*(('حجز الإجازات'!$E$5:$E$104)&gt;=CE$3)*('حجز الإجازات'!$G$5:$G$104="معتمد")*ROW('حجز الإجازات'!$B$5:$B$104))=0,"",INDEX('حجز الإجازات'!$C$5:$C$104,(SUMPRODUCT(('حجز الإجازات'!$B$5:$B$104='الموظفون'!$B$2)*('حجز الإجازات'!$D$5:$D$104&lt;=CE$3)*(('حجز الإجازات'!$E$5:$E$104)&gt;=CE$3)*('حجز الإجازات'!$G$5:$G$104="معتمد")*ROW('حجز الإجازات'!$B$5:$B$104)))-5+1))</f>
        <v/>
      </c>
      <c r="CF4" s="62">
        <f>IF(SUMPRODUCT(('حجز الإجازات'!$B$5:$B$104='الموظفون'!$B$2)*('حجز الإجازات'!$D$5:$D$104&lt;=CF$3)*(('حجز الإجازات'!$E$5:$E$104)&gt;=CF$3)*('حجز الإجازات'!$G$5:$G$104="معتمد")*ROW('حجز الإجازات'!$B$5:$B$104))=0,"",INDEX('حجز الإجازات'!$C$5:$C$104,(SUMPRODUCT(('حجز الإجازات'!$B$5:$B$104='الموظفون'!$B$2)*('حجز الإجازات'!$D$5:$D$104&lt;=CF$3)*(('حجز الإجازات'!$E$5:$E$104)&gt;=CF$3)*('حجز الإجازات'!$G$5:$G$104="معتمد")*ROW('حجز الإجازات'!$B$5:$B$104)))-5+1))</f>
        <v/>
      </c>
      <c r="CG4" s="62">
        <f>IF(SUMPRODUCT(('حجز الإجازات'!$B$5:$B$104='الموظفون'!$B$2)*('حجز الإجازات'!$D$5:$D$104&lt;=CG$3)*(('حجز الإجازات'!$E$5:$E$104)&gt;=CG$3)*('حجز الإجازات'!$G$5:$G$104="معتمد")*ROW('حجز الإجازات'!$B$5:$B$104))=0,"",INDEX('حجز الإجازات'!$C$5:$C$104,(SUMPRODUCT(('حجز الإجازات'!$B$5:$B$104='الموظفون'!$B$2)*('حجز الإجازات'!$D$5:$D$104&lt;=CG$3)*(('حجز الإجازات'!$E$5:$E$104)&gt;=CG$3)*('حجز الإجازات'!$G$5:$G$104="معتمد")*ROW('حجز الإجازات'!$B$5:$B$104)))-5+1))</f>
        <v/>
      </c>
      <c r="CH4" s="62">
        <f>IF(SUMPRODUCT(('حجز الإجازات'!$B$5:$B$104='الموظفون'!$B$2)*('حجز الإجازات'!$D$5:$D$104&lt;=CH$3)*(('حجز الإجازات'!$E$5:$E$104)&gt;=CH$3)*('حجز الإجازات'!$G$5:$G$104="معتمد")*ROW('حجز الإجازات'!$B$5:$B$104))=0,"",INDEX('حجز الإجازات'!$C$5:$C$104,(SUMPRODUCT(('حجز الإجازات'!$B$5:$B$104='الموظفون'!$B$2)*('حجز الإجازات'!$D$5:$D$104&lt;=CH$3)*(('حجز الإجازات'!$E$5:$E$104)&gt;=CH$3)*('حجز الإجازات'!$G$5:$G$104="معتمد")*ROW('حجز الإجازات'!$B$5:$B$104)))-5+1))</f>
        <v/>
      </c>
      <c r="CI4" s="62">
        <f>IF(SUMPRODUCT(('حجز الإجازات'!$B$5:$B$104='الموظفون'!$B$2)*('حجز الإجازات'!$D$5:$D$104&lt;=CI$3)*(('حجز الإجازات'!$E$5:$E$104)&gt;=CI$3)*('حجز الإجازات'!$G$5:$G$104="معتمد")*ROW('حجز الإجازات'!$B$5:$B$104))=0,"",INDEX('حجز الإجازات'!$C$5:$C$104,(SUMPRODUCT(('حجز الإجازات'!$B$5:$B$104='الموظفون'!$B$2)*('حجز الإجازات'!$D$5:$D$104&lt;=CI$3)*(('حجز الإجازات'!$E$5:$E$104)&gt;=CI$3)*('حجز الإجازات'!$G$5:$G$104="معتمد")*ROW('حجز الإجازات'!$B$5:$B$104)))-5+1))</f>
        <v/>
      </c>
      <c r="CJ4" s="62">
        <f>IF(SUMPRODUCT(('حجز الإجازات'!$B$5:$B$104='الموظفون'!$B$2)*('حجز الإجازات'!$D$5:$D$104&lt;=CJ$3)*(('حجز الإجازات'!$E$5:$E$104)&gt;=CJ$3)*('حجز الإجازات'!$G$5:$G$104="معتمد")*ROW('حجز الإجازات'!$B$5:$B$104))=0,"",INDEX('حجز الإجازات'!$C$5:$C$104,(SUMPRODUCT(('حجز الإجازات'!$B$5:$B$104='الموظفون'!$B$2)*('حجز الإجازات'!$D$5:$D$104&lt;=CJ$3)*(('حجز الإجازات'!$E$5:$E$104)&gt;=CJ$3)*('حجز الإجازات'!$G$5:$G$104="معتمد")*ROW('حجز الإجازات'!$B$5:$B$104)))-5+1))</f>
        <v/>
      </c>
      <c r="CK4" s="62">
        <f>IF(SUMPRODUCT(('حجز الإجازات'!$B$5:$B$104='الموظفون'!$B$2)*('حجز الإجازات'!$D$5:$D$104&lt;=CK$3)*(('حجز الإجازات'!$E$5:$E$104)&gt;=CK$3)*('حجز الإجازات'!$G$5:$G$104="معتمد")*ROW('حجز الإجازات'!$B$5:$B$104))=0,"",INDEX('حجز الإجازات'!$C$5:$C$104,(SUMPRODUCT(('حجز الإجازات'!$B$5:$B$104='الموظفون'!$B$2)*('حجز الإجازات'!$D$5:$D$104&lt;=CK$3)*(('حجز الإجازات'!$E$5:$E$104)&gt;=CK$3)*('حجز الإجازات'!$G$5:$G$104="معتمد")*ROW('حجز الإجازات'!$B$5:$B$104)))-5+1))</f>
        <v/>
      </c>
      <c r="CL4" s="62">
        <f>IF(SUMPRODUCT(('حجز الإجازات'!$B$5:$B$104='الموظفون'!$B$2)*('حجز الإجازات'!$D$5:$D$104&lt;=CL$3)*(('حجز الإجازات'!$E$5:$E$104)&gt;=CL$3)*('حجز الإجازات'!$G$5:$G$104="معتمد")*ROW('حجز الإجازات'!$B$5:$B$104))=0,"",INDEX('حجز الإجازات'!$C$5:$C$104,(SUMPRODUCT(('حجز الإجازات'!$B$5:$B$104='الموظفون'!$B$2)*('حجز الإجازات'!$D$5:$D$104&lt;=CL$3)*(('حجز الإجازات'!$E$5:$E$104)&gt;=CL$3)*('حجز الإجازات'!$G$5:$G$104="معتمد")*ROW('حجز الإجازات'!$B$5:$B$104)))-5+1))</f>
        <v/>
      </c>
      <c r="CM4" s="62">
        <f>IF(SUMPRODUCT(('حجز الإجازات'!$B$5:$B$104='الموظفون'!$B$2)*('حجز الإجازات'!$D$5:$D$104&lt;=CM$3)*(('حجز الإجازات'!$E$5:$E$104)&gt;=CM$3)*('حجز الإجازات'!$G$5:$G$104="معتمد")*ROW('حجز الإجازات'!$B$5:$B$104))=0,"",INDEX('حجز الإجازات'!$C$5:$C$104,(SUMPRODUCT(('حجز الإجازات'!$B$5:$B$104='الموظفون'!$B$2)*('حجز الإجازات'!$D$5:$D$104&lt;=CM$3)*(('حجز الإجازات'!$E$5:$E$104)&gt;=CM$3)*('حجز الإجازات'!$G$5:$G$104="معتمد")*ROW('حجز الإجازات'!$B$5:$B$104)))-5+1))</f>
        <v/>
      </c>
      <c r="CN4" s="62">
        <f>IF(SUMPRODUCT(('حجز الإجازات'!$B$5:$B$104='الموظفون'!$B$2)*('حجز الإجازات'!$D$5:$D$104&lt;=CN$3)*(('حجز الإجازات'!$E$5:$E$104)&gt;=CN$3)*('حجز الإجازات'!$G$5:$G$104="معتمد")*ROW('حجز الإجازات'!$B$5:$B$104))=0,"",INDEX('حجز الإجازات'!$C$5:$C$104,(SUMPRODUCT(('حجز الإجازات'!$B$5:$B$104='الموظفون'!$B$2)*('حجز الإجازات'!$D$5:$D$104&lt;=CN$3)*(('حجز الإجازات'!$E$5:$E$104)&gt;=CN$3)*('حجز الإجازات'!$G$5:$G$104="معتمد")*ROW('حجز الإجازات'!$B$5:$B$104)))-5+1))</f>
        <v/>
      </c>
      <c r="CO4" s="62">
        <f>IF(SUMPRODUCT(('حجز الإجازات'!$B$5:$B$104='الموظفون'!$B$2)*('حجز الإجازات'!$D$5:$D$104&lt;=CO$3)*(('حجز الإجازات'!$E$5:$E$104)&gt;=CO$3)*('حجز الإجازات'!$G$5:$G$104="معتمد")*ROW('حجز الإجازات'!$B$5:$B$104))=0,"",INDEX('حجز الإجازات'!$C$5:$C$104,(SUMPRODUCT(('حجز الإجازات'!$B$5:$B$104='الموظفون'!$B$2)*('حجز الإجازات'!$D$5:$D$104&lt;=CO$3)*(('حجز الإجازات'!$E$5:$E$104)&gt;=CO$3)*('حجز الإجازات'!$G$5:$G$104="معتمد")*ROW('حجز الإجازات'!$B$5:$B$104)))-5+1))</f>
        <v/>
      </c>
      <c r="CP4" s="62">
        <f>IF(SUMPRODUCT(('حجز الإجازات'!$B$5:$B$104='الموظفون'!$B$2)*('حجز الإجازات'!$D$5:$D$104&lt;=CP$3)*(('حجز الإجازات'!$E$5:$E$104)&gt;=CP$3)*('حجز الإجازات'!$G$5:$G$104="معتمد")*ROW('حجز الإجازات'!$B$5:$B$104))=0,"",INDEX('حجز الإجازات'!$C$5:$C$104,(SUMPRODUCT(('حجز الإجازات'!$B$5:$B$104='الموظفون'!$B$2)*('حجز الإجازات'!$D$5:$D$104&lt;=CP$3)*(('حجز الإجازات'!$E$5:$E$104)&gt;=CP$3)*('حجز الإجازات'!$G$5:$G$104="معتمد")*ROW('حجز الإجازات'!$B$5:$B$104)))-5+1))</f>
        <v/>
      </c>
      <c r="CQ4" s="62">
        <f>IF(SUMPRODUCT(('حجز الإجازات'!$B$5:$B$104='الموظفون'!$B$2)*('حجز الإجازات'!$D$5:$D$104&lt;=CQ$3)*(('حجز الإجازات'!$E$5:$E$104)&gt;=CQ$3)*('حجز الإجازات'!$G$5:$G$104="معتمد")*ROW('حجز الإجازات'!$B$5:$B$104))=0,"",INDEX('حجز الإجازات'!$C$5:$C$104,(SUMPRODUCT(('حجز الإجازات'!$B$5:$B$104='الموظفون'!$B$2)*('حجز الإجازات'!$D$5:$D$104&lt;=CQ$3)*(('حجز الإجازات'!$E$5:$E$104)&gt;=CQ$3)*('حجز الإجازات'!$G$5:$G$104="معتمد")*ROW('حجز الإجازات'!$B$5:$B$104)))-5+1))</f>
        <v/>
      </c>
      <c r="CR4" s="62">
        <f>IF(SUMPRODUCT(('حجز الإجازات'!$B$5:$B$104='الموظفون'!$B$2)*('حجز الإجازات'!$D$5:$D$104&lt;=CR$3)*(('حجز الإجازات'!$E$5:$E$104)&gt;=CR$3)*('حجز الإجازات'!$G$5:$G$104="معتمد")*ROW('حجز الإجازات'!$B$5:$B$104))=0,"",INDEX('حجز الإجازات'!$C$5:$C$104,(SUMPRODUCT(('حجز الإجازات'!$B$5:$B$104='الموظفون'!$B$2)*('حجز الإجازات'!$D$5:$D$104&lt;=CR$3)*(('حجز الإجازات'!$E$5:$E$104)&gt;=CR$3)*('حجز الإجازات'!$G$5:$G$104="معتمد")*ROW('حجز الإجازات'!$B$5:$B$104)))-5+1))</f>
        <v/>
      </c>
      <c r="CS4" s="62">
        <f>IF(SUMPRODUCT(('حجز الإجازات'!$B$5:$B$104='الموظفون'!$B$2)*('حجز الإجازات'!$D$5:$D$104&lt;=CS$3)*(('حجز الإجازات'!$E$5:$E$104)&gt;=CS$3)*('حجز الإجازات'!$G$5:$G$104="معتمد")*ROW('حجز الإجازات'!$B$5:$B$104))=0,"",INDEX('حجز الإجازات'!$C$5:$C$104,(SUMPRODUCT(('حجز الإجازات'!$B$5:$B$104='الموظفون'!$B$2)*('حجز الإجازات'!$D$5:$D$104&lt;=CS$3)*(('حجز الإجازات'!$E$5:$E$104)&gt;=CS$3)*('حجز الإجازات'!$G$5:$G$104="معتمد")*ROW('حجز الإجازات'!$B$5:$B$104)))-5+1))</f>
        <v/>
      </c>
      <c r="CT4" s="62">
        <f>IF(SUMPRODUCT(('حجز الإجازات'!$B$5:$B$104='الموظفون'!$B$2)*('حجز الإجازات'!$D$5:$D$104&lt;=CT$3)*(('حجز الإجازات'!$E$5:$E$104)&gt;=CT$3)*('حجز الإجازات'!$G$5:$G$104="معتمد")*ROW('حجز الإجازات'!$B$5:$B$104))=0,"",INDEX('حجز الإجازات'!$C$5:$C$104,(SUMPRODUCT(('حجز الإجازات'!$B$5:$B$104='الموظفون'!$B$2)*('حجز الإجازات'!$D$5:$D$104&lt;=CT$3)*(('حجز الإجازات'!$E$5:$E$104)&gt;=CT$3)*('حجز الإجازات'!$G$5:$G$104="معتمد")*ROW('حجز الإجازات'!$B$5:$B$104)))-5+1))</f>
        <v/>
      </c>
      <c r="CU4" s="62">
        <f>IF(SUMPRODUCT(('حجز الإجازات'!$B$5:$B$104='الموظفون'!$B$2)*('حجز الإجازات'!$D$5:$D$104&lt;=CU$3)*(('حجز الإجازات'!$E$5:$E$104)&gt;=CU$3)*('حجز الإجازات'!$G$5:$G$104="معتمد")*ROW('حجز الإجازات'!$B$5:$B$104))=0,"",INDEX('حجز الإجازات'!$C$5:$C$104,(SUMPRODUCT(('حجز الإجازات'!$B$5:$B$104='الموظفون'!$B$2)*('حجز الإجازات'!$D$5:$D$104&lt;=CU$3)*(('حجز الإجازات'!$E$5:$E$104)&gt;=CU$3)*('حجز الإجازات'!$G$5:$G$104="معتمد")*ROW('حجز الإجازات'!$B$5:$B$104)))-5+1))</f>
        <v/>
      </c>
      <c r="CV4" s="62">
        <f>IF(SUMPRODUCT(('حجز الإجازات'!$B$5:$B$104='الموظفون'!$B$2)*('حجز الإجازات'!$D$5:$D$104&lt;=CV$3)*(('حجز الإجازات'!$E$5:$E$104)&gt;=CV$3)*('حجز الإجازات'!$G$5:$G$104="معتمد")*ROW('حجز الإجازات'!$B$5:$B$104))=0,"",INDEX('حجز الإجازات'!$C$5:$C$104,(SUMPRODUCT(('حجز الإجازات'!$B$5:$B$104='الموظفون'!$B$2)*('حجز الإجازات'!$D$5:$D$104&lt;=CV$3)*(('حجز الإجازات'!$E$5:$E$104)&gt;=CV$3)*('حجز الإجازات'!$G$5:$G$104="معتمد")*ROW('حجز الإجازات'!$B$5:$B$104)))-5+1))</f>
        <v/>
      </c>
      <c r="CW4" s="62">
        <f>IF(SUMPRODUCT(('حجز الإجازات'!$B$5:$B$104='الموظفون'!$B$2)*('حجز الإجازات'!$D$5:$D$104&lt;=CW$3)*(('حجز الإجازات'!$E$5:$E$104)&gt;=CW$3)*('حجز الإجازات'!$G$5:$G$104="معتمد")*ROW('حجز الإجازات'!$B$5:$B$104))=0,"",INDEX('حجز الإجازات'!$C$5:$C$104,(SUMPRODUCT(('حجز الإجازات'!$B$5:$B$104='الموظفون'!$B$2)*('حجز الإجازات'!$D$5:$D$104&lt;=CW$3)*(('حجز الإجازات'!$E$5:$E$104)&gt;=CW$3)*('حجز الإجازات'!$G$5:$G$104="معتمد")*ROW('حجز الإجازات'!$B$5:$B$104)))-5+1))</f>
        <v/>
      </c>
      <c r="CX4" s="62">
        <f>IF(SUMPRODUCT(('حجز الإجازات'!$B$5:$B$104='الموظفون'!$B$2)*('حجز الإجازات'!$D$5:$D$104&lt;=CX$3)*(('حجز الإجازات'!$E$5:$E$104)&gt;=CX$3)*('حجز الإجازات'!$G$5:$G$104="معتمد")*ROW('حجز الإجازات'!$B$5:$B$104))=0,"",INDEX('حجز الإجازات'!$C$5:$C$104,(SUMPRODUCT(('حجز الإجازات'!$B$5:$B$104='الموظفون'!$B$2)*('حجز الإجازات'!$D$5:$D$104&lt;=CX$3)*(('حجز الإجازات'!$E$5:$E$104)&gt;=CX$3)*('حجز الإجازات'!$G$5:$G$104="معتمد")*ROW('حجز الإجازات'!$B$5:$B$104)))-5+1))</f>
        <v/>
      </c>
      <c r="CY4" s="62">
        <f>IF(SUMPRODUCT(('حجز الإجازات'!$B$5:$B$104='الموظفون'!$B$2)*('حجز الإجازات'!$D$5:$D$104&lt;=CY$3)*(('حجز الإجازات'!$E$5:$E$104)&gt;=CY$3)*('حجز الإجازات'!$G$5:$G$104="معتمد")*ROW('حجز الإجازات'!$B$5:$B$104))=0,"",INDEX('حجز الإجازات'!$C$5:$C$104,(SUMPRODUCT(('حجز الإجازات'!$B$5:$B$104='الموظفون'!$B$2)*('حجز الإجازات'!$D$5:$D$104&lt;=CY$3)*(('حجز الإجازات'!$E$5:$E$104)&gt;=CY$3)*('حجز الإجازات'!$G$5:$G$104="معتمد")*ROW('حجز الإجازات'!$B$5:$B$104)))-5+1))</f>
        <v/>
      </c>
      <c r="CZ4" s="62">
        <f>IF(SUMPRODUCT(('حجز الإجازات'!$B$5:$B$104='الموظفون'!$B$2)*('حجز الإجازات'!$D$5:$D$104&lt;=CZ$3)*(('حجز الإجازات'!$E$5:$E$104)&gt;=CZ$3)*('حجز الإجازات'!$G$5:$G$104="معتمد")*ROW('حجز الإجازات'!$B$5:$B$104))=0,"",INDEX('حجز الإجازات'!$C$5:$C$104,(SUMPRODUCT(('حجز الإجازات'!$B$5:$B$104='الموظفون'!$B$2)*('حجز الإجازات'!$D$5:$D$104&lt;=CZ$3)*(('حجز الإجازات'!$E$5:$E$104)&gt;=CZ$3)*('حجز الإجازات'!$G$5:$G$104="معتمد")*ROW('حجز الإجازات'!$B$5:$B$104)))-5+1))</f>
        <v/>
      </c>
      <c r="DA4" s="62">
        <f>IF(SUMPRODUCT(('حجز الإجازات'!$B$5:$B$104='الموظفون'!$B$2)*('حجز الإجازات'!$D$5:$D$104&lt;=DA$3)*(('حجز الإجازات'!$E$5:$E$104)&gt;=DA$3)*('حجز الإجازات'!$G$5:$G$104="معتمد")*ROW('حجز الإجازات'!$B$5:$B$104))=0,"",INDEX('حجز الإجازات'!$C$5:$C$104,(SUMPRODUCT(('حجز الإجازات'!$B$5:$B$104='الموظفون'!$B$2)*('حجز الإجازات'!$D$5:$D$104&lt;=DA$3)*(('حجز الإجازات'!$E$5:$E$104)&gt;=DA$3)*('حجز الإجازات'!$G$5:$G$104="معتمد")*ROW('حجز الإجازات'!$B$5:$B$104)))-5+1))</f>
        <v/>
      </c>
      <c r="DB4" s="62">
        <f>IF(SUMPRODUCT(('حجز الإجازات'!$B$5:$B$104='الموظفون'!$B$2)*('حجز الإجازات'!$D$5:$D$104&lt;=DB$3)*(('حجز الإجازات'!$E$5:$E$104)&gt;=DB$3)*('حجز الإجازات'!$G$5:$G$104="معتمد")*ROW('حجز الإجازات'!$B$5:$B$104))=0,"",INDEX('حجز الإجازات'!$C$5:$C$104,(SUMPRODUCT(('حجز الإجازات'!$B$5:$B$104='الموظفون'!$B$2)*('حجز الإجازات'!$D$5:$D$104&lt;=DB$3)*(('حجز الإجازات'!$E$5:$E$104)&gt;=DB$3)*('حجز الإجازات'!$G$5:$G$104="معتمد")*ROW('حجز الإجازات'!$B$5:$B$104)))-5+1))</f>
        <v/>
      </c>
      <c r="DC4" s="62">
        <f>IF(SUMPRODUCT(('حجز الإجازات'!$B$5:$B$104='الموظفون'!$B$2)*('حجز الإجازات'!$D$5:$D$104&lt;=DC$3)*(('حجز الإجازات'!$E$5:$E$104)&gt;=DC$3)*('حجز الإجازات'!$G$5:$G$104="معتمد")*ROW('حجز الإجازات'!$B$5:$B$104))=0,"",INDEX('حجز الإجازات'!$C$5:$C$104,(SUMPRODUCT(('حجز الإجازات'!$B$5:$B$104='الموظفون'!$B$2)*('حجز الإجازات'!$D$5:$D$104&lt;=DC$3)*(('حجز الإجازات'!$E$5:$E$104)&gt;=DC$3)*('حجز الإجازات'!$G$5:$G$104="معتمد")*ROW('حجز الإجازات'!$B$5:$B$104)))-5+1))</f>
        <v/>
      </c>
      <c r="DD4" s="62">
        <f>IF(SUMPRODUCT(('حجز الإجازات'!$B$5:$B$104='الموظفون'!$B$2)*('حجز الإجازات'!$D$5:$D$104&lt;=DD$3)*(('حجز الإجازات'!$E$5:$E$104)&gt;=DD$3)*('حجز الإجازات'!$G$5:$G$104="معتمد")*ROW('حجز الإجازات'!$B$5:$B$104))=0,"",INDEX('حجز الإجازات'!$C$5:$C$104,(SUMPRODUCT(('حجز الإجازات'!$B$5:$B$104='الموظفون'!$B$2)*('حجز الإجازات'!$D$5:$D$104&lt;=DD$3)*(('حجز الإجازات'!$E$5:$E$104)&gt;=DD$3)*('حجز الإجازات'!$G$5:$G$104="معتمد")*ROW('حجز الإجازات'!$B$5:$B$104)))-5+1))</f>
        <v/>
      </c>
      <c r="DE4" s="62">
        <f>IF(SUMPRODUCT(('حجز الإجازات'!$B$5:$B$104='الموظفون'!$B$2)*('حجز الإجازات'!$D$5:$D$104&lt;=DE$3)*(('حجز الإجازات'!$E$5:$E$104)&gt;=DE$3)*('حجز الإجازات'!$G$5:$G$104="معتمد")*ROW('حجز الإجازات'!$B$5:$B$104))=0,"",INDEX('حجز الإجازات'!$C$5:$C$104,(SUMPRODUCT(('حجز الإجازات'!$B$5:$B$104='الموظفون'!$B$2)*('حجز الإجازات'!$D$5:$D$104&lt;=DE$3)*(('حجز الإجازات'!$E$5:$E$104)&gt;=DE$3)*('حجز الإجازات'!$G$5:$G$104="معتمد")*ROW('حجز الإجازات'!$B$5:$B$104)))-5+1))</f>
        <v/>
      </c>
      <c r="DF4" s="62">
        <f>IF(SUMPRODUCT(('حجز الإجازات'!$B$5:$B$104='الموظفون'!$B$2)*('حجز الإجازات'!$D$5:$D$104&lt;=DF$3)*(('حجز الإجازات'!$E$5:$E$104)&gt;=DF$3)*('حجز الإجازات'!$G$5:$G$104="معتمد")*ROW('حجز الإجازات'!$B$5:$B$104))=0,"",INDEX('حجز الإجازات'!$C$5:$C$104,(SUMPRODUCT(('حجز الإجازات'!$B$5:$B$104='الموظفون'!$B$2)*('حجز الإجازات'!$D$5:$D$104&lt;=DF$3)*(('حجز الإجازات'!$E$5:$E$104)&gt;=DF$3)*('حجز الإجازات'!$G$5:$G$104="معتمد")*ROW('حجز الإجازات'!$B$5:$B$104)))-5+1))</f>
        <v/>
      </c>
      <c r="DG4" s="62">
        <f>IF(SUMPRODUCT(('حجز الإجازات'!$B$5:$B$104='الموظفون'!$B$2)*('حجز الإجازات'!$D$5:$D$104&lt;=DG$3)*(('حجز الإجازات'!$E$5:$E$104)&gt;=DG$3)*('حجز الإجازات'!$G$5:$G$104="معتمد")*ROW('حجز الإجازات'!$B$5:$B$104))=0,"",INDEX('حجز الإجازات'!$C$5:$C$104,(SUMPRODUCT(('حجز الإجازات'!$B$5:$B$104='الموظفون'!$B$2)*('حجز الإجازات'!$D$5:$D$104&lt;=DG$3)*(('حجز الإجازات'!$E$5:$E$104)&gt;=DG$3)*('حجز الإجازات'!$G$5:$G$104="معتمد")*ROW('حجز الإجازات'!$B$5:$B$104)))-5+1))</f>
        <v/>
      </c>
      <c r="DH4" s="62">
        <f>IF(SUMPRODUCT(('حجز الإجازات'!$B$5:$B$104='الموظفون'!$B$2)*('حجز الإجازات'!$D$5:$D$104&lt;=DH$3)*(('حجز الإجازات'!$E$5:$E$104)&gt;=DH$3)*('حجز الإجازات'!$G$5:$G$104="معتمد")*ROW('حجز الإجازات'!$B$5:$B$104))=0,"",INDEX('حجز الإجازات'!$C$5:$C$104,(SUMPRODUCT(('حجز الإجازات'!$B$5:$B$104='الموظفون'!$B$2)*('حجز الإجازات'!$D$5:$D$104&lt;=DH$3)*(('حجز الإجازات'!$E$5:$E$104)&gt;=DH$3)*('حجز الإجازات'!$G$5:$G$104="معتمد")*ROW('حجز الإجازات'!$B$5:$B$104)))-5+1))</f>
        <v/>
      </c>
      <c r="DI4" s="62">
        <f>IF(SUMPRODUCT(('حجز الإجازات'!$B$5:$B$104='الموظفون'!$B$2)*('حجز الإجازات'!$D$5:$D$104&lt;=DI$3)*(('حجز الإجازات'!$E$5:$E$104)&gt;=DI$3)*('حجز الإجازات'!$G$5:$G$104="معتمد")*ROW('حجز الإجازات'!$B$5:$B$104))=0,"",INDEX('حجز الإجازات'!$C$5:$C$104,(SUMPRODUCT(('حجز الإجازات'!$B$5:$B$104='الموظفون'!$B$2)*('حجز الإجازات'!$D$5:$D$104&lt;=DI$3)*(('حجز الإجازات'!$E$5:$E$104)&gt;=DI$3)*('حجز الإجازات'!$G$5:$G$104="معتمد")*ROW('حجز الإجازات'!$B$5:$B$104)))-5+1))</f>
        <v/>
      </c>
      <c r="DJ4" s="62">
        <f>IF(SUMPRODUCT(('حجز الإجازات'!$B$5:$B$104='الموظفون'!$B$2)*('حجز الإجازات'!$D$5:$D$104&lt;=DJ$3)*(('حجز الإجازات'!$E$5:$E$104)&gt;=DJ$3)*('حجز الإجازات'!$G$5:$G$104="معتمد")*ROW('حجز الإجازات'!$B$5:$B$104))=0,"",INDEX('حجز الإجازات'!$C$5:$C$104,(SUMPRODUCT(('حجز الإجازات'!$B$5:$B$104='الموظفون'!$B$2)*('حجز الإجازات'!$D$5:$D$104&lt;=DJ$3)*(('حجز الإجازات'!$E$5:$E$104)&gt;=DJ$3)*('حجز الإجازات'!$G$5:$G$104="معتمد")*ROW('حجز الإجازات'!$B$5:$B$104)))-5+1))</f>
        <v/>
      </c>
      <c r="DK4" s="62">
        <f>IF(SUMPRODUCT(('حجز الإجازات'!$B$5:$B$104='الموظفون'!$B$2)*('حجز الإجازات'!$D$5:$D$104&lt;=DK$3)*(('حجز الإجازات'!$E$5:$E$104)&gt;=DK$3)*('حجز الإجازات'!$G$5:$G$104="معتمد")*ROW('حجز الإجازات'!$B$5:$B$104))=0,"",INDEX('حجز الإجازات'!$C$5:$C$104,(SUMPRODUCT(('حجز الإجازات'!$B$5:$B$104='الموظفون'!$B$2)*('حجز الإجازات'!$D$5:$D$104&lt;=DK$3)*(('حجز الإجازات'!$E$5:$E$104)&gt;=DK$3)*('حجز الإجازات'!$G$5:$G$104="معتمد")*ROW('حجز الإجازات'!$B$5:$B$104)))-5+1))</f>
        <v/>
      </c>
      <c r="DL4" s="62">
        <f>IF(SUMPRODUCT(('حجز الإجازات'!$B$5:$B$104='الموظفون'!$B$2)*('حجز الإجازات'!$D$5:$D$104&lt;=DL$3)*(('حجز الإجازات'!$E$5:$E$104)&gt;=DL$3)*('حجز الإجازات'!$G$5:$G$104="معتمد")*ROW('حجز الإجازات'!$B$5:$B$104))=0,"",INDEX('حجز الإجازات'!$C$5:$C$104,(SUMPRODUCT(('حجز الإجازات'!$B$5:$B$104='الموظفون'!$B$2)*('حجز الإجازات'!$D$5:$D$104&lt;=DL$3)*(('حجز الإجازات'!$E$5:$E$104)&gt;=DL$3)*('حجز الإجازات'!$G$5:$G$104="معتمد")*ROW('حجز الإجازات'!$B$5:$B$104)))-5+1))</f>
        <v/>
      </c>
      <c r="DM4" s="62">
        <f>IF(SUMPRODUCT(('حجز الإجازات'!$B$5:$B$104='الموظفون'!$B$2)*('حجز الإجازات'!$D$5:$D$104&lt;=DM$3)*(('حجز الإجازات'!$E$5:$E$104)&gt;=DM$3)*('حجز الإجازات'!$G$5:$G$104="معتمد")*ROW('حجز الإجازات'!$B$5:$B$104))=0,"",INDEX('حجز الإجازات'!$C$5:$C$104,(SUMPRODUCT(('حجز الإجازات'!$B$5:$B$104='الموظفون'!$B$2)*('حجز الإجازات'!$D$5:$D$104&lt;=DM$3)*(('حجز الإجازات'!$E$5:$E$104)&gt;=DM$3)*('حجز الإجازات'!$G$5:$G$104="معتمد")*ROW('حجز الإجازات'!$B$5:$B$104)))-5+1))</f>
        <v/>
      </c>
      <c r="DN4" s="62">
        <f>IF(SUMPRODUCT(('حجز الإجازات'!$B$5:$B$104='الموظفون'!$B$2)*('حجز الإجازات'!$D$5:$D$104&lt;=DN$3)*(('حجز الإجازات'!$E$5:$E$104)&gt;=DN$3)*('حجز الإجازات'!$G$5:$G$104="معتمد")*ROW('حجز الإجازات'!$B$5:$B$104))=0,"",INDEX('حجز الإجازات'!$C$5:$C$104,(SUMPRODUCT(('حجز الإجازات'!$B$5:$B$104='الموظفون'!$B$2)*('حجز الإجازات'!$D$5:$D$104&lt;=DN$3)*(('حجز الإجازات'!$E$5:$E$104)&gt;=DN$3)*('حجز الإجازات'!$G$5:$G$104="معتمد")*ROW('حجز الإجازات'!$B$5:$B$104)))-5+1))</f>
        <v/>
      </c>
      <c r="DO4" s="62">
        <f>IF(SUMPRODUCT(('حجز الإجازات'!$B$5:$B$104='الموظفون'!$B$2)*('حجز الإجازات'!$D$5:$D$104&lt;=DO$3)*(('حجز الإجازات'!$E$5:$E$104)&gt;=DO$3)*('حجز الإجازات'!$G$5:$G$104="معتمد")*ROW('حجز الإجازات'!$B$5:$B$104))=0,"",INDEX('حجز الإجازات'!$C$5:$C$104,(SUMPRODUCT(('حجز الإجازات'!$B$5:$B$104='الموظفون'!$B$2)*('حجز الإجازات'!$D$5:$D$104&lt;=DO$3)*(('حجز الإجازات'!$E$5:$E$104)&gt;=DO$3)*('حجز الإجازات'!$G$5:$G$104="معتمد")*ROW('حجز الإجازات'!$B$5:$B$104)))-5+1))</f>
        <v/>
      </c>
      <c r="DP4" s="62">
        <f>IF(SUMPRODUCT(('حجز الإجازات'!$B$5:$B$104='الموظفون'!$B$2)*('حجز الإجازات'!$D$5:$D$104&lt;=DP$3)*(('حجز الإجازات'!$E$5:$E$104)&gt;=DP$3)*('حجز الإجازات'!$G$5:$G$104="معتمد")*ROW('حجز الإجازات'!$B$5:$B$104))=0,"",INDEX('حجز الإجازات'!$C$5:$C$104,(SUMPRODUCT(('حجز الإجازات'!$B$5:$B$104='الموظفون'!$B$2)*('حجز الإجازات'!$D$5:$D$104&lt;=DP$3)*(('حجز الإجازات'!$E$5:$E$104)&gt;=DP$3)*('حجز الإجازات'!$G$5:$G$104="معتمد")*ROW('حجز الإجازات'!$B$5:$B$104)))-5+1))</f>
        <v/>
      </c>
      <c r="DQ4" s="62">
        <f>IF(SUMPRODUCT(('حجز الإجازات'!$B$5:$B$104='الموظفون'!$B$2)*('حجز الإجازات'!$D$5:$D$104&lt;=DQ$3)*(('حجز الإجازات'!$E$5:$E$104)&gt;=DQ$3)*('حجز الإجازات'!$G$5:$G$104="معتمد")*ROW('حجز الإجازات'!$B$5:$B$104))=0,"",INDEX('حجز الإجازات'!$C$5:$C$104,(SUMPRODUCT(('حجز الإجازات'!$B$5:$B$104='الموظفون'!$B$2)*('حجز الإجازات'!$D$5:$D$104&lt;=DQ$3)*(('حجز الإجازات'!$E$5:$E$104)&gt;=DQ$3)*('حجز الإجازات'!$G$5:$G$104="معتمد")*ROW('حجز الإجازات'!$B$5:$B$104)))-5+1))</f>
        <v/>
      </c>
      <c r="DR4" s="62">
        <f>IF(SUMPRODUCT(('حجز الإجازات'!$B$5:$B$104='الموظفون'!$B$2)*('حجز الإجازات'!$D$5:$D$104&lt;=DR$3)*(('حجز الإجازات'!$E$5:$E$104)&gt;=DR$3)*('حجز الإجازات'!$G$5:$G$104="معتمد")*ROW('حجز الإجازات'!$B$5:$B$104))=0,"",INDEX('حجز الإجازات'!$C$5:$C$104,(SUMPRODUCT(('حجز الإجازات'!$B$5:$B$104='الموظفون'!$B$2)*('حجز الإجازات'!$D$5:$D$104&lt;=DR$3)*(('حجز الإجازات'!$E$5:$E$104)&gt;=DR$3)*('حجز الإجازات'!$G$5:$G$104="معتمد")*ROW('حجز الإجازات'!$B$5:$B$104)))-5+1))</f>
        <v/>
      </c>
      <c r="DS4" s="62">
        <f>IF(SUMPRODUCT(('حجز الإجازات'!$B$5:$B$104='الموظفون'!$B$2)*('حجز الإجازات'!$D$5:$D$104&lt;=DS$3)*(('حجز الإجازات'!$E$5:$E$104)&gt;=DS$3)*('حجز الإجازات'!$G$5:$G$104="معتمد")*ROW('حجز الإجازات'!$B$5:$B$104))=0,"",INDEX('حجز الإجازات'!$C$5:$C$104,(SUMPRODUCT(('حجز الإجازات'!$B$5:$B$104='الموظفون'!$B$2)*('حجز الإجازات'!$D$5:$D$104&lt;=DS$3)*(('حجز الإجازات'!$E$5:$E$104)&gt;=DS$3)*('حجز الإجازات'!$G$5:$G$104="معتمد")*ROW('حجز الإجازات'!$B$5:$B$104)))-5+1))</f>
        <v/>
      </c>
      <c r="DT4" s="62">
        <f>IF(SUMPRODUCT(('حجز الإجازات'!$B$5:$B$104='الموظفون'!$B$2)*('حجز الإجازات'!$D$5:$D$104&lt;=DT$3)*(('حجز الإجازات'!$E$5:$E$104)&gt;=DT$3)*('حجز الإجازات'!$G$5:$G$104="معتمد")*ROW('حجز الإجازات'!$B$5:$B$104))=0,"",INDEX('حجز الإجازات'!$C$5:$C$104,(SUMPRODUCT(('حجز الإجازات'!$B$5:$B$104='الموظفون'!$B$2)*('حجز الإجازات'!$D$5:$D$104&lt;=DT$3)*(('حجز الإجازات'!$E$5:$E$104)&gt;=DT$3)*('حجز الإجازات'!$G$5:$G$104="معتمد")*ROW('حجز الإجازات'!$B$5:$B$104)))-5+1))</f>
        <v/>
      </c>
      <c r="DU4" s="62">
        <f>IF(SUMPRODUCT(('حجز الإجازات'!$B$5:$B$104='الموظفون'!$B$2)*('حجز الإجازات'!$D$5:$D$104&lt;=DU$3)*(('حجز الإجازات'!$E$5:$E$104)&gt;=DU$3)*('حجز الإجازات'!$G$5:$G$104="معتمد")*ROW('حجز الإجازات'!$B$5:$B$104))=0,"",INDEX('حجز الإجازات'!$C$5:$C$104,(SUMPRODUCT(('حجز الإجازات'!$B$5:$B$104='الموظفون'!$B$2)*('حجز الإجازات'!$D$5:$D$104&lt;=DU$3)*(('حجز الإجازات'!$E$5:$E$104)&gt;=DU$3)*('حجز الإجازات'!$G$5:$G$104="معتمد")*ROW('حجز الإجازات'!$B$5:$B$104)))-5+1))</f>
        <v/>
      </c>
      <c r="DV4" s="62">
        <f>IF(SUMPRODUCT(('حجز الإجازات'!$B$5:$B$104='الموظفون'!$B$2)*('حجز الإجازات'!$D$5:$D$104&lt;=DV$3)*(('حجز الإجازات'!$E$5:$E$104)&gt;=DV$3)*('حجز الإجازات'!$G$5:$G$104="معتمد")*ROW('حجز الإجازات'!$B$5:$B$104))=0,"",INDEX('حجز الإجازات'!$C$5:$C$104,(SUMPRODUCT(('حجز الإجازات'!$B$5:$B$104='الموظفون'!$B$2)*('حجز الإجازات'!$D$5:$D$104&lt;=DV$3)*(('حجز الإجازات'!$E$5:$E$104)&gt;=DV$3)*('حجز الإجازات'!$G$5:$G$104="معتمد")*ROW('حجز الإجازات'!$B$5:$B$104)))-5+1))</f>
        <v/>
      </c>
      <c r="DW4" s="62">
        <f>IF(SUMPRODUCT(('حجز الإجازات'!$B$5:$B$104='الموظفون'!$B$2)*('حجز الإجازات'!$D$5:$D$104&lt;=DW$3)*(('حجز الإجازات'!$E$5:$E$104)&gt;=DW$3)*('حجز الإجازات'!$G$5:$G$104="معتمد")*ROW('حجز الإجازات'!$B$5:$B$104))=0,"",INDEX('حجز الإجازات'!$C$5:$C$104,(SUMPRODUCT(('حجز الإجازات'!$B$5:$B$104='الموظفون'!$B$2)*('حجز الإجازات'!$D$5:$D$104&lt;=DW$3)*(('حجز الإجازات'!$E$5:$E$104)&gt;=DW$3)*('حجز الإجازات'!$G$5:$G$104="معتمد")*ROW('حجز الإجازات'!$B$5:$B$104)))-5+1))</f>
        <v/>
      </c>
      <c r="DX4" s="62">
        <f>IF(SUMPRODUCT(('حجز الإجازات'!$B$5:$B$104='الموظفون'!$B$2)*('حجز الإجازات'!$D$5:$D$104&lt;=DX$3)*(('حجز الإجازات'!$E$5:$E$104)&gt;=DX$3)*('حجز الإجازات'!$G$5:$G$104="معتمد")*ROW('حجز الإجازات'!$B$5:$B$104))=0,"",INDEX('حجز الإجازات'!$C$5:$C$104,(SUMPRODUCT(('حجز الإجازات'!$B$5:$B$104='الموظفون'!$B$2)*('حجز الإجازات'!$D$5:$D$104&lt;=DX$3)*(('حجز الإجازات'!$E$5:$E$104)&gt;=DX$3)*('حجز الإجازات'!$G$5:$G$104="معتمد")*ROW('حجز الإجازات'!$B$5:$B$104)))-5+1))</f>
        <v/>
      </c>
      <c r="DY4" s="62">
        <f>IF(SUMPRODUCT(('حجز الإجازات'!$B$5:$B$104='الموظفون'!$B$2)*('حجز الإجازات'!$D$5:$D$104&lt;=DY$3)*(('حجز الإجازات'!$E$5:$E$104)&gt;=DY$3)*('حجز الإجازات'!$G$5:$G$104="معتمد")*ROW('حجز الإجازات'!$B$5:$B$104))=0,"",INDEX('حجز الإجازات'!$C$5:$C$104,(SUMPRODUCT(('حجز الإجازات'!$B$5:$B$104='الموظفون'!$B$2)*('حجز الإجازات'!$D$5:$D$104&lt;=DY$3)*(('حجز الإجازات'!$E$5:$E$104)&gt;=DY$3)*('حجز الإجازات'!$G$5:$G$104="معتمد")*ROW('حجز الإجازات'!$B$5:$B$104)))-5+1))</f>
        <v/>
      </c>
      <c r="DZ4" s="62">
        <f>IF(SUMPRODUCT(('حجز الإجازات'!$B$5:$B$104='الموظفون'!$B$2)*('حجز الإجازات'!$D$5:$D$104&lt;=DZ$3)*(('حجز الإجازات'!$E$5:$E$104)&gt;=DZ$3)*('حجز الإجازات'!$G$5:$G$104="معتمد")*ROW('حجز الإجازات'!$B$5:$B$104))=0,"",INDEX('حجز الإجازات'!$C$5:$C$104,(SUMPRODUCT(('حجز الإجازات'!$B$5:$B$104='الموظفون'!$B$2)*('حجز الإجازات'!$D$5:$D$104&lt;=DZ$3)*(('حجز الإجازات'!$E$5:$E$104)&gt;=DZ$3)*('حجز الإجازات'!$G$5:$G$104="معتمد")*ROW('حجز الإجازات'!$B$5:$B$104)))-5+1))</f>
        <v/>
      </c>
      <c r="EA4" s="62">
        <f>IF(SUMPRODUCT(('حجز الإجازات'!$B$5:$B$104='الموظفون'!$B$2)*('حجز الإجازات'!$D$5:$D$104&lt;=EA$3)*(('حجز الإجازات'!$E$5:$E$104)&gt;=EA$3)*('حجز الإجازات'!$G$5:$G$104="معتمد")*ROW('حجز الإجازات'!$B$5:$B$104))=0,"",INDEX('حجز الإجازات'!$C$5:$C$104,(SUMPRODUCT(('حجز الإجازات'!$B$5:$B$104='الموظفون'!$B$2)*('حجز الإجازات'!$D$5:$D$104&lt;=EA$3)*(('حجز الإجازات'!$E$5:$E$104)&gt;=EA$3)*('حجز الإجازات'!$G$5:$G$104="معتمد")*ROW('حجز الإجازات'!$B$5:$B$104)))-5+1))</f>
        <v/>
      </c>
      <c r="EB4" s="62">
        <f>IF(SUMPRODUCT(('حجز الإجازات'!$B$5:$B$104='الموظفون'!$B$2)*('حجز الإجازات'!$D$5:$D$104&lt;=EB$3)*(('حجز الإجازات'!$E$5:$E$104)&gt;=EB$3)*('حجز الإجازات'!$G$5:$G$104="معتمد")*ROW('حجز الإجازات'!$B$5:$B$104))=0,"",INDEX('حجز الإجازات'!$C$5:$C$104,(SUMPRODUCT(('حجز الإجازات'!$B$5:$B$104='الموظفون'!$B$2)*('حجز الإجازات'!$D$5:$D$104&lt;=EB$3)*(('حجز الإجازات'!$E$5:$E$104)&gt;=EB$3)*('حجز الإجازات'!$G$5:$G$104="معتمد")*ROW('حجز الإجازات'!$B$5:$B$104)))-5+1))</f>
        <v/>
      </c>
      <c r="EC4" s="62">
        <f>IF(SUMPRODUCT(('حجز الإجازات'!$B$5:$B$104='الموظفون'!$B$2)*('حجز الإجازات'!$D$5:$D$104&lt;=EC$3)*(('حجز الإجازات'!$E$5:$E$104)&gt;=EC$3)*('حجز الإجازات'!$G$5:$G$104="معتمد")*ROW('حجز الإجازات'!$B$5:$B$104))=0,"",INDEX('حجز الإجازات'!$C$5:$C$104,(SUMPRODUCT(('حجز الإجازات'!$B$5:$B$104='الموظفون'!$B$2)*('حجز الإجازات'!$D$5:$D$104&lt;=EC$3)*(('حجز الإجازات'!$E$5:$E$104)&gt;=EC$3)*('حجز الإجازات'!$G$5:$G$104="معتمد")*ROW('حجز الإجازات'!$B$5:$B$104)))-5+1))</f>
        <v/>
      </c>
      <c r="ED4" s="62">
        <f>IF(SUMPRODUCT(('حجز الإجازات'!$B$5:$B$104='الموظفون'!$B$2)*('حجز الإجازات'!$D$5:$D$104&lt;=ED$3)*(('حجز الإجازات'!$E$5:$E$104)&gt;=ED$3)*('حجز الإجازات'!$G$5:$G$104="معتمد")*ROW('حجز الإجازات'!$B$5:$B$104))=0,"",INDEX('حجز الإجازات'!$C$5:$C$104,(SUMPRODUCT(('حجز الإجازات'!$B$5:$B$104='الموظفون'!$B$2)*('حجز الإجازات'!$D$5:$D$104&lt;=ED$3)*(('حجز الإجازات'!$E$5:$E$104)&gt;=ED$3)*('حجز الإجازات'!$G$5:$G$104="معتمد")*ROW('حجز الإجازات'!$B$5:$B$104)))-5+1))</f>
        <v/>
      </c>
      <c r="EE4" s="62">
        <f>IF(SUMPRODUCT(('حجز الإجازات'!$B$5:$B$104='الموظفون'!$B$2)*('حجز الإجازات'!$D$5:$D$104&lt;=EE$3)*(('حجز الإجازات'!$E$5:$E$104)&gt;=EE$3)*('حجز الإجازات'!$G$5:$G$104="معتمد")*ROW('حجز الإجازات'!$B$5:$B$104))=0,"",INDEX('حجز الإجازات'!$C$5:$C$104,(SUMPRODUCT(('حجز الإجازات'!$B$5:$B$104='الموظفون'!$B$2)*('حجز الإجازات'!$D$5:$D$104&lt;=EE$3)*(('حجز الإجازات'!$E$5:$E$104)&gt;=EE$3)*('حجز الإجازات'!$G$5:$G$104="معتمد")*ROW('حجز الإجازات'!$B$5:$B$104)))-5+1))</f>
        <v/>
      </c>
      <c r="EF4" s="62">
        <f>IF(SUMPRODUCT(('حجز الإجازات'!$B$5:$B$104='الموظفون'!$B$2)*('حجز الإجازات'!$D$5:$D$104&lt;=EF$3)*(('حجز الإجازات'!$E$5:$E$104)&gt;=EF$3)*('حجز الإجازات'!$G$5:$G$104="معتمد")*ROW('حجز الإجازات'!$B$5:$B$104))=0,"",INDEX('حجز الإجازات'!$C$5:$C$104,(SUMPRODUCT(('حجز الإجازات'!$B$5:$B$104='الموظفون'!$B$2)*('حجز الإجازات'!$D$5:$D$104&lt;=EF$3)*(('حجز الإجازات'!$E$5:$E$104)&gt;=EF$3)*('حجز الإجازات'!$G$5:$G$104="معتمد")*ROW('حجز الإجازات'!$B$5:$B$104)))-5+1))</f>
        <v/>
      </c>
      <c r="EG4" s="62">
        <f>IF(SUMPRODUCT(('حجز الإجازات'!$B$5:$B$104='الموظفون'!$B$2)*('حجز الإجازات'!$D$5:$D$104&lt;=EG$3)*(('حجز الإجازات'!$E$5:$E$104)&gt;=EG$3)*('حجز الإجازات'!$G$5:$G$104="معتمد")*ROW('حجز الإجازات'!$B$5:$B$104))=0,"",INDEX('حجز الإجازات'!$C$5:$C$104,(SUMPRODUCT(('حجز الإجازات'!$B$5:$B$104='الموظفون'!$B$2)*('حجز الإجازات'!$D$5:$D$104&lt;=EG$3)*(('حجز الإجازات'!$E$5:$E$104)&gt;=EG$3)*('حجز الإجازات'!$G$5:$G$104="معتمد")*ROW('حجز الإجازات'!$B$5:$B$104)))-5+1))</f>
        <v/>
      </c>
      <c r="EH4" s="62">
        <f>IF(SUMPRODUCT(('حجز الإجازات'!$B$5:$B$104='الموظفون'!$B$2)*('حجز الإجازات'!$D$5:$D$104&lt;=EH$3)*(('حجز الإجازات'!$E$5:$E$104)&gt;=EH$3)*('حجز الإجازات'!$G$5:$G$104="معتمد")*ROW('حجز الإجازات'!$B$5:$B$104))=0,"",INDEX('حجز الإجازات'!$C$5:$C$104,(SUMPRODUCT(('حجز الإجازات'!$B$5:$B$104='الموظفون'!$B$2)*('حجز الإجازات'!$D$5:$D$104&lt;=EH$3)*(('حجز الإجازات'!$E$5:$E$104)&gt;=EH$3)*('حجز الإجازات'!$G$5:$G$104="معتمد")*ROW('حجز الإجازات'!$B$5:$B$104)))-5+1))</f>
        <v/>
      </c>
      <c r="EI4" s="62">
        <f>IF(SUMPRODUCT(('حجز الإجازات'!$B$5:$B$104='الموظفون'!$B$2)*('حجز الإجازات'!$D$5:$D$104&lt;=EI$3)*(('حجز الإجازات'!$E$5:$E$104)&gt;=EI$3)*('حجز الإجازات'!$G$5:$G$104="معتمد")*ROW('حجز الإجازات'!$B$5:$B$104))=0,"",INDEX('حجز الإجازات'!$C$5:$C$104,(SUMPRODUCT(('حجز الإجازات'!$B$5:$B$104='الموظفون'!$B$2)*('حجز الإجازات'!$D$5:$D$104&lt;=EI$3)*(('حجز الإجازات'!$E$5:$E$104)&gt;=EI$3)*('حجز الإجازات'!$G$5:$G$104="معتمد")*ROW('حجز الإجازات'!$B$5:$B$104)))-5+1))</f>
        <v/>
      </c>
      <c r="EJ4" s="62">
        <f>IF(SUMPRODUCT(('حجز الإجازات'!$B$5:$B$104='الموظفون'!$B$2)*('حجز الإجازات'!$D$5:$D$104&lt;=EJ$3)*(('حجز الإجازات'!$E$5:$E$104)&gt;=EJ$3)*('حجز الإجازات'!$G$5:$G$104="معتمد")*ROW('حجز الإجازات'!$B$5:$B$104))=0,"",INDEX('حجز الإجازات'!$C$5:$C$104,(SUMPRODUCT(('حجز الإجازات'!$B$5:$B$104='الموظفون'!$B$2)*('حجز الإجازات'!$D$5:$D$104&lt;=EJ$3)*(('حجز الإجازات'!$E$5:$E$104)&gt;=EJ$3)*('حجز الإجازات'!$G$5:$G$104="معتمد")*ROW('حجز الإجازات'!$B$5:$B$104)))-5+1))</f>
        <v/>
      </c>
      <c r="EK4" s="62">
        <f>IF(SUMPRODUCT(('حجز الإجازات'!$B$5:$B$104='الموظفون'!$B$2)*('حجز الإجازات'!$D$5:$D$104&lt;=EK$3)*(('حجز الإجازات'!$E$5:$E$104)&gt;=EK$3)*('حجز الإجازات'!$G$5:$G$104="معتمد")*ROW('حجز الإجازات'!$B$5:$B$104))=0,"",INDEX('حجز الإجازات'!$C$5:$C$104,(SUMPRODUCT(('حجز الإجازات'!$B$5:$B$104='الموظفون'!$B$2)*('حجز الإجازات'!$D$5:$D$104&lt;=EK$3)*(('حجز الإجازات'!$E$5:$E$104)&gt;=EK$3)*('حجز الإجازات'!$G$5:$G$104="معتمد")*ROW('حجز الإجازات'!$B$5:$B$104)))-5+1))</f>
        <v/>
      </c>
      <c r="EL4" s="62">
        <f>IF(SUMPRODUCT(('حجز الإجازات'!$B$5:$B$104='الموظفون'!$B$2)*('حجز الإجازات'!$D$5:$D$104&lt;=EL$3)*(('حجز الإجازات'!$E$5:$E$104)&gt;=EL$3)*('حجز الإجازات'!$G$5:$G$104="معتمد")*ROW('حجز الإجازات'!$B$5:$B$104))=0,"",INDEX('حجز الإجازات'!$C$5:$C$104,(SUMPRODUCT(('حجز الإجازات'!$B$5:$B$104='الموظفون'!$B$2)*('حجز الإجازات'!$D$5:$D$104&lt;=EL$3)*(('حجز الإجازات'!$E$5:$E$104)&gt;=EL$3)*('حجز الإجازات'!$G$5:$G$104="معتمد")*ROW('حجز الإجازات'!$B$5:$B$104)))-5+1))</f>
        <v/>
      </c>
      <c r="EM4" s="62">
        <f>IF(SUMPRODUCT(('حجز الإجازات'!$B$5:$B$104='الموظفون'!$B$2)*('حجز الإجازات'!$D$5:$D$104&lt;=EM$3)*(('حجز الإجازات'!$E$5:$E$104)&gt;=EM$3)*('حجز الإجازات'!$G$5:$G$104="معتمد")*ROW('حجز الإجازات'!$B$5:$B$104))=0,"",INDEX('حجز الإجازات'!$C$5:$C$104,(SUMPRODUCT(('حجز الإجازات'!$B$5:$B$104='الموظفون'!$B$2)*('حجز الإجازات'!$D$5:$D$104&lt;=EM$3)*(('حجز الإجازات'!$E$5:$E$104)&gt;=EM$3)*('حجز الإجازات'!$G$5:$G$104="معتمد")*ROW('حجز الإجازات'!$B$5:$B$104)))-5+1))</f>
        <v/>
      </c>
      <c r="EN4" s="62">
        <f>IF(SUMPRODUCT(('حجز الإجازات'!$B$5:$B$104='الموظفون'!$B$2)*('حجز الإجازات'!$D$5:$D$104&lt;=EN$3)*(('حجز الإجازات'!$E$5:$E$104)&gt;=EN$3)*('حجز الإجازات'!$G$5:$G$104="معتمد")*ROW('حجز الإجازات'!$B$5:$B$104))=0,"",INDEX('حجز الإجازات'!$C$5:$C$104,(SUMPRODUCT(('حجز الإجازات'!$B$5:$B$104='الموظفون'!$B$2)*('حجز الإجازات'!$D$5:$D$104&lt;=EN$3)*(('حجز الإجازات'!$E$5:$E$104)&gt;=EN$3)*('حجز الإجازات'!$G$5:$G$104="معتمد")*ROW('حجز الإجازات'!$B$5:$B$104)))-5+1))</f>
        <v/>
      </c>
      <c r="EO4" s="62">
        <f>IF(SUMPRODUCT(('حجز الإجازات'!$B$5:$B$104='الموظفون'!$B$2)*('حجز الإجازات'!$D$5:$D$104&lt;=EO$3)*(('حجز الإجازات'!$E$5:$E$104)&gt;=EO$3)*('حجز الإجازات'!$G$5:$G$104="معتمد")*ROW('حجز الإجازات'!$B$5:$B$104))=0,"",INDEX('حجز الإجازات'!$C$5:$C$104,(SUMPRODUCT(('حجز الإجازات'!$B$5:$B$104='الموظفون'!$B$2)*('حجز الإجازات'!$D$5:$D$104&lt;=EO$3)*(('حجز الإجازات'!$E$5:$E$104)&gt;=EO$3)*('حجز الإجازات'!$G$5:$G$104="معتمد")*ROW('حجز الإجازات'!$B$5:$B$104)))-5+1))</f>
        <v/>
      </c>
      <c r="EP4" s="62">
        <f>IF(SUMPRODUCT(('حجز الإجازات'!$B$5:$B$104='الموظفون'!$B$2)*('حجز الإجازات'!$D$5:$D$104&lt;=EP$3)*(('حجز الإجازات'!$E$5:$E$104)&gt;=EP$3)*('حجز الإجازات'!$G$5:$G$104="معتمد")*ROW('حجز الإجازات'!$B$5:$B$104))=0,"",INDEX('حجز الإجازات'!$C$5:$C$104,(SUMPRODUCT(('حجز الإجازات'!$B$5:$B$104='الموظفون'!$B$2)*('حجز الإجازات'!$D$5:$D$104&lt;=EP$3)*(('حجز الإجازات'!$E$5:$E$104)&gt;=EP$3)*('حجز الإجازات'!$G$5:$G$104="معتمد")*ROW('حجز الإجازات'!$B$5:$B$104)))-5+1))</f>
        <v/>
      </c>
      <c r="EQ4" s="62">
        <f>IF(SUMPRODUCT(('حجز الإجازات'!$B$5:$B$104='الموظفون'!$B$2)*('حجز الإجازات'!$D$5:$D$104&lt;=EQ$3)*(('حجز الإجازات'!$E$5:$E$104)&gt;=EQ$3)*('حجز الإجازات'!$G$5:$G$104="معتمد")*ROW('حجز الإجازات'!$B$5:$B$104))=0,"",INDEX('حجز الإجازات'!$C$5:$C$104,(SUMPRODUCT(('حجز الإجازات'!$B$5:$B$104='الموظفون'!$B$2)*('حجز الإجازات'!$D$5:$D$104&lt;=EQ$3)*(('حجز الإجازات'!$E$5:$E$104)&gt;=EQ$3)*('حجز الإجازات'!$G$5:$G$104="معتمد")*ROW('حجز الإجازات'!$B$5:$B$104)))-5+1))</f>
        <v/>
      </c>
      <c r="ER4" s="62">
        <f>IF(SUMPRODUCT(('حجز الإجازات'!$B$5:$B$104='الموظفون'!$B$2)*('حجز الإجازات'!$D$5:$D$104&lt;=ER$3)*(('حجز الإجازات'!$E$5:$E$104)&gt;=ER$3)*('حجز الإجازات'!$G$5:$G$104="معتمد")*ROW('حجز الإجازات'!$B$5:$B$104))=0,"",INDEX('حجز الإجازات'!$C$5:$C$104,(SUMPRODUCT(('حجز الإجازات'!$B$5:$B$104='الموظفون'!$B$2)*('حجز الإجازات'!$D$5:$D$104&lt;=ER$3)*(('حجز الإجازات'!$E$5:$E$104)&gt;=ER$3)*('حجز الإجازات'!$G$5:$G$104="معتمد")*ROW('حجز الإجازات'!$B$5:$B$104)))-5+1))</f>
        <v/>
      </c>
      <c r="ES4" s="62">
        <f>IF(SUMPRODUCT(('حجز الإجازات'!$B$5:$B$104='الموظفون'!$B$2)*('حجز الإجازات'!$D$5:$D$104&lt;=ES$3)*(('حجز الإجازات'!$E$5:$E$104)&gt;=ES$3)*('حجز الإجازات'!$G$5:$G$104="معتمد")*ROW('حجز الإجازات'!$B$5:$B$104))=0,"",INDEX('حجز الإجازات'!$C$5:$C$104,(SUMPRODUCT(('حجز الإجازات'!$B$5:$B$104='الموظفون'!$B$2)*('حجز الإجازات'!$D$5:$D$104&lt;=ES$3)*(('حجز الإجازات'!$E$5:$E$104)&gt;=ES$3)*('حجز الإجازات'!$G$5:$G$104="معتمد")*ROW('حجز الإجازات'!$B$5:$B$104)))-5+1))</f>
        <v/>
      </c>
      <c r="ET4" s="62">
        <f>IF(SUMPRODUCT(('حجز الإجازات'!$B$5:$B$104='الموظفون'!$B$2)*('حجز الإجازات'!$D$5:$D$104&lt;=ET$3)*(('حجز الإجازات'!$E$5:$E$104)&gt;=ET$3)*('حجز الإجازات'!$G$5:$G$104="معتمد")*ROW('حجز الإجازات'!$B$5:$B$104))=0,"",INDEX('حجز الإجازات'!$C$5:$C$104,(SUMPRODUCT(('حجز الإجازات'!$B$5:$B$104='الموظفون'!$B$2)*('حجز الإجازات'!$D$5:$D$104&lt;=ET$3)*(('حجز الإجازات'!$E$5:$E$104)&gt;=ET$3)*('حجز الإجازات'!$G$5:$G$104="معتمد")*ROW('حجز الإجازات'!$B$5:$B$104)))-5+1))</f>
        <v/>
      </c>
      <c r="EU4" s="62">
        <f>IF(SUMPRODUCT(('حجز الإجازات'!$B$5:$B$104='الموظفون'!$B$2)*('حجز الإجازات'!$D$5:$D$104&lt;=EU$3)*(('حجز الإجازات'!$E$5:$E$104)&gt;=EU$3)*('حجز الإجازات'!$G$5:$G$104="معتمد")*ROW('حجز الإجازات'!$B$5:$B$104))=0,"",INDEX('حجز الإجازات'!$C$5:$C$104,(SUMPRODUCT(('حجز الإجازات'!$B$5:$B$104='الموظفون'!$B$2)*('حجز الإجازات'!$D$5:$D$104&lt;=EU$3)*(('حجز الإجازات'!$E$5:$E$104)&gt;=EU$3)*('حجز الإجازات'!$G$5:$G$104="معتمد")*ROW('حجز الإجازات'!$B$5:$B$104)))-5+1))</f>
        <v/>
      </c>
      <c r="EV4" s="62">
        <f>IF(SUMPRODUCT(('حجز الإجازات'!$B$5:$B$104='الموظفون'!$B$2)*('حجز الإجازات'!$D$5:$D$104&lt;=EV$3)*(('حجز الإجازات'!$E$5:$E$104)&gt;=EV$3)*('حجز الإجازات'!$G$5:$G$104="معتمد")*ROW('حجز الإجازات'!$B$5:$B$104))=0,"",INDEX('حجز الإجازات'!$C$5:$C$104,(SUMPRODUCT(('حجز الإجازات'!$B$5:$B$104='الموظفون'!$B$2)*('حجز الإجازات'!$D$5:$D$104&lt;=EV$3)*(('حجز الإجازات'!$E$5:$E$104)&gt;=EV$3)*('حجز الإجازات'!$G$5:$G$104="معتمد")*ROW('حجز الإجازات'!$B$5:$B$104)))-5+1))</f>
        <v/>
      </c>
      <c r="EW4" s="62">
        <f>IF(SUMPRODUCT(('حجز الإجازات'!$B$5:$B$104='الموظفون'!$B$2)*('حجز الإجازات'!$D$5:$D$104&lt;=EW$3)*(('حجز الإجازات'!$E$5:$E$104)&gt;=EW$3)*('حجز الإجازات'!$G$5:$G$104="معتمد")*ROW('حجز الإجازات'!$B$5:$B$104))=0,"",INDEX('حجز الإجازات'!$C$5:$C$104,(SUMPRODUCT(('حجز الإجازات'!$B$5:$B$104='الموظفون'!$B$2)*('حجز الإجازات'!$D$5:$D$104&lt;=EW$3)*(('حجز الإجازات'!$E$5:$E$104)&gt;=EW$3)*('حجز الإجازات'!$G$5:$G$104="معتمد")*ROW('حجز الإجازات'!$B$5:$B$104)))-5+1))</f>
        <v/>
      </c>
      <c r="EX4" s="62">
        <f>IF(SUMPRODUCT(('حجز الإجازات'!$B$5:$B$104='الموظفون'!$B$2)*('حجز الإجازات'!$D$5:$D$104&lt;=EX$3)*(('حجز الإجازات'!$E$5:$E$104)&gt;=EX$3)*('حجز الإجازات'!$G$5:$G$104="معتمد")*ROW('حجز الإجازات'!$B$5:$B$104))=0,"",INDEX('حجز الإجازات'!$C$5:$C$104,(SUMPRODUCT(('حجز الإجازات'!$B$5:$B$104='الموظفون'!$B$2)*('حجز الإجازات'!$D$5:$D$104&lt;=EX$3)*(('حجز الإجازات'!$E$5:$E$104)&gt;=EX$3)*('حجز الإجازات'!$G$5:$G$104="معتمد")*ROW('حجز الإجازات'!$B$5:$B$104)))-5+1))</f>
        <v/>
      </c>
      <c r="EY4" s="62">
        <f>IF(SUMPRODUCT(('حجز الإجازات'!$B$5:$B$104='الموظفون'!$B$2)*('حجز الإجازات'!$D$5:$D$104&lt;=EY$3)*(('حجز الإجازات'!$E$5:$E$104)&gt;=EY$3)*('حجز الإجازات'!$G$5:$G$104="معتمد")*ROW('حجز الإجازات'!$B$5:$B$104))=0,"",INDEX('حجز الإجازات'!$C$5:$C$104,(SUMPRODUCT(('حجز الإجازات'!$B$5:$B$104='الموظفون'!$B$2)*('حجز الإجازات'!$D$5:$D$104&lt;=EY$3)*(('حجز الإجازات'!$E$5:$E$104)&gt;=EY$3)*('حجز الإجازات'!$G$5:$G$104="معتمد")*ROW('حجز الإجازات'!$B$5:$B$104)))-5+1))</f>
        <v/>
      </c>
      <c r="EZ4" s="62">
        <f>IF(SUMPRODUCT(('حجز الإجازات'!$B$5:$B$104='الموظفون'!$B$2)*('حجز الإجازات'!$D$5:$D$104&lt;=EZ$3)*(('حجز الإجازات'!$E$5:$E$104)&gt;=EZ$3)*('حجز الإجازات'!$G$5:$G$104="معتمد")*ROW('حجز الإجازات'!$B$5:$B$104))=0,"",INDEX('حجز الإجازات'!$C$5:$C$104,(SUMPRODUCT(('حجز الإجازات'!$B$5:$B$104='الموظفون'!$B$2)*('حجز الإجازات'!$D$5:$D$104&lt;=EZ$3)*(('حجز الإجازات'!$E$5:$E$104)&gt;=EZ$3)*('حجز الإجازات'!$G$5:$G$104="معتمد")*ROW('حجز الإجازات'!$B$5:$B$104)))-5+1))</f>
        <v/>
      </c>
      <c r="FA4" s="62">
        <f>IF(SUMPRODUCT(('حجز الإجازات'!$B$5:$B$104='الموظفون'!$B$2)*('حجز الإجازات'!$D$5:$D$104&lt;=FA$3)*(('حجز الإجازات'!$E$5:$E$104)&gt;=FA$3)*('حجز الإجازات'!$G$5:$G$104="معتمد")*ROW('حجز الإجازات'!$B$5:$B$104))=0,"",INDEX('حجز الإجازات'!$C$5:$C$104,(SUMPRODUCT(('حجز الإجازات'!$B$5:$B$104='الموظفون'!$B$2)*('حجز الإجازات'!$D$5:$D$104&lt;=FA$3)*(('حجز الإجازات'!$E$5:$E$104)&gt;=FA$3)*('حجز الإجازات'!$G$5:$G$104="معتمد")*ROW('حجز الإجازات'!$B$5:$B$104)))-5+1))</f>
        <v/>
      </c>
      <c r="FB4" s="62">
        <f>IF(SUMPRODUCT(('حجز الإجازات'!$B$5:$B$104='الموظفون'!$B$2)*('حجز الإجازات'!$D$5:$D$104&lt;=FB$3)*(('حجز الإجازات'!$E$5:$E$104)&gt;=FB$3)*('حجز الإجازات'!$G$5:$G$104="معتمد")*ROW('حجز الإجازات'!$B$5:$B$104))=0,"",INDEX('حجز الإجازات'!$C$5:$C$104,(SUMPRODUCT(('حجز الإجازات'!$B$5:$B$104='الموظفون'!$B$2)*('حجز الإجازات'!$D$5:$D$104&lt;=FB$3)*(('حجز الإجازات'!$E$5:$E$104)&gt;=FB$3)*('حجز الإجازات'!$G$5:$G$104="معتمد")*ROW('حجز الإجازات'!$B$5:$B$104)))-5+1))</f>
        <v/>
      </c>
      <c r="FC4" s="62">
        <f>IF(SUMPRODUCT(('حجز الإجازات'!$B$5:$B$104='الموظفون'!$B$2)*('حجز الإجازات'!$D$5:$D$104&lt;=FC$3)*(('حجز الإجازات'!$E$5:$E$104)&gt;=FC$3)*('حجز الإجازات'!$G$5:$G$104="معتمد")*ROW('حجز الإجازات'!$B$5:$B$104))=0,"",INDEX('حجز الإجازات'!$C$5:$C$104,(SUMPRODUCT(('حجز الإجازات'!$B$5:$B$104='الموظفون'!$B$2)*('حجز الإجازات'!$D$5:$D$104&lt;=FC$3)*(('حجز الإجازات'!$E$5:$E$104)&gt;=FC$3)*('حجز الإجازات'!$G$5:$G$104="معتمد")*ROW('حجز الإجازات'!$B$5:$B$104)))-5+1))</f>
        <v/>
      </c>
      <c r="FD4" s="62">
        <f>IF(SUMPRODUCT(('حجز الإجازات'!$B$5:$B$104='الموظفون'!$B$2)*('حجز الإجازات'!$D$5:$D$104&lt;=FD$3)*(('حجز الإجازات'!$E$5:$E$104)&gt;=FD$3)*('حجز الإجازات'!$G$5:$G$104="معتمد")*ROW('حجز الإجازات'!$B$5:$B$104))=0,"",INDEX('حجز الإجازات'!$C$5:$C$104,(SUMPRODUCT(('حجز الإجازات'!$B$5:$B$104='الموظفون'!$B$2)*('حجز الإجازات'!$D$5:$D$104&lt;=FD$3)*(('حجز الإجازات'!$E$5:$E$104)&gt;=FD$3)*('حجز الإجازات'!$G$5:$G$104="معتمد")*ROW('حجز الإجازات'!$B$5:$B$104)))-5+1))</f>
        <v/>
      </c>
      <c r="FE4" s="62">
        <f>IF(SUMPRODUCT(('حجز الإجازات'!$B$5:$B$104='الموظفون'!$B$2)*('حجز الإجازات'!$D$5:$D$104&lt;=FE$3)*(('حجز الإجازات'!$E$5:$E$104)&gt;=FE$3)*('حجز الإجازات'!$G$5:$G$104="معتمد")*ROW('حجز الإجازات'!$B$5:$B$104))=0,"",INDEX('حجز الإجازات'!$C$5:$C$104,(SUMPRODUCT(('حجز الإجازات'!$B$5:$B$104='الموظفون'!$B$2)*('حجز الإجازات'!$D$5:$D$104&lt;=FE$3)*(('حجز الإجازات'!$E$5:$E$104)&gt;=FE$3)*('حجز الإجازات'!$G$5:$G$104="معتمد")*ROW('حجز الإجازات'!$B$5:$B$104)))-5+1))</f>
        <v/>
      </c>
      <c r="FF4" s="62">
        <f>IF(SUMPRODUCT(('حجز الإجازات'!$B$5:$B$104='الموظفون'!$B$2)*('حجز الإجازات'!$D$5:$D$104&lt;=FF$3)*(('حجز الإجازات'!$E$5:$E$104)&gt;=FF$3)*('حجز الإجازات'!$G$5:$G$104="معتمد")*ROW('حجز الإجازات'!$B$5:$B$104))=0,"",INDEX('حجز الإجازات'!$C$5:$C$104,(SUMPRODUCT(('حجز الإجازات'!$B$5:$B$104='الموظفون'!$B$2)*('حجز الإجازات'!$D$5:$D$104&lt;=FF$3)*(('حجز الإجازات'!$E$5:$E$104)&gt;=FF$3)*('حجز الإجازات'!$G$5:$G$104="معتمد")*ROW('حجز الإجازات'!$B$5:$B$104)))-5+1))</f>
        <v/>
      </c>
      <c r="FG4" s="62">
        <f>IF(SUMPRODUCT(('حجز الإجازات'!$B$5:$B$104='الموظفون'!$B$2)*('حجز الإجازات'!$D$5:$D$104&lt;=FG$3)*(('حجز الإجازات'!$E$5:$E$104)&gt;=FG$3)*('حجز الإجازات'!$G$5:$G$104="معتمد")*ROW('حجز الإجازات'!$B$5:$B$104))=0,"",INDEX('حجز الإجازات'!$C$5:$C$104,(SUMPRODUCT(('حجز الإجازات'!$B$5:$B$104='الموظفون'!$B$2)*('حجز الإجازات'!$D$5:$D$104&lt;=FG$3)*(('حجز الإجازات'!$E$5:$E$104)&gt;=FG$3)*('حجز الإجازات'!$G$5:$G$104="معتمد")*ROW('حجز الإجازات'!$B$5:$B$104)))-5+1))</f>
        <v/>
      </c>
      <c r="FH4" s="62">
        <f>IF(SUMPRODUCT(('حجز الإجازات'!$B$5:$B$104='الموظفون'!$B$2)*('حجز الإجازات'!$D$5:$D$104&lt;=FH$3)*(('حجز الإجازات'!$E$5:$E$104)&gt;=FH$3)*('حجز الإجازات'!$G$5:$G$104="معتمد")*ROW('حجز الإجازات'!$B$5:$B$104))=0,"",INDEX('حجز الإجازات'!$C$5:$C$104,(SUMPRODUCT(('حجز الإجازات'!$B$5:$B$104='الموظفون'!$B$2)*('حجز الإجازات'!$D$5:$D$104&lt;=FH$3)*(('حجز الإجازات'!$E$5:$E$104)&gt;=FH$3)*('حجز الإجازات'!$G$5:$G$104="معتمد")*ROW('حجز الإجازات'!$B$5:$B$104)))-5+1))</f>
        <v/>
      </c>
      <c r="FI4" s="62">
        <f>IF(SUMPRODUCT(('حجز الإجازات'!$B$5:$B$104='الموظفون'!$B$2)*('حجز الإجازات'!$D$5:$D$104&lt;=FI$3)*(('حجز الإجازات'!$E$5:$E$104)&gt;=FI$3)*('حجز الإجازات'!$G$5:$G$104="معتمد")*ROW('حجز الإجازات'!$B$5:$B$104))=0,"",INDEX('حجز الإجازات'!$C$5:$C$104,(SUMPRODUCT(('حجز الإجازات'!$B$5:$B$104='الموظفون'!$B$2)*('حجز الإجازات'!$D$5:$D$104&lt;=FI$3)*(('حجز الإجازات'!$E$5:$E$104)&gt;=FI$3)*('حجز الإجازات'!$G$5:$G$104="معتمد")*ROW('حجز الإجازات'!$B$5:$B$104)))-5+1))</f>
        <v/>
      </c>
      <c r="FJ4" s="62">
        <f>IF(SUMPRODUCT(('حجز الإجازات'!$B$5:$B$104='الموظفون'!$B$2)*('حجز الإجازات'!$D$5:$D$104&lt;=FJ$3)*(('حجز الإجازات'!$E$5:$E$104)&gt;=FJ$3)*('حجز الإجازات'!$G$5:$G$104="معتمد")*ROW('حجز الإجازات'!$B$5:$B$104))=0,"",INDEX('حجز الإجازات'!$C$5:$C$104,(SUMPRODUCT(('حجز الإجازات'!$B$5:$B$104='الموظفون'!$B$2)*('حجز الإجازات'!$D$5:$D$104&lt;=FJ$3)*(('حجز الإجازات'!$E$5:$E$104)&gt;=FJ$3)*('حجز الإجازات'!$G$5:$G$104="معتمد")*ROW('حجز الإجازات'!$B$5:$B$104)))-5+1))</f>
        <v/>
      </c>
      <c r="FK4" s="62">
        <f>IF(SUMPRODUCT(('حجز الإجازات'!$B$5:$B$104='الموظفون'!$B$2)*('حجز الإجازات'!$D$5:$D$104&lt;=FK$3)*(('حجز الإجازات'!$E$5:$E$104)&gt;=FK$3)*('حجز الإجازات'!$G$5:$G$104="معتمد")*ROW('حجز الإجازات'!$B$5:$B$104))=0,"",INDEX('حجز الإجازات'!$C$5:$C$104,(SUMPRODUCT(('حجز الإجازات'!$B$5:$B$104='الموظفون'!$B$2)*('حجز الإجازات'!$D$5:$D$104&lt;=FK$3)*(('حجز الإجازات'!$E$5:$E$104)&gt;=FK$3)*('حجز الإجازات'!$G$5:$G$104="معتمد")*ROW('حجز الإجازات'!$B$5:$B$104)))-5+1))</f>
        <v/>
      </c>
      <c r="FL4" s="62">
        <f>IF(SUMPRODUCT(('حجز الإجازات'!$B$5:$B$104='الموظفون'!$B$2)*('حجز الإجازات'!$D$5:$D$104&lt;=FL$3)*(('حجز الإجازات'!$E$5:$E$104)&gt;=FL$3)*('حجز الإجازات'!$G$5:$G$104="معتمد")*ROW('حجز الإجازات'!$B$5:$B$104))=0,"",INDEX('حجز الإجازات'!$C$5:$C$104,(SUMPRODUCT(('حجز الإجازات'!$B$5:$B$104='الموظفون'!$B$2)*('حجز الإجازات'!$D$5:$D$104&lt;=FL$3)*(('حجز الإجازات'!$E$5:$E$104)&gt;=FL$3)*('حجز الإجازات'!$G$5:$G$104="معتمد")*ROW('حجز الإجازات'!$B$5:$B$104)))-5+1))</f>
        <v/>
      </c>
      <c r="FM4" s="62">
        <f>IF(SUMPRODUCT(('حجز الإجازات'!$B$5:$B$104='الموظفون'!$B$2)*('حجز الإجازات'!$D$5:$D$104&lt;=FM$3)*(('حجز الإجازات'!$E$5:$E$104)&gt;=FM$3)*('حجز الإجازات'!$G$5:$G$104="معتمد")*ROW('حجز الإجازات'!$B$5:$B$104))=0,"",INDEX('حجز الإجازات'!$C$5:$C$104,(SUMPRODUCT(('حجز الإجازات'!$B$5:$B$104='الموظفون'!$B$2)*('حجز الإجازات'!$D$5:$D$104&lt;=FM$3)*(('حجز الإجازات'!$E$5:$E$104)&gt;=FM$3)*('حجز الإجازات'!$G$5:$G$104="معتمد")*ROW('حجز الإجازات'!$B$5:$B$104)))-5+1))</f>
        <v/>
      </c>
      <c r="FN4" s="62">
        <f>IF(SUMPRODUCT(('حجز الإجازات'!$B$5:$B$104='الموظفون'!$B$2)*('حجز الإجازات'!$D$5:$D$104&lt;=FN$3)*(('حجز الإجازات'!$E$5:$E$104)&gt;=FN$3)*('حجز الإجازات'!$G$5:$G$104="معتمد")*ROW('حجز الإجازات'!$B$5:$B$104))=0,"",INDEX('حجز الإجازات'!$C$5:$C$104,(SUMPRODUCT(('حجز الإجازات'!$B$5:$B$104='الموظفون'!$B$2)*('حجز الإجازات'!$D$5:$D$104&lt;=FN$3)*(('حجز الإجازات'!$E$5:$E$104)&gt;=FN$3)*('حجز الإجازات'!$G$5:$G$104="معتمد")*ROW('حجز الإجازات'!$B$5:$B$104)))-5+1))</f>
        <v/>
      </c>
      <c r="FO4" s="62">
        <f>IF(SUMPRODUCT(('حجز الإجازات'!$B$5:$B$104='الموظفون'!$B$2)*('حجز الإجازات'!$D$5:$D$104&lt;=FO$3)*(('حجز الإجازات'!$E$5:$E$104)&gt;=FO$3)*('حجز الإجازات'!$G$5:$G$104="معتمد")*ROW('حجز الإجازات'!$B$5:$B$104))=0,"",INDEX('حجز الإجازات'!$C$5:$C$104,(SUMPRODUCT(('حجز الإجازات'!$B$5:$B$104='الموظفون'!$B$2)*('حجز الإجازات'!$D$5:$D$104&lt;=FO$3)*(('حجز الإجازات'!$E$5:$E$104)&gt;=FO$3)*('حجز الإجازات'!$G$5:$G$104="معتمد")*ROW('حجز الإجازات'!$B$5:$B$104)))-5+1))</f>
        <v/>
      </c>
      <c r="FP4" s="62">
        <f>IF(SUMPRODUCT(('حجز الإجازات'!$B$5:$B$104='الموظفون'!$B$2)*('حجز الإجازات'!$D$5:$D$104&lt;=FP$3)*(('حجز الإجازات'!$E$5:$E$104)&gt;=FP$3)*('حجز الإجازات'!$G$5:$G$104="معتمد")*ROW('حجز الإجازات'!$B$5:$B$104))=0,"",INDEX('حجز الإجازات'!$C$5:$C$104,(SUMPRODUCT(('حجز الإجازات'!$B$5:$B$104='الموظفون'!$B$2)*('حجز الإجازات'!$D$5:$D$104&lt;=FP$3)*(('حجز الإجازات'!$E$5:$E$104)&gt;=FP$3)*('حجز الإجازات'!$G$5:$G$104="معتمد")*ROW('حجز الإجازات'!$B$5:$B$104)))-5+1))</f>
        <v/>
      </c>
      <c r="FQ4" s="62">
        <f>IF(SUMPRODUCT(('حجز الإجازات'!$B$5:$B$104='الموظفون'!$B$2)*('حجز الإجازات'!$D$5:$D$104&lt;=FQ$3)*(('حجز الإجازات'!$E$5:$E$104)&gt;=FQ$3)*('حجز الإجازات'!$G$5:$G$104="معتمد")*ROW('حجز الإجازات'!$B$5:$B$104))=0,"",INDEX('حجز الإجازات'!$C$5:$C$104,(SUMPRODUCT(('حجز الإجازات'!$B$5:$B$104='الموظفون'!$B$2)*('حجز الإجازات'!$D$5:$D$104&lt;=FQ$3)*(('حجز الإجازات'!$E$5:$E$104)&gt;=FQ$3)*('حجز الإجازات'!$G$5:$G$104="معتمد")*ROW('حجز الإجازات'!$B$5:$B$104)))-5+1))</f>
        <v/>
      </c>
      <c r="FR4" s="62">
        <f>IF(SUMPRODUCT(('حجز الإجازات'!$B$5:$B$104='الموظفون'!$B$2)*('حجز الإجازات'!$D$5:$D$104&lt;=FR$3)*(('حجز الإجازات'!$E$5:$E$104)&gt;=FR$3)*('حجز الإجازات'!$G$5:$G$104="معتمد")*ROW('حجز الإجازات'!$B$5:$B$104))=0,"",INDEX('حجز الإجازات'!$C$5:$C$104,(SUMPRODUCT(('حجز الإجازات'!$B$5:$B$104='الموظفون'!$B$2)*('حجز الإجازات'!$D$5:$D$104&lt;=FR$3)*(('حجز الإجازات'!$E$5:$E$104)&gt;=FR$3)*('حجز الإجازات'!$G$5:$G$104="معتمد")*ROW('حجز الإجازات'!$B$5:$B$104)))-5+1))</f>
        <v/>
      </c>
      <c r="FS4" s="62">
        <f>IF(SUMPRODUCT(('حجز الإجازات'!$B$5:$B$104='الموظفون'!$B$2)*('حجز الإجازات'!$D$5:$D$104&lt;=FS$3)*(('حجز الإجازات'!$E$5:$E$104)&gt;=FS$3)*('حجز الإجازات'!$G$5:$G$104="معتمد")*ROW('حجز الإجازات'!$B$5:$B$104))=0,"",INDEX('حجز الإجازات'!$C$5:$C$104,(SUMPRODUCT(('حجز الإجازات'!$B$5:$B$104='الموظفون'!$B$2)*('حجز الإجازات'!$D$5:$D$104&lt;=FS$3)*(('حجز الإجازات'!$E$5:$E$104)&gt;=FS$3)*('حجز الإجازات'!$G$5:$G$104="معتمد")*ROW('حجز الإجازات'!$B$5:$B$104)))-5+1))</f>
        <v/>
      </c>
      <c r="FT4" s="62">
        <f>IF(SUMPRODUCT(('حجز الإجازات'!$B$5:$B$104='الموظفون'!$B$2)*('حجز الإجازات'!$D$5:$D$104&lt;=FT$3)*(('حجز الإجازات'!$E$5:$E$104)&gt;=FT$3)*('حجز الإجازات'!$G$5:$G$104="معتمد")*ROW('حجز الإجازات'!$B$5:$B$104))=0,"",INDEX('حجز الإجازات'!$C$5:$C$104,(SUMPRODUCT(('حجز الإجازات'!$B$5:$B$104='الموظفون'!$B$2)*('حجز الإجازات'!$D$5:$D$104&lt;=FT$3)*(('حجز الإجازات'!$E$5:$E$104)&gt;=FT$3)*('حجز الإجازات'!$G$5:$G$104="معتمد")*ROW('حجز الإجازات'!$B$5:$B$104)))-5+1))</f>
        <v/>
      </c>
      <c r="FU4" s="62">
        <f>IF(SUMPRODUCT(('حجز الإجازات'!$B$5:$B$104='الموظفون'!$B$2)*('حجز الإجازات'!$D$5:$D$104&lt;=FU$3)*(('حجز الإجازات'!$E$5:$E$104)&gt;=FU$3)*('حجز الإجازات'!$G$5:$G$104="معتمد")*ROW('حجز الإجازات'!$B$5:$B$104))=0,"",INDEX('حجز الإجازات'!$C$5:$C$104,(SUMPRODUCT(('حجز الإجازات'!$B$5:$B$104='الموظفون'!$B$2)*('حجز الإجازات'!$D$5:$D$104&lt;=FU$3)*(('حجز الإجازات'!$E$5:$E$104)&gt;=FU$3)*('حجز الإجازات'!$G$5:$G$104="معتمد")*ROW('حجز الإجازات'!$B$5:$B$104)))-5+1))</f>
        <v/>
      </c>
      <c r="FV4" s="62">
        <f>IF(SUMPRODUCT(('حجز الإجازات'!$B$5:$B$104='الموظفون'!$B$2)*('حجز الإجازات'!$D$5:$D$104&lt;=FV$3)*(('حجز الإجازات'!$E$5:$E$104)&gt;=FV$3)*('حجز الإجازات'!$G$5:$G$104="معتمد")*ROW('حجز الإجازات'!$B$5:$B$104))=0,"",INDEX('حجز الإجازات'!$C$5:$C$104,(SUMPRODUCT(('حجز الإجازات'!$B$5:$B$104='الموظفون'!$B$2)*('حجز الإجازات'!$D$5:$D$104&lt;=FV$3)*(('حجز الإجازات'!$E$5:$E$104)&gt;=FV$3)*('حجز الإجازات'!$G$5:$G$104="معتمد")*ROW('حجز الإجازات'!$B$5:$B$104)))-5+1))</f>
        <v/>
      </c>
      <c r="FW4" s="62">
        <f>IF(SUMPRODUCT(('حجز الإجازات'!$B$5:$B$104='الموظفون'!$B$2)*('حجز الإجازات'!$D$5:$D$104&lt;=FW$3)*(('حجز الإجازات'!$E$5:$E$104)&gt;=FW$3)*('حجز الإجازات'!$G$5:$G$104="معتمد")*ROW('حجز الإجازات'!$B$5:$B$104))=0,"",INDEX('حجز الإجازات'!$C$5:$C$104,(SUMPRODUCT(('حجز الإجازات'!$B$5:$B$104='الموظفون'!$B$2)*('حجز الإجازات'!$D$5:$D$104&lt;=FW$3)*(('حجز الإجازات'!$E$5:$E$104)&gt;=FW$3)*('حجز الإجازات'!$G$5:$G$104="معتمد")*ROW('حجز الإجازات'!$B$5:$B$104)))-5+1))</f>
        <v/>
      </c>
      <c r="FX4" s="62">
        <f>IF(SUMPRODUCT(('حجز الإجازات'!$B$5:$B$104='الموظفون'!$B$2)*('حجز الإجازات'!$D$5:$D$104&lt;=FX$3)*(('حجز الإجازات'!$E$5:$E$104)&gt;=FX$3)*('حجز الإجازات'!$G$5:$G$104="معتمد")*ROW('حجز الإجازات'!$B$5:$B$104))=0,"",INDEX('حجز الإجازات'!$C$5:$C$104,(SUMPRODUCT(('حجز الإجازات'!$B$5:$B$104='الموظفون'!$B$2)*('حجز الإجازات'!$D$5:$D$104&lt;=FX$3)*(('حجز الإجازات'!$E$5:$E$104)&gt;=FX$3)*('حجز الإجازات'!$G$5:$G$104="معتمد")*ROW('حجز الإجازات'!$B$5:$B$104)))-5+1))</f>
        <v/>
      </c>
      <c r="FY4" s="62">
        <f>IF(SUMPRODUCT(('حجز الإجازات'!$B$5:$B$104='الموظفون'!$B$2)*('حجز الإجازات'!$D$5:$D$104&lt;=FY$3)*(('حجز الإجازات'!$E$5:$E$104)&gt;=FY$3)*('حجز الإجازات'!$G$5:$G$104="معتمد")*ROW('حجز الإجازات'!$B$5:$B$104))=0,"",INDEX('حجز الإجازات'!$C$5:$C$104,(SUMPRODUCT(('حجز الإجازات'!$B$5:$B$104='الموظفون'!$B$2)*('حجز الإجازات'!$D$5:$D$104&lt;=FY$3)*(('حجز الإجازات'!$E$5:$E$104)&gt;=FY$3)*('حجز الإجازات'!$G$5:$G$104="معتمد")*ROW('حجز الإجازات'!$B$5:$B$104)))-5+1))</f>
        <v/>
      </c>
      <c r="FZ4" s="62">
        <f>IF(SUMPRODUCT(('حجز الإجازات'!$B$5:$B$104='الموظفون'!$B$2)*('حجز الإجازات'!$D$5:$D$104&lt;=FZ$3)*(('حجز الإجازات'!$E$5:$E$104)&gt;=FZ$3)*('حجز الإجازات'!$G$5:$G$104="معتمد")*ROW('حجز الإجازات'!$B$5:$B$104))=0,"",INDEX('حجز الإجازات'!$C$5:$C$104,(SUMPRODUCT(('حجز الإجازات'!$B$5:$B$104='الموظفون'!$B$2)*('حجز الإجازات'!$D$5:$D$104&lt;=FZ$3)*(('حجز الإجازات'!$E$5:$E$104)&gt;=FZ$3)*('حجز الإجازات'!$G$5:$G$104="معتمد")*ROW('حجز الإجازات'!$B$5:$B$104)))-5+1))</f>
        <v/>
      </c>
      <c r="GA4" s="62">
        <f>IF(SUMPRODUCT(('حجز الإجازات'!$B$5:$B$104='الموظفون'!$B$2)*('حجز الإجازات'!$D$5:$D$104&lt;=GA$3)*(('حجز الإجازات'!$E$5:$E$104)&gt;=GA$3)*('حجز الإجازات'!$G$5:$G$104="معتمد")*ROW('حجز الإجازات'!$B$5:$B$104))=0,"",INDEX('حجز الإجازات'!$C$5:$C$104,(SUMPRODUCT(('حجز الإجازات'!$B$5:$B$104='الموظفون'!$B$2)*('حجز الإجازات'!$D$5:$D$104&lt;=GA$3)*(('حجز الإجازات'!$E$5:$E$104)&gt;=GA$3)*('حجز الإجازات'!$G$5:$G$104="معتمد")*ROW('حجز الإجازات'!$B$5:$B$104)))-5+1))</f>
        <v/>
      </c>
      <c r="GB4" s="62">
        <f>IF(SUMPRODUCT(('حجز الإجازات'!$B$5:$B$104='الموظفون'!$B$2)*('حجز الإجازات'!$D$5:$D$104&lt;=GB$3)*(('حجز الإجازات'!$E$5:$E$104)&gt;=GB$3)*('حجز الإجازات'!$G$5:$G$104="معتمد")*ROW('حجز الإجازات'!$B$5:$B$104))=0,"",INDEX('حجز الإجازات'!$C$5:$C$104,(SUMPRODUCT(('حجز الإجازات'!$B$5:$B$104='الموظفون'!$B$2)*('حجز الإجازات'!$D$5:$D$104&lt;=GB$3)*(('حجز الإجازات'!$E$5:$E$104)&gt;=GB$3)*('حجز الإجازات'!$G$5:$G$104="معتمد")*ROW('حجز الإجازات'!$B$5:$B$104)))-5+1))</f>
        <v/>
      </c>
      <c r="GC4" s="62">
        <f>IF(SUMPRODUCT(('حجز الإجازات'!$B$5:$B$104='الموظفون'!$B$2)*('حجز الإجازات'!$D$5:$D$104&lt;=GC$3)*(('حجز الإجازات'!$E$5:$E$104)&gt;=GC$3)*('حجز الإجازات'!$G$5:$G$104="معتمد")*ROW('حجز الإجازات'!$B$5:$B$104))=0,"",INDEX('حجز الإجازات'!$C$5:$C$104,(SUMPRODUCT(('حجز الإجازات'!$B$5:$B$104='الموظفون'!$B$2)*('حجز الإجازات'!$D$5:$D$104&lt;=GC$3)*(('حجز الإجازات'!$E$5:$E$104)&gt;=GC$3)*('حجز الإجازات'!$G$5:$G$104="معتمد")*ROW('حجز الإجازات'!$B$5:$B$104)))-5+1))</f>
        <v/>
      </c>
      <c r="GD4" s="62">
        <f>IF(SUMPRODUCT(('حجز الإجازات'!$B$5:$B$104='الموظفون'!$B$2)*('حجز الإجازات'!$D$5:$D$104&lt;=GD$3)*(('حجز الإجازات'!$E$5:$E$104)&gt;=GD$3)*('حجز الإجازات'!$G$5:$G$104="معتمد")*ROW('حجز الإجازات'!$B$5:$B$104))=0,"",INDEX('حجز الإجازات'!$C$5:$C$104,(SUMPRODUCT(('حجز الإجازات'!$B$5:$B$104='الموظفون'!$B$2)*('حجز الإجازات'!$D$5:$D$104&lt;=GD$3)*(('حجز الإجازات'!$E$5:$E$104)&gt;=GD$3)*('حجز الإجازات'!$G$5:$G$104="معتمد")*ROW('حجز الإجازات'!$B$5:$B$104)))-5+1))</f>
        <v/>
      </c>
      <c r="GE4" s="62">
        <f>IF(SUMPRODUCT(('حجز الإجازات'!$B$5:$B$104='الموظفون'!$B$2)*('حجز الإجازات'!$D$5:$D$104&lt;=GE$3)*(('حجز الإجازات'!$E$5:$E$104)&gt;=GE$3)*('حجز الإجازات'!$G$5:$G$104="معتمد")*ROW('حجز الإجازات'!$B$5:$B$104))=0,"",INDEX('حجز الإجازات'!$C$5:$C$104,(SUMPRODUCT(('حجز الإجازات'!$B$5:$B$104='الموظفون'!$B$2)*('حجز الإجازات'!$D$5:$D$104&lt;=GE$3)*(('حجز الإجازات'!$E$5:$E$104)&gt;=GE$3)*('حجز الإجازات'!$G$5:$G$104="معتمد")*ROW('حجز الإجازات'!$B$5:$B$104)))-5+1))</f>
        <v/>
      </c>
      <c r="GF4" s="62">
        <f>IF(SUMPRODUCT(('حجز الإجازات'!$B$5:$B$104='الموظفون'!$B$2)*('حجز الإجازات'!$D$5:$D$104&lt;=GF$3)*(('حجز الإجازات'!$E$5:$E$104)&gt;=GF$3)*('حجز الإجازات'!$G$5:$G$104="معتمد")*ROW('حجز الإجازات'!$B$5:$B$104))=0,"",INDEX('حجز الإجازات'!$C$5:$C$104,(SUMPRODUCT(('حجز الإجازات'!$B$5:$B$104='الموظفون'!$B$2)*('حجز الإجازات'!$D$5:$D$104&lt;=GF$3)*(('حجز الإجازات'!$E$5:$E$104)&gt;=GF$3)*('حجز الإجازات'!$G$5:$G$104="معتمد")*ROW('حجز الإجازات'!$B$5:$B$104)))-5+1))</f>
        <v/>
      </c>
      <c r="GG4" s="62">
        <f>IF(SUMPRODUCT(('حجز الإجازات'!$B$5:$B$104='الموظفون'!$B$2)*('حجز الإجازات'!$D$5:$D$104&lt;=GG$3)*(('حجز الإجازات'!$E$5:$E$104)&gt;=GG$3)*('حجز الإجازات'!$G$5:$G$104="معتمد")*ROW('حجز الإجازات'!$B$5:$B$104))=0,"",INDEX('حجز الإجازات'!$C$5:$C$104,(SUMPRODUCT(('حجز الإجازات'!$B$5:$B$104='الموظفون'!$B$2)*('حجز الإجازات'!$D$5:$D$104&lt;=GG$3)*(('حجز الإجازات'!$E$5:$E$104)&gt;=GG$3)*('حجز الإجازات'!$G$5:$G$104="معتمد")*ROW('حجز الإجازات'!$B$5:$B$104)))-5+1))</f>
        <v/>
      </c>
      <c r="GH4" s="62">
        <f>IF(SUMPRODUCT(('حجز الإجازات'!$B$5:$B$104='الموظفون'!$B$2)*('حجز الإجازات'!$D$5:$D$104&lt;=GH$3)*(('حجز الإجازات'!$E$5:$E$104)&gt;=GH$3)*('حجز الإجازات'!$G$5:$G$104="معتمد")*ROW('حجز الإجازات'!$B$5:$B$104))=0,"",INDEX('حجز الإجازات'!$C$5:$C$104,(SUMPRODUCT(('حجز الإجازات'!$B$5:$B$104='الموظفون'!$B$2)*('حجز الإجازات'!$D$5:$D$104&lt;=GH$3)*(('حجز الإجازات'!$E$5:$E$104)&gt;=GH$3)*('حجز الإجازات'!$G$5:$G$104="معتمد")*ROW('حجز الإجازات'!$B$5:$B$104)))-5+1))</f>
        <v/>
      </c>
      <c r="GI4" s="62">
        <f>IF(SUMPRODUCT(('حجز الإجازات'!$B$5:$B$104='الموظفون'!$B$2)*('حجز الإجازات'!$D$5:$D$104&lt;=GI$3)*(('حجز الإجازات'!$E$5:$E$104)&gt;=GI$3)*('حجز الإجازات'!$G$5:$G$104="معتمد")*ROW('حجز الإجازات'!$B$5:$B$104))=0,"",INDEX('حجز الإجازات'!$C$5:$C$104,(SUMPRODUCT(('حجز الإجازات'!$B$5:$B$104='الموظفون'!$B$2)*('حجز الإجازات'!$D$5:$D$104&lt;=GI$3)*(('حجز الإجازات'!$E$5:$E$104)&gt;=GI$3)*('حجز الإجازات'!$G$5:$G$104="معتمد")*ROW('حجز الإجازات'!$B$5:$B$104)))-5+1))</f>
        <v/>
      </c>
      <c r="GJ4" s="62">
        <f>IF(SUMPRODUCT(('حجز الإجازات'!$B$5:$B$104='الموظفون'!$B$2)*('حجز الإجازات'!$D$5:$D$104&lt;=GJ$3)*(('حجز الإجازات'!$E$5:$E$104)&gt;=GJ$3)*('حجز الإجازات'!$G$5:$G$104="معتمد")*ROW('حجز الإجازات'!$B$5:$B$104))=0,"",INDEX('حجز الإجازات'!$C$5:$C$104,(SUMPRODUCT(('حجز الإجازات'!$B$5:$B$104='الموظفون'!$B$2)*('حجز الإجازات'!$D$5:$D$104&lt;=GJ$3)*(('حجز الإجازات'!$E$5:$E$104)&gt;=GJ$3)*('حجز الإجازات'!$G$5:$G$104="معتمد")*ROW('حجز الإجازات'!$B$5:$B$104)))-5+1))</f>
        <v/>
      </c>
      <c r="GK4" s="62">
        <f>IF(SUMPRODUCT(('حجز الإجازات'!$B$5:$B$104='الموظفون'!$B$2)*('حجز الإجازات'!$D$5:$D$104&lt;=GK$3)*(('حجز الإجازات'!$E$5:$E$104)&gt;=GK$3)*('حجز الإجازات'!$G$5:$G$104="معتمد")*ROW('حجز الإجازات'!$B$5:$B$104))=0,"",INDEX('حجز الإجازات'!$C$5:$C$104,(SUMPRODUCT(('حجز الإجازات'!$B$5:$B$104='الموظفون'!$B$2)*('حجز الإجازات'!$D$5:$D$104&lt;=GK$3)*(('حجز الإجازات'!$E$5:$E$104)&gt;=GK$3)*('حجز الإجازات'!$G$5:$G$104="معتمد")*ROW('حجز الإجازات'!$B$5:$B$104)))-5+1))</f>
        <v/>
      </c>
      <c r="GL4" s="62">
        <f>IF(SUMPRODUCT(('حجز الإجازات'!$B$5:$B$104='الموظفون'!$B$2)*('حجز الإجازات'!$D$5:$D$104&lt;=GL$3)*(('حجز الإجازات'!$E$5:$E$104)&gt;=GL$3)*('حجز الإجازات'!$G$5:$G$104="معتمد")*ROW('حجز الإجازات'!$B$5:$B$104))=0,"",INDEX('حجز الإجازات'!$C$5:$C$104,(SUMPRODUCT(('حجز الإجازات'!$B$5:$B$104='الموظفون'!$B$2)*('حجز الإجازات'!$D$5:$D$104&lt;=GL$3)*(('حجز الإجازات'!$E$5:$E$104)&gt;=GL$3)*('حجز الإجازات'!$G$5:$G$104="معتمد")*ROW('حجز الإجازات'!$B$5:$B$104)))-5+1))</f>
        <v/>
      </c>
      <c r="GM4" s="62">
        <f>IF(SUMPRODUCT(('حجز الإجازات'!$B$5:$B$104='الموظفون'!$B$2)*('حجز الإجازات'!$D$5:$D$104&lt;=GM$3)*(('حجز الإجازات'!$E$5:$E$104)&gt;=GM$3)*('حجز الإجازات'!$G$5:$G$104="معتمد")*ROW('حجز الإجازات'!$B$5:$B$104))=0,"",INDEX('حجز الإجازات'!$C$5:$C$104,(SUMPRODUCT(('حجز الإجازات'!$B$5:$B$104='الموظفون'!$B$2)*('حجز الإجازات'!$D$5:$D$104&lt;=GM$3)*(('حجز الإجازات'!$E$5:$E$104)&gt;=GM$3)*('حجز الإجازات'!$G$5:$G$104="معتمد")*ROW('حجز الإجازات'!$B$5:$B$104)))-5+1))</f>
        <v/>
      </c>
      <c r="GN4" s="62">
        <f>IF(SUMPRODUCT(('حجز الإجازات'!$B$5:$B$104='الموظفون'!$B$2)*('حجز الإجازات'!$D$5:$D$104&lt;=GN$3)*(('حجز الإجازات'!$E$5:$E$104)&gt;=GN$3)*('حجز الإجازات'!$G$5:$G$104="معتمد")*ROW('حجز الإجازات'!$B$5:$B$104))=0,"",INDEX('حجز الإجازات'!$C$5:$C$104,(SUMPRODUCT(('حجز الإجازات'!$B$5:$B$104='الموظفون'!$B$2)*('حجز الإجازات'!$D$5:$D$104&lt;=GN$3)*(('حجز الإجازات'!$E$5:$E$104)&gt;=GN$3)*('حجز الإجازات'!$G$5:$G$104="معتمد")*ROW('حجز الإجازات'!$B$5:$B$104)))-5+1))</f>
        <v/>
      </c>
      <c r="GO4" s="62">
        <f>IF(SUMPRODUCT(('حجز الإجازات'!$B$5:$B$104='الموظفون'!$B$2)*('حجز الإجازات'!$D$5:$D$104&lt;=GO$3)*(('حجز الإجازات'!$E$5:$E$104)&gt;=GO$3)*('حجز الإجازات'!$G$5:$G$104="معتمد")*ROW('حجز الإجازات'!$B$5:$B$104))=0,"",INDEX('حجز الإجازات'!$C$5:$C$104,(SUMPRODUCT(('حجز الإجازات'!$B$5:$B$104='الموظفون'!$B$2)*('حجز الإجازات'!$D$5:$D$104&lt;=GO$3)*(('حجز الإجازات'!$E$5:$E$104)&gt;=GO$3)*('حجز الإجازات'!$G$5:$G$104="معتمد")*ROW('حجز الإجازات'!$B$5:$B$104)))-5+1))</f>
        <v/>
      </c>
      <c r="GP4" s="62">
        <f>IF(SUMPRODUCT(('حجز الإجازات'!$B$5:$B$104='الموظفون'!$B$2)*('حجز الإجازات'!$D$5:$D$104&lt;=GP$3)*(('حجز الإجازات'!$E$5:$E$104)&gt;=GP$3)*('حجز الإجازات'!$G$5:$G$104="معتمد")*ROW('حجز الإجازات'!$B$5:$B$104))=0,"",INDEX('حجز الإجازات'!$C$5:$C$104,(SUMPRODUCT(('حجز الإجازات'!$B$5:$B$104='الموظفون'!$B$2)*('حجز الإجازات'!$D$5:$D$104&lt;=GP$3)*(('حجز الإجازات'!$E$5:$E$104)&gt;=GP$3)*('حجز الإجازات'!$G$5:$G$104="معتمد")*ROW('حجز الإجازات'!$B$5:$B$104)))-5+1))</f>
        <v/>
      </c>
      <c r="GQ4" s="62">
        <f>IF(SUMPRODUCT(('حجز الإجازات'!$B$5:$B$104='الموظفون'!$B$2)*('حجز الإجازات'!$D$5:$D$104&lt;=GQ$3)*(('حجز الإجازات'!$E$5:$E$104)&gt;=GQ$3)*('حجز الإجازات'!$G$5:$G$104="معتمد")*ROW('حجز الإجازات'!$B$5:$B$104))=0,"",INDEX('حجز الإجازات'!$C$5:$C$104,(SUMPRODUCT(('حجز الإجازات'!$B$5:$B$104='الموظفون'!$B$2)*('حجز الإجازات'!$D$5:$D$104&lt;=GQ$3)*(('حجز الإجازات'!$E$5:$E$104)&gt;=GQ$3)*('حجز الإجازات'!$G$5:$G$104="معتمد")*ROW('حجز الإجازات'!$B$5:$B$104)))-5+1))</f>
        <v/>
      </c>
      <c r="GR4" s="62">
        <f>IF(SUMPRODUCT(('حجز الإجازات'!$B$5:$B$104='الموظفون'!$B$2)*('حجز الإجازات'!$D$5:$D$104&lt;=GR$3)*(('حجز الإجازات'!$E$5:$E$104)&gt;=GR$3)*('حجز الإجازات'!$G$5:$G$104="معتمد")*ROW('حجز الإجازات'!$B$5:$B$104))=0,"",INDEX('حجز الإجازات'!$C$5:$C$104,(SUMPRODUCT(('حجز الإجازات'!$B$5:$B$104='الموظفون'!$B$2)*('حجز الإجازات'!$D$5:$D$104&lt;=GR$3)*(('حجز الإجازات'!$E$5:$E$104)&gt;=GR$3)*('حجز الإجازات'!$G$5:$G$104="معتمد")*ROW('حجز الإجازات'!$B$5:$B$104)))-5+1))</f>
        <v/>
      </c>
      <c r="GS4" s="62">
        <f>IF(SUMPRODUCT(('حجز الإجازات'!$B$5:$B$104='الموظفون'!$B$2)*('حجز الإجازات'!$D$5:$D$104&lt;=GS$3)*(('حجز الإجازات'!$E$5:$E$104)&gt;=GS$3)*('حجز الإجازات'!$G$5:$G$104="معتمد")*ROW('حجز الإجازات'!$B$5:$B$104))=0,"",INDEX('حجز الإجازات'!$C$5:$C$104,(SUMPRODUCT(('حجز الإجازات'!$B$5:$B$104='الموظفون'!$B$2)*('حجز الإجازات'!$D$5:$D$104&lt;=GS$3)*(('حجز الإجازات'!$E$5:$E$104)&gt;=GS$3)*('حجز الإجازات'!$G$5:$G$104="معتمد")*ROW('حجز الإجازات'!$B$5:$B$104)))-5+1))</f>
        <v/>
      </c>
      <c r="GT4" s="62">
        <f>IF(SUMPRODUCT(('حجز الإجازات'!$B$5:$B$104='الموظفون'!$B$2)*('حجز الإجازات'!$D$5:$D$104&lt;=GT$3)*(('حجز الإجازات'!$E$5:$E$104)&gt;=GT$3)*('حجز الإجازات'!$G$5:$G$104="معتمد")*ROW('حجز الإجازات'!$B$5:$B$104))=0,"",INDEX('حجز الإجازات'!$C$5:$C$104,(SUMPRODUCT(('حجز الإجازات'!$B$5:$B$104='الموظفون'!$B$2)*('حجز الإجازات'!$D$5:$D$104&lt;=GT$3)*(('حجز الإجازات'!$E$5:$E$104)&gt;=GT$3)*('حجز الإجازات'!$G$5:$G$104="معتمد")*ROW('حجز الإجازات'!$B$5:$B$104)))-5+1))</f>
        <v/>
      </c>
      <c r="GU4" s="62">
        <f>IF(SUMPRODUCT(('حجز الإجازات'!$B$5:$B$104='الموظفون'!$B$2)*('حجز الإجازات'!$D$5:$D$104&lt;=GU$3)*(('حجز الإجازات'!$E$5:$E$104)&gt;=GU$3)*('حجز الإجازات'!$G$5:$G$104="معتمد")*ROW('حجز الإجازات'!$B$5:$B$104))=0,"",INDEX('حجز الإجازات'!$C$5:$C$104,(SUMPRODUCT(('حجز الإجازات'!$B$5:$B$104='الموظفون'!$B$2)*('حجز الإجازات'!$D$5:$D$104&lt;=GU$3)*(('حجز الإجازات'!$E$5:$E$104)&gt;=GU$3)*('حجز الإجازات'!$G$5:$G$104="معتمد")*ROW('حجز الإجازات'!$B$5:$B$104)))-5+1))</f>
        <v/>
      </c>
      <c r="GV4" s="62">
        <f>IF(SUMPRODUCT(('حجز الإجازات'!$B$5:$B$104='الموظفون'!$B$2)*('حجز الإجازات'!$D$5:$D$104&lt;=GV$3)*(('حجز الإجازات'!$E$5:$E$104)&gt;=GV$3)*('حجز الإجازات'!$G$5:$G$104="معتمد")*ROW('حجز الإجازات'!$B$5:$B$104))=0,"",INDEX('حجز الإجازات'!$C$5:$C$104,(SUMPRODUCT(('حجز الإجازات'!$B$5:$B$104='الموظفون'!$B$2)*('حجز الإجازات'!$D$5:$D$104&lt;=GV$3)*(('حجز الإجازات'!$E$5:$E$104)&gt;=GV$3)*('حجز الإجازات'!$G$5:$G$104="معتمد")*ROW('حجز الإجازات'!$B$5:$B$104)))-5+1))</f>
        <v/>
      </c>
      <c r="GW4" s="62">
        <f>IF(SUMPRODUCT(('حجز الإجازات'!$B$5:$B$104='الموظفون'!$B$2)*('حجز الإجازات'!$D$5:$D$104&lt;=GW$3)*(('حجز الإجازات'!$E$5:$E$104)&gt;=GW$3)*('حجز الإجازات'!$G$5:$G$104="معتمد")*ROW('حجز الإجازات'!$B$5:$B$104))=0,"",INDEX('حجز الإجازات'!$C$5:$C$104,(SUMPRODUCT(('حجز الإجازات'!$B$5:$B$104='الموظفون'!$B$2)*('حجز الإجازات'!$D$5:$D$104&lt;=GW$3)*(('حجز الإجازات'!$E$5:$E$104)&gt;=GW$3)*('حجز الإجازات'!$G$5:$G$104="معتمد")*ROW('حجز الإجازات'!$B$5:$B$104)))-5+1))</f>
        <v/>
      </c>
      <c r="GX4" s="62">
        <f>IF(SUMPRODUCT(('حجز الإجازات'!$B$5:$B$104='الموظفون'!$B$2)*('حجز الإجازات'!$D$5:$D$104&lt;=GX$3)*(('حجز الإجازات'!$E$5:$E$104)&gt;=GX$3)*('حجز الإجازات'!$G$5:$G$104="معتمد")*ROW('حجز الإجازات'!$B$5:$B$104))=0,"",INDEX('حجز الإجازات'!$C$5:$C$104,(SUMPRODUCT(('حجز الإجازات'!$B$5:$B$104='الموظفون'!$B$2)*('حجز الإجازات'!$D$5:$D$104&lt;=GX$3)*(('حجز الإجازات'!$E$5:$E$104)&gt;=GX$3)*('حجز الإجازات'!$G$5:$G$104="معتمد")*ROW('حجز الإجازات'!$B$5:$B$104)))-5+1))</f>
        <v/>
      </c>
      <c r="GY4" s="62">
        <f>IF(SUMPRODUCT(('حجز الإجازات'!$B$5:$B$104='الموظفون'!$B$2)*('حجز الإجازات'!$D$5:$D$104&lt;=GY$3)*(('حجز الإجازات'!$E$5:$E$104)&gt;=GY$3)*('حجز الإجازات'!$G$5:$G$104="معتمد")*ROW('حجز الإجازات'!$B$5:$B$104))=0,"",INDEX('حجز الإجازات'!$C$5:$C$104,(SUMPRODUCT(('حجز الإجازات'!$B$5:$B$104='الموظفون'!$B$2)*('حجز الإجازات'!$D$5:$D$104&lt;=GY$3)*(('حجز الإجازات'!$E$5:$E$104)&gt;=GY$3)*('حجز الإجازات'!$G$5:$G$104="معتمد")*ROW('حجز الإجازات'!$B$5:$B$104)))-5+1))</f>
        <v/>
      </c>
      <c r="GZ4" s="62">
        <f>IF(SUMPRODUCT(('حجز الإجازات'!$B$5:$B$104='الموظفون'!$B$2)*('حجز الإجازات'!$D$5:$D$104&lt;=GZ$3)*(('حجز الإجازات'!$E$5:$E$104)&gt;=GZ$3)*('حجز الإجازات'!$G$5:$G$104="معتمد")*ROW('حجز الإجازات'!$B$5:$B$104))=0,"",INDEX('حجز الإجازات'!$C$5:$C$104,(SUMPRODUCT(('حجز الإجازات'!$B$5:$B$104='الموظفون'!$B$2)*('حجز الإجازات'!$D$5:$D$104&lt;=GZ$3)*(('حجز الإجازات'!$E$5:$E$104)&gt;=GZ$3)*('حجز الإجازات'!$G$5:$G$104="معتمد")*ROW('حجز الإجازات'!$B$5:$B$104)))-5+1))</f>
        <v/>
      </c>
      <c r="HA4" s="62">
        <f>IF(SUMPRODUCT(('حجز الإجازات'!$B$5:$B$104='الموظفون'!$B$2)*('حجز الإجازات'!$D$5:$D$104&lt;=HA$3)*(('حجز الإجازات'!$E$5:$E$104)&gt;=HA$3)*('حجز الإجازات'!$G$5:$G$104="معتمد")*ROW('حجز الإجازات'!$B$5:$B$104))=0,"",INDEX('حجز الإجازات'!$C$5:$C$104,(SUMPRODUCT(('حجز الإجازات'!$B$5:$B$104='الموظفون'!$B$2)*('حجز الإجازات'!$D$5:$D$104&lt;=HA$3)*(('حجز الإجازات'!$E$5:$E$104)&gt;=HA$3)*('حجز الإجازات'!$G$5:$G$104="معتمد")*ROW('حجز الإجازات'!$B$5:$B$104)))-5+1))</f>
        <v/>
      </c>
      <c r="HB4" s="62">
        <f>IF(SUMPRODUCT(('حجز الإجازات'!$B$5:$B$104='الموظفون'!$B$2)*('حجز الإجازات'!$D$5:$D$104&lt;=HB$3)*(('حجز الإجازات'!$E$5:$E$104)&gt;=HB$3)*('حجز الإجازات'!$G$5:$G$104="معتمد")*ROW('حجز الإجازات'!$B$5:$B$104))=0,"",INDEX('حجز الإجازات'!$C$5:$C$104,(SUMPRODUCT(('حجز الإجازات'!$B$5:$B$104='الموظفون'!$B$2)*('حجز الإجازات'!$D$5:$D$104&lt;=HB$3)*(('حجز الإجازات'!$E$5:$E$104)&gt;=HB$3)*('حجز الإجازات'!$G$5:$G$104="معتمد")*ROW('حجز الإجازات'!$B$5:$B$104)))-5+1))</f>
        <v/>
      </c>
      <c r="HC4" s="62">
        <f>IF(SUMPRODUCT(('حجز الإجازات'!$B$5:$B$104='الموظفون'!$B$2)*('حجز الإجازات'!$D$5:$D$104&lt;=HC$3)*(('حجز الإجازات'!$E$5:$E$104)&gt;=HC$3)*('حجز الإجازات'!$G$5:$G$104="معتمد")*ROW('حجز الإجازات'!$B$5:$B$104))=0,"",INDEX('حجز الإجازات'!$C$5:$C$104,(SUMPRODUCT(('حجز الإجازات'!$B$5:$B$104='الموظفون'!$B$2)*('حجز الإجازات'!$D$5:$D$104&lt;=HC$3)*(('حجز الإجازات'!$E$5:$E$104)&gt;=HC$3)*('حجز الإجازات'!$G$5:$G$104="معتمد")*ROW('حجز الإجازات'!$B$5:$B$104)))-5+1))</f>
        <v/>
      </c>
      <c r="HD4" s="62">
        <f>IF(SUMPRODUCT(('حجز الإجازات'!$B$5:$B$104='الموظفون'!$B$2)*('حجز الإجازات'!$D$5:$D$104&lt;=HD$3)*(('حجز الإجازات'!$E$5:$E$104)&gt;=HD$3)*('حجز الإجازات'!$G$5:$G$104="معتمد")*ROW('حجز الإجازات'!$B$5:$B$104))=0,"",INDEX('حجز الإجازات'!$C$5:$C$104,(SUMPRODUCT(('حجز الإجازات'!$B$5:$B$104='الموظفون'!$B$2)*('حجز الإجازات'!$D$5:$D$104&lt;=HD$3)*(('حجز الإجازات'!$E$5:$E$104)&gt;=HD$3)*('حجز الإجازات'!$G$5:$G$104="معتمد")*ROW('حجز الإجازات'!$B$5:$B$104)))-5+1))</f>
        <v/>
      </c>
      <c r="HE4" s="62">
        <f>IF(SUMPRODUCT(('حجز الإجازات'!$B$5:$B$104='الموظفون'!$B$2)*('حجز الإجازات'!$D$5:$D$104&lt;=HE$3)*(('حجز الإجازات'!$E$5:$E$104)&gt;=HE$3)*('حجز الإجازات'!$G$5:$G$104="معتمد")*ROW('حجز الإجازات'!$B$5:$B$104))=0,"",INDEX('حجز الإجازات'!$C$5:$C$104,(SUMPRODUCT(('حجز الإجازات'!$B$5:$B$104='الموظفون'!$B$2)*('حجز الإجازات'!$D$5:$D$104&lt;=HE$3)*(('حجز الإجازات'!$E$5:$E$104)&gt;=HE$3)*('حجز الإجازات'!$G$5:$G$104="معتمد")*ROW('حجز الإجازات'!$B$5:$B$104)))-5+1))</f>
        <v/>
      </c>
      <c r="HF4" s="62">
        <f>IF(SUMPRODUCT(('حجز الإجازات'!$B$5:$B$104='الموظفون'!$B$2)*('حجز الإجازات'!$D$5:$D$104&lt;=HF$3)*(('حجز الإجازات'!$E$5:$E$104)&gt;=HF$3)*('حجز الإجازات'!$G$5:$G$104="معتمد")*ROW('حجز الإجازات'!$B$5:$B$104))=0,"",INDEX('حجز الإجازات'!$C$5:$C$104,(SUMPRODUCT(('حجز الإجازات'!$B$5:$B$104='الموظفون'!$B$2)*('حجز الإجازات'!$D$5:$D$104&lt;=HF$3)*(('حجز الإجازات'!$E$5:$E$104)&gt;=HF$3)*('حجز الإجازات'!$G$5:$G$104="معتمد")*ROW('حجز الإجازات'!$B$5:$B$104)))-5+1))</f>
        <v/>
      </c>
      <c r="HG4" s="62">
        <f>IF(SUMPRODUCT(('حجز الإجازات'!$B$5:$B$104='الموظفون'!$B$2)*('حجز الإجازات'!$D$5:$D$104&lt;=HG$3)*(('حجز الإجازات'!$E$5:$E$104)&gt;=HG$3)*('حجز الإجازات'!$G$5:$G$104="معتمد")*ROW('حجز الإجازات'!$B$5:$B$104))=0,"",INDEX('حجز الإجازات'!$C$5:$C$104,(SUMPRODUCT(('حجز الإجازات'!$B$5:$B$104='الموظفون'!$B$2)*('حجز الإجازات'!$D$5:$D$104&lt;=HG$3)*(('حجز الإجازات'!$E$5:$E$104)&gt;=HG$3)*('حجز الإجازات'!$G$5:$G$104="معتمد")*ROW('حجز الإجازات'!$B$5:$B$104)))-5+1))</f>
        <v/>
      </c>
      <c r="HH4" s="62">
        <f>IF(SUMPRODUCT(('حجز الإجازات'!$B$5:$B$104='الموظفون'!$B$2)*('حجز الإجازات'!$D$5:$D$104&lt;=HH$3)*(('حجز الإجازات'!$E$5:$E$104)&gt;=HH$3)*('حجز الإجازات'!$G$5:$G$104="معتمد")*ROW('حجز الإجازات'!$B$5:$B$104))=0,"",INDEX('حجز الإجازات'!$C$5:$C$104,(SUMPRODUCT(('حجز الإجازات'!$B$5:$B$104='الموظفون'!$B$2)*('حجز الإجازات'!$D$5:$D$104&lt;=HH$3)*(('حجز الإجازات'!$E$5:$E$104)&gt;=HH$3)*('حجز الإجازات'!$G$5:$G$104="معتمد")*ROW('حجز الإجازات'!$B$5:$B$104)))-5+1))</f>
        <v/>
      </c>
      <c r="HI4" s="62">
        <f>IF(SUMPRODUCT(('حجز الإجازات'!$B$5:$B$104='الموظفون'!$B$2)*('حجز الإجازات'!$D$5:$D$104&lt;=HI$3)*(('حجز الإجازات'!$E$5:$E$104)&gt;=HI$3)*('حجز الإجازات'!$G$5:$G$104="معتمد")*ROW('حجز الإجازات'!$B$5:$B$104))=0,"",INDEX('حجز الإجازات'!$C$5:$C$104,(SUMPRODUCT(('حجز الإجازات'!$B$5:$B$104='الموظفون'!$B$2)*('حجز الإجازات'!$D$5:$D$104&lt;=HI$3)*(('حجز الإجازات'!$E$5:$E$104)&gt;=HI$3)*('حجز الإجازات'!$G$5:$G$104="معتمد")*ROW('حجز الإجازات'!$B$5:$B$104)))-5+1))</f>
        <v/>
      </c>
      <c r="HJ4" s="62">
        <f>IF(SUMPRODUCT(('حجز الإجازات'!$B$5:$B$104='الموظفون'!$B$2)*('حجز الإجازات'!$D$5:$D$104&lt;=HJ$3)*(('حجز الإجازات'!$E$5:$E$104)&gt;=HJ$3)*('حجز الإجازات'!$G$5:$G$104="معتمد")*ROW('حجز الإجازات'!$B$5:$B$104))=0,"",INDEX('حجز الإجازات'!$C$5:$C$104,(SUMPRODUCT(('حجز الإجازات'!$B$5:$B$104='الموظفون'!$B$2)*('حجز الإجازات'!$D$5:$D$104&lt;=HJ$3)*(('حجز الإجازات'!$E$5:$E$104)&gt;=HJ$3)*('حجز الإجازات'!$G$5:$G$104="معتمد")*ROW('حجز الإجازات'!$B$5:$B$104)))-5+1))</f>
        <v/>
      </c>
      <c r="HK4" s="62">
        <f>IF(SUMPRODUCT(('حجز الإجازات'!$B$5:$B$104='الموظفون'!$B$2)*('حجز الإجازات'!$D$5:$D$104&lt;=HK$3)*(('حجز الإجازات'!$E$5:$E$104)&gt;=HK$3)*('حجز الإجازات'!$G$5:$G$104="معتمد")*ROW('حجز الإجازات'!$B$5:$B$104))=0,"",INDEX('حجز الإجازات'!$C$5:$C$104,(SUMPRODUCT(('حجز الإجازات'!$B$5:$B$104='الموظفون'!$B$2)*('حجز الإجازات'!$D$5:$D$104&lt;=HK$3)*(('حجز الإجازات'!$E$5:$E$104)&gt;=HK$3)*('حجز الإجازات'!$G$5:$G$104="معتمد")*ROW('حجز الإجازات'!$B$5:$B$104)))-5+1))</f>
        <v/>
      </c>
      <c r="HL4" s="62">
        <f>IF(SUMPRODUCT(('حجز الإجازات'!$B$5:$B$104='الموظفون'!$B$2)*('حجز الإجازات'!$D$5:$D$104&lt;=HL$3)*(('حجز الإجازات'!$E$5:$E$104)&gt;=HL$3)*('حجز الإجازات'!$G$5:$G$104="معتمد")*ROW('حجز الإجازات'!$B$5:$B$104))=0,"",INDEX('حجز الإجازات'!$C$5:$C$104,(SUMPRODUCT(('حجز الإجازات'!$B$5:$B$104='الموظفون'!$B$2)*('حجز الإجازات'!$D$5:$D$104&lt;=HL$3)*(('حجز الإجازات'!$E$5:$E$104)&gt;=HL$3)*('حجز الإجازات'!$G$5:$G$104="معتمد")*ROW('حجز الإجازات'!$B$5:$B$104)))-5+1))</f>
        <v/>
      </c>
      <c r="HM4" s="62">
        <f>IF(SUMPRODUCT(('حجز الإجازات'!$B$5:$B$104='الموظفون'!$B$2)*('حجز الإجازات'!$D$5:$D$104&lt;=HM$3)*(('حجز الإجازات'!$E$5:$E$104)&gt;=HM$3)*('حجز الإجازات'!$G$5:$G$104="معتمد")*ROW('حجز الإجازات'!$B$5:$B$104))=0,"",INDEX('حجز الإجازات'!$C$5:$C$104,(SUMPRODUCT(('حجز الإجازات'!$B$5:$B$104='الموظفون'!$B$2)*('حجز الإجازات'!$D$5:$D$104&lt;=HM$3)*(('حجز الإجازات'!$E$5:$E$104)&gt;=HM$3)*('حجز الإجازات'!$G$5:$G$104="معتمد")*ROW('حجز الإجازات'!$B$5:$B$104)))-5+1))</f>
        <v/>
      </c>
      <c r="HN4" s="62">
        <f>IF(SUMPRODUCT(('حجز الإجازات'!$B$5:$B$104='الموظفون'!$B$2)*('حجز الإجازات'!$D$5:$D$104&lt;=HN$3)*(('حجز الإجازات'!$E$5:$E$104)&gt;=HN$3)*('حجز الإجازات'!$G$5:$G$104="معتمد")*ROW('حجز الإجازات'!$B$5:$B$104))=0,"",INDEX('حجز الإجازات'!$C$5:$C$104,(SUMPRODUCT(('حجز الإجازات'!$B$5:$B$104='الموظفون'!$B$2)*('حجز الإجازات'!$D$5:$D$104&lt;=HN$3)*(('حجز الإجازات'!$E$5:$E$104)&gt;=HN$3)*('حجز الإجازات'!$G$5:$G$104="معتمد")*ROW('حجز الإجازات'!$B$5:$B$104)))-5+1))</f>
        <v/>
      </c>
      <c r="HO4" s="62">
        <f>IF(SUMPRODUCT(('حجز الإجازات'!$B$5:$B$104='الموظفون'!$B$2)*('حجز الإجازات'!$D$5:$D$104&lt;=HO$3)*(('حجز الإجازات'!$E$5:$E$104)&gt;=HO$3)*('حجز الإجازات'!$G$5:$G$104="معتمد")*ROW('حجز الإجازات'!$B$5:$B$104))=0,"",INDEX('حجز الإجازات'!$C$5:$C$104,(SUMPRODUCT(('حجز الإجازات'!$B$5:$B$104='الموظفون'!$B$2)*('حجز الإجازات'!$D$5:$D$104&lt;=HO$3)*(('حجز الإجازات'!$E$5:$E$104)&gt;=HO$3)*('حجز الإجازات'!$G$5:$G$104="معتمد")*ROW('حجز الإجازات'!$B$5:$B$104)))-5+1))</f>
        <v/>
      </c>
      <c r="HP4" s="62">
        <f>IF(SUMPRODUCT(('حجز الإجازات'!$B$5:$B$104='الموظفون'!$B$2)*('حجز الإجازات'!$D$5:$D$104&lt;=HP$3)*(('حجز الإجازات'!$E$5:$E$104)&gt;=HP$3)*('حجز الإجازات'!$G$5:$G$104="معتمد")*ROW('حجز الإجازات'!$B$5:$B$104))=0,"",INDEX('حجز الإجازات'!$C$5:$C$104,(SUMPRODUCT(('حجز الإجازات'!$B$5:$B$104='الموظفون'!$B$2)*('حجز الإجازات'!$D$5:$D$104&lt;=HP$3)*(('حجز الإجازات'!$E$5:$E$104)&gt;=HP$3)*('حجز الإجازات'!$G$5:$G$104="معتمد")*ROW('حجز الإجازات'!$B$5:$B$104)))-5+1))</f>
        <v/>
      </c>
      <c r="HQ4" s="62">
        <f>IF(SUMPRODUCT(('حجز الإجازات'!$B$5:$B$104='الموظفون'!$B$2)*('حجز الإجازات'!$D$5:$D$104&lt;=HQ$3)*(('حجز الإجازات'!$E$5:$E$104)&gt;=HQ$3)*('حجز الإجازات'!$G$5:$G$104="معتمد")*ROW('حجز الإجازات'!$B$5:$B$104))=0,"",INDEX('حجز الإجازات'!$C$5:$C$104,(SUMPRODUCT(('حجز الإجازات'!$B$5:$B$104='الموظفون'!$B$2)*('حجز الإجازات'!$D$5:$D$104&lt;=HQ$3)*(('حجز الإجازات'!$E$5:$E$104)&gt;=HQ$3)*('حجز الإجازات'!$G$5:$G$104="معتمد")*ROW('حجز الإجازات'!$B$5:$B$104)))-5+1))</f>
        <v/>
      </c>
      <c r="HR4" s="62">
        <f>IF(SUMPRODUCT(('حجز الإجازات'!$B$5:$B$104='الموظفون'!$B$2)*('حجز الإجازات'!$D$5:$D$104&lt;=HR$3)*(('حجز الإجازات'!$E$5:$E$104)&gt;=HR$3)*('حجز الإجازات'!$G$5:$G$104="معتمد")*ROW('حجز الإجازات'!$B$5:$B$104))=0,"",INDEX('حجز الإجازات'!$C$5:$C$104,(SUMPRODUCT(('حجز الإجازات'!$B$5:$B$104='الموظفون'!$B$2)*('حجز الإجازات'!$D$5:$D$104&lt;=HR$3)*(('حجز الإجازات'!$E$5:$E$104)&gt;=HR$3)*('حجز الإجازات'!$G$5:$G$104="معتمد")*ROW('حجز الإجازات'!$B$5:$B$104)))-5+1))</f>
        <v/>
      </c>
      <c r="HS4" s="62">
        <f>IF(SUMPRODUCT(('حجز الإجازات'!$B$5:$B$104='الموظفون'!$B$2)*('حجز الإجازات'!$D$5:$D$104&lt;=HS$3)*(('حجز الإجازات'!$E$5:$E$104)&gt;=HS$3)*('حجز الإجازات'!$G$5:$G$104="معتمد")*ROW('حجز الإجازات'!$B$5:$B$104))=0,"",INDEX('حجز الإجازات'!$C$5:$C$104,(SUMPRODUCT(('حجز الإجازات'!$B$5:$B$104='الموظفون'!$B$2)*('حجز الإجازات'!$D$5:$D$104&lt;=HS$3)*(('حجز الإجازات'!$E$5:$E$104)&gt;=HS$3)*('حجز الإجازات'!$G$5:$G$104="معتمد")*ROW('حجز الإجازات'!$B$5:$B$104)))-5+1))</f>
        <v/>
      </c>
      <c r="HT4" s="62">
        <f>IF(SUMPRODUCT(('حجز الإجازات'!$B$5:$B$104='الموظفون'!$B$2)*('حجز الإجازات'!$D$5:$D$104&lt;=HT$3)*(('حجز الإجازات'!$E$5:$E$104)&gt;=HT$3)*('حجز الإجازات'!$G$5:$G$104="معتمد")*ROW('حجز الإجازات'!$B$5:$B$104))=0,"",INDEX('حجز الإجازات'!$C$5:$C$104,(SUMPRODUCT(('حجز الإجازات'!$B$5:$B$104='الموظفون'!$B$2)*('حجز الإجازات'!$D$5:$D$104&lt;=HT$3)*(('حجز الإجازات'!$E$5:$E$104)&gt;=HT$3)*('حجز الإجازات'!$G$5:$G$104="معتمد")*ROW('حجز الإجازات'!$B$5:$B$104)))-5+1))</f>
        <v/>
      </c>
      <c r="HU4" s="62">
        <f>IF(SUMPRODUCT(('حجز الإجازات'!$B$5:$B$104='الموظفون'!$B$2)*('حجز الإجازات'!$D$5:$D$104&lt;=HU$3)*(('حجز الإجازات'!$E$5:$E$104)&gt;=HU$3)*('حجز الإجازات'!$G$5:$G$104="معتمد")*ROW('حجز الإجازات'!$B$5:$B$104))=0,"",INDEX('حجز الإجازات'!$C$5:$C$104,(SUMPRODUCT(('حجز الإجازات'!$B$5:$B$104='الموظفون'!$B$2)*('حجز الإجازات'!$D$5:$D$104&lt;=HU$3)*(('حجز الإجازات'!$E$5:$E$104)&gt;=HU$3)*('حجز الإجازات'!$G$5:$G$104="معتمد")*ROW('حجز الإجازات'!$B$5:$B$104)))-5+1))</f>
        <v/>
      </c>
      <c r="HV4" s="62">
        <f>IF(SUMPRODUCT(('حجز الإجازات'!$B$5:$B$104='الموظفون'!$B$2)*('حجز الإجازات'!$D$5:$D$104&lt;=HV$3)*(('حجز الإجازات'!$E$5:$E$104)&gt;=HV$3)*('حجز الإجازات'!$G$5:$G$104="معتمد")*ROW('حجز الإجازات'!$B$5:$B$104))=0,"",INDEX('حجز الإجازات'!$C$5:$C$104,(SUMPRODUCT(('حجز الإجازات'!$B$5:$B$104='الموظفون'!$B$2)*('حجز الإجازات'!$D$5:$D$104&lt;=HV$3)*(('حجز الإجازات'!$E$5:$E$104)&gt;=HV$3)*('حجز الإجازات'!$G$5:$G$104="معتمد")*ROW('حجز الإجازات'!$B$5:$B$104)))-5+1))</f>
        <v/>
      </c>
      <c r="HW4" s="62">
        <f>IF(SUMPRODUCT(('حجز الإجازات'!$B$5:$B$104='الموظفون'!$B$2)*('حجز الإجازات'!$D$5:$D$104&lt;=HW$3)*(('حجز الإجازات'!$E$5:$E$104)&gt;=HW$3)*('حجز الإجازات'!$G$5:$G$104="معتمد")*ROW('حجز الإجازات'!$B$5:$B$104))=0,"",INDEX('حجز الإجازات'!$C$5:$C$104,(SUMPRODUCT(('حجز الإجازات'!$B$5:$B$104='الموظفون'!$B$2)*('حجز الإجازات'!$D$5:$D$104&lt;=HW$3)*(('حجز الإجازات'!$E$5:$E$104)&gt;=HW$3)*('حجز الإجازات'!$G$5:$G$104="معتمد")*ROW('حجز الإجازات'!$B$5:$B$104)))-5+1))</f>
        <v/>
      </c>
      <c r="HX4" s="62">
        <f>IF(SUMPRODUCT(('حجز الإجازات'!$B$5:$B$104='الموظفون'!$B$2)*('حجز الإجازات'!$D$5:$D$104&lt;=HX$3)*(('حجز الإجازات'!$E$5:$E$104)&gt;=HX$3)*('حجز الإجازات'!$G$5:$G$104="معتمد")*ROW('حجز الإجازات'!$B$5:$B$104))=0,"",INDEX('حجز الإجازات'!$C$5:$C$104,(SUMPRODUCT(('حجز الإجازات'!$B$5:$B$104='الموظفون'!$B$2)*('حجز الإجازات'!$D$5:$D$104&lt;=HX$3)*(('حجز الإجازات'!$E$5:$E$104)&gt;=HX$3)*('حجز الإجازات'!$G$5:$G$104="معتمد")*ROW('حجز الإجازات'!$B$5:$B$104)))-5+1))</f>
        <v/>
      </c>
      <c r="HY4" s="62">
        <f>IF(SUMPRODUCT(('حجز الإجازات'!$B$5:$B$104='الموظفون'!$B$2)*('حجز الإجازات'!$D$5:$D$104&lt;=HY$3)*(('حجز الإجازات'!$E$5:$E$104)&gt;=HY$3)*('حجز الإجازات'!$G$5:$G$104="معتمد")*ROW('حجز الإجازات'!$B$5:$B$104))=0,"",INDEX('حجز الإجازات'!$C$5:$C$104,(SUMPRODUCT(('حجز الإجازات'!$B$5:$B$104='الموظفون'!$B$2)*('حجز الإجازات'!$D$5:$D$104&lt;=HY$3)*(('حجز الإجازات'!$E$5:$E$104)&gt;=HY$3)*('حجز الإجازات'!$G$5:$G$104="معتمد")*ROW('حجز الإجازات'!$B$5:$B$104)))-5+1))</f>
        <v/>
      </c>
      <c r="HZ4" s="62">
        <f>IF(SUMPRODUCT(('حجز الإجازات'!$B$5:$B$104='الموظفون'!$B$2)*('حجز الإجازات'!$D$5:$D$104&lt;=HZ$3)*(('حجز الإجازات'!$E$5:$E$104)&gt;=HZ$3)*('حجز الإجازات'!$G$5:$G$104="معتمد")*ROW('حجز الإجازات'!$B$5:$B$104))=0,"",INDEX('حجز الإجازات'!$C$5:$C$104,(SUMPRODUCT(('حجز الإجازات'!$B$5:$B$104='الموظفون'!$B$2)*('حجز الإجازات'!$D$5:$D$104&lt;=HZ$3)*(('حجز الإجازات'!$E$5:$E$104)&gt;=HZ$3)*('حجز الإجازات'!$G$5:$G$104="معتمد")*ROW('حجز الإجازات'!$B$5:$B$104)))-5+1))</f>
        <v/>
      </c>
      <c r="IA4" s="62">
        <f>IF(SUMPRODUCT(('حجز الإجازات'!$B$5:$B$104='الموظفون'!$B$2)*('حجز الإجازات'!$D$5:$D$104&lt;=IA$3)*(('حجز الإجازات'!$E$5:$E$104)&gt;=IA$3)*('حجز الإجازات'!$G$5:$G$104="معتمد")*ROW('حجز الإجازات'!$B$5:$B$104))=0,"",INDEX('حجز الإجازات'!$C$5:$C$104,(SUMPRODUCT(('حجز الإجازات'!$B$5:$B$104='الموظفون'!$B$2)*('حجز الإجازات'!$D$5:$D$104&lt;=IA$3)*(('حجز الإجازات'!$E$5:$E$104)&gt;=IA$3)*('حجز الإجازات'!$G$5:$G$104="معتمد")*ROW('حجز الإجازات'!$B$5:$B$104)))-5+1))</f>
        <v/>
      </c>
      <c r="IB4" s="62">
        <f>IF(SUMPRODUCT(('حجز الإجازات'!$B$5:$B$104='الموظفون'!$B$2)*('حجز الإجازات'!$D$5:$D$104&lt;=IB$3)*(('حجز الإجازات'!$E$5:$E$104)&gt;=IB$3)*('حجز الإجازات'!$G$5:$G$104="معتمد")*ROW('حجز الإجازات'!$B$5:$B$104))=0,"",INDEX('حجز الإجازات'!$C$5:$C$104,(SUMPRODUCT(('حجز الإجازات'!$B$5:$B$104='الموظفون'!$B$2)*('حجز الإجازات'!$D$5:$D$104&lt;=IB$3)*(('حجز الإجازات'!$E$5:$E$104)&gt;=IB$3)*('حجز الإجازات'!$G$5:$G$104="معتمد")*ROW('حجز الإجازات'!$B$5:$B$104)))-5+1))</f>
        <v/>
      </c>
      <c r="IC4" s="62">
        <f>IF(SUMPRODUCT(('حجز الإجازات'!$B$5:$B$104='الموظفون'!$B$2)*('حجز الإجازات'!$D$5:$D$104&lt;=IC$3)*(('حجز الإجازات'!$E$5:$E$104)&gt;=IC$3)*('حجز الإجازات'!$G$5:$G$104="معتمد")*ROW('حجز الإجازات'!$B$5:$B$104))=0,"",INDEX('حجز الإجازات'!$C$5:$C$104,(SUMPRODUCT(('حجز الإجازات'!$B$5:$B$104='الموظفون'!$B$2)*('حجز الإجازات'!$D$5:$D$104&lt;=IC$3)*(('حجز الإجازات'!$E$5:$E$104)&gt;=IC$3)*('حجز الإجازات'!$G$5:$G$104="معتمد")*ROW('حجز الإجازات'!$B$5:$B$104)))-5+1))</f>
        <v/>
      </c>
      <c r="ID4" s="62">
        <f>IF(SUMPRODUCT(('حجز الإجازات'!$B$5:$B$104='الموظفون'!$B$2)*('حجز الإجازات'!$D$5:$D$104&lt;=ID$3)*(('حجز الإجازات'!$E$5:$E$104)&gt;=ID$3)*('حجز الإجازات'!$G$5:$G$104="معتمد")*ROW('حجز الإجازات'!$B$5:$B$104))=0,"",INDEX('حجز الإجازات'!$C$5:$C$104,(SUMPRODUCT(('حجز الإجازات'!$B$5:$B$104='الموظفون'!$B$2)*('حجز الإجازات'!$D$5:$D$104&lt;=ID$3)*(('حجز الإجازات'!$E$5:$E$104)&gt;=ID$3)*('حجز الإجازات'!$G$5:$G$104="معتمد")*ROW('حجز الإجازات'!$B$5:$B$104)))-5+1))</f>
        <v/>
      </c>
      <c r="IE4" s="62">
        <f>IF(SUMPRODUCT(('حجز الإجازات'!$B$5:$B$104='الموظفون'!$B$2)*('حجز الإجازات'!$D$5:$D$104&lt;=IE$3)*(('حجز الإجازات'!$E$5:$E$104)&gt;=IE$3)*('حجز الإجازات'!$G$5:$G$104="معتمد")*ROW('حجز الإجازات'!$B$5:$B$104))=0,"",INDEX('حجز الإجازات'!$C$5:$C$104,(SUMPRODUCT(('حجز الإجازات'!$B$5:$B$104='الموظفون'!$B$2)*('حجز الإجازات'!$D$5:$D$104&lt;=IE$3)*(('حجز الإجازات'!$E$5:$E$104)&gt;=IE$3)*('حجز الإجازات'!$G$5:$G$104="معتمد")*ROW('حجز الإجازات'!$B$5:$B$104)))-5+1))</f>
        <v/>
      </c>
      <c r="IF4" s="62">
        <f>IF(SUMPRODUCT(('حجز الإجازات'!$B$5:$B$104='الموظفون'!$B$2)*('حجز الإجازات'!$D$5:$D$104&lt;=IF$3)*(('حجز الإجازات'!$E$5:$E$104)&gt;=IF$3)*('حجز الإجازات'!$G$5:$G$104="معتمد")*ROW('حجز الإجازات'!$B$5:$B$104))=0,"",INDEX('حجز الإجازات'!$C$5:$C$104,(SUMPRODUCT(('حجز الإجازات'!$B$5:$B$104='الموظفون'!$B$2)*('حجز الإجازات'!$D$5:$D$104&lt;=IF$3)*(('حجز الإجازات'!$E$5:$E$104)&gt;=IF$3)*('حجز الإجازات'!$G$5:$G$104="معتمد")*ROW('حجز الإجازات'!$B$5:$B$104)))-5+1))</f>
        <v/>
      </c>
      <c r="IG4" s="62">
        <f>IF(SUMPRODUCT(('حجز الإجازات'!$B$5:$B$104='الموظفون'!$B$2)*('حجز الإجازات'!$D$5:$D$104&lt;=IG$3)*(('حجز الإجازات'!$E$5:$E$104)&gt;=IG$3)*('حجز الإجازات'!$G$5:$G$104="معتمد")*ROW('حجز الإجازات'!$B$5:$B$104))=0,"",INDEX('حجز الإجازات'!$C$5:$C$104,(SUMPRODUCT(('حجز الإجازات'!$B$5:$B$104='الموظفون'!$B$2)*('حجز الإجازات'!$D$5:$D$104&lt;=IG$3)*(('حجز الإجازات'!$E$5:$E$104)&gt;=IG$3)*('حجز الإجازات'!$G$5:$G$104="معتمد")*ROW('حجز الإجازات'!$B$5:$B$104)))-5+1))</f>
        <v/>
      </c>
      <c r="IH4" s="62">
        <f>IF(SUMPRODUCT(('حجز الإجازات'!$B$5:$B$104='الموظفون'!$B$2)*('حجز الإجازات'!$D$5:$D$104&lt;=IH$3)*(('حجز الإجازات'!$E$5:$E$104)&gt;=IH$3)*('حجز الإجازات'!$G$5:$G$104="معتمد")*ROW('حجز الإجازات'!$B$5:$B$104))=0,"",INDEX('حجز الإجازات'!$C$5:$C$104,(SUMPRODUCT(('حجز الإجازات'!$B$5:$B$104='الموظفون'!$B$2)*('حجز الإجازات'!$D$5:$D$104&lt;=IH$3)*(('حجز الإجازات'!$E$5:$E$104)&gt;=IH$3)*('حجز الإجازات'!$G$5:$G$104="معتمد")*ROW('حجز الإجازات'!$B$5:$B$104)))-5+1))</f>
        <v/>
      </c>
      <c r="II4" s="62">
        <f>IF(SUMPRODUCT(('حجز الإجازات'!$B$5:$B$104='الموظفون'!$B$2)*('حجز الإجازات'!$D$5:$D$104&lt;=II$3)*(('حجز الإجازات'!$E$5:$E$104)&gt;=II$3)*('حجز الإجازات'!$G$5:$G$104="معتمد")*ROW('حجز الإجازات'!$B$5:$B$104))=0,"",INDEX('حجز الإجازات'!$C$5:$C$104,(SUMPRODUCT(('حجز الإجازات'!$B$5:$B$104='الموظفون'!$B$2)*('حجز الإجازات'!$D$5:$D$104&lt;=II$3)*(('حجز الإجازات'!$E$5:$E$104)&gt;=II$3)*('حجز الإجازات'!$G$5:$G$104="معتمد")*ROW('حجز الإجازات'!$B$5:$B$104)))-5+1))</f>
        <v/>
      </c>
      <c r="IJ4" s="62">
        <f>IF(SUMPRODUCT(('حجز الإجازات'!$B$5:$B$104='الموظفون'!$B$2)*('حجز الإجازات'!$D$5:$D$104&lt;=IJ$3)*(('حجز الإجازات'!$E$5:$E$104)&gt;=IJ$3)*('حجز الإجازات'!$G$5:$G$104="معتمد")*ROW('حجز الإجازات'!$B$5:$B$104))=0,"",INDEX('حجز الإجازات'!$C$5:$C$104,(SUMPRODUCT(('حجز الإجازات'!$B$5:$B$104='الموظفون'!$B$2)*('حجز الإجازات'!$D$5:$D$104&lt;=IJ$3)*(('حجز الإجازات'!$E$5:$E$104)&gt;=IJ$3)*('حجز الإجازات'!$G$5:$G$104="معتمد")*ROW('حجز الإجازات'!$B$5:$B$104)))-5+1))</f>
        <v/>
      </c>
      <c r="IK4" s="62">
        <f>IF(SUMPRODUCT(('حجز الإجازات'!$B$5:$B$104='الموظفون'!$B$2)*('حجز الإجازات'!$D$5:$D$104&lt;=IK$3)*(('حجز الإجازات'!$E$5:$E$104)&gt;=IK$3)*('حجز الإجازات'!$G$5:$G$104="معتمد")*ROW('حجز الإجازات'!$B$5:$B$104))=0,"",INDEX('حجز الإجازات'!$C$5:$C$104,(SUMPRODUCT(('حجز الإجازات'!$B$5:$B$104='الموظفون'!$B$2)*('حجز الإجازات'!$D$5:$D$104&lt;=IK$3)*(('حجز الإجازات'!$E$5:$E$104)&gt;=IK$3)*('حجز الإجازات'!$G$5:$G$104="معتمد")*ROW('حجز الإجازات'!$B$5:$B$104)))-5+1))</f>
        <v/>
      </c>
      <c r="IL4" s="62">
        <f>IF(SUMPRODUCT(('حجز الإجازات'!$B$5:$B$104='الموظفون'!$B$2)*('حجز الإجازات'!$D$5:$D$104&lt;=IL$3)*(('حجز الإجازات'!$E$5:$E$104)&gt;=IL$3)*('حجز الإجازات'!$G$5:$G$104="معتمد")*ROW('حجز الإجازات'!$B$5:$B$104))=0,"",INDEX('حجز الإجازات'!$C$5:$C$104,(SUMPRODUCT(('حجز الإجازات'!$B$5:$B$104='الموظفون'!$B$2)*('حجز الإجازات'!$D$5:$D$104&lt;=IL$3)*(('حجز الإجازات'!$E$5:$E$104)&gt;=IL$3)*('حجز الإجازات'!$G$5:$G$104="معتمد")*ROW('حجز الإجازات'!$B$5:$B$104)))-5+1))</f>
        <v/>
      </c>
      <c r="IM4" s="62">
        <f>IF(SUMPRODUCT(('حجز الإجازات'!$B$5:$B$104='الموظفون'!$B$2)*('حجز الإجازات'!$D$5:$D$104&lt;=IM$3)*(('حجز الإجازات'!$E$5:$E$104)&gt;=IM$3)*('حجز الإجازات'!$G$5:$G$104="معتمد")*ROW('حجز الإجازات'!$B$5:$B$104))=0,"",INDEX('حجز الإجازات'!$C$5:$C$104,(SUMPRODUCT(('حجز الإجازات'!$B$5:$B$104='الموظفون'!$B$2)*('حجز الإجازات'!$D$5:$D$104&lt;=IM$3)*(('حجز الإجازات'!$E$5:$E$104)&gt;=IM$3)*('حجز الإجازات'!$G$5:$G$104="معتمد")*ROW('حجز الإجازات'!$B$5:$B$104)))-5+1))</f>
        <v/>
      </c>
      <c r="IN4" s="62">
        <f>IF(SUMPRODUCT(('حجز الإجازات'!$B$5:$B$104='الموظفون'!$B$2)*('حجز الإجازات'!$D$5:$D$104&lt;=IN$3)*(('حجز الإجازات'!$E$5:$E$104)&gt;=IN$3)*('حجز الإجازات'!$G$5:$G$104="معتمد")*ROW('حجز الإجازات'!$B$5:$B$104))=0,"",INDEX('حجز الإجازات'!$C$5:$C$104,(SUMPRODUCT(('حجز الإجازات'!$B$5:$B$104='الموظفون'!$B$2)*('حجز الإجازات'!$D$5:$D$104&lt;=IN$3)*(('حجز الإجازات'!$E$5:$E$104)&gt;=IN$3)*('حجز الإجازات'!$G$5:$G$104="معتمد")*ROW('حجز الإجازات'!$B$5:$B$104)))-5+1))</f>
        <v/>
      </c>
      <c r="IO4" s="62">
        <f>IF(SUMPRODUCT(('حجز الإجازات'!$B$5:$B$104='الموظفون'!$B$2)*('حجز الإجازات'!$D$5:$D$104&lt;=IO$3)*(('حجز الإجازات'!$E$5:$E$104)&gt;=IO$3)*('حجز الإجازات'!$G$5:$G$104="معتمد")*ROW('حجز الإجازات'!$B$5:$B$104))=0,"",INDEX('حجز الإجازات'!$C$5:$C$104,(SUMPRODUCT(('حجز الإجازات'!$B$5:$B$104='الموظفون'!$B$2)*('حجز الإجازات'!$D$5:$D$104&lt;=IO$3)*(('حجز الإجازات'!$E$5:$E$104)&gt;=IO$3)*('حجز الإجازات'!$G$5:$G$104="معتمد")*ROW('حجز الإجازات'!$B$5:$B$104)))-5+1))</f>
        <v/>
      </c>
      <c r="IP4" s="62">
        <f>IF(SUMPRODUCT(('حجز الإجازات'!$B$5:$B$104='الموظفون'!$B$2)*('حجز الإجازات'!$D$5:$D$104&lt;=IP$3)*(('حجز الإجازات'!$E$5:$E$104)&gt;=IP$3)*('حجز الإجازات'!$G$5:$G$104="معتمد")*ROW('حجز الإجازات'!$B$5:$B$104))=0,"",INDEX('حجز الإجازات'!$C$5:$C$104,(SUMPRODUCT(('حجز الإجازات'!$B$5:$B$104='الموظفون'!$B$2)*('حجز الإجازات'!$D$5:$D$104&lt;=IP$3)*(('حجز الإجازات'!$E$5:$E$104)&gt;=IP$3)*('حجز الإجازات'!$G$5:$G$104="معتمد")*ROW('حجز الإجازات'!$B$5:$B$104)))-5+1))</f>
        <v/>
      </c>
      <c r="IQ4" s="62">
        <f>IF(SUMPRODUCT(('حجز الإجازات'!$B$5:$B$104='الموظفون'!$B$2)*('حجز الإجازات'!$D$5:$D$104&lt;=IQ$3)*(('حجز الإجازات'!$E$5:$E$104)&gt;=IQ$3)*('حجز الإجازات'!$G$5:$G$104="معتمد")*ROW('حجز الإجازات'!$B$5:$B$104))=0,"",INDEX('حجز الإجازات'!$C$5:$C$104,(SUMPRODUCT(('حجز الإجازات'!$B$5:$B$104='الموظفون'!$B$2)*('حجز الإجازات'!$D$5:$D$104&lt;=IQ$3)*(('حجز الإجازات'!$E$5:$E$104)&gt;=IQ$3)*('حجز الإجازات'!$G$5:$G$104="معتمد")*ROW('حجز الإجازات'!$B$5:$B$104)))-5+1))</f>
        <v/>
      </c>
      <c r="IR4" s="62">
        <f>IF(SUMPRODUCT(('حجز الإجازات'!$B$5:$B$104='الموظفون'!$B$2)*('حجز الإجازات'!$D$5:$D$104&lt;=IR$3)*(('حجز الإجازات'!$E$5:$E$104)&gt;=IR$3)*('حجز الإجازات'!$G$5:$G$104="معتمد")*ROW('حجز الإجازات'!$B$5:$B$104))=0,"",INDEX('حجز الإجازات'!$C$5:$C$104,(SUMPRODUCT(('حجز الإجازات'!$B$5:$B$104='الموظفون'!$B$2)*('حجز الإجازات'!$D$5:$D$104&lt;=IR$3)*(('حجز الإجازات'!$E$5:$E$104)&gt;=IR$3)*('حجز الإجازات'!$G$5:$G$104="معتمد")*ROW('حجز الإجازات'!$B$5:$B$104)))-5+1))</f>
        <v/>
      </c>
      <c r="IS4" s="62">
        <f>IF(SUMPRODUCT(('حجز الإجازات'!$B$5:$B$104='الموظفون'!$B$2)*('حجز الإجازات'!$D$5:$D$104&lt;=IS$3)*(('حجز الإجازات'!$E$5:$E$104)&gt;=IS$3)*('حجز الإجازات'!$G$5:$G$104="معتمد")*ROW('حجز الإجازات'!$B$5:$B$104))=0,"",INDEX('حجز الإجازات'!$C$5:$C$104,(SUMPRODUCT(('حجز الإجازات'!$B$5:$B$104='الموظفون'!$B$2)*('حجز الإجازات'!$D$5:$D$104&lt;=IS$3)*(('حجز الإجازات'!$E$5:$E$104)&gt;=IS$3)*('حجز الإجازات'!$G$5:$G$104="معتمد")*ROW('حجز الإجازات'!$B$5:$B$104)))-5+1))</f>
        <v/>
      </c>
      <c r="IT4" s="62">
        <f>IF(SUMPRODUCT(('حجز الإجازات'!$B$5:$B$104='الموظفون'!$B$2)*('حجز الإجازات'!$D$5:$D$104&lt;=IT$3)*(('حجز الإجازات'!$E$5:$E$104)&gt;=IT$3)*('حجز الإجازات'!$G$5:$G$104="معتمد")*ROW('حجز الإجازات'!$B$5:$B$104))=0,"",INDEX('حجز الإجازات'!$C$5:$C$104,(SUMPRODUCT(('حجز الإجازات'!$B$5:$B$104='الموظفون'!$B$2)*('حجز الإجازات'!$D$5:$D$104&lt;=IT$3)*(('حجز الإجازات'!$E$5:$E$104)&gt;=IT$3)*('حجز الإجازات'!$G$5:$G$104="معتمد")*ROW('حجز الإجازات'!$B$5:$B$104)))-5+1))</f>
        <v/>
      </c>
      <c r="IU4" s="62">
        <f>IF(SUMPRODUCT(('حجز الإجازات'!$B$5:$B$104='الموظفون'!$B$2)*('حجز الإجازات'!$D$5:$D$104&lt;=IU$3)*(('حجز الإجازات'!$E$5:$E$104)&gt;=IU$3)*('حجز الإجازات'!$G$5:$G$104="معتمد")*ROW('حجز الإجازات'!$B$5:$B$104))=0,"",INDEX('حجز الإجازات'!$C$5:$C$104,(SUMPRODUCT(('حجز الإجازات'!$B$5:$B$104='الموظفون'!$B$2)*('حجز الإجازات'!$D$5:$D$104&lt;=IU$3)*(('حجز الإجازات'!$E$5:$E$104)&gt;=IU$3)*('حجز الإجازات'!$G$5:$G$104="معتمد")*ROW('حجز الإجازات'!$B$5:$B$104)))-5+1))</f>
        <v/>
      </c>
      <c r="IV4" s="62">
        <f>IF(SUMPRODUCT(('حجز الإجازات'!$B$5:$B$104='الموظفون'!$B$2)*('حجز الإجازات'!$D$5:$D$104&lt;=IV$3)*(('حجز الإجازات'!$E$5:$E$104)&gt;=IV$3)*('حجز الإجازات'!$G$5:$G$104="معتمد")*ROW('حجز الإجازات'!$B$5:$B$104))=0,"",INDEX('حجز الإجازات'!$C$5:$C$104,(SUMPRODUCT(('حجز الإجازات'!$B$5:$B$104='الموظفون'!$B$2)*('حجز الإجازات'!$D$5:$D$104&lt;=IV$3)*(('حجز الإجازات'!$E$5:$E$104)&gt;=IV$3)*('حجز الإجازات'!$G$5:$G$104="معتمد")*ROW('حجز الإجازات'!$B$5:$B$104)))-5+1))</f>
        <v/>
      </c>
      <c r="IW4" s="62">
        <f>IF(SUMPRODUCT(('حجز الإجازات'!$B$5:$B$104='الموظفون'!$B$2)*('حجز الإجازات'!$D$5:$D$104&lt;=IW$3)*(('حجز الإجازات'!$E$5:$E$104)&gt;=IW$3)*('حجز الإجازات'!$G$5:$G$104="معتمد")*ROW('حجز الإجازات'!$B$5:$B$104))=0,"",INDEX('حجز الإجازات'!$C$5:$C$104,(SUMPRODUCT(('حجز الإجازات'!$B$5:$B$104='الموظفون'!$B$2)*('حجز الإجازات'!$D$5:$D$104&lt;=IW$3)*(('حجز الإجازات'!$E$5:$E$104)&gt;=IW$3)*('حجز الإجازات'!$G$5:$G$104="معتمد")*ROW('حجز الإجازات'!$B$5:$B$104)))-5+1))</f>
        <v/>
      </c>
      <c r="IX4" s="62">
        <f>IF(SUMPRODUCT(('حجز الإجازات'!$B$5:$B$104='الموظفون'!$B$2)*('حجز الإجازات'!$D$5:$D$104&lt;=IX$3)*(('حجز الإجازات'!$E$5:$E$104)&gt;=IX$3)*('حجز الإجازات'!$G$5:$G$104="معتمد")*ROW('حجز الإجازات'!$B$5:$B$104))=0,"",INDEX('حجز الإجازات'!$C$5:$C$104,(SUMPRODUCT(('حجز الإجازات'!$B$5:$B$104='الموظفون'!$B$2)*('حجز الإجازات'!$D$5:$D$104&lt;=IX$3)*(('حجز الإجازات'!$E$5:$E$104)&gt;=IX$3)*('حجز الإجازات'!$G$5:$G$104="معتمد")*ROW('حجز الإجازات'!$B$5:$B$104)))-5+1))</f>
        <v/>
      </c>
      <c r="IY4" s="62">
        <f>IF(SUMPRODUCT(('حجز الإجازات'!$B$5:$B$104='الموظفون'!$B$2)*('حجز الإجازات'!$D$5:$D$104&lt;=IY$3)*(('حجز الإجازات'!$E$5:$E$104)&gt;=IY$3)*('حجز الإجازات'!$G$5:$G$104="معتمد")*ROW('حجز الإجازات'!$B$5:$B$104))=0,"",INDEX('حجز الإجازات'!$C$5:$C$104,(SUMPRODUCT(('حجز الإجازات'!$B$5:$B$104='الموظفون'!$B$2)*('حجز الإجازات'!$D$5:$D$104&lt;=IY$3)*(('حجز الإجازات'!$E$5:$E$104)&gt;=IY$3)*('حجز الإجازات'!$G$5:$G$104="معتمد")*ROW('حجز الإجازات'!$B$5:$B$104)))-5+1))</f>
        <v/>
      </c>
      <c r="IZ4" s="62">
        <f>IF(SUMPRODUCT(('حجز الإجازات'!$B$5:$B$104='الموظفون'!$B$2)*('حجز الإجازات'!$D$5:$D$104&lt;=IZ$3)*(('حجز الإجازات'!$E$5:$E$104)&gt;=IZ$3)*('حجز الإجازات'!$G$5:$G$104="معتمد")*ROW('حجز الإجازات'!$B$5:$B$104))=0,"",INDEX('حجز الإجازات'!$C$5:$C$104,(SUMPRODUCT(('حجز الإجازات'!$B$5:$B$104='الموظفون'!$B$2)*('حجز الإجازات'!$D$5:$D$104&lt;=IZ$3)*(('حجز الإجازات'!$E$5:$E$104)&gt;=IZ$3)*('حجز الإجازات'!$G$5:$G$104="معتمد")*ROW('حجز الإجازات'!$B$5:$B$104)))-5+1))</f>
        <v/>
      </c>
      <c r="JA4" s="62">
        <f>IF(SUMPRODUCT(('حجز الإجازات'!$B$5:$B$104='الموظفون'!$B$2)*('حجز الإجازات'!$D$5:$D$104&lt;=JA$3)*(('حجز الإجازات'!$E$5:$E$104)&gt;=JA$3)*('حجز الإجازات'!$G$5:$G$104="معتمد")*ROW('حجز الإجازات'!$B$5:$B$104))=0,"",INDEX('حجز الإجازات'!$C$5:$C$104,(SUMPRODUCT(('حجز الإجازات'!$B$5:$B$104='الموظفون'!$B$2)*('حجز الإجازات'!$D$5:$D$104&lt;=JA$3)*(('حجز الإجازات'!$E$5:$E$104)&gt;=JA$3)*('حجز الإجازات'!$G$5:$G$104="معتمد")*ROW('حجز الإجازات'!$B$5:$B$104)))-5+1))</f>
        <v/>
      </c>
      <c r="JB4" s="62">
        <f>IF(SUMPRODUCT(('حجز الإجازات'!$B$5:$B$104='الموظفون'!$B$2)*('حجز الإجازات'!$D$5:$D$104&lt;=JB$3)*(('حجز الإجازات'!$E$5:$E$104)&gt;=JB$3)*('حجز الإجازات'!$G$5:$G$104="معتمد")*ROW('حجز الإجازات'!$B$5:$B$104))=0,"",INDEX('حجز الإجازات'!$C$5:$C$104,(SUMPRODUCT(('حجز الإجازات'!$B$5:$B$104='الموظفون'!$B$2)*('حجز الإجازات'!$D$5:$D$104&lt;=JB$3)*(('حجز الإجازات'!$E$5:$E$104)&gt;=JB$3)*('حجز الإجازات'!$G$5:$G$104="معتمد")*ROW('حجز الإجازات'!$B$5:$B$104)))-5+1))</f>
        <v/>
      </c>
      <c r="JC4" s="62">
        <f>IF(SUMPRODUCT(('حجز الإجازات'!$B$5:$B$104='الموظفون'!$B$2)*('حجز الإجازات'!$D$5:$D$104&lt;=JC$3)*(('حجز الإجازات'!$E$5:$E$104)&gt;=JC$3)*('حجز الإجازات'!$G$5:$G$104="معتمد")*ROW('حجز الإجازات'!$B$5:$B$104))=0,"",INDEX('حجز الإجازات'!$C$5:$C$104,(SUMPRODUCT(('حجز الإجازات'!$B$5:$B$104='الموظفون'!$B$2)*('حجز الإجازات'!$D$5:$D$104&lt;=JC$3)*(('حجز الإجازات'!$E$5:$E$104)&gt;=JC$3)*('حجز الإجازات'!$G$5:$G$104="معتمد")*ROW('حجز الإجازات'!$B$5:$B$104)))-5+1))</f>
        <v/>
      </c>
      <c r="JD4" s="62">
        <f>IF(SUMPRODUCT(('حجز الإجازات'!$B$5:$B$104='الموظفون'!$B$2)*('حجز الإجازات'!$D$5:$D$104&lt;=JD$3)*(('حجز الإجازات'!$E$5:$E$104)&gt;=JD$3)*('حجز الإجازات'!$G$5:$G$104="معتمد")*ROW('حجز الإجازات'!$B$5:$B$104))=0,"",INDEX('حجز الإجازات'!$C$5:$C$104,(SUMPRODUCT(('حجز الإجازات'!$B$5:$B$104='الموظفون'!$B$2)*('حجز الإجازات'!$D$5:$D$104&lt;=JD$3)*(('حجز الإجازات'!$E$5:$E$104)&gt;=JD$3)*('حجز الإجازات'!$G$5:$G$104="معتمد")*ROW('حجز الإجازات'!$B$5:$B$104)))-5+1))</f>
        <v/>
      </c>
      <c r="JE4" s="62">
        <f>IF(SUMPRODUCT(('حجز الإجازات'!$B$5:$B$104='الموظفون'!$B$2)*('حجز الإجازات'!$D$5:$D$104&lt;=JE$3)*(('حجز الإجازات'!$E$5:$E$104)&gt;=JE$3)*('حجز الإجازات'!$G$5:$G$104="معتمد")*ROW('حجز الإجازات'!$B$5:$B$104))=0,"",INDEX('حجز الإجازات'!$C$5:$C$104,(SUMPRODUCT(('حجز الإجازات'!$B$5:$B$104='الموظفون'!$B$2)*('حجز الإجازات'!$D$5:$D$104&lt;=JE$3)*(('حجز الإجازات'!$E$5:$E$104)&gt;=JE$3)*('حجز الإجازات'!$G$5:$G$104="معتمد")*ROW('حجز الإجازات'!$B$5:$B$104)))-5+1))</f>
        <v/>
      </c>
      <c r="JF4" s="62">
        <f>IF(SUMPRODUCT(('حجز الإجازات'!$B$5:$B$104='الموظفون'!$B$2)*('حجز الإجازات'!$D$5:$D$104&lt;=JF$3)*(('حجز الإجازات'!$E$5:$E$104)&gt;=JF$3)*('حجز الإجازات'!$G$5:$G$104="معتمد")*ROW('حجز الإجازات'!$B$5:$B$104))=0,"",INDEX('حجز الإجازات'!$C$5:$C$104,(SUMPRODUCT(('حجز الإجازات'!$B$5:$B$104='الموظفون'!$B$2)*('حجز الإجازات'!$D$5:$D$104&lt;=JF$3)*(('حجز الإجازات'!$E$5:$E$104)&gt;=JF$3)*('حجز الإجازات'!$G$5:$G$104="معتمد")*ROW('حجز الإجازات'!$B$5:$B$104)))-5+1))</f>
        <v/>
      </c>
      <c r="JG4" s="62">
        <f>IF(SUMPRODUCT(('حجز الإجازات'!$B$5:$B$104='الموظفون'!$B$2)*('حجز الإجازات'!$D$5:$D$104&lt;=JG$3)*(('حجز الإجازات'!$E$5:$E$104)&gt;=JG$3)*('حجز الإجازات'!$G$5:$G$104="معتمد")*ROW('حجز الإجازات'!$B$5:$B$104))=0,"",INDEX('حجز الإجازات'!$C$5:$C$104,(SUMPRODUCT(('حجز الإجازات'!$B$5:$B$104='الموظفون'!$B$2)*('حجز الإجازات'!$D$5:$D$104&lt;=JG$3)*(('حجز الإجازات'!$E$5:$E$104)&gt;=JG$3)*('حجز الإجازات'!$G$5:$G$104="معتمد")*ROW('حجز الإجازات'!$B$5:$B$104)))-5+1))</f>
        <v/>
      </c>
      <c r="JH4" s="62">
        <f>IF(SUMPRODUCT(('حجز الإجازات'!$B$5:$B$104='الموظفون'!$B$2)*('حجز الإجازات'!$D$5:$D$104&lt;=JH$3)*(('حجز الإجازات'!$E$5:$E$104)&gt;=JH$3)*('حجز الإجازات'!$G$5:$G$104="معتمد")*ROW('حجز الإجازات'!$B$5:$B$104))=0,"",INDEX('حجز الإجازات'!$C$5:$C$104,(SUMPRODUCT(('حجز الإجازات'!$B$5:$B$104='الموظفون'!$B$2)*('حجز الإجازات'!$D$5:$D$104&lt;=JH$3)*(('حجز الإجازات'!$E$5:$E$104)&gt;=JH$3)*('حجز الإجازات'!$G$5:$G$104="معتمد")*ROW('حجز الإجازات'!$B$5:$B$104)))-5+1))</f>
        <v/>
      </c>
      <c r="JI4" s="62">
        <f>IF(SUMPRODUCT(('حجز الإجازات'!$B$5:$B$104='الموظفون'!$B$2)*('حجز الإجازات'!$D$5:$D$104&lt;=JI$3)*(('حجز الإجازات'!$E$5:$E$104)&gt;=JI$3)*('حجز الإجازات'!$G$5:$G$104="معتمد")*ROW('حجز الإجازات'!$B$5:$B$104))=0,"",INDEX('حجز الإجازات'!$C$5:$C$104,(SUMPRODUCT(('حجز الإجازات'!$B$5:$B$104='الموظفون'!$B$2)*('حجز الإجازات'!$D$5:$D$104&lt;=JI$3)*(('حجز الإجازات'!$E$5:$E$104)&gt;=JI$3)*('حجز الإجازات'!$G$5:$G$104="معتمد")*ROW('حجز الإجازات'!$B$5:$B$104)))-5+1))</f>
        <v/>
      </c>
      <c r="JJ4" s="62">
        <f>IF(SUMPRODUCT(('حجز الإجازات'!$B$5:$B$104='الموظفون'!$B$2)*('حجز الإجازات'!$D$5:$D$104&lt;=JJ$3)*(('حجز الإجازات'!$E$5:$E$104)&gt;=JJ$3)*('حجز الإجازات'!$G$5:$G$104="معتمد")*ROW('حجز الإجازات'!$B$5:$B$104))=0,"",INDEX('حجز الإجازات'!$C$5:$C$104,(SUMPRODUCT(('حجز الإجازات'!$B$5:$B$104='الموظفون'!$B$2)*('حجز الإجازات'!$D$5:$D$104&lt;=JJ$3)*(('حجز الإجازات'!$E$5:$E$104)&gt;=JJ$3)*('حجز الإجازات'!$G$5:$G$104="معتمد")*ROW('حجز الإجازات'!$B$5:$B$104)))-5+1))</f>
        <v/>
      </c>
      <c r="JK4" s="62">
        <f>IF(SUMPRODUCT(('حجز الإجازات'!$B$5:$B$104='الموظفون'!$B$2)*('حجز الإجازات'!$D$5:$D$104&lt;=JK$3)*(('حجز الإجازات'!$E$5:$E$104)&gt;=JK$3)*('حجز الإجازات'!$G$5:$G$104="معتمد")*ROW('حجز الإجازات'!$B$5:$B$104))=0,"",INDEX('حجز الإجازات'!$C$5:$C$104,(SUMPRODUCT(('حجز الإجازات'!$B$5:$B$104='الموظفون'!$B$2)*('حجز الإجازات'!$D$5:$D$104&lt;=JK$3)*(('حجز الإجازات'!$E$5:$E$104)&gt;=JK$3)*('حجز الإجازات'!$G$5:$G$104="معتمد")*ROW('حجز الإجازات'!$B$5:$B$104)))-5+1))</f>
        <v/>
      </c>
      <c r="JL4" s="62">
        <f>IF(SUMPRODUCT(('حجز الإجازات'!$B$5:$B$104='الموظفون'!$B$2)*('حجز الإجازات'!$D$5:$D$104&lt;=JL$3)*(('حجز الإجازات'!$E$5:$E$104)&gt;=JL$3)*('حجز الإجازات'!$G$5:$G$104="معتمد")*ROW('حجز الإجازات'!$B$5:$B$104))=0,"",INDEX('حجز الإجازات'!$C$5:$C$104,(SUMPRODUCT(('حجز الإجازات'!$B$5:$B$104='الموظفون'!$B$2)*('حجز الإجازات'!$D$5:$D$104&lt;=JL$3)*(('حجز الإجازات'!$E$5:$E$104)&gt;=JL$3)*('حجز الإجازات'!$G$5:$G$104="معتمد")*ROW('حجز الإجازات'!$B$5:$B$104)))-5+1))</f>
        <v/>
      </c>
      <c r="JM4" s="62">
        <f>IF(SUMPRODUCT(('حجز الإجازات'!$B$5:$B$104='الموظفون'!$B$2)*('حجز الإجازات'!$D$5:$D$104&lt;=JM$3)*(('حجز الإجازات'!$E$5:$E$104)&gt;=JM$3)*('حجز الإجازات'!$G$5:$G$104="معتمد")*ROW('حجز الإجازات'!$B$5:$B$104))=0,"",INDEX('حجز الإجازات'!$C$5:$C$104,(SUMPRODUCT(('حجز الإجازات'!$B$5:$B$104='الموظفون'!$B$2)*('حجز الإجازات'!$D$5:$D$104&lt;=JM$3)*(('حجز الإجازات'!$E$5:$E$104)&gt;=JM$3)*('حجز الإجازات'!$G$5:$G$104="معتمد")*ROW('حجز الإجازات'!$B$5:$B$104)))-5+1))</f>
        <v/>
      </c>
      <c r="JN4" s="62">
        <f>IF(SUMPRODUCT(('حجز الإجازات'!$B$5:$B$104='الموظفون'!$B$2)*('حجز الإجازات'!$D$5:$D$104&lt;=JN$3)*(('حجز الإجازات'!$E$5:$E$104)&gt;=JN$3)*('حجز الإجازات'!$G$5:$G$104="معتمد")*ROW('حجز الإجازات'!$B$5:$B$104))=0,"",INDEX('حجز الإجازات'!$C$5:$C$104,(SUMPRODUCT(('حجز الإجازات'!$B$5:$B$104='الموظفون'!$B$2)*('حجز الإجازات'!$D$5:$D$104&lt;=JN$3)*(('حجز الإجازات'!$E$5:$E$104)&gt;=JN$3)*('حجز الإجازات'!$G$5:$G$104="معتمد")*ROW('حجز الإجازات'!$B$5:$B$104)))-5+1))</f>
        <v/>
      </c>
      <c r="JO4" s="62">
        <f>IF(SUMPRODUCT(('حجز الإجازات'!$B$5:$B$104='الموظفون'!$B$2)*('حجز الإجازات'!$D$5:$D$104&lt;=JO$3)*(('حجز الإجازات'!$E$5:$E$104)&gt;=JO$3)*('حجز الإجازات'!$G$5:$G$104="معتمد")*ROW('حجز الإجازات'!$B$5:$B$104))=0,"",INDEX('حجز الإجازات'!$C$5:$C$104,(SUMPRODUCT(('حجز الإجازات'!$B$5:$B$104='الموظفون'!$B$2)*('حجز الإجازات'!$D$5:$D$104&lt;=JO$3)*(('حجز الإجازات'!$E$5:$E$104)&gt;=JO$3)*('حجز الإجازات'!$G$5:$G$104="معتمد")*ROW('حجز الإجازات'!$B$5:$B$104)))-5+1))</f>
        <v/>
      </c>
      <c r="JP4" s="62">
        <f>IF(SUMPRODUCT(('حجز الإجازات'!$B$5:$B$104='الموظفون'!$B$2)*('حجز الإجازات'!$D$5:$D$104&lt;=JP$3)*(('حجز الإجازات'!$E$5:$E$104)&gt;=JP$3)*('حجز الإجازات'!$G$5:$G$104="معتمد")*ROW('حجز الإجازات'!$B$5:$B$104))=0,"",INDEX('حجز الإجازات'!$C$5:$C$104,(SUMPRODUCT(('حجز الإجازات'!$B$5:$B$104='الموظفون'!$B$2)*('حجز الإجازات'!$D$5:$D$104&lt;=JP$3)*(('حجز الإجازات'!$E$5:$E$104)&gt;=JP$3)*('حجز الإجازات'!$G$5:$G$104="معتمد")*ROW('حجز الإجازات'!$B$5:$B$104)))-5+1))</f>
        <v/>
      </c>
      <c r="JQ4" s="62">
        <f>IF(SUMPRODUCT(('حجز الإجازات'!$B$5:$B$104='الموظفون'!$B$2)*('حجز الإجازات'!$D$5:$D$104&lt;=JQ$3)*(('حجز الإجازات'!$E$5:$E$104)&gt;=JQ$3)*('حجز الإجازات'!$G$5:$G$104="معتمد")*ROW('حجز الإجازات'!$B$5:$B$104))=0,"",INDEX('حجز الإجازات'!$C$5:$C$104,(SUMPRODUCT(('حجز الإجازات'!$B$5:$B$104='الموظفون'!$B$2)*('حجز الإجازات'!$D$5:$D$104&lt;=JQ$3)*(('حجز الإجازات'!$E$5:$E$104)&gt;=JQ$3)*('حجز الإجازات'!$G$5:$G$104="معتمد")*ROW('حجز الإجازات'!$B$5:$B$104)))-5+1))</f>
        <v/>
      </c>
      <c r="JR4" s="62">
        <f>IF(SUMPRODUCT(('حجز الإجازات'!$B$5:$B$104='الموظفون'!$B$2)*('حجز الإجازات'!$D$5:$D$104&lt;=JR$3)*(('حجز الإجازات'!$E$5:$E$104)&gt;=JR$3)*('حجز الإجازات'!$G$5:$G$104="معتمد")*ROW('حجز الإجازات'!$B$5:$B$104))=0,"",INDEX('حجز الإجازات'!$C$5:$C$104,(SUMPRODUCT(('حجز الإجازات'!$B$5:$B$104='الموظفون'!$B$2)*('حجز الإجازات'!$D$5:$D$104&lt;=JR$3)*(('حجز الإجازات'!$E$5:$E$104)&gt;=JR$3)*('حجز الإجازات'!$G$5:$G$104="معتمد")*ROW('حجز الإجازات'!$B$5:$B$104)))-5+1))</f>
        <v/>
      </c>
      <c r="JS4" s="62">
        <f>IF(SUMPRODUCT(('حجز الإجازات'!$B$5:$B$104='الموظفون'!$B$2)*('حجز الإجازات'!$D$5:$D$104&lt;=JS$3)*(('حجز الإجازات'!$E$5:$E$104)&gt;=JS$3)*('حجز الإجازات'!$G$5:$G$104="معتمد")*ROW('حجز الإجازات'!$B$5:$B$104))=0,"",INDEX('حجز الإجازات'!$C$5:$C$104,(SUMPRODUCT(('حجز الإجازات'!$B$5:$B$104='الموظفون'!$B$2)*('حجز الإجازات'!$D$5:$D$104&lt;=JS$3)*(('حجز الإجازات'!$E$5:$E$104)&gt;=JS$3)*('حجز الإجازات'!$G$5:$G$104="معتمد")*ROW('حجز الإجازات'!$B$5:$B$104)))-5+1))</f>
        <v/>
      </c>
      <c r="JT4" s="62">
        <f>IF(SUMPRODUCT(('حجز الإجازات'!$B$5:$B$104='الموظفون'!$B$2)*('حجز الإجازات'!$D$5:$D$104&lt;=JT$3)*(('حجز الإجازات'!$E$5:$E$104)&gt;=JT$3)*('حجز الإجازات'!$G$5:$G$104="معتمد")*ROW('حجز الإجازات'!$B$5:$B$104))=0,"",INDEX('حجز الإجازات'!$C$5:$C$104,(SUMPRODUCT(('حجز الإجازات'!$B$5:$B$104='الموظفون'!$B$2)*('حجز الإجازات'!$D$5:$D$104&lt;=JT$3)*(('حجز الإجازات'!$E$5:$E$104)&gt;=JT$3)*('حجز الإجازات'!$G$5:$G$104="معتمد")*ROW('حجز الإجازات'!$B$5:$B$104)))-5+1))</f>
        <v/>
      </c>
      <c r="JU4" s="62">
        <f>IF(SUMPRODUCT(('حجز الإجازات'!$B$5:$B$104='الموظفون'!$B$2)*('حجز الإجازات'!$D$5:$D$104&lt;=JU$3)*(('حجز الإجازات'!$E$5:$E$104)&gt;=JU$3)*('حجز الإجازات'!$G$5:$G$104="معتمد")*ROW('حجز الإجازات'!$B$5:$B$104))=0,"",INDEX('حجز الإجازات'!$C$5:$C$104,(SUMPRODUCT(('حجز الإجازات'!$B$5:$B$104='الموظفون'!$B$2)*('حجز الإجازات'!$D$5:$D$104&lt;=JU$3)*(('حجز الإجازات'!$E$5:$E$104)&gt;=JU$3)*('حجز الإجازات'!$G$5:$G$104="معتمد")*ROW('حجز الإجازات'!$B$5:$B$104)))-5+1))</f>
        <v/>
      </c>
      <c r="JV4" s="62">
        <f>IF(SUMPRODUCT(('حجز الإجازات'!$B$5:$B$104='الموظفون'!$B$2)*('حجز الإجازات'!$D$5:$D$104&lt;=JV$3)*(('حجز الإجازات'!$E$5:$E$104)&gt;=JV$3)*('حجز الإجازات'!$G$5:$G$104="معتمد")*ROW('حجز الإجازات'!$B$5:$B$104))=0,"",INDEX('حجز الإجازات'!$C$5:$C$104,(SUMPRODUCT(('حجز الإجازات'!$B$5:$B$104='الموظفون'!$B$2)*('حجز الإجازات'!$D$5:$D$104&lt;=JV$3)*(('حجز الإجازات'!$E$5:$E$104)&gt;=JV$3)*('حجز الإجازات'!$G$5:$G$104="معتمد")*ROW('حجز الإجازات'!$B$5:$B$104)))-5+1))</f>
        <v/>
      </c>
      <c r="JW4" s="62">
        <f>IF(SUMPRODUCT(('حجز الإجازات'!$B$5:$B$104='الموظفون'!$B$2)*('حجز الإجازات'!$D$5:$D$104&lt;=JW$3)*(('حجز الإجازات'!$E$5:$E$104)&gt;=JW$3)*('حجز الإجازات'!$G$5:$G$104="معتمد")*ROW('حجز الإجازات'!$B$5:$B$104))=0,"",INDEX('حجز الإجازات'!$C$5:$C$104,(SUMPRODUCT(('حجز الإجازات'!$B$5:$B$104='الموظفون'!$B$2)*('حجز الإجازات'!$D$5:$D$104&lt;=JW$3)*(('حجز الإجازات'!$E$5:$E$104)&gt;=JW$3)*('حجز الإجازات'!$G$5:$G$104="معتمد")*ROW('حجز الإجازات'!$B$5:$B$104)))-5+1))</f>
        <v/>
      </c>
      <c r="JX4" s="62">
        <f>IF(SUMPRODUCT(('حجز الإجازات'!$B$5:$B$104='الموظفون'!$B$2)*('حجز الإجازات'!$D$5:$D$104&lt;=JX$3)*(('حجز الإجازات'!$E$5:$E$104)&gt;=JX$3)*('حجز الإجازات'!$G$5:$G$104="معتمد")*ROW('حجز الإجازات'!$B$5:$B$104))=0,"",INDEX('حجز الإجازات'!$C$5:$C$104,(SUMPRODUCT(('حجز الإجازات'!$B$5:$B$104='الموظفون'!$B$2)*('حجز الإجازات'!$D$5:$D$104&lt;=JX$3)*(('حجز الإجازات'!$E$5:$E$104)&gt;=JX$3)*('حجز الإجازات'!$G$5:$G$104="معتمد")*ROW('حجز الإجازات'!$B$5:$B$104)))-5+1))</f>
        <v/>
      </c>
      <c r="JY4" s="62">
        <f>IF(SUMPRODUCT(('حجز الإجازات'!$B$5:$B$104='الموظفون'!$B$2)*('حجز الإجازات'!$D$5:$D$104&lt;=JY$3)*(('حجز الإجازات'!$E$5:$E$104)&gt;=JY$3)*('حجز الإجازات'!$G$5:$G$104="معتمد")*ROW('حجز الإجازات'!$B$5:$B$104))=0,"",INDEX('حجز الإجازات'!$C$5:$C$104,(SUMPRODUCT(('حجز الإجازات'!$B$5:$B$104='الموظفون'!$B$2)*('حجز الإجازات'!$D$5:$D$104&lt;=JY$3)*(('حجز الإجازات'!$E$5:$E$104)&gt;=JY$3)*('حجز الإجازات'!$G$5:$G$104="معتمد")*ROW('حجز الإجازات'!$B$5:$B$104)))-5+1))</f>
        <v/>
      </c>
      <c r="JZ4" s="62">
        <f>IF(SUMPRODUCT(('حجز الإجازات'!$B$5:$B$104='الموظفون'!$B$2)*('حجز الإجازات'!$D$5:$D$104&lt;=JZ$3)*(('حجز الإجازات'!$E$5:$E$104)&gt;=JZ$3)*('حجز الإجازات'!$G$5:$G$104="معتمد")*ROW('حجز الإجازات'!$B$5:$B$104))=0,"",INDEX('حجز الإجازات'!$C$5:$C$104,(SUMPRODUCT(('حجز الإجازات'!$B$5:$B$104='الموظفون'!$B$2)*('حجز الإجازات'!$D$5:$D$104&lt;=JZ$3)*(('حجز الإجازات'!$E$5:$E$104)&gt;=JZ$3)*('حجز الإجازات'!$G$5:$G$104="معتمد")*ROW('حجز الإجازات'!$B$5:$B$104)))-5+1))</f>
        <v/>
      </c>
      <c r="KA4" s="62">
        <f>IF(SUMPRODUCT(('حجز الإجازات'!$B$5:$B$104='الموظفون'!$B$2)*('حجز الإجازات'!$D$5:$D$104&lt;=KA$3)*(('حجز الإجازات'!$E$5:$E$104)&gt;=KA$3)*('حجز الإجازات'!$G$5:$G$104="معتمد")*ROW('حجز الإجازات'!$B$5:$B$104))=0,"",INDEX('حجز الإجازات'!$C$5:$C$104,(SUMPRODUCT(('حجز الإجازات'!$B$5:$B$104='الموظفون'!$B$2)*('حجز الإجازات'!$D$5:$D$104&lt;=KA$3)*(('حجز الإجازات'!$E$5:$E$104)&gt;=KA$3)*('حجز الإجازات'!$G$5:$G$104="معتمد")*ROW('حجز الإجازات'!$B$5:$B$104)))-5+1))</f>
        <v/>
      </c>
      <c r="KB4" s="62">
        <f>IF(SUMPRODUCT(('حجز الإجازات'!$B$5:$B$104='الموظفون'!$B$2)*('حجز الإجازات'!$D$5:$D$104&lt;=KB$3)*(('حجز الإجازات'!$E$5:$E$104)&gt;=KB$3)*('حجز الإجازات'!$G$5:$G$104="معتمد")*ROW('حجز الإجازات'!$B$5:$B$104))=0,"",INDEX('حجز الإجازات'!$C$5:$C$104,(SUMPRODUCT(('حجز الإجازات'!$B$5:$B$104='الموظفون'!$B$2)*('حجز الإجازات'!$D$5:$D$104&lt;=KB$3)*(('حجز الإجازات'!$E$5:$E$104)&gt;=KB$3)*('حجز الإجازات'!$G$5:$G$104="معتمد")*ROW('حجز الإجازات'!$B$5:$B$104)))-5+1))</f>
        <v/>
      </c>
      <c r="KC4" s="62">
        <f>IF(SUMPRODUCT(('حجز الإجازات'!$B$5:$B$104='الموظفون'!$B$2)*('حجز الإجازات'!$D$5:$D$104&lt;=KC$3)*(('حجز الإجازات'!$E$5:$E$104)&gt;=KC$3)*('حجز الإجازات'!$G$5:$G$104="معتمد")*ROW('حجز الإجازات'!$B$5:$B$104))=0,"",INDEX('حجز الإجازات'!$C$5:$C$104,(SUMPRODUCT(('حجز الإجازات'!$B$5:$B$104='الموظفون'!$B$2)*('حجز الإجازات'!$D$5:$D$104&lt;=KC$3)*(('حجز الإجازات'!$E$5:$E$104)&gt;=KC$3)*('حجز الإجازات'!$G$5:$G$104="معتمد")*ROW('حجز الإجازات'!$B$5:$B$104)))-5+1))</f>
        <v/>
      </c>
      <c r="KD4" s="62">
        <f>IF(SUMPRODUCT(('حجز الإجازات'!$B$5:$B$104='الموظفون'!$B$2)*('حجز الإجازات'!$D$5:$D$104&lt;=KD$3)*(('حجز الإجازات'!$E$5:$E$104)&gt;=KD$3)*('حجز الإجازات'!$G$5:$G$104="معتمد")*ROW('حجز الإجازات'!$B$5:$B$104))=0,"",INDEX('حجز الإجازات'!$C$5:$C$104,(SUMPRODUCT(('حجز الإجازات'!$B$5:$B$104='الموظفون'!$B$2)*('حجز الإجازات'!$D$5:$D$104&lt;=KD$3)*(('حجز الإجازات'!$E$5:$E$104)&gt;=KD$3)*('حجز الإجازات'!$G$5:$G$104="معتمد")*ROW('حجز الإجازات'!$B$5:$B$104)))-5+1))</f>
        <v/>
      </c>
      <c r="KE4" s="62">
        <f>IF(SUMPRODUCT(('حجز الإجازات'!$B$5:$B$104='الموظفون'!$B$2)*('حجز الإجازات'!$D$5:$D$104&lt;=KE$3)*(('حجز الإجازات'!$E$5:$E$104)&gt;=KE$3)*('حجز الإجازات'!$G$5:$G$104="معتمد")*ROW('حجز الإجازات'!$B$5:$B$104))=0,"",INDEX('حجز الإجازات'!$C$5:$C$104,(SUMPRODUCT(('حجز الإجازات'!$B$5:$B$104='الموظفون'!$B$2)*('حجز الإجازات'!$D$5:$D$104&lt;=KE$3)*(('حجز الإجازات'!$E$5:$E$104)&gt;=KE$3)*('حجز الإجازات'!$G$5:$G$104="معتمد")*ROW('حجز الإجازات'!$B$5:$B$104)))-5+1))</f>
        <v/>
      </c>
      <c r="KF4" s="62">
        <f>IF(SUMPRODUCT(('حجز الإجازات'!$B$5:$B$104='الموظفون'!$B$2)*('حجز الإجازات'!$D$5:$D$104&lt;=KF$3)*(('حجز الإجازات'!$E$5:$E$104)&gt;=KF$3)*('حجز الإجازات'!$G$5:$G$104="معتمد")*ROW('حجز الإجازات'!$B$5:$B$104))=0,"",INDEX('حجز الإجازات'!$C$5:$C$104,(SUMPRODUCT(('حجز الإجازات'!$B$5:$B$104='الموظفون'!$B$2)*('حجز الإجازات'!$D$5:$D$104&lt;=KF$3)*(('حجز الإجازات'!$E$5:$E$104)&gt;=KF$3)*('حجز الإجازات'!$G$5:$G$104="معتمد")*ROW('حجز الإجازات'!$B$5:$B$104)))-5+1))</f>
        <v/>
      </c>
      <c r="KG4" s="62">
        <f>IF(SUMPRODUCT(('حجز الإجازات'!$B$5:$B$104='الموظفون'!$B$2)*('حجز الإجازات'!$D$5:$D$104&lt;=KG$3)*(('حجز الإجازات'!$E$5:$E$104)&gt;=KG$3)*('حجز الإجازات'!$G$5:$G$104="معتمد")*ROW('حجز الإجازات'!$B$5:$B$104))=0,"",INDEX('حجز الإجازات'!$C$5:$C$104,(SUMPRODUCT(('حجز الإجازات'!$B$5:$B$104='الموظفون'!$B$2)*('حجز الإجازات'!$D$5:$D$104&lt;=KG$3)*(('حجز الإجازات'!$E$5:$E$104)&gt;=KG$3)*('حجز الإجازات'!$G$5:$G$104="معتمد")*ROW('حجز الإجازات'!$B$5:$B$104)))-5+1))</f>
        <v/>
      </c>
      <c r="KH4" s="62">
        <f>IF(SUMPRODUCT(('حجز الإجازات'!$B$5:$B$104='الموظفون'!$B$2)*('حجز الإجازات'!$D$5:$D$104&lt;=KH$3)*(('حجز الإجازات'!$E$5:$E$104)&gt;=KH$3)*('حجز الإجازات'!$G$5:$G$104="معتمد")*ROW('حجز الإجازات'!$B$5:$B$104))=0,"",INDEX('حجز الإجازات'!$C$5:$C$104,(SUMPRODUCT(('حجز الإجازات'!$B$5:$B$104='الموظفون'!$B$2)*('حجز الإجازات'!$D$5:$D$104&lt;=KH$3)*(('حجز الإجازات'!$E$5:$E$104)&gt;=KH$3)*('حجز الإجازات'!$G$5:$G$104="معتمد")*ROW('حجز الإجازات'!$B$5:$B$104)))-5+1))</f>
        <v/>
      </c>
      <c r="KI4" s="62">
        <f>IF(SUMPRODUCT(('حجز الإجازات'!$B$5:$B$104='الموظفون'!$B$2)*('حجز الإجازات'!$D$5:$D$104&lt;=KI$3)*(('حجز الإجازات'!$E$5:$E$104)&gt;=KI$3)*('حجز الإجازات'!$G$5:$G$104="معتمد")*ROW('حجز الإجازات'!$B$5:$B$104))=0,"",INDEX('حجز الإجازات'!$C$5:$C$104,(SUMPRODUCT(('حجز الإجازات'!$B$5:$B$104='الموظفون'!$B$2)*('حجز الإجازات'!$D$5:$D$104&lt;=KI$3)*(('حجز الإجازات'!$E$5:$E$104)&gt;=KI$3)*('حجز الإجازات'!$G$5:$G$104="معتمد")*ROW('حجز الإجازات'!$B$5:$B$104)))-5+1))</f>
        <v/>
      </c>
      <c r="KJ4" s="62">
        <f>IF(SUMPRODUCT(('حجز الإجازات'!$B$5:$B$104='الموظفون'!$B$2)*('حجز الإجازات'!$D$5:$D$104&lt;=KJ$3)*(('حجز الإجازات'!$E$5:$E$104)&gt;=KJ$3)*('حجز الإجازات'!$G$5:$G$104="معتمد")*ROW('حجز الإجازات'!$B$5:$B$104))=0,"",INDEX('حجز الإجازات'!$C$5:$C$104,(SUMPRODUCT(('حجز الإجازات'!$B$5:$B$104='الموظفون'!$B$2)*('حجز الإجازات'!$D$5:$D$104&lt;=KJ$3)*(('حجز الإجازات'!$E$5:$E$104)&gt;=KJ$3)*('حجز الإجازات'!$G$5:$G$104="معتمد")*ROW('حجز الإجازات'!$B$5:$B$104)))-5+1))</f>
        <v/>
      </c>
      <c r="KK4" s="62">
        <f>IF(SUMPRODUCT(('حجز الإجازات'!$B$5:$B$104='الموظفون'!$B$2)*('حجز الإجازات'!$D$5:$D$104&lt;=KK$3)*(('حجز الإجازات'!$E$5:$E$104)&gt;=KK$3)*('حجز الإجازات'!$G$5:$G$104="معتمد")*ROW('حجز الإجازات'!$B$5:$B$104))=0,"",INDEX('حجز الإجازات'!$C$5:$C$104,(SUMPRODUCT(('حجز الإجازات'!$B$5:$B$104='الموظفون'!$B$2)*('حجز الإجازات'!$D$5:$D$104&lt;=KK$3)*(('حجز الإجازات'!$E$5:$E$104)&gt;=KK$3)*('حجز الإجازات'!$G$5:$G$104="معتمد")*ROW('حجز الإجازات'!$B$5:$B$104)))-5+1))</f>
        <v/>
      </c>
      <c r="KL4" s="62">
        <f>IF(SUMPRODUCT(('حجز الإجازات'!$B$5:$B$104='الموظفون'!$B$2)*('حجز الإجازات'!$D$5:$D$104&lt;=KL$3)*(('حجز الإجازات'!$E$5:$E$104)&gt;=KL$3)*('حجز الإجازات'!$G$5:$G$104="معتمد")*ROW('حجز الإجازات'!$B$5:$B$104))=0,"",INDEX('حجز الإجازات'!$C$5:$C$104,(SUMPRODUCT(('حجز الإجازات'!$B$5:$B$104='الموظفون'!$B$2)*('حجز الإجازات'!$D$5:$D$104&lt;=KL$3)*(('حجز الإجازات'!$E$5:$E$104)&gt;=KL$3)*('حجز الإجازات'!$G$5:$G$104="معتمد")*ROW('حجز الإجازات'!$B$5:$B$104)))-5+1))</f>
        <v/>
      </c>
      <c r="KM4" s="62">
        <f>IF(SUMPRODUCT(('حجز الإجازات'!$B$5:$B$104='الموظفون'!$B$2)*('حجز الإجازات'!$D$5:$D$104&lt;=KM$3)*(('حجز الإجازات'!$E$5:$E$104)&gt;=KM$3)*('حجز الإجازات'!$G$5:$G$104="معتمد")*ROW('حجز الإجازات'!$B$5:$B$104))=0,"",INDEX('حجز الإجازات'!$C$5:$C$104,(SUMPRODUCT(('حجز الإجازات'!$B$5:$B$104='الموظفون'!$B$2)*('حجز الإجازات'!$D$5:$D$104&lt;=KM$3)*(('حجز الإجازات'!$E$5:$E$104)&gt;=KM$3)*('حجز الإجازات'!$G$5:$G$104="معتمد")*ROW('حجز الإجازات'!$B$5:$B$104)))-5+1))</f>
        <v/>
      </c>
      <c r="KN4" s="62">
        <f>IF(SUMPRODUCT(('حجز الإجازات'!$B$5:$B$104='الموظفون'!$B$2)*('حجز الإجازات'!$D$5:$D$104&lt;=KN$3)*(('حجز الإجازات'!$E$5:$E$104)&gt;=KN$3)*('حجز الإجازات'!$G$5:$G$104="معتمد")*ROW('حجز الإجازات'!$B$5:$B$104))=0,"",INDEX('حجز الإجازات'!$C$5:$C$104,(SUMPRODUCT(('حجز الإجازات'!$B$5:$B$104='الموظفون'!$B$2)*('حجز الإجازات'!$D$5:$D$104&lt;=KN$3)*(('حجز الإجازات'!$E$5:$E$104)&gt;=KN$3)*('حجز الإجازات'!$G$5:$G$104="معتمد")*ROW('حجز الإجازات'!$B$5:$B$104)))-5+1))</f>
        <v/>
      </c>
      <c r="KO4" s="62">
        <f>IF(SUMPRODUCT(('حجز الإجازات'!$B$5:$B$104='الموظفون'!$B$2)*('حجز الإجازات'!$D$5:$D$104&lt;=KO$3)*(('حجز الإجازات'!$E$5:$E$104)&gt;=KO$3)*('حجز الإجازات'!$G$5:$G$104="معتمد")*ROW('حجز الإجازات'!$B$5:$B$104))=0,"",INDEX('حجز الإجازات'!$C$5:$C$104,(SUMPRODUCT(('حجز الإجازات'!$B$5:$B$104='الموظفون'!$B$2)*('حجز الإجازات'!$D$5:$D$104&lt;=KO$3)*(('حجز الإجازات'!$E$5:$E$104)&gt;=KO$3)*('حجز الإجازات'!$G$5:$G$104="معتمد")*ROW('حجز الإجازات'!$B$5:$B$104)))-5+1))</f>
        <v/>
      </c>
      <c r="KP4" s="62">
        <f>IF(SUMPRODUCT(('حجز الإجازات'!$B$5:$B$104='الموظفون'!$B$2)*('حجز الإجازات'!$D$5:$D$104&lt;=KP$3)*(('حجز الإجازات'!$E$5:$E$104)&gt;=KP$3)*('حجز الإجازات'!$G$5:$G$104="معتمد")*ROW('حجز الإجازات'!$B$5:$B$104))=0,"",INDEX('حجز الإجازات'!$C$5:$C$104,(SUMPRODUCT(('حجز الإجازات'!$B$5:$B$104='الموظفون'!$B$2)*('حجز الإجازات'!$D$5:$D$104&lt;=KP$3)*(('حجز الإجازات'!$E$5:$E$104)&gt;=KP$3)*('حجز الإجازات'!$G$5:$G$104="معتمد")*ROW('حجز الإجازات'!$B$5:$B$104)))-5+1))</f>
        <v/>
      </c>
      <c r="KQ4" s="62">
        <f>IF(SUMPRODUCT(('حجز الإجازات'!$B$5:$B$104='الموظفون'!$B$2)*('حجز الإجازات'!$D$5:$D$104&lt;=KQ$3)*(('حجز الإجازات'!$E$5:$E$104)&gt;=KQ$3)*('حجز الإجازات'!$G$5:$G$104="معتمد")*ROW('حجز الإجازات'!$B$5:$B$104))=0,"",INDEX('حجز الإجازات'!$C$5:$C$104,(SUMPRODUCT(('حجز الإجازات'!$B$5:$B$104='الموظفون'!$B$2)*('حجز الإجازات'!$D$5:$D$104&lt;=KQ$3)*(('حجز الإجازات'!$E$5:$E$104)&gt;=KQ$3)*('حجز الإجازات'!$G$5:$G$104="معتمد")*ROW('حجز الإجازات'!$B$5:$B$104)))-5+1))</f>
        <v/>
      </c>
      <c r="KR4" s="62">
        <f>IF(SUMPRODUCT(('حجز الإجازات'!$B$5:$B$104='الموظفون'!$B$2)*('حجز الإجازات'!$D$5:$D$104&lt;=KR$3)*(('حجز الإجازات'!$E$5:$E$104)&gt;=KR$3)*('حجز الإجازات'!$G$5:$G$104="معتمد")*ROW('حجز الإجازات'!$B$5:$B$104))=0,"",INDEX('حجز الإجازات'!$C$5:$C$104,(SUMPRODUCT(('حجز الإجازات'!$B$5:$B$104='الموظفون'!$B$2)*('حجز الإجازات'!$D$5:$D$104&lt;=KR$3)*(('حجز الإجازات'!$E$5:$E$104)&gt;=KR$3)*('حجز الإجازات'!$G$5:$G$104="معتمد")*ROW('حجز الإجازات'!$B$5:$B$104)))-5+1))</f>
        <v/>
      </c>
      <c r="KS4" s="62">
        <f>IF(SUMPRODUCT(('حجز الإجازات'!$B$5:$B$104='الموظفون'!$B$2)*('حجز الإجازات'!$D$5:$D$104&lt;=KS$3)*(('حجز الإجازات'!$E$5:$E$104)&gt;=KS$3)*('حجز الإجازات'!$G$5:$G$104="معتمد")*ROW('حجز الإجازات'!$B$5:$B$104))=0,"",INDEX('حجز الإجازات'!$C$5:$C$104,(SUMPRODUCT(('حجز الإجازات'!$B$5:$B$104='الموظفون'!$B$2)*('حجز الإجازات'!$D$5:$D$104&lt;=KS$3)*(('حجز الإجازات'!$E$5:$E$104)&gt;=KS$3)*('حجز الإجازات'!$G$5:$G$104="معتمد")*ROW('حجز الإجازات'!$B$5:$B$104)))-5+1))</f>
        <v/>
      </c>
      <c r="KT4" s="62">
        <f>IF(SUMPRODUCT(('حجز الإجازات'!$B$5:$B$104='الموظفون'!$B$2)*('حجز الإجازات'!$D$5:$D$104&lt;=KT$3)*(('حجز الإجازات'!$E$5:$E$104)&gt;=KT$3)*('حجز الإجازات'!$G$5:$G$104="معتمد")*ROW('حجز الإجازات'!$B$5:$B$104))=0,"",INDEX('حجز الإجازات'!$C$5:$C$104,(SUMPRODUCT(('حجز الإجازات'!$B$5:$B$104='الموظفون'!$B$2)*('حجز الإجازات'!$D$5:$D$104&lt;=KT$3)*(('حجز الإجازات'!$E$5:$E$104)&gt;=KT$3)*('حجز الإجازات'!$G$5:$G$104="معتمد")*ROW('حجز الإجازات'!$B$5:$B$104)))-5+1))</f>
        <v/>
      </c>
      <c r="KU4" s="62">
        <f>IF(SUMPRODUCT(('حجز الإجازات'!$B$5:$B$104='الموظفون'!$B$2)*('حجز الإجازات'!$D$5:$D$104&lt;=KU$3)*(('حجز الإجازات'!$E$5:$E$104)&gt;=KU$3)*('حجز الإجازات'!$G$5:$G$104="معتمد")*ROW('حجز الإجازات'!$B$5:$B$104))=0,"",INDEX('حجز الإجازات'!$C$5:$C$104,(SUMPRODUCT(('حجز الإجازات'!$B$5:$B$104='الموظفون'!$B$2)*('حجز الإجازات'!$D$5:$D$104&lt;=KU$3)*(('حجز الإجازات'!$E$5:$E$104)&gt;=KU$3)*('حجز الإجازات'!$G$5:$G$104="معتمد")*ROW('حجز الإجازات'!$B$5:$B$104)))-5+1))</f>
        <v/>
      </c>
      <c r="KV4" s="62">
        <f>IF(SUMPRODUCT(('حجز الإجازات'!$B$5:$B$104='الموظفون'!$B$2)*('حجز الإجازات'!$D$5:$D$104&lt;=KV$3)*(('حجز الإجازات'!$E$5:$E$104)&gt;=KV$3)*('حجز الإجازات'!$G$5:$G$104="معتمد")*ROW('حجز الإجازات'!$B$5:$B$104))=0,"",INDEX('حجز الإجازات'!$C$5:$C$104,(SUMPRODUCT(('حجز الإجازات'!$B$5:$B$104='الموظفون'!$B$2)*('حجز الإجازات'!$D$5:$D$104&lt;=KV$3)*(('حجز الإجازات'!$E$5:$E$104)&gt;=KV$3)*('حجز الإجازات'!$G$5:$G$104="معتمد")*ROW('حجز الإجازات'!$B$5:$B$104)))-5+1))</f>
        <v/>
      </c>
      <c r="KW4" s="62">
        <f>IF(SUMPRODUCT(('حجز الإجازات'!$B$5:$B$104='الموظفون'!$B$2)*('حجز الإجازات'!$D$5:$D$104&lt;=KW$3)*(('حجز الإجازات'!$E$5:$E$104)&gt;=KW$3)*('حجز الإجازات'!$G$5:$G$104="معتمد")*ROW('حجز الإجازات'!$B$5:$B$104))=0,"",INDEX('حجز الإجازات'!$C$5:$C$104,(SUMPRODUCT(('حجز الإجازات'!$B$5:$B$104='الموظفون'!$B$2)*('حجز الإجازات'!$D$5:$D$104&lt;=KW$3)*(('حجز الإجازات'!$E$5:$E$104)&gt;=KW$3)*('حجز الإجازات'!$G$5:$G$104="معتمد")*ROW('حجز الإجازات'!$B$5:$B$104)))-5+1))</f>
        <v/>
      </c>
      <c r="KX4" s="62">
        <f>IF(SUMPRODUCT(('حجز الإجازات'!$B$5:$B$104='الموظفون'!$B$2)*('حجز الإجازات'!$D$5:$D$104&lt;=KX$3)*(('حجز الإجازات'!$E$5:$E$104)&gt;=KX$3)*('حجز الإجازات'!$G$5:$G$104="معتمد")*ROW('حجز الإجازات'!$B$5:$B$104))=0,"",INDEX('حجز الإجازات'!$C$5:$C$104,(SUMPRODUCT(('حجز الإجازات'!$B$5:$B$104='الموظفون'!$B$2)*('حجز الإجازات'!$D$5:$D$104&lt;=KX$3)*(('حجز الإجازات'!$E$5:$E$104)&gt;=KX$3)*('حجز الإجازات'!$G$5:$G$104="معتمد")*ROW('حجز الإجازات'!$B$5:$B$104)))-5+1))</f>
        <v/>
      </c>
      <c r="KY4" s="62">
        <f>IF(SUMPRODUCT(('حجز الإجازات'!$B$5:$B$104='الموظفون'!$B$2)*('حجز الإجازات'!$D$5:$D$104&lt;=KY$3)*(('حجز الإجازات'!$E$5:$E$104)&gt;=KY$3)*('حجز الإجازات'!$G$5:$G$104="معتمد")*ROW('حجز الإجازات'!$B$5:$B$104))=0,"",INDEX('حجز الإجازات'!$C$5:$C$104,(SUMPRODUCT(('حجز الإجازات'!$B$5:$B$104='الموظفون'!$B$2)*('حجز الإجازات'!$D$5:$D$104&lt;=KY$3)*(('حجز الإجازات'!$E$5:$E$104)&gt;=KY$3)*('حجز الإجازات'!$G$5:$G$104="معتمد")*ROW('حجز الإجازات'!$B$5:$B$104)))-5+1))</f>
        <v/>
      </c>
      <c r="KZ4" s="62">
        <f>IF(SUMPRODUCT(('حجز الإجازات'!$B$5:$B$104='الموظفون'!$B$2)*('حجز الإجازات'!$D$5:$D$104&lt;=KZ$3)*(('حجز الإجازات'!$E$5:$E$104)&gt;=KZ$3)*('حجز الإجازات'!$G$5:$G$104="معتمد")*ROW('حجز الإجازات'!$B$5:$B$104))=0,"",INDEX('حجز الإجازات'!$C$5:$C$104,(SUMPRODUCT(('حجز الإجازات'!$B$5:$B$104='الموظفون'!$B$2)*('حجز الإجازات'!$D$5:$D$104&lt;=KZ$3)*(('حجز الإجازات'!$E$5:$E$104)&gt;=KZ$3)*('حجز الإجازات'!$G$5:$G$104="معتمد")*ROW('حجز الإجازات'!$B$5:$B$104)))-5+1))</f>
        <v/>
      </c>
      <c r="LA4" s="62">
        <f>IF(SUMPRODUCT(('حجز الإجازات'!$B$5:$B$104='الموظفون'!$B$2)*('حجز الإجازات'!$D$5:$D$104&lt;=LA$3)*(('حجز الإجازات'!$E$5:$E$104)&gt;=LA$3)*('حجز الإجازات'!$G$5:$G$104="معتمد")*ROW('حجز الإجازات'!$B$5:$B$104))=0,"",INDEX('حجز الإجازات'!$C$5:$C$104,(SUMPRODUCT(('حجز الإجازات'!$B$5:$B$104='الموظفون'!$B$2)*('حجز الإجازات'!$D$5:$D$104&lt;=LA$3)*(('حجز الإجازات'!$E$5:$E$104)&gt;=LA$3)*('حجز الإجازات'!$G$5:$G$104="معتمد")*ROW('حجز الإجازات'!$B$5:$B$104)))-5+1))</f>
        <v/>
      </c>
      <c r="LB4" s="62">
        <f>IF(SUMPRODUCT(('حجز الإجازات'!$B$5:$B$104='الموظفون'!$B$2)*('حجز الإجازات'!$D$5:$D$104&lt;=LB$3)*(('حجز الإجازات'!$E$5:$E$104)&gt;=LB$3)*('حجز الإجازات'!$G$5:$G$104="معتمد")*ROW('حجز الإجازات'!$B$5:$B$104))=0,"",INDEX('حجز الإجازات'!$C$5:$C$104,(SUMPRODUCT(('حجز الإجازات'!$B$5:$B$104='الموظفون'!$B$2)*('حجز الإجازات'!$D$5:$D$104&lt;=LB$3)*(('حجز الإجازات'!$E$5:$E$104)&gt;=LB$3)*('حجز الإجازات'!$G$5:$G$104="معتمد")*ROW('حجز الإجازات'!$B$5:$B$104)))-5+1))</f>
        <v/>
      </c>
      <c r="LC4" s="62">
        <f>IF(SUMPRODUCT(('حجز الإجازات'!$B$5:$B$104='الموظفون'!$B$2)*('حجز الإجازات'!$D$5:$D$104&lt;=LC$3)*(('حجز الإجازات'!$E$5:$E$104)&gt;=LC$3)*('حجز الإجازات'!$G$5:$G$104="معتمد")*ROW('حجز الإجازات'!$B$5:$B$104))=0,"",INDEX('حجز الإجازات'!$C$5:$C$104,(SUMPRODUCT(('حجز الإجازات'!$B$5:$B$104='الموظفون'!$B$2)*('حجز الإجازات'!$D$5:$D$104&lt;=LC$3)*(('حجز الإجازات'!$E$5:$E$104)&gt;=LC$3)*('حجز الإجازات'!$G$5:$G$104="معتمد")*ROW('حجز الإجازات'!$B$5:$B$104)))-5+1))</f>
        <v/>
      </c>
      <c r="LD4" s="62">
        <f>IF(SUMPRODUCT(('حجز الإجازات'!$B$5:$B$104='الموظفون'!$B$2)*('حجز الإجازات'!$D$5:$D$104&lt;=LD$3)*(('حجز الإجازات'!$E$5:$E$104)&gt;=LD$3)*('حجز الإجازات'!$G$5:$G$104="معتمد")*ROW('حجز الإجازات'!$B$5:$B$104))=0,"",INDEX('حجز الإجازات'!$C$5:$C$104,(SUMPRODUCT(('حجز الإجازات'!$B$5:$B$104='الموظفون'!$B$2)*('حجز الإجازات'!$D$5:$D$104&lt;=LD$3)*(('حجز الإجازات'!$E$5:$E$104)&gt;=LD$3)*('حجز الإجازات'!$G$5:$G$104="معتمد")*ROW('حجز الإجازات'!$B$5:$B$104)))-5+1))</f>
        <v/>
      </c>
      <c r="LE4" s="62">
        <f>IF(SUMPRODUCT(('حجز الإجازات'!$B$5:$B$104='الموظفون'!$B$2)*('حجز الإجازات'!$D$5:$D$104&lt;=LE$3)*(('حجز الإجازات'!$E$5:$E$104)&gt;=LE$3)*('حجز الإجازات'!$G$5:$G$104="معتمد")*ROW('حجز الإجازات'!$B$5:$B$104))=0,"",INDEX('حجز الإجازات'!$C$5:$C$104,(SUMPRODUCT(('حجز الإجازات'!$B$5:$B$104='الموظفون'!$B$2)*('حجز الإجازات'!$D$5:$D$104&lt;=LE$3)*(('حجز الإجازات'!$E$5:$E$104)&gt;=LE$3)*('حجز الإجازات'!$G$5:$G$104="معتمد")*ROW('حجز الإجازات'!$B$5:$B$104)))-5+1))</f>
        <v/>
      </c>
      <c r="LF4" s="62">
        <f>IF(SUMPRODUCT(('حجز الإجازات'!$B$5:$B$104='الموظفون'!$B$2)*('حجز الإجازات'!$D$5:$D$104&lt;=LF$3)*(('حجز الإجازات'!$E$5:$E$104)&gt;=LF$3)*('حجز الإجازات'!$G$5:$G$104="معتمد")*ROW('حجز الإجازات'!$B$5:$B$104))=0,"",INDEX('حجز الإجازات'!$C$5:$C$104,(SUMPRODUCT(('حجز الإجازات'!$B$5:$B$104='الموظفون'!$B$2)*('حجز الإجازات'!$D$5:$D$104&lt;=LF$3)*(('حجز الإجازات'!$E$5:$E$104)&gt;=LF$3)*('حجز الإجازات'!$G$5:$G$104="معتمد")*ROW('حجز الإجازات'!$B$5:$B$104)))-5+1))</f>
        <v/>
      </c>
      <c r="LG4" s="62">
        <f>IF(SUMPRODUCT(('حجز الإجازات'!$B$5:$B$104='الموظفون'!$B$2)*('حجز الإجازات'!$D$5:$D$104&lt;=LG$3)*(('حجز الإجازات'!$E$5:$E$104)&gt;=LG$3)*('حجز الإجازات'!$G$5:$G$104="معتمد")*ROW('حجز الإجازات'!$B$5:$B$104))=0,"",INDEX('حجز الإجازات'!$C$5:$C$104,(SUMPRODUCT(('حجز الإجازات'!$B$5:$B$104='الموظفون'!$B$2)*('حجز الإجازات'!$D$5:$D$104&lt;=LG$3)*(('حجز الإجازات'!$E$5:$E$104)&gt;=LG$3)*('حجز الإجازات'!$G$5:$G$104="معتمد")*ROW('حجز الإجازات'!$B$5:$B$104)))-5+1))</f>
        <v/>
      </c>
      <c r="LH4" s="62">
        <f>IF(SUMPRODUCT(('حجز الإجازات'!$B$5:$B$104='الموظفون'!$B$2)*('حجز الإجازات'!$D$5:$D$104&lt;=LH$3)*(('حجز الإجازات'!$E$5:$E$104)&gt;=LH$3)*('حجز الإجازات'!$G$5:$G$104="معتمد")*ROW('حجز الإجازات'!$B$5:$B$104))=0,"",INDEX('حجز الإجازات'!$C$5:$C$104,(SUMPRODUCT(('حجز الإجازات'!$B$5:$B$104='الموظفون'!$B$2)*('حجز الإجازات'!$D$5:$D$104&lt;=LH$3)*(('حجز الإجازات'!$E$5:$E$104)&gt;=LH$3)*('حجز الإجازات'!$G$5:$G$104="معتمد")*ROW('حجز الإجازات'!$B$5:$B$104)))-5+1))</f>
        <v/>
      </c>
      <c r="LI4" s="62">
        <f>IF(SUMPRODUCT(('حجز الإجازات'!$B$5:$B$104='الموظفون'!$B$2)*('حجز الإجازات'!$D$5:$D$104&lt;=LI$3)*(('حجز الإجازات'!$E$5:$E$104)&gt;=LI$3)*('حجز الإجازات'!$G$5:$G$104="معتمد")*ROW('حجز الإجازات'!$B$5:$B$104))=0,"",INDEX('حجز الإجازات'!$C$5:$C$104,(SUMPRODUCT(('حجز الإجازات'!$B$5:$B$104='الموظفون'!$B$2)*('حجز الإجازات'!$D$5:$D$104&lt;=LI$3)*(('حجز الإجازات'!$E$5:$E$104)&gt;=LI$3)*('حجز الإجازات'!$G$5:$G$104="معتمد")*ROW('حجز الإجازات'!$B$5:$B$104)))-5+1))</f>
        <v/>
      </c>
      <c r="LJ4" s="62">
        <f>IF(SUMPRODUCT(('حجز الإجازات'!$B$5:$B$104='الموظفون'!$B$2)*('حجز الإجازات'!$D$5:$D$104&lt;=LJ$3)*(('حجز الإجازات'!$E$5:$E$104)&gt;=LJ$3)*('حجز الإجازات'!$G$5:$G$104="معتمد")*ROW('حجز الإجازات'!$B$5:$B$104))=0,"",INDEX('حجز الإجازات'!$C$5:$C$104,(SUMPRODUCT(('حجز الإجازات'!$B$5:$B$104='الموظفون'!$B$2)*('حجز الإجازات'!$D$5:$D$104&lt;=LJ$3)*(('حجز الإجازات'!$E$5:$E$104)&gt;=LJ$3)*('حجز الإجازات'!$G$5:$G$104="معتمد")*ROW('حجز الإجازات'!$B$5:$B$104)))-5+1))</f>
        <v/>
      </c>
      <c r="LK4" s="62">
        <f>IF(SUMPRODUCT(('حجز الإجازات'!$B$5:$B$104='الموظفون'!$B$2)*('حجز الإجازات'!$D$5:$D$104&lt;=LK$3)*(('حجز الإجازات'!$E$5:$E$104)&gt;=LK$3)*('حجز الإجازات'!$G$5:$G$104="معتمد")*ROW('حجز الإجازات'!$B$5:$B$104))=0,"",INDEX('حجز الإجازات'!$C$5:$C$104,(SUMPRODUCT(('حجز الإجازات'!$B$5:$B$104='الموظفون'!$B$2)*('حجز الإجازات'!$D$5:$D$104&lt;=LK$3)*(('حجز الإجازات'!$E$5:$E$104)&gt;=LK$3)*('حجز الإجازات'!$G$5:$G$104="معتمد")*ROW('حجز الإجازات'!$B$5:$B$104)))-5+1))</f>
        <v/>
      </c>
      <c r="LL4" s="62">
        <f>IF(SUMPRODUCT(('حجز الإجازات'!$B$5:$B$104='الموظفون'!$B$2)*('حجز الإجازات'!$D$5:$D$104&lt;=LL$3)*(('حجز الإجازات'!$E$5:$E$104)&gt;=LL$3)*('حجز الإجازات'!$G$5:$G$104="معتمد")*ROW('حجز الإجازات'!$B$5:$B$104))=0,"",INDEX('حجز الإجازات'!$C$5:$C$104,(SUMPRODUCT(('حجز الإجازات'!$B$5:$B$104='الموظفون'!$B$2)*('حجز الإجازات'!$D$5:$D$104&lt;=LL$3)*(('حجز الإجازات'!$E$5:$E$104)&gt;=LL$3)*('حجز الإجازات'!$G$5:$G$104="معتمد")*ROW('حجز الإجازات'!$B$5:$B$104)))-5+1))</f>
        <v/>
      </c>
      <c r="LM4" s="62">
        <f>IF(SUMPRODUCT(('حجز الإجازات'!$B$5:$B$104='الموظفون'!$B$2)*('حجز الإجازات'!$D$5:$D$104&lt;=LM$3)*(('حجز الإجازات'!$E$5:$E$104)&gt;=LM$3)*('حجز الإجازات'!$G$5:$G$104="معتمد")*ROW('حجز الإجازات'!$B$5:$B$104))=0,"",INDEX('حجز الإجازات'!$C$5:$C$104,(SUMPRODUCT(('حجز الإجازات'!$B$5:$B$104='الموظفون'!$B$2)*('حجز الإجازات'!$D$5:$D$104&lt;=LM$3)*(('حجز الإجازات'!$E$5:$E$104)&gt;=LM$3)*('حجز الإجازات'!$G$5:$G$104="معتمد")*ROW('حجز الإجازات'!$B$5:$B$104)))-5+1))</f>
        <v/>
      </c>
      <c r="LN4" s="62">
        <f>IF(SUMPRODUCT(('حجز الإجازات'!$B$5:$B$104='الموظفون'!$B$2)*('حجز الإجازات'!$D$5:$D$104&lt;=LN$3)*(('حجز الإجازات'!$E$5:$E$104)&gt;=LN$3)*('حجز الإجازات'!$G$5:$G$104="معتمد")*ROW('حجز الإجازات'!$B$5:$B$104))=0,"",INDEX('حجز الإجازات'!$C$5:$C$104,(SUMPRODUCT(('حجز الإجازات'!$B$5:$B$104='الموظفون'!$B$2)*('حجز الإجازات'!$D$5:$D$104&lt;=LN$3)*(('حجز الإجازات'!$E$5:$E$104)&gt;=LN$3)*('حجز الإجازات'!$G$5:$G$104="معتمد")*ROW('حجز الإجازات'!$B$5:$B$104)))-5+1))</f>
        <v/>
      </c>
      <c r="LO4" s="62">
        <f>IF(SUMPRODUCT(('حجز الإجازات'!$B$5:$B$104='الموظفون'!$B$2)*('حجز الإجازات'!$D$5:$D$104&lt;=LO$3)*(('حجز الإجازات'!$E$5:$E$104)&gt;=LO$3)*('حجز الإجازات'!$G$5:$G$104="معتمد")*ROW('حجز الإجازات'!$B$5:$B$104))=0,"",INDEX('حجز الإجازات'!$C$5:$C$104,(SUMPRODUCT(('حجز الإجازات'!$B$5:$B$104='الموظفون'!$B$2)*('حجز الإجازات'!$D$5:$D$104&lt;=LO$3)*(('حجز الإجازات'!$E$5:$E$104)&gt;=LO$3)*('حجز الإجازات'!$G$5:$G$104="معتمد")*ROW('حجز الإجازات'!$B$5:$B$104)))-5+1))</f>
        <v/>
      </c>
      <c r="LP4" s="62">
        <f>IF(SUMPRODUCT(('حجز الإجازات'!$B$5:$B$104='الموظفون'!$B$2)*('حجز الإجازات'!$D$5:$D$104&lt;=LP$3)*(('حجز الإجازات'!$E$5:$E$104)&gt;=LP$3)*('حجز الإجازات'!$G$5:$G$104="معتمد")*ROW('حجز الإجازات'!$B$5:$B$104))=0,"",INDEX('حجز الإجازات'!$C$5:$C$104,(SUMPRODUCT(('حجز الإجازات'!$B$5:$B$104='الموظفون'!$B$2)*('حجز الإجازات'!$D$5:$D$104&lt;=LP$3)*(('حجز الإجازات'!$E$5:$E$104)&gt;=LP$3)*('حجز الإجازات'!$G$5:$G$104="معتمد")*ROW('حجز الإجازات'!$B$5:$B$104)))-5+1))</f>
        <v/>
      </c>
      <c r="LQ4" s="62">
        <f>IF(SUMPRODUCT(('حجز الإجازات'!$B$5:$B$104='الموظفون'!$B$2)*('حجز الإجازات'!$D$5:$D$104&lt;=LQ$3)*(('حجز الإجازات'!$E$5:$E$104)&gt;=LQ$3)*('حجز الإجازات'!$G$5:$G$104="معتمد")*ROW('حجز الإجازات'!$B$5:$B$104))=0,"",INDEX('حجز الإجازات'!$C$5:$C$104,(SUMPRODUCT(('حجز الإجازات'!$B$5:$B$104='الموظفون'!$B$2)*('حجز الإجازات'!$D$5:$D$104&lt;=LQ$3)*(('حجز الإجازات'!$E$5:$E$104)&gt;=LQ$3)*('حجز الإجازات'!$G$5:$G$104="معتمد")*ROW('حجز الإجازات'!$B$5:$B$104)))-5+1))</f>
        <v/>
      </c>
      <c r="LR4" s="62">
        <f>IF(SUMPRODUCT(('حجز الإجازات'!$B$5:$B$104='الموظفون'!$B$2)*('حجز الإجازات'!$D$5:$D$104&lt;=LR$3)*(('حجز الإجازات'!$E$5:$E$104)&gt;=LR$3)*('حجز الإجازات'!$G$5:$G$104="معتمد")*ROW('حجز الإجازات'!$B$5:$B$104))=0,"",INDEX('حجز الإجازات'!$C$5:$C$104,(SUMPRODUCT(('حجز الإجازات'!$B$5:$B$104='الموظفون'!$B$2)*('حجز الإجازات'!$D$5:$D$104&lt;=LR$3)*(('حجز الإجازات'!$E$5:$E$104)&gt;=LR$3)*('حجز الإجازات'!$G$5:$G$104="معتمد")*ROW('حجز الإجازات'!$B$5:$B$104)))-5+1))</f>
        <v/>
      </c>
      <c r="LS4" s="62">
        <f>IF(SUMPRODUCT(('حجز الإجازات'!$B$5:$B$104='الموظفون'!$B$2)*('حجز الإجازات'!$D$5:$D$104&lt;=LS$3)*(('حجز الإجازات'!$E$5:$E$104)&gt;=LS$3)*('حجز الإجازات'!$G$5:$G$104="معتمد")*ROW('حجز الإجازات'!$B$5:$B$104))=0,"",INDEX('حجز الإجازات'!$C$5:$C$104,(SUMPRODUCT(('حجز الإجازات'!$B$5:$B$104='الموظفون'!$B$2)*('حجز الإجازات'!$D$5:$D$104&lt;=LS$3)*(('حجز الإجازات'!$E$5:$E$104)&gt;=LS$3)*('حجز الإجازات'!$G$5:$G$104="معتمد")*ROW('حجز الإجازات'!$B$5:$B$104)))-5+1))</f>
        <v/>
      </c>
      <c r="LT4" s="62">
        <f>IF(SUMPRODUCT(('حجز الإجازات'!$B$5:$B$104='الموظفون'!$B$2)*('حجز الإجازات'!$D$5:$D$104&lt;=LT$3)*(('حجز الإجازات'!$E$5:$E$104)&gt;=LT$3)*('حجز الإجازات'!$G$5:$G$104="معتمد")*ROW('حجز الإجازات'!$B$5:$B$104))=0,"",INDEX('حجز الإجازات'!$C$5:$C$104,(SUMPRODUCT(('حجز الإجازات'!$B$5:$B$104='الموظفون'!$B$2)*('حجز الإجازات'!$D$5:$D$104&lt;=LT$3)*(('حجز الإجازات'!$E$5:$E$104)&gt;=LT$3)*('حجز الإجازات'!$G$5:$G$104="معتمد")*ROW('حجز الإجازات'!$B$5:$B$104)))-5+1))</f>
        <v/>
      </c>
      <c r="LU4" s="62">
        <f>IF(SUMPRODUCT(('حجز الإجازات'!$B$5:$B$104='الموظفون'!$B$2)*('حجز الإجازات'!$D$5:$D$104&lt;=LU$3)*(('حجز الإجازات'!$E$5:$E$104)&gt;=LU$3)*('حجز الإجازات'!$G$5:$G$104="معتمد")*ROW('حجز الإجازات'!$B$5:$B$104))=0,"",INDEX('حجز الإجازات'!$C$5:$C$104,(SUMPRODUCT(('حجز الإجازات'!$B$5:$B$104='الموظفون'!$B$2)*('حجز الإجازات'!$D$5:$D$104&lt;=LU$3)*(('حجز الإجازات'!$E$5:$E$104)&gt;=LU$3)*('حجز الإجازات'!$G$5:$G$104="معتمد")*ROW('حجز الإجازات'!$B$5:$B$104)))-5+1))</f>
        <v/>
      </c>
      <c r="LV4" s="62">
        <f>IF(SUMPRODUCT(('حجز الإجازات'!$B$5:$B$104='الموظفون'!$B$2)*('حجز الإجازات'!$D$5:$D$104&lt;=LV$3)*(('حجز الإجازات'!$E$5:$E$104)&gt;=LV$3)*('حجز الإجازات'!$G$5:$G$104="معتمد")*ROW('حجز الإجازات'!$B$5:$B$104))=0,"",INDEX('حجز الإجازات'!$C$5:$C$104,(SUMPRODUCT(('حجز الإجازات'!$B$5:$B$104='الموظفون'!$B$2)*('حجز الإجازات'!$D$5:$D$104&lt;=LV$3)*(('حجز الإجازات'!$E$5:$E$104)&gt;=LV$3)*('حجز الإجازات'!$G$5:$G$104="معتمد")*ROW('حجز الإجازات'!$B$5:$B$104)))-5+1))</f>
        <v/>
      </c>
      <c r="LW4" s="62">
        <f>IF(SUMPRODUCT(('حجز الإجازات'!$B$5:$B$104='الموظفون'!$B$2)*('حجز الإجازات'!$D$5:$D$104&lt;=LW$3)*(('حجز الإجازات'!$E$5:$E$104)&gt;=LW$3)*('حجز الإجازات'!$G$5:$G$104="معتمد")*ROW('حجز الإجازات'!$B$5:$B$104))=0,"",INDEX('حجز الإجازات'!$C$5:$C$104,(SUMPRODUCT(('حجز الإجازات'!$B$5:$B$104='الموظفون'!$B$2)*('حجز الإجازات'!$D$5:$D$104&lt;=LW$3)*(('حجز الإجازات'!$E$5:$E$104)&gt;=LW$3)*('حجز الإجازات'!$G$5:$G$104="معتمد")*ROW('حجز الإجازات'!$B$5:$B$104)))-5+1))</f>
        <v/>
      </c>
      <c r="LX4" s="62">
        <f>IF(SUMPRODUCT(('حجز الإجازات'!$B$5:$B$104='الموظفون'!$B$2)*('حجز الإجازات'!$D$5:$D$104&lt;=LX$3)*(('حجز الإجازات'!$E$5:$E$104)&gt;=LX$3)*('حجز الإجازات'!$G$5:$G$104="معتمد")*ROW('حجز الإجازات'!$B$5:$B$104))=0,"",INDEX('حجز الإجازات'!$C$5:$C$104,(SUMPRODUCT(('حجز الإجازات'!$B$5:$B$104='الموظفون'!$B$2)*('حجز الإجازات'!$D$5:$D$104&lt;=LX$3)*(('حجز الإجازات'!$E$5:$E$104)&gt;=LX$3)*('حجز الإجازات'!$G$5:$G$104="معتمد")*ROW('حجز الإجازات'!$B$5:$B$104)))-5+1))</f>
        <v/>
      </c>
      <c r="LY4" s="62">
        <f>IF(SUMPRODUCT(('حجز الإجازات'!$B$5:$B$104='الموظفون'!$B$2)*('حجز الإجازات'!$D$5:$D$104&lt;=LY$3)*(('حجز الإجازات'!$E$5:$E$104)&gt;=LY$3)*('حجز الإجازات'!$G$5:$G$104="معتمد")*ROW('حجز الإجازات'!$B$5:$B$104))=0,"",INDEX('حجز الإجازات'!$C$5:$C$104,(SUMPRODUCT(('حجز الإجازات'!$B$5:$B$104='الموظفون'!$B$2)*('حجز الإجازات'!$D$5:$D$104&lt;=LY$3)*(('حجز الإجازات'!$E$5:$E$104)&gt;=LY$3)*('حجز الإجازات'!$G$5:$G$104="معتمد")*ROW('حجز الإجازات'!$B$5:$B$104)))-5+1))</f>
        <v/>
      </c>
      <c r="LZ4" s="62">
        <f>IF(SUMPRODUCT(('حجز الإجازات'!$B$5:$B$104='الموظفون'!$B$2)*('حجز الإجازات'!$D$5:$D$104&lt;=LZ$3)*(('حجز الإجازات'!$E$5:$E$104)&gt;=LZ$3)*('حجز الإجازات'!$G$5:$G$104="معتمد")*ROW('حجز الإجازات'!$B$5:$B$104))=0,"",INDEX('حجز الإجازات'!$C$5:$C$104,(SUMPRODUCT(('حجز الإجازات'!$B$5:$B$104='الموظفون'!$B$2)*('حجز الإجازات'!$D$5:$D$104&lt;=LZ$3)*(('حجز الإجازات'!$E$5:$E$104)&gt;=LZ$3)*('حجز الإجازات'!$G$5:$G$104="معتمد")*ROW('حجز الإجازات'!$B$5:$B$104)))-5+1))</f>
        <v/>
      </c>
      <c r="MA4" s="62">
        <f>IF(SUMPRODUCT(('حجز الإجازات'!$B$5:$B$104='الموظفون'!$B$2)*('حجز الإجازات'!$D$5:$D$104&lt;=MA$3)*(('حجز الإجازات'!$E$5:$E$104)&gt;=MA$3)*('حجز الإجازات'!$G$5:$G$104="معتمد")*ROW('حجز الإجازات'!$B$5:$B$104))=0,"",INDEX('حجز الإجازات'!$C$5:$C$104,(SUMPRODUCT(('حجز الإجازات'!$B$5:$B$104='الموظفون'!$B$2)*('حجز الإجازات'!$D$5:$D$104&lt;=MA$3)*(('حجز الإجازات'!$E$5:$E$104)&gt;=MA$3)*('حجز الإجازات'!$G$5:$G$104="معتمد")*ROW('حجز الإجازات'!$B$5:$B$104)))-5+1))</f>
        <v/>
      </c>
      <c r="MB4" s="62">
        <f>IF(SUMPRODUCT(('حجز الإجازات'!$B$5:$B$104='الموظفون'!$B$2)*('حجز الإجازات'!$D$5:$D$104&lt;=MB$3)*(('حجز الإجازات'!$E$5:$E$104)&gt;=MB$3)*('حجز الإجازات'!$G$5:$G$104="معتمد")*ROW('حجز الإجازات'!$B$5:$B$104))=0,"",INDEX('حجز الإجازات'!$C$5:$C$104,(SUMPRODUCT(('حجز الإجازات'!$B$5:$B$104='الموظفون'!$B$2)*('حجز الإجازات'!$D$5:$D$104&lt;=MB$3)*(('حجز الإجازات'!$E$5:$E$104)&gt;=MB$3)*('حجز الإجازات'!$G$5:$G$104="معتمد")*ROW('حجز الإجازات'!$B$5:$B$104)))-5+1))</f>
        <v/>
      </c>
      <c r="MC4" s="62">
        <f>IF(SUMPRODUCT(('حجز الإجازات'!$B$5:$B$104='الموظفون'!$B$2)*('حجز الإجازات'!$D$5:$D$104&lt;=MC$3)*(('حجز الإجازات'!$E$5:$E$104)&gt;=MC$3)*('حجز الإجازات'!$G$5:$G$104="معتمد")*ROW('حجز الإجازات'!$B$5:$B$104))=0,"",INDEX('حجز الإجازات'!$C$5:$C$104,(SUMPRODUCT(('حجز الإجازات'!$B$5:$B$104='الموظفون'!$B$2)*('حجز الإجازات'!$D$5:$D$104&lt;=MC$3)*(('حجز الإجازات'!$E$5:$E$104)&gt;=MC$3)*('حجز الإجازات'!$G$5:$G$104="معتمد")*ROW('حجز الإجازات'!$B$5:$B$104)))-5+1))</f>
        <v/>
      </c>
      <c r="MD4" s="62">
        <f>IF(SUMPRODUCT(('حجز الإجازات'!$B$5:$B$104='الموظفون'!$B$2)*('حجز الإجازات'!$D$5:$D$104&lt;=MD$3)*(('حجز الإجازات'!$E$5:$E$104)&gt;=MD$3)*('حجز الإجازات'!$G$5:$G$104="معتمد")*ROW('حجز الإجازات'!$B$5:$B$104))=0,"",INDEX('حجز الإجازات'!$C$5:$C$104,(SUMPRODUCT(('حجز الإجازات'!$B$5:$B$104='الموظفون'!$B$2)*('حجز الإجازات'!$D$5:$D$104&lt;=MD$3)*(('حجز الإجازات'!$E$5:$E$104)&gt;=MD$3)*('حجز الإجازات'!$G$5:$G$104="معتمد")*ROW('حجز الإجازات'!$B$5:$B$104)))-5+1))</f>
        <v/>
      </c>
      <c r="ME4" s="62">
        <f>IF(SUMPRODUCT(('حجز الإجازات'!$B$5:$B$104='الموظفون'!$B$2)*('حجز الإجازات'!$D$5:$D$104&lt;=ME$3)*(('حجز الإجازات'!$E$5:$E$104)&gt;=ME$3)*('حجز الإجازات'!$G$5:$G$104="معتمد")*ROW('حجز الإجازات'!$B$5:$B$104))=0,"",INDEX('حجز الإجازات'!$C$5:$C$104,(SUMPRODUCT(('حجز الإجازات'!$B$5:$B$104='الموظفون'!$B$2)*('حجز الإجازات'!$D$5:$D$104&lt;=ME$3)*(('حجز الإجازات'!$E$5:$E$104)&gt;=ME$3)*('حجز الإجازات'!$G$5:$G$104="معتمد")*ROW('حجز الإجازات'!$B$5:$B$104)))-5+1))</f>
        <v/>
      </c>
      <c r="MF4" s="62">
        <f>IF(SUMPRODUCT(('حجز الإجازات'!$B$5:$B$104='الموظفون'!$B$2)*('حجز الإجازات'!$D$5:$D$104&lt;=MF$3)*(('حجز الإجازات'!$E$5:$E$104)&gt;=MF$3)*('حجز الإجازات'!$G$5:$G$104="معتمد")*ROW('حجز الإجازات'!$B$5:$B$104))=0,"",INDEX('حجز الإجازات'!$C$5:$C$104,(SUMPRODUCT(('حجز الإجازات'!$B$5:$B$104='الموظفون'!$B$2)*('حجز الإجازات'!$D$5:$D$104&lt;=MF$3)*(('حجز الإجازات'!$E$5:$E$104)&gt;=MF$3)*('حجز الإجازات'!$G$5:$G$104="معتمد")*ROW('حجز الإجازات'!$B$5:$B$104)))-5+1))</f>
        <v/>
      </c>
      <c r="MG4" s="62">
        <f>IF(SUMPRODUCT(('حجز الإجازات'!$B$5:$B$104='الموظفون'!$B$2)*('حجز الإجازات'!$D$5:$D$104&lt;=MG$3)*(('حجز الإجازات'!$E$5:$E$104)&gt;=MG$3)*('حجز الإجازات'!$G$5:$G$104="معتمد")*ROW('حجز الإجازات'!$B$5:$B$104))=0,"",INDEX('حجز الإجازات'!$C$5:$C$104,(SUMPRODUCT(('حجز الإجازات'!$B$5:$B$104='الموظفون'!$B$2)*('حجز الإجازات'!$D$5:$D$104&lt;=MG$3)*(('حجز الإجازات'!$E$5:$E$104)&gt;=MG$3)*('حجز الإجازات'!$G$5:$G$104="معتمد")*ROW('حجز الإجازات'!$B$5:$B$104)))-5+1))</f>
        <v/>
      </c>
      <c r="MH4" s="62">
        <f>IF(SUMPRODUCT(('حجز الإجازات'!$B$5:$B$104='الموظفون'!$B$2)*('حجز الإجازات'!$D$5:$D$104&lt;=MH$3)*(('حجز الإجازات'!$E$5:$E$104)&gt;=MH$3)*('حجز الإجازات'!$G$5:$G$104="معتمد")*ROW('حجز الإجازات'!$B$5:$B$104))=0,"",INDEX('حجز الإجازات'!$C$5:$C$104,(SUMPRODUCT(('حجز الإجازات'!$B$5:$B$104='الموظفون'!$B$2)*('حجز الإجازات'!$D$5:$D$104&lt;=MH$3)*(('حجز الإجازات'!$E$5:$E$104)&gt;=MH$3)*('حجز الإجازات'!$G$5:$G$104="معتمد")*ROW('حجز الإجازات'!$B$5:$B$104)))-5+1))</f>
        <v/>
      </c>
      <c r="MI4" s="62">
        <f>IF(SUMPRODUCT(('حجز الإجازات'!$B$5:$B$104='الموظفون'!$B$2)*('حجز الإجازات'!$D$5:$D$104&lt;=MI$3)*(('حجز الإجازات'!$E$5:$E$104)&gt;=MI$3)*('حجز الإجازات'!$G$5:$G$104="معتمد")*ROW('حجز الإجازات'!$B$5:$B$104))=0,"",INDEX('حجز الإجازات'!$C$5:$C$104,(SUMPRODUCT(('حجز الإجازات'!$B$5:$B$104='الموظفون'!$B$2)*('حجز الإجازات'!$D$5:$D$104&lt;=MI$3)*(('حجز الإجازات'!$E$5:$E$104)&gt;=MI$3)*('حجز الإجازات'!$G$5:$G$104="معتمد")*ROW('حجز الإجازات'!$B$5:$B$104)))-5+1))</f>
        <v/>
      </c>
      <c r="MJ4" s="62">
        <f>IF(SUMPRODUCT(('حجز الإجازات'!$B$5:$B$104='الموظفون'!$B$2)*('حجز الإجازات'!$D$5:$D$104&lt;=MJ$3)*(('حجز الإجازات'!$E$5:$E$104)&gt;=MJ$3)*('حجز الإجازات'!$G$5:$G$104="معتمد")*ROW('حجز الإجازات'!$B$5:$B$104))=0,"",INDEX('حجز الإجازات'!$C$5:$C$104,(SUMPRODUCT(('حجز الإجازات'!$B$5:$B$104='الموظفون'!$B$2)*('حجز الإجازات'!$D$5:$D$104&lt;=MJ$3)*(('حجز الإجازات'!$E$5:$E$104)&gt;=MJ$3)*('حجز الإجازات'!$G$5:$G$104="معتمد")*ROW('حجز الإجازات'!$B$5:$B$104)))-5+1))</f>
        <v/>
      </c>
      <c r="MK4" s="62">
        <f>IF(SUMPRODUCT(('حجز الإجازات'!$B$5:$B$104='الموظفون'!$B$2)*('حجز الإجازات'!$D$5:$D$104&lt;=MK$3)*(('حجز الإجازات'!$E$5:$E$104)&gt;=MK$3)*('حجز الإجازات'!$G$5:$G$104="معتمد")*ROW('حجز الإجازات'!$B$5:$B$104))=0,"",INDEX('حجز الإجازات'!$C$5:$C$104,(SUMPRODUCT(('حجز الإجازات'!$B$5:$B$104='الموظفون'!$B$2)*('حجز الإجازات'!$D$5:$D$104&lt;=MK$3)*(('حجز الإجازات'!$E$5:$E$104)&gt;=MK$3)*('حجز الإجازات'!$G$5:$G$104="معتمد")*ROW('حجز الإجازات'!$B$5:$B$104)))-5+1))</f>
        <v/>
      </c>
      <c r="ML4" s="62">
        <f>IF(SUMPRODUCT(('حجز الإجازات'!$B$5:$B$104='الموظفون'!$B$2)*('حجز الإجازات'!$D$5:$D$104&lt;=ML$3)*(('حجز الإجازات'!$E$5:$E$104)&gt;=ML$3)*('حجز الإجازات'!$G$5:$G$104="معتمد")*ROW('حجز الإجازات'!$B$5:$B$104))=0,"",INDEX('حجز الإجازات'!$C$5:$C$104,(SUMPRODUCT(('حجز الإجازات'!$B$5:$B$104='الموظفون'!$B$2)*('حجز الإجازات'!$D$5:$D$104&lt;=ML$3)*(('حجز الإجازات'!$E$5:$E$104)&gt;=ML$3)*('حجز الإجازات'!$G$5:$G$104="معتمد")*ROW('حجز الإجازات'!$B$5:$B$104)))-5+1))</f>
        <v/>
      </c>
      <c r="MM4" s="62">
        <f>IF(SUMPRODUCT(('حجز الإجازات'!$B$5:$B$104='الموظفون'!$B$2)*('حجز الإجازات'!$D$5:$D$104&lt;=MM$3)*(('حجز الإجازات'!$E$5:$E$104)&gt;=MM$3)*('حجز الإجازات'!$G$5:$G$104="معتمد")*ROW('حجز الإجازات'!$B$5:$B$104))=0,"",INDEX('حجز الإجازات'!$C$5:$C$104,(SUMPRODUCT(('حجز الإجازات'!$B$5:$B$104='الموظفون'!$B$2)*('حجز الإجازات'!$D$5:$D$104&lt;=MM$3)*(('حجز الإجازات'!$E$5:$E$104)&gt;=MM$3)*('حجز الإجازات'!$G$5:$G$104="معتمد")*ROW('حجز الإجازات'!$B$5:$B$104)))-5+1))</f>
        <v/>
      </c>
      <c r="MN4" s="62">
        <f>IF(SUMPRODUCT(('حجز الإجازات'!$B$5:$B$104='الموظفون'!$B$2)*('حجز الإجازات'!$D$5:$D$104&lt;=MN$3)*(('حجز الإجازات'!$E$5:$E$104)&gt;=MN$3)*('حجز الإجازات'!$G$5:$G$104="معتمد")*ROW('حجز الإجازات'!$B$5:$B$104))=0,"",INDEX('حجز الإجازات'!$C$5:$C$104,(SUMPRODUCT(('حجز الإجازات'!$B$5:$B$104='الموظفون'!$B$2)*('حجز الإجازات'!$D$5:$D$104&lt;=MN$3)*(('حجز الإجازات'!$E$5:$E$104)&gt;=MN$3)*('حجز الإجازات'!$G$5:$G$104="معتمد")*ROW('حجز الإجازات'!$B$5:$B$104)))-5+1))</f>
        <v/>
      </c>
      <c r="MO4" s="62">
        <f>IF(SUMPRODUCT(('حجز الإجازات'!$B$5:$B$104='الموظفون'!$B$2)*('حجز الإجازات'!$D$5:$D$104&lt;=MO$3)*(('حجز الإجازات'!$E$5:$E$104)&gt;=MO$3)*('حجز الإجازات'!$G$5:$G$104="معتمد")*ROW('حجز الإجازات'!$B$5:$B$104))=0,"",INDEX('حجز الإجازات'!$C$5:$C$104,(SUMPRODUCT(('حجز الإجازات'!$B$5:$B$104='الموظفون'!$B$2)*('حجز الإجازات'!$D$5:$D$104&lt;=MO$3)*(('حجز الإجازات'!$E$5:$E$104)&gt;=MO$3)*('حجز الإجازات'!$G$5:$G$104="معتمد")*ROW('حجز الإجازات'!$B$5:$B$104)))-5+1))</f>
        <v/>
      </c>
      <c r="MP4" s="62">
        <f>IF(SUMPRODUCT(('حجز الإجازات'!$B$5:$B$104='الموظفون'!$B$2)*('حجز الإجازات'!$D$5:$D$104&lt;=MP$3)*(('حجز الإجازات'!$E$5:$E$104)&gt;=MP$3)*('حجز الإجازات'!$G$5:$G$104="معتمد")*ROW('حجز الإجازات'!$B$5:$B$104))=0,"",INDEX('حجز الإجازات'!$C$5:$C$104,(SUMPRODUCT(('حجز الإجازات'!$B$5:$B$104='الموظفون'!$B$2)*('حجز الإجازات'!$D$5:$D$104&lt;=MP$3)*(('حجز الإجازات'!$E$5:$E$104)&gt;=MP$3)*('حجز الإجازات'!$G$5:$G$104="معتمد")*ROW('حجز الإجازات'!$B$5:$B$104)))-5+1))</f>
        <v/>
      </c>
      <c r="MQ4" s="62">
        <f>IF(SUMPRODUCT(('حجز الإجازات'!$B$5:$B$104='الموظفون'!$B$2)*('حجز الإجازات'!$D$5:$D$104&lt;=MQ$3)*(('حجز الإجازات'!$E$5:$E$104)&gt;=MQ$3)*('حجز الإجازات'!$G$5:$G$104="معتمد")*ROW('حجز الإجازات'!$B$5:$B$104))=0,"",INDEX('حجز الإجازات'!$C$5:$C$104,(SUMPRODUCT(('حجز الإجازات'!$B$5:$B$104='الموظفون'!$B$2)*('حجز الإجازات'!$D$5:$D$104&lt;=MQ$3)*(('حجز الإجازات'!$E$5:$E$104)&gt;=MQ$3)*('حجز الإجازات'!$G$5:$G$104="معتمد")*ROW('حجز الإجازات'!$B$5:$B$104)))-5+1))</f>
        <v/>
      </c>
      <c r="MR4" s="62">
        <f>IF(SUMPRODUCT(('حجز الإجازات'!$B$5:$B$104='الموظفون'!$B$2)*('حجز الإجازات'!$D$5:$D$104&lt;=MR$3)*(('حجز الإجازات'!$E$5:$E$104)&gt;=MR$3)*('حجز الإجازات'!$G$5:$G$104="معتمد")*ROW('حجز الإجازات'!$B$5:$B$104))=0,"",INDEX('حجز الإجازات'!$C$5:$C$104,(SUMPRODUCT(('حجز الإجازات'!$B$5:$B$104='الموظفون'!$B$2)*('حجز الإجازات'!$D$5:$D$104&lt;=MR$3)*(('حجز الإجازات'!$E$5:$E$104)&gt;=MR$3)*('حجز الإجازات'!$G$5:$G$104="معتمد")*ROW('حجز الإجازات'!$B$5:$B$104)))-5+1))</f>
        <v/>
      </c>
      <c r="MS4" s="62">
        <f>IF(SUMPRODUCT(('حجز الإجازات'!$B$5:$B$104='الموظفون'!$B$2)*('حجز الإجازات'!$D$5:$D$104&lt;=MS$3)*(('حجز الإجازات'!$E$5:$E$104)&gt;=MS$3)*('حجز الإجازات'!$G$5:$G$104="معتمد")*ROW('حجز الإجازات'!$B$5:$B$104))=0,"",INDEX('حجز الإجازات'!$C$5:$C$104,(SUMPRODUCT(('حجز الإجازات'!$B$5:$B$104='الموظفون'!$B$2)*('حجز الإجازات'!$D$5:$D$104&lt;=MS$3)*(('حجز الإجازات'!$E$5:$E$104)&gt;=MS$3)*('حجز الإجازات'!$G$5:$G$104="معتمد")*ROW('حجز الإجازات'!$B$5:$B$104)))-5+1))</f>
        <v/>
      </c>
      <c r="MT4" s="62">
        <f>IF(SUMPRODUCT(('حجز الإجازات'!$B$5:$B$104='الموظفون'!$B$2)*('حجز الإجازات'!$D$5:$D$104&lt;=MT$3)*(('حجز الإجازات'!$E$5:$E$104)&gt;=MT$3)*('حجز الإجازات'!$G$5:$G$104="معتمد")*ROW('حجز الإجازات'!$B$5:$B$104))=0,"",INDEX('حجز الإجازات'!$C$5:$C$104,(SUMPRODUCT(('حجز الإجازات'!$B$5:$B$104='الموظفون'!$B$2)*('حجز الإجازات'!$D$5:$D$104&lt;=MT$3)*(('حجز الإجازات'!$E$5:$E$104)&gt;=MT$3)*('حجز الإجازات'!$G$5:$G$104="معتمد")*ROW('حجز الإجازات'!$B$5:$B$104)))-5+1))</f>
        <v/>
      </c>
      <c r="MU4" s="62">
        <f>IF(SUMPRODUCT(('حجز الإجازات'!$B$5:$B$104='الموظفون'!$B$2)*('حجز الإجازات'!$D$5:$D$104&lt;=MU$3)*(('حجز الإجازات'!$E$5:$E$104)&gt;=MU$3)*('حجز الإجازات'!$G$5:$G$104="معتمد")*ROW('حجز الإجازات'!$B$5:$B$104))=0,"",INDEX('حجز الإجازات'!$C$5:$C$104,(SUMPRODUCT(('حجز الإجازات'!$B$5:$B$104='الموظفون'!$B$2)*('حجز الإجازات'!$D$5:$D$104&lt;=MU$3)*(('حجز الإجازات'!$E$5:$E$104)&gt;=MU$3)*('حجز الإجازات'!$G$5:$G$104="معتمد")*ROW('حجز الإجازات'!$B$5:$B$104)))-5+1))</f>
        <v/>
      </c>
      <c r="MV4" s="62">
        <f>IF(SUMPRODUCT(('حجز الإجازات'!$B$5:$B$104='الموظفون'!$B$2)*('حجز الإجازات'!$D$5:$D$104&lt;=MV$3)*(('حجز الإجازات'!$E$5:$E$104)&gt;=MV$3)*('حجز الإجازات'!$G$5:$G$104="معتمد")*ROW('حجز الإجازات'!$B$5:$B$104))=0,"",INDEX('حجز الإجازات'!$C$5:$C$104,(SUMPRODUCT(('حجز الإجازات'!$B$5:$B$104='الموظفون'!$B$2)*('حجز الإجازات'!$D$5:$D$104&lt;=MV$3)*(('حجز الإجازات'!$E$5:$E$104)&gt;=MV$3)*('حجز الإجازات'!$G$5:$G$104="معتمد")*ROW('حجز الإجازات'!$B$5:$B$104)))-5+1))</f>
        <v/>
      </c>
      <c r="MW4" s="62">
        <f>IF(SUMPRODUCT(('حجز الإجازات'!$B$5:$B$104='الموظفون'!$B$2)*('حجز الإجازات'!$D$5:$D$104&lt;=MW$3)*(('حجز الإجازات'!$E$5:$E$104)&gt;=MW$3)*('حجز الإجازات'!$G$5:$G$104="معتمد")*ROW('حجز الإجازات'!$B$5:$B$104))=0,"",INDEX('حجز الإجازات'!$C$5:$C$104,(SUMPRODUCT(('حجز الإجازات'!$B$5:$B$104='الموظفون'!$B$2)*('حجز الإجازات'!$D$5:$D$104&lt;=MW$3)*(('حجز الإجازات'!$E$5:$E$104)&gt;=MW$3)*('حجز الإجازات'!$G$5:$G$104="معتمد")*ROW('حجز الإجازات'!$B$5:$B$104)))-5+1))</f>
        <v/>
      </c>
      <c r="MX4" s="62">
        <f>IF(SUMPRODUCT(('حجز الإجازات'!$B$5:$B$104='الموظفون'!$B$2)*('حجز الإجازات'!$D$5:$D$104&lt;=MX$3)*(('حجز الإجازات'!$E$5:$E$104)&gt;=MX$3)*('حجز الإجازات'!$G$5:$G$104="معتمد")*ROW('حجز الإجازات'!$B$5:$B$104))=0,"",INDEX('حجز الإجازات'!$C$5:$C$104,(SUMPRODUCT(('حجز الإجازات'!$B$5:$B$104='الموظفون'!$B$2)*('حجز الإجازات'!$D$5:$D$104&lt;=MX$3)*(('حجز الإجازات'!$E$5:$E$104)&gt;=MX$3)*('حجز الإجازات'!$G$5:$G$104="معتمد")*ROW('حجز الإجازات'!$B$5:$B$104)))-5+1))</f>
        <v/>
      </c>
      <c r="MY4" s="62">
        <f>IF(SUMPRODUCT(('حجز الإجازات'!$B$5:$B$104='الموظفون'!$B$2)*('حجز الإجازات'!$D$5:$D$104&lt;=MY$3)*(('حجز الإجازات'!$E$5:$E$104)&gt;=MY$3)*('حجز الإجازات'!$G$5:$G$104="معتمد")*ROW('حجز الإجازات'!$B$5:$B$104))=0,"",INDEX('حجز الإجازات'!$C$5:$C$104,(SUMPRODUCT(('حجز الإجازات'!$B$5:$B$104='الموظفون'!$B$2)*('حجز الإجازات'!$D$5:$D$104&lt;=MY$3)*(('حجز الإجازات'!$E$5:$E$104)&gt;=MY$3)*('حجز الإجازات'!$G$5:$G$104="معتمد")*ROW('حجز الإجازات'!$B$5:$B$104)))-5+1))</f>
        <v/>
      </c>
      <c r="MZ4" s="62">
        <f>IF(SUMPRODUCT(('حجز الإجازات'!$B$5:$B$104='الموظفون'!$B$2)*('حجز الإجازات'!$D$5:$D$104&lt;=MZ$3)*(('حجز الإجازات'!$E$5:$E$104)&gt;=MZ$3)*('حجز الإجازات'!$G$5:$G$104="معتمد")*ROW('حجز الإجازات'!$B$5:$B$104))=0,"",INDEX('حجز الإجازات'!$C$5:$C$104,(SUMPRODUCT(('حجز الإجازات'!$B$5:$B$104='الموظفون'!$B$2)*('حجز الإجازات'!$D$5:$D$104&lt;=MZ$3)*(('حجز الإجازات'!$E$5:$E$104)&gt;=MZ$3)*('حجز الإجازات'!$G$5:$G$104="معتمد")*ROW('حجز الإجازات'!$B$5:$B$104)))-5+1))</f>
        <v/>
      </c>
      <c r="NA4" s="62">
        <f>IF(SUMPRODUCT(('حجز الإجازات'!$B$5:$B$104='الموظفون'!$B$2)*('حجز الإجازات'!$D$5:$D$104&lt;=NA$3)*(('حجز الإجازات'!$E$5:$E$104)&gt;=NA$3)*('حجز الإجازات'!$G$5:$G$104="معتمد")*ROW('حجز الإجازات'!$B$5:$B$104))=0,"",INDEX('حجز الإجازات'!$C$5:$C$104,(SUMPRODUCT(('حجز الإجازات'!$B$5:$B$104='الموظفون'!$B$2)*('حجز الإجازات'!$D$5:$D$104&lt;=NA$3)*(('حجز الإجازات'!$E$5:$E$104)&gt;=NA$3)*('حجز الإجازات'!$G$5:$G$104="معتمد")*ROW('حجز الإجازات'!$B$5:$B$104)))-5+1))</f>
        <v/>
      </c>
      <c r="NB4" s="62">
        <f>IF(SUMPRODUCT(('حجز الإجازات'!$B$5:$B$104='الموظفون'!$B$2)*('حجز الإجازات'!$D$5:$D$104&lt;=NB$3)*(('حجز الإجازات'!$E$5:$E$104)&gt;=NB$3)*('حجز الإجازات'!$G$5:$G$104="معتمد")*ROW('حجز الإجازات'!$B$5:$B$104))=0,"",INDEX('حجز الإجازات'!$C$5:$C$104,(SUMPRODUCT(('حجز الإجازات'!$B$5:$B$104='الموظفون'!$B$2)*('حجز الإجازات'!$D$5:$D$104&lt;=NB$3)*(('حجز الإجازات'!$E$5:$E$104)&gt;=NB$3)*('حجز الإجازات'!$G$5:$G$104="معتمد")*ROW('حجز الإجازات'!$B$5:$B$104)))-5+1))</f>
        <v/>
      </c>
      <c r="NC4" s="62">
        <f>IF(SUMPRODUCT(('حجز الإجازات'!$B$5:$B$104='الموظفون'!$B$2)*('حجز الإجازات'!$D$5:$D$104&lt;=NC$3)*(('حجز الإجازات'!$E$5:$E$104)&gt;=NC$3)*('حجز الإجازات'!$G$5:$G$104="معتمد")*ROW('حجز الإجازات'!$B$5:$B$104))=0,"",INDEX('حجز الإجازات'!$C$5:$C$104,(SUMPRODUCT(('حجز الإجازات'!$B$5:$B$104='الموظفون'!$B$2)*('حجز الإجازات'!$D$5:$D$104&lt;=NC$3)*(('حجز الإجازات'!$E$5:$E$104)&gt;=NC$3)*('حجز الإجازات'!$G$5:$G$104="معتمد")*ROW('حجز الإجازات'!$B$5:$B$104)))-5+1))</f>
        <v/>
      </c>
      <c r="ND4" s="62">
        <f>IF(SUMPRODUCT(('حجز الإجازات'!$B$5:$B$104='الموظفون'!$B$2)*('حجز الإجازات'!$D$5:$D$104&lt;=ND$3)*(('حجز الإجازات'!$E$5:$E$104)&gt;=ND$3)*('حجز الإجازات'!$G$5:$G$104="معتمد")*ROW('حجز الإجازات'!$B$5:$B$104))=0,"",INDEX('حجز الإجازات'!$C$5:$C$104,(SUMPRODUCT(('حجز الإجازات'!$B$5:$B$104='الموظفون'!$B$2)*('حجز الإجازات'!$D$5:$D$104&lt;=ND$3)*(('حجز الإجازات'!$E$5:$E$104)&gt;=ND$3)*('حجز الإجازات'!$G$5:$G$104="معتمد")*ROW('حجز الإجازات'!$B$5:$B$104)))-5+1))</f>
        <v/>
      </c>
      <c r="NE4" s="74">
        <f>SUMPRODUCT(--(D4:ND4&lt;&gt;""))</f>
        <v/>
      </c>
    </row>
    <row r="5">
      <c r="A5" s="16" t="n">
        <v>2</v>
      </c>
      <c r="B5" s="22">
        <f>'الموظفون'!B3</f>
        <v/>
      </c>
      <c r="C5" s="16">
        <f>'الموظفون'!C3</f>
        <v/>
      </c>
      <c r="D5" s="62">
        <f>IF(SUMPRODUCT(('حجز الإجازات'!$B$5:$B$104='الموظفون'!$B$3)*('حجز الإجازات'!$D$5:$D$104&lt;=D$3)*(('حجز الإجازات'!$E$5:$E$104)&gt;=D$3)*('حجز الإجازات'!$G$5:$G$104="معتمد")*ROW('حجز الإجازات'!$B$5:$B$104))=0,"",INDEX('حجز الإجازات'!$C$5:$C$104,(SUMPRODUCT(('حجز الإجازات'!$B$5:$B$104='الموظفون'!$B$3)*('حجز الإجازات'!$D$5:$D$104&lt;=D$3)*(('حجز الإجازات'!$E$5:$E$104)&gt;=D$3)*('حجز الإجازات'!$G$5:$G$104="معتمد")*ROW('حجز الإجازات'!$B$5:$B$104)))-5+1))</f>
        <v/>
      </c>
      <c r="E5" s="62">
        <f>IF(SUMPRODUCT(('حجز الإجازات'!$B$5:$B$104='الموظفون'!$B$3)*('حجز الإجازات'!$D$5:$D$104&lt;=E$3)*(('حجز الإجازات'!$E$5:$E$104)&gt;=E$3)*('حجز الإجازات'!$G$5:$G$104="معتمد")*ROW('حجز الإجازات'!$B$5:$B$104))=0,"",INDEX('حجز الإجازات'!$C$5:$C$104,(SUMPRODUCT(('حجز الإجازات'!$B$5:$B$104='الموظفون'!$B$3)*('حجز الإجازات'!$D$5:$D$104&lt;=E$3)*(('حجز الإجازات'!$E$5:$E$104)&gt;=E$3)*('حجز الإجازات'!$G$5:$G$104="معتمد")*ROW('حجز الإجازات'!$B$5:$B$104)))-5+1))</f>
        <v/>
      </c>
      <c r="F5" s="62">
        <f>IF(SUMPRODUCT(('حجز الإجازات'!$B$5:$B$104='الموظفون'!$B$3)*('حجز الإجازات'!$D$5:$D$104&lt;=F$3)*(('حجز الإجازات'!$E$5:$E$104)&gt;=F$3)*('حجز الإجازات'!$G$5:$G$104="معتمد")*ROW('حجز الإجازات'!$B$5:$B$104))=0,"",INDEX('حجز الإجازات'!$C$5:$C$104,(SUMPRODUCT(('حجز الإجازات'!$B$5:$B$104='الموظفون'!$B$3)*('حجز الإجازات'!$D$5:$D$104&lt;=F$3)*(('حجز الإجازات'!$E$5:$E$104)&gt;=F$3)*('حجز الإجازات'!$G$5:$G$104="معتمد")*ROW('حجز الإجازات'!$B$5:$B$104)))-5+1))</f>
        <v/>
      </c>
      <c r="G5" s="62">
        <f>IF(SUMPRODUCT(('حجز الإجازات'!$B$5:$B$104='الموظفون'!$B$3)*('حجز الإجازات'!$D$5:$D$104&lt;=G$3)*(('حجز الإجازات'!$E$5:$E$104)&gt;=G$3)*('حجز الإجازات'!$G$5:$G$104="معتمد")*ROW('حجز الإجازات'!$B$5:$B$104))=0,"",INDEX('حجز الإجازات'!$C$5:$C$104,(SUMPRODUCT(('حجز الإجازات'!$B$5:$B$104='الموظفون'!$B$3)*('حجز الإجازات'!$D$5:$D$104&lt;=G$3)*(('حجز الإجازات'!$E$5:$E$104)&gt;=G$3)*('حجز الإجازات'!$G$5:$G$104="معتمد")*ROW('حجز الإجازات'!$B$5:$B$104)))-5+1))</f>
        <v/>
      </c>
      <c r="H5" s="62">
        <f>IF(SUMPRODUCT(('حجز الإجازات'!$B$5:$B$104='الموظفون'!$B$3)*('حجز الإجازات'!$D$5:$D$104&lt;=H$3)*(('حجز الإجازات'!$E$5:$E$104)&gt;=H$3)*('حجز الإجازات'!$G$5:$G$104="معتمد")*ROW('حجز الإجازات'!$B$5:$B$104))=0,"",INDEX('حجز الإجازات'!$C$5:$C$104,(SUMPRODUCT(('حجز الإجازات'!$B$5:$B$104='الموظفون'!$B$3)*('حجز الإجازات'!$D$5:$D$104&lt;=H$3)*(('حجز الإجازات'!$E$5:$E$104)&gt;=H$3)*('حجز الإجازات'!$G$5:$G$104="معتمد")*ROW('حجز الإجازات'!$B$5:$B$104)))-5+1))</f>
        <v/>
      </c>
      <c r="I5" s="62">
        <f>IF(SUMPRODUCT(('حجز الإجازات'!$B$5:$B$104='الموظفون'!$B$3)*('حجز الإجازات'!$D$5:$D$104&lt;=I$3)*(('حجز الإجازات'!$E$5:$E$104)&gt;=I$3)*('حجز الإجازات'!$G$5:$G$104="معتمد")*ROW('حجز الإجازات'!$B$5:$B$104))=0,"",INDEX('حجز الإجازات'!$C$5:$C$104,(SUMPRODUCT(('حجز الإجازات'!$B$5:$B$104='الموظفون'!$B$3)*('حجز الإجازات'!$D$5:$D$104&lt;=I$3)*(('حجز الإجازات'!$E$5:$E$104)&gt;=I$3)*('حجز الإجازات'!$G$5:$G$104="معتمد")*ROW('حجز الإجازات'!$B$5:$B$104)))-5+1))</f>
        <v/>
      </c>
      <c r="J5" s="62">
        <f>IF(SUMPRODUCT(('حجز الإجازات'!$B$5:$B$104='الموظفون'!$B$3)*('حجز الإجازات'!$D$5:$D$104&lt;=J$3)*(('حجز الإجازات'!$E$5:$E$104)&gt;=J$3)*('حجز الإجازات'!$G$5:$G$104="معتمد")*ROW('حجز الإجازات'!$B$5:$B$104))=0,"",INDEX('حجز الإجازات'!$C$5:$C$104,(SUMPRODUCT(('حجز الإجازات'!$B$5:$B$104='الموظفون'!$B$3)*('حجز الإجازات'!$D$5:$D$104&lt;=J$3)*(('حجز الإجازات'!$E$5:$E$104)&gt;=J$3)*('حجز الإجازات'!$G$5:$G$104="معتمد")*ROW('حجز الإجازات'!$B$5:$B$104)))-5+1))</f>
        <v/>
      </c>
      <c r="K5" s="62">
        <f>IF(SUMPRODUCT(('حجز الإجازات'!$B$5:$B$104='الموظفون'!$B$3)*('حجز الإجازات'!$D$5:$D$104&lt;=K$3)*(('حجز الإجازات'!$E$5:$E$104)&gt;=K$3)*('حجز الإجازات'!$G$5:$G$104="معتمد")*ROW('حجز الإجازات'!$B$5:$B$104))=0,"",INDEX('حجز الإجازات'!$C$5:$C$104,(SUMPRODUCT(('حجز الإجازات'!$B$5:$B$104='الموظفون'!$B$3)*('حجز الإجازات'!$D$5:$D$104&lt;=K$3)*(('حجز الإجازات'!$E$5:$E$104)&gt;=K$3)*('حجز الإجازات'!$G$5:$G$104="معتمد")*ROW('حجز الإجازات'!$B$5:$B$104)))-5+1))</f>
        <v/>
      </c>
      <c r="L5" s="62">
        <f>IF(SUMPRODUCT(('حجز الإجازات'!$B$5:$B$104='الموظفون'!$B$3)*('حجز الإجازات'!$D$5:$D$104&lt;=L$3)*(('حجز الإجازات'!$E$5:$E$104)&gt;=L$3)*('حجز الإجازات'!$G$5:$G$104="معتمد")*ROW('حجز الإجازات'!$B$5:$B$104))=0,"",INDEX('حجز الإجازات'!$C$5:$C$104,(SUMPRODUCT(('حجز الإجازات'!$B$5:$B$104='الموظفون'!$B$3)*('حجز الإجازات'!$D$5:$D$104&lt;=L$3)*(('حجز الإجازات'!$E$5:$E$104)&gt;=L$3)*('حجز الإجازات'!$G$5:$G$104="معتمد")*ROW('حجز الإجازات'!$B$5:$B$104)))-5+1))</f>
        <v/>
      </c>
      <c r="M5" s="62">
        <f>IF(SUMPRODUCT(('حجز الإجازات'!$B$5:$B$104='الموظفون'!$B$3)*('حجز الإجازات'!$D$5:$D$104&lt;=M$3)*(('حجز الإجازات'!$E$5:$E$104)&gt;=M$3)*('حجز الإجازات'!$G$5:$G$104="معتمد")*ROW('حجز الإجازات'!$B$5:$B$104))=0,"",INDEX('حجز الإجازات'!$C$5:$C$104,(SUMPRODUCT(('حجز الإجازات'!$B$5:$B$104='الموظفون'!$B$3)*('حجز الإجازات'!$D$5:$D$104&lt;=M$3)*(('حجز الإجازات'!$E$5:$E$104)&gt;=M$3)*('حجز الإجازات'!$G$5:$G$104="معتمد")*ROW('حجز الإجازات'!$B$5:$B$104)))-5+1))</f>
        <v/>
      </c>
      <c r="N5" s="62">
        <f>IF(SUMPRODUCT(('حجز الإجازات'!$B$5:$B$104='الموظفون'!$B$3)*('حجز الإجازات'!$D$5:$D$104&lt;=N$3)*(('حجز الإجازات'!$E$5:$E$104)&gt;=N$3)*('حجز الإجازات'!$G$5:$G$104="معتمد")*ROW('حجز الإجازات'!$B$5:$B$104))=0,"",INDEX('حجز الإجازات'!$C$5:$C$104,(SUMPRODUCT(('حجز الإجازات'!$B$5:$B$104='الموظفون'!$B$3)*('حجز الإجازات'!$D$5:$D$104&lt;=N$3)*(('حجز الإجازات'!$E$5:$E$104)&gt;=N$3)*('حجز الإجازات'!$G$5:$G$104="معتمد")*ROW('حجز الإجازات'!$B$5:$B$104)))-5+1))</f>
        <v/>
      </c>
      <c r="O5" s="62">
        <f>IF(SUMPRODUCT(('حجز الإجازات'!$B$5:$B$104='الموظفون'!$B$3)*('حجز الإجازات'!$D$5:$D$104&lt;=O$3)*(('حجز الإجازات'!$E$5:$E$104)&gt;=O$3)*('حجز الإجازات'!$G$5:$G$104="معتمد")*ROW('حجز الإجازات'!$B$5:$B$104))=0,"",INDEX('حجز الإجازات'!$C$5:$C$104,(SUMPRODUCT(('حجز الإجازات'!$B$5:$B$104='الموظفون'!$B$3)*('حجز الإجازات'!$D$5:$D$104&lt;=O$3)*(('حجز الإجازات'!$E$5:$E$104)&gt;=O$3)*('حجز الإجازات'!$G$5:$G$104="معتمد")*ROW('حجز الإجازات'!$B$5:$B$104)))-5+1))</f>
        <v/>
      </c>
      <c r="P5" s="62">
        <f>IF(SUMPRODUCT(('حجز الإجازات'!$B$5:$B$104='الموظفون'!$B$3)*('حجز الإجازات'!$D$5:$D$104&lt;=P$3)*(('حجز الإجازات'!$E$5:$E$104)&gt;=P$3)*('حجز الإجازات'!$G$5:$G$104="معتمد")*ROW('حجز الإجازات'!$B$5:$B$104))=0,"",INDEX('حجز الإجازات'!$C$5:$C$104,(SUMPRODUCT(('حجز الإجازات'!$B$5:$B$104='الموظفون'!$B$3)*('حجز الإجازات'!$D$5:$D$104&lt;=P$3)*(('حجز الإجازات'!$E$5:$E$104)&gt;=P$3)*('حجز الإجازات'!$G$5:$G$104="معتمد")*ROW('حجز الإجازات'!$B$5:$B$104)))-5+1))</f>
        <v/>
      </c>
      <c r="Q5" s="62">
        <f>IF(SUMPRODUCT(('حجز الإجازات'!$B$5:$B$104='الموظفون'!$B$3)*('حجز الإجازات'!$D$5:$D$104&lt;=Q$3)*(('حجز الإجازات'!$E$5:$E$104)&gt;=Q$3)*('حجز الإجازات'!$G$5:$G$104="معتمد")*ROW('حجز الإجازات'!$B$5:$B$104))=0,"",INDEX('حجز الإجازات'!$C$5:$C$104,(SUMPRODUCT(('حجز الإجازات'!$B$5:$B$104='الموظفون'!$B$3)*('حجز الإجازات'!$D$5:$D$104&lt;=Q$3)*(('حجز الإجازات'!$E$5:$E$104)&gt;=Q$3)*('حجز الإجازات'!$G$5:$G$104="معتمد")*ROW('حجز الإجازات'!$B$5:$B$104)))-5+1))</f>
        <v/>
      </c>
      <c r="R5" s="62">
        <f>IF(SUMPRODUCT(('حجز الإجازات'!$B$5:$B$104='الموظفون'!$B$3)*('حجز الإجازات'!$D$5:$D$104&lt;=R$3)*(('حجز الإجازات'!$E$5:$E$104)&gt;=R$3)*('حجز الإجازات'!$G$5:$G$104="معتمد")*ROW('حجز الإجازات'!$B$5:$B$104))=0,"",INDEX('حجز الإجازات'!$C$5:$C$104,(SUMPRODUCT(('حجز الإجازات'!$B$5:$B$104='الموظفون'!$B$3)*('حجز الإجازات'!$D$5:$D$104&lt;=R$3)*(('حجز الإجازات'!$E$5:$E$104)&gt;=R$3)*('حجز الإجازات'!$G$5:$G$104="معتمد")*ROW('حجز الإجازات'!$B$5:$B$104)))-5+1))</f>
        <v/>
      </c>
      <c r="S5" s="62">
        <f>IF(SUMPRODUCT(('حجز الإجازات'!$B$5:$B$104='الموظفون'!$B$3)*('حجز الإجازات'!$D$5:$D$104&lt;=S$3)*(('حجز الإجازات'!$E$5:$E$104)&gt;=S$3)*('حجز الإجازات'!$G$5:$G$104="معتمد")*ROW('حجز الإجازات'!$B$5:$B$104))=0,"",INDEX('حجز الإجازات'!$C$5:$C$104,(SUMPRODUCT(('حجز الإجازات'!$B$5:$B$104='الموظفون'!$B$3)*('حجز الإجازات'!$D$5:$D$104&lt;=S$3)*(('حجز الإجازات'!$E$5:$E$104)&gt;=S$3)*('حجز الإجازات'!$G$5:$G$104="معتمد")*ROW('حجز الإجازات'!$B$5:$B$104)))-5+1))</f>
        <v/>
      </c>
      <c r="T5" s="62">
        <f>IF(SUMPRODUCT(('حجز الإجازات'!$B$5:$B$104='الموظفون'!$B$3)*('حجز الإجازات'!$D$5:$D$104&lt;=T$3)*(('حجز الإجازات'!$E$5:$E$104)&gt;=T$3)*('حجز الإجازات'!$G$5:$G$104="معتمد")*ROW('حجز الإجازات'!$B$5:$B$104))=0,"",INDEX('حجز الإجازات'!$C$5:$C$104,(SUMPRODUCT(('حجز الإجازات'!$B$5:$B$104='الموظفون'!$B$3)*('حجز الإجازات'!$D$5:$D$104&lt;=T$3)*(('حجز الإجازات'!$E$5:$E$104)&gt;=T$3)*('حجز الإجازات'!$G$5:$G$104="معتمد")*ROW('حجز الإجازات'!$B$5:$B$104)))-5+1))</f>
        <v/>
      </c>
      <c r="U5" s="62">
        <f>IF(SUMPRODUCT(('حجز الإجازات'!$B$5:$B$104='الموظفون'!$B$3)*('حجز الإجازات'!$D$5:$D$104&lt;=U$3)*(('حجز الإجازات'!$E$5:$E$104)&gt;=U$3)*('حجز الإجازات'!$G$5:$G$104="معتمد")*ROW('حجز الإجازات'!$B$5:$B$104))=0,"",INDEX('حجز الإجازات'!$C$5:$C$104,(SUMPRODUCT(('حجز الإجازات'!$B$5:$B$104='الموظفون'!$B$3)*('حجز الإجازات'!$D$5:$D$104&lt;=U$3)*(('حجز الإجازات'!$E$5:$E$104)&gt;=U$3)*('حجز الإجازات'!$G$5:$G$104="معتمد")*ROW('حجز الإجازات'!$B$5:$B$104)))-5+1))</f>
        <v/>
      </c>
      <c r="V5" s="62">
        <f>IF(SUMPRODUCT(('حجز الإجازات'!$B$5:$B$104='الموظفون'!$B$3)*('حجز الإجازات'!$D$5:$D$104&lt;=V$3)*(('حجز الإجازات'!$E$5:$E$104)&gt;=V$3)*('حجز الإجازات'!$G$5:$G$104="معتمد")*ROW('حجز الإجازات'!$B$5:$B$104))=0,"",INDEX('حجز الإجازات'!$C$5:$C$104,(SUMPRODUCT(('حجز الإجازات'!$B$5:$B$104='الموظفون'!$B$3)*('حجز الإجازات'!$D$5:$D$104&lt;=V$3)*(('حجز الإجازات'!$E$5:$E$104)&gt;=V$3)*('حجز الإجازات'!$G$5:$G$104="معتمد")*ROW('حجز الإجازات'!$B$5:$B$104)))-5+1))</f>
        <v/>
      </c>
      <c r="W5" s="62">
        <f>IF(SUMPRODUCT(('حجز الإجازات'!$B$5:$B$104='الموظفون'!$B$3)*('حجز الإجازات'!$D$5:$D$104&lt;=W$3)*(('حجز الإجازات'!$E$5:$E$104)&gt;=W$3)*('حجز الإجازات'!$G$5:$G$104="معتمد")*ROW('حجز الإجازات'!$B$5:$B$104))=0,"",INDEX('حجز الإجازات'!$C$5:$C$104,(SUMPRODUCT(('حجز الإجازات'!$B$5:$B$104='الموظفون'!$B$3)*('حجز الإجازات'!$D$5:$D$104&lt;=W$3)*(('حجز الإجازات'!$E$5:$E$104)&gt;=W$3)*('حجز الإجازات'!$G$5:$G$104="معتمد")*ROW('حجز الإجازات'!$B$5:$B$104)))-5+1))</f>
        <v/>
      </c>
      <c r="X5" s="62">
        <f>IF(SUMPRODUCT(('حجز الإجازات'!$B$5:$B$104='الموظفون'!$B$3)*('حجز الإجازات'!$D$5:$D$104&lt;=X$3)*(('حجز الإجازات'!$E$5:$E$104)&gt;=X$3)*('حجز الإجازات'!$G$5:$G$104="معتمد")*ROW('حجز الإجازات'!$B$5:$B$104))=0,"",INDEX('حجز الإجازات'!$C$5:$C$104,(SUMPRODUCT(('حجز الإجازات'!$B$5:$B$104='الموظفون'!$B$3)*('حجز الإجازات'!$D$5:$D$104&lt;=X$3)*(('حجز الإجازات'!$E$5:$E$104)&gt;=X$3)*('حجز الإجازات'!$G$5:$G$104="معتمد")*ROW('حجز الإجازات'!$B$5:$B$104)))-5+1))</f>
        <v/>
      </c>
      <c r="Y5" s="62">
        <f>IF(SUMPRODUCT(('حجز الإجازات'!$B$5:$B$104='الموظفون'!$B$3)*('حجز الإجازات'!$D$5:$D$104&lt;=Y$3)*(('حجز الإجازات'!$E$5:$E$104)&gt;=Y$3)*('حجز الإجازات'!$G$5:$G$104="معتمد")*ROW('حجز الإجازات'!$B$5:$B$104))=0,"",INDEX('حجز الإجازات'!$C$5:$C$104,(SUMPRODUCT(('حجز الإجازات'!$B$5:$B$104='الموظفون'!$B$3)*('حجز الإجازات'!$D$5:$D$104&lt;=Y$3)*(('حجز الإجازات'!$E$5:$E$104)&gt;=Y$3)*('حجز الإجازات'!$G$5:$G$104="معتمد")*ROW('حجز الإجازات'!$B$5:$B$104)))-5+1))</f>
        <v/>
      </c>
      <c r="Z5" s="62">
        <f>IF(SUMPRODUCT(('حجز الإجازات'!$B$5:$B$104='الموظفون'!$B$3)*('حجز الإجازات'!$D$5:$D$104&lt;=Z$3)*(('حجز الإجازات'!$E$5:$E$104)&gt;=Z$3)*('حجز الإجازات'!$G$5:$G$104="معتمد")*ROW('حجز الإجازات'!$B$5:$B$104))=0,"",INDEX('حجز الإجازات'!$C$5:$C$104,(SUMPRODUCT(('حجز الإجازات'!$B$5:$B$104='الموظفون'!$B$3)*('حجز الإجازات'!$D$5:$D$104&lt;=Z$3)*(('حجز الإجازات'!$E$5:$E$104)&gt;=Z$3)*('حجز الإجازات'!$G$5:$G$104="معتمد")*ROW('حجز الإجازات'!$B$5:$B$104)))-5+1))</f>
        <v/>
      </c>
      <c r="AA5" s="62">
        <f>IF(SUMPRODUCT(('حجز الإجازات'!$B$5:$B$104='الموظفون'!$B$3)*('حجز الإجازات'!$D$5:$D$104&lt;=AA$3)*(('حجز الإجازات'!$E$5:$E$104)&gt;=AA$3)*('حجز الإجازات'!$G$5:$G$104="معتمد")*ROW('حجز الإجازات'!$B$5:$B$104))=0,"",INDEX('حجز الإجازات'!$C$5:$C$104,(SUMPRODUCT(('حجز الإجازات'!$B$5:$B$104='الموظفون'!$B$3)*('حجز الإجازات'!$D$5:$D$104&lt;=AA$3)*(('حجز الإجازات'!$E$5:$E$104)&gt;=AA$3)*('حجز الإجازات'!$G$5:$G$104="معتمد")*ROW('حجز الإجازات'!$B$5:$B$104)))-5+1))</f>
        <v/>
      </c>
      <c r="AB5" s="62">
        <f>IF(SUMPRODUCT(('حجز الإجازات'!$B$5:$B$104='الموظفون'!$B$3)*('حجز الإجازات'!$D$5:$D$104&lt;=AB$3)*(('حجز الإجازات'!$E$5:$E$104)&gt;=AB$3)*('حجز الإجازات'!$G$5:$G$104="معتمد")*ROW('حجز الإجازات'!$B$5:$B$104))=0,"",INDEX('حجز الإجازات'!$C$5:$C$104,(SUMPRODUCT(('حجز الإجازات'!$B$5:$B$104='الموظفون'!$B$3)*('حجز الإجازات'!$D$5:$D$104&lt;=AB$3)*(('حجز الإجازات'!$E$5:$E$104)&gt;=AB$3)*('حجز الإجازات'!$G$5:$G$104="معتمد")*ROW('حجز الإجازات'!$B$5:$B$104)))-5+1))</f>
        <v/>
      </c>
      <c r="AC5" s="62">
        <f>IF(SUMPRODUCT(('حجز الإجازات'!$B$5:$B$104='الموظفون'!$B$3)*('حجز الإجازات'!$D$5:$D$104&lt;=AC$3)*(('حجز الإجازات'!$E$5:$E$104)&gt;=AC$3)*('حجز الإجازات'!$G$5:$G$104="معتمد")*ROW('حجز الإجازات'!$B$5:$B$104))=0,"",INDEX('حجز الإجازات'!$C$5:$C$104,(SUMPRODUCT(('حجز الإجازات'!$B$5:$B$104='الموظفون'!$B$3)*('حجز الإجازات'!$D$5:$D$104&lt;=AC$3)*(('حجز الإجازات'!$E$5:$E$104)&gt;=AC$3)*('حجز الإجازات'!$G$5:$G$104="معتمد")*ROW('حجز الإجازات'!$B$5:$B$104)))-5+1))</f>
        <v/>
      </c>
      <c r="AD5" s="62">
        <f>IF(SUMPRODUCT(('حجز الإجازات'!$B$5:$B$104='الموظفون'!$B$3)*('حجز الإجازات'!$D$5:$D$104&lt;=AD$3)*(('حجز الإجازات'!$E$5:$E$104)&gt;=AD$3)*('حجز الإجازات'!$G$5:$G$104="معتمد")*ROW('حجز الإجازات'!$B$5:$B$104))=0,"",INDEX('حجز الإجازات'!$C$5:$C$104,(SUMPRODUCT(('حجز الإجازات'!$B$5:$B$104='الموظفون'!$B$3)*('حجز الإجازات'!$D$5:$D$104&lt;=AD$3)*(('حجز الإجازات'!$E$5:$E$104)&gt;=AD$3)*('حجز الإجازات'!$G$5:$G$104="معتمد")*ROW('حجز الإجازات'!$B$5:$B$104)))-5+1))</f>
        <v/>
      </c>
      <c r="AE5" s="62">
        <f>IF(SUMPRODUCT(('حجز الإجازات'!$B$5:$B$104='الموظفون'!$B$3)*('حجز الإجازات'!$D$5:$D$104&lt;=AE$3)*(('حجز الإجازات'!$E$5:$E$104)&gt;=AE$3)*('حجز الإجازات'!$G$5:$G$104="معتمد")*ROW('حجز الإجازات'!$B$5:$B$104))=0,"",INDEX('حجز الإجازات'!$C$5:$C$104,(SUMPRODUCT(('حجز الإجازات'!$B$5:$B$104='الموظفون'!$B$3)*('حجز الإجازات'!$D$5:$D$104&lt;=AE$3)*(('حجز الإجازات'!$E$5:$E$104)&gt;=AE$3)*('حجز الإجازات'!$G$5:$G$104="معتمد")*ROW('حجز الإجازات'!$B$5:$B$104)))-5+1))</f>
        <v/>
      </c>
      <c r="AF5" s="62">
        <f>IF(SUMPRODUCT(('حجز الإجازات'!$B$5:$B$104='الموظفون'!$B$3)*('حجز الإجازات'!$D$5:$D$104&lt;=AF$3)*(('حجز الإجازات'!$E$5:$E$104)&gt;=AF$3)*('حجز الإجازات'!$G$5:$G$104="معتمد")*ROW('حجز الإجازات'!$B$5:$B$104))=0,"",INDEX('حجز الإجازات'!$C$5:$C$104,(SUMPRODUCT(('حجز الإجازات'!$B$5:$B$104='الموظفون'!$B$3)*('حجز الإجازات'!$D$5:$D$104&lt;=AF$3)*(('حجز الإجازات'!$E$5:$E$104)&gt;=AF$3)*('حجز الإجازات'!$G$5:$G$104="معتمد")*ROW('حجز الإجازات'!$B$5:$B$104)))-5+1))</f>
        <v/>
      </c>
      <c r="AG5" s="62">
        <f>IF(SUMPRODUCT(('حجز الإجازات'!$B$5:$B$104='الموظفون'!$B$3)*('حجز الإجازات'!$D$5:$D$104&lt;=AG$3)*(('حجز الإجازات'!$E$5:$E$104)&gt;=AG$3)*('حجز الإجازات'!$G$5:$G$104="معتمد")*ROW('حجز الإجازات'!$B$5:$B$104))=0,"",INDEX('حجز الإجازات'!$C$5:$C$104,(SUMPRODUCT(('حجز الإجازات'!$B$5:$B$104='الموظفون'!$B$3)*('حجز الإجازات'!$D$5:$D$104&lt;=AG$3)*(('حجز الإجازات'!$E$5:$E$104)&gt;=AG$3)*('حجز الإجازات'!$G$5:$G$104="معتمد")*ROW('حجز الإجازات'!$B$5:$B$104)))-5+1))</f>
        <v/>
      </c>
      <c r="AH5" s="62">
        <f>IF(SUMPRODUCT(('حجز الإجازات'!$B$5:$B$104='الموظفون'!$B$3)*('حجز الإجازات'!$D$5:$D$104&lt;=AH$3)*(('حجز الإجازات'!$E$5:$E$104)&gt;=AH$3)*('حجز الإجازات'!$G$5:$G$104="معتمد")*ROW('حجز الإجازات'!$B$5:$B$104))=0,"",INDEX('حجز الإجازات'!$C$5:$C$104,(SUMPRODUCT(('حجز الإجازات'!$B$5:$B$104='الموظفون'!$B$3)*('حجز الإجازات'!$D$5:$D$104&lt;=AH$3)*(('حجز الإجازات'!$E$5:$E$104)&gt;=AH$3)*('حجز الإجازات'!$G$5:$G$104="معتمد")*ROW('حجز الإجازات'!$B$5:$B$104)))-5+1))</f>
        <v/>
      </c>
      <c r="AI5" s="62">
        <f>IF(SUMPRODUCT(('حجز الإجازات'!$B$5:$B$104='الموظفون'!$B$3)*('حجز الإجازات'!$D$5:$D$104&lt;=AI$3)*(('حجز الإجازات'!$E$5:$E$104)&gt;=AI$3)*('حجز الإجازات'!$G$5:$G$104="معتمد")*ROW('حجز الإجازات'!$B$5:$B$104))=0,"",INDEX('حجز الإجازات'!$C$5:$C$104,(SUMPRODUCT(('حجز الإجازات'!$B$5:$B$104='الموظفون'!$B$3)*('حجز الإجازات'!$D$5:$D$104&lt;=AI$3)*(('حجز الإجازات'!$E$5:$E$104)&gt;=AI$3)*('حجز الإجازات'!$G$5:$G$104="معتمد")*ROW('حجز الإجازات'!$B$5:$B$104)))-5+1))</f>
        <v/>
      </c>
      <c r="AJ5" s="62">
        <f>IF(SUMPRODUCT(('حجز الإجازات'!$B$5:$B$104='الموظفون'!$B$3)*('حجز الإجازات'!$D$5:$D$104&lt;=AJ$3)*(('حجز الإجازات'!$E$5:$E$104)&gt;=AJ$3)*('حجز الإجازات'!$G$5:$G$104="معتمد")*ROW('حجز الإجازات'!$B$5:$B$104))=0,"",INDEX('حجز الإجازات'!$C$5:$C$104,(SUMPRODUCT(('حجز الإجازات'!$B$5:$B$104='الموظفون'!$B$3)*('حجز الإجازات'!$D$5:$D$104&lt;=AJ$3)*(('حجز الإجازات'!$E$5:$E$104)&gt;=AJ$3)*('حجز الإجازات'!$G$5:$G$104="معتمد")*ROW('حجز الإجازات'!$B$5:$B$104)))-5+1))</f>
        <v/>
      </c>
      <c r="AK5" s="62">
        <f>IF(SUMPRODUCT(('حجز الإجازات'!$B$5:$B$104='الموظفون'!$B$3)*('حجز الإجازات'!$D$5:$D$104&lt;=AK$3)*(('حجز الإجازات'!$E$5:$E$104)&gt;=AK$3)*('حجز الإجازات'!$G$5:$G$104="معتمد")*ROW('حجز الإجازات'!$B$5:$B$104))=0,"",INDEX('حجز الإجازات'!$C$5:$C$104,(SUMPRODUCT(('حجز الإجازات'!$B$5:$B$104='الموظفون'!$B$3)*('حجز الإجازات'!$D$5:$D$104&lt;=AK$3)*(('حجز الإجازات'!$E$5:$E$104)&gt;=AK$3)*('حجز الإجازات'!$G$5:$G$104="معتمد")*ROW('حجز الإجازات'!$B$5:$B$104)))-5+1))</f>
        <v/>
      </c>
      <c r="AL5" s="62">
        <f>IF(SUMPRODUCT(('حجز الإجازات'!$B$5:$B$104='الموظفون'!$B$3)*('حجز الإجازات'!$D$5:$D$104&lt;=AL$3)*(('حجز الإجازات'!$E$5:$E$104)&gt;=AL$3)*('حجز الإجازات'!$G$5:$G$104="معتمد")*ROW('حجز الإجازات'!$B$5:$B$104))=0,"",INDEX('حجز الإجازات'!$C$5:$C$104,(SUMPRODUCT(('حجز الإجازات'!$B$5:$B$104='الموظفون'!$B$3)*('حجز الإجازات'!$D$5:$D$104&lt;=AL$3)*(('حجز الإجازات'!$E$5:$E$104)&gt;=AL$3)*('حجز الإجازات'!$G$5:$G$104="معتمد")*ROW('حجز الإجازات'!$B$5:$B$104)))-5+1))</f>
        <v/>
      </c>
      <c r="AM5" s="62">
        <f>IF(SUMPRODUCT(('حجز الإجازات'!$B$5:$B$104='الموظفون'!$B$3)*('حجز الإجازات'!$D$5:$D$104&lt;=AM$3)*(('حجز الإجازات'!$E$5:$E$104)&gt;=AM$3)*('حجز الإجازات'!$G$5:$G$104="معتمد")*ROW('حجز الإجازات'!$B$5:$B$104))=0,"",INDEX('حجز الإجازات'!$C$5:$C$104,(SUMPRODUCT(('حجز الإجازات'!$B$5:$B$104='الموظفون'!$B$3)*('حجز الإجازات'!$D$5:$D$104&lt;=AM$3)*(('حجز الإجازات'!$E$5:$E$104)&gt;=AM$3)*('حجز الإجازات'!$G$5:$G$104="معتمد")*ROW('حجز الإجازات'!$B$5:$B$104)))-5+1))</f>
        <v/>
      </c>
      <c r="AN5" s="62">
        <f>IF(SUMPRODUCT(('حجز الإجازات'!$B$5:$B$104='الموظفون'!$B$3)*('حجز الإجازات'!$D$5:$D$104&lt;=AN$3)*(('حجز الإجازات'!$E$5:$E$104)&gt;=AN$3)*('حجز الإجازات'!$G$5:$G$104="معتمد")*ROW('حجز الإجازات'!$B$5:$B$104))=0,"",INDEX('حجز الإجازات'!$C$5:$C$104,(SUMPRODUCT(('حجز الإجازات'!$B$5:$B$104='الموظفون'!$B$3)*('حجز الإجازات'!$D$5:$D$104&lt;=AN$3)*(('حجز الإجازات'!$E$5:$E$104)&gt;=AN$3)*('حجز الإجازات'!$G$5:$G$104="معتمد")*ROW('حجز الإجازات'!$B$5:$B$104)))-5+1))</f>
        <v/>
      </c>
      <c r="AO5" s="62">
        <f>IF(SUMPRODUCT(('حجز الإجازات'!$B$5:$B$104='الموظفون'!$B$3)*('حجز الإجازات'!$D$5:$D$104&lt;=AO$3)*(('حجز الإجازات'!$E$5:$E$104)&gt;=AO$3)*('حجز الإجازات'!$G$5:$G$104="معتمد")*ROW('حجز الإجازات'!$B$5:$B$104))=0,"",INDEX('حجز الإجازات'!$C$5:$C$104,(SUMPRODUCT(('حجز الإجازات'!$B$5:$B$104='الموظفون'!$B$3)*('حجز الإجازات'!$D$5:$D$104&lt;=AO$3)*(('حجز الإجازات'!$E$5:$E$104)&gt;=AO$3)*('حجز الإجازات'!$G$5:$G$104="معتمد")*ROW('حجز الإجازات'!$B$5:$B$104)))-5+1))</f>
        <v/>
      </c>
      <c r="AP5" s="62">
        <f>IF(SUMPRODUCT(('حجز الإجازات'!$B$5:$B$104='الموظفون'!$B$3)*('حجز الإجازات'!$D$5:$D$104&lt;=AP$3)*(('حجز الإجازات'!$E$5:$E$104)&gt;=AP$3)*('حجز الإجازات'!$G$5:$G$104="معتمد")*ROW('حجز الإجازات'!$B$5:$B$104))=0,"",INDEX('حجز الإجازات'!$C$5:$C$104,(SUMPRODUCT(('حجز الإجازات'!$B$5:$B$104='الموظفون'!$B$3)*('حجز الإجازات'!$D$5:$D$104&lt;=AP$3)*(('حجز الإجازات'!$E$5:$E$104)&gt;=AP$3)*('حجز الإجازات'!$G$5:$G$104="معتمد")*ROW('حجز الإجازات'!$B$5:$B$104)))-5+1))</f>
        <v/>
      </c>
      <c r="AQ5" s="62">
        <f>IF(SUMPRODUCT(('حجز الإجازات'!$B$5:$B$104='الموظفون'!$B$3)*('حجز الإجازات'!$D$5:$D$104&lt;=AQ$3)*(('حجز الإجازات'!$E$5:$E$104)&gt;=AQ$3)*('حجز الإجازات'!$G$5:$G$104="معتمد")*ROW('حجز الإجازات'!$B$5:$B$104))=0,"",INDEX('حجز الإجازات'!$C$5:$C$104,(SUMPRODUCT(('حجز الإجازات'!$B$5:$B$104='الموظفون'!$B$3)*('حجز الإجازات'!$D$5:$D$104&lt;=AQ$3)*(('حجز الإجازات'!$E$5:$E$104)&gt;=AQ$3)*('حجز الإجازات'!$G$5:$G$104="معتمد")*ROW('حجز الإجازات'!$B$5:$B$104)))-5+1))</f>
        <v/>
      </c>
      <c r="AR5" s="62">
        <f>IF(SUMPRODUCT(('حجز الإجازات'!$B$5:$B$104='الموظفون'!$B$3)*('حجز الإجازات'!$D$5:$D$104&lt;=AR$3)*(('حجز الإجازات'!$E$5:$E$104)&gt;=AR$3)*('حجز الإجازات'!$G$5:$G$104="معتمد")*ROW('حجز الإجازات'!$B$5:$B$104))=0,"",INDEX('حجز الإجازات'!$C$5:$C$104,(SUMPRODUCT(('حجز الإجازات'!$B$5:$B$104='الموظفون'!$B$3)*('حجز الإجازات'!$D$5:$D$104&lt;=AR$3)*(('حجز الإجازات'!$E$5:$E$104)&gt;=AR$3)*('حجز الإجازات'!$G$5:$G$104="معتمد")*ROW('حجز الإجازات'!$B$5:$B$104)))-5+1))</f>
        <v/>
      </c>
      <c r="AS5" s="62">
        <f>IF(SUMPRODUCT(('حجز الإجازات'!$B$5:$B$104='الموظفون'!$B$3)*('حجز الإجازات'!$D$5:$D$104&lt;=AS$3)*(('حجز الإجازات'!$E$5:$E$104)&gt;=AS$3)*('حجز الإجازات'!$G$5:$G$104="معتمد")*ROW('حجز الإجازات'!$B$5:$B$104))=0,"",INDEX('حجز الإجازات'!$C$5:$C$104,(SUMPRODUCT(('حجز الإجازات'!$B$5:$B$104='الموظفون'!$B$3)*('حجز الإجازات'!$D$5:$D$104&lt;=AS$3)*(('حجز الإجازات'!$E$5:$E$104)&gt;=AS$3)*('حجز الإجازات'!$G$5:$G$104="معتمد")*ROW('حجز الإجازات'!$B$5:$B$104)))-5+1))</f>
        <v/>
      </c>
      <c r="AT5" s="62">
        <f>IF(SUMPRODUCT(('حجز الإجازات'!$B$5:$B$104='الموظفون'!$B$3)*('حجز الإجازات'!$D$5:$D$104&lt;=AT$3)*(('حجز الإجازات'!$E$5:$E$104)&gt;=AT$3)*('حجز الإجازات'!$G$5:$G$104="معتمد")*ROW('حجز الإجازات'!$B$5:$B$104))=0,"",INDEX('حجز الإجازات'!$C$5:$C$104,(SUMPRODUCT(('حجز الإجازات'!$B$5:$B$104='الموظفون'!$B$3)*('حجز الإجازات'!$D$5:$D$104&lt;=AT$3)*(('حجز الإجازات'!$E$5:$E$104)&gt;=AT$3)*('حجز الإجازات'!$G$5:$G$104="معتمد")*ROW('حجز الإجازات'!$B$5:$B$104)))-5+1))</f>
        <v/>
      </c>
      <c r="AU5" s="62">
        <f>IF(SUMPRODUCT(('حجز الإجازات'!$B$5:$B$104='الموظفون'!$B$3)*('حجز الإجازات'!$D$5:$D$104&lt;=AU$3)*(('حجز الإجازات'!$E$5:$E$104)&gt;=AU$3)*('حجز الإجازات'!$G$5:$G$104="معتمد")*ROW('حجز الإجازات'!$B$5:$B$104))=0,"",INDEX('حجز الإجازات'!$C$5:$C$104,(SUMPRODUCT(('حجز الإجازات'!$B$5:$B$104='الموظفون'!$B$3)*('حجز الإجازات'!$D$5:$D$104&lt;=AU$3)*(('حجز الإجازات'!$E$5:$E$104)&gt;=AU$3)*('حجز الإجازات'!$G$5:$G$104="معتمد")*ROW('حجز الإجازات'!$B$5:$B$104)))-5+1))</f>
        <v/>
      </c>
      <c r="AV5" s="62">
        <f>IF(SUMPRODUCT(('حجز الإجازات'!$B$5:$B$104='الموظفون'!$B$3)*('حجز الإجازات'!$D$5:$D$104&lt;=AV$3)*(('حجز الإجازات'!$E$5:$E$104)&gt;=AV$3)*('حجز الإجازات'!$G$5:$G$104="معتمد")*ROW('حجز الإجازات'!$B$5:$B$104))=0,"",INDEX('حجز الإجازات'!$C$5:$C$104,(SUMPRODUCT(('حجز الإجازات'!$B$5:$B$104='الموظفون'!$B$3)*('حجز الإجازات'!$D$5:$D$104&lt;=AV$3)*(('حجز الإجازات'!$E$5:$E$104)&gt;=AV$3)*('حجز الإجازات'!$G$5:$G$104="معتمد")*ROW('حجز الإجازات'!$B$5:$B$104)))-5+1))</f>
        <v/>
      </c>
      <c r="AW5" s="62">
        <f>IF(SUMPRODUCT(('حجز الإجازات'!$B$5:$B$104='الموظفون'!$B$3)*('حجز الإجازات'!$D$5:$D$104&lt;=AW$3)*(('حجز الإجازات'!$E$5:$E$104)&gt;=AW$3)*('حجز الإجازات'!$G$5:$G$104="معتمد")*ROW('حجز الإجازات'!$B$5:$B$104))=0,"",INDEX('حجز الإجازات'!$C$5:$C$104,(SUMPRODUCT(('حجز الإجازات'!$B$5:$B$104='الموظفون'!$B$3)*('حجز الإجازات'!$D$5:$D$104&lt;=AW$3)*(('حجز الإجازات'!$E$5:$E$104)&gt;=AW$3)*('حجز الإجازات'!$G$5:$G$104="معتمد")*ROW('حجز الإجازات'!$B$5:$B$104)))-5+1))</f>
        <v/>
      </c>
      <c r="AX5" s="62">
        <f>IF(SUMPRODUCT(('حجز الإجازات'!$B$5:$B$104='الموظفون'!$B$3)*('حجز الإجازات'!$D$5:$D$104&lt;=AX$3)*(('حجز الإجازات'!$E$5:$E$104)&gt;=AX$3)*('حجز الإجازات'!$G$5:$G$104="معتمد")*ROW('حجز الإجازات'!$B$5:$B$104))=0,"",INDEX('حجز الإجازات'!$C$5:$C$104,(SUMPRODUCT(('حجز الإجازات'!$B$5:$B$104='الموظفون'!$B$3)*('حجز الإجازات'!$D$5:$D$104&lt;=AX$3)*(('حجز الإجازات'!$E$5:$E$104)&gt;=AX$3)*('حجز الإجازات'!$G$5:$G$104="معتمد")*ROW('حجز الإجازات'!$B$5:$B$104)))-5+1))</f>
        <v/>
      </c>
      <c r="AY5" s="62">
        <f>IF(SUMPRODUCT(('حجز الإجازات'!$B$5:$B$104='الموظفون'!$B$3)*('حجز الإجازات'!$D$5:$D$104&lt;=AY$3)*(('حجز الإجازات'!$E$5:$E$104)&gt;=AY$3)*('حجز الإجازات'!$G$5:$G$104="معتمد")*ROW('حجز الإجازات'!$B$5:$B$104))=0,"",INDEX('حجز الإجازات'!$C$5:$C$104,(SUMPRODUCT(('حجز الإجازات'!$B$5:$B$104='الموظفون'!$B$3)*('حجز الإجازات'!$D$5:$D$104&lt;=AY$3)*(('حجز الإجازات'!$E$5:$E$104)&gt;=AY$3)*('حجز الإجازات'!$G$5:$G$104="معتمد")*ROW('حجز الإجازات'!$B$5:$B$104)))-5+1))</f>
        <v/>
      </c>
      <c r="AZ5" s="62">
        <f>IF(SUMPRODUCT(('حجز الإجازات'!$B$5:$B$104='الموظفون'!$B$3)*('حجز الإجازات'!$D$5:$D$104&lt;=AZ$3)*(('حجز الإجازات'!$E$5:$E$104)&gt;=AZ$3)*('حجز الإجازات'!$G$5:$G$104="معتمد")*ROW('حجز الإجازات'!$B$5:$B$104))=0,"",INDEX('حجز الإجازات'!$C$5:$C$104,(SUMPRODUCT(('حجز الإجازات'!$B$5:$B$104='الموظفون'!$B$3)*('حجز الإجازات'!$D$5:$D$104&lt;=AZ$3)*(('حجز الإجازات'!$E$5:$E$104)&gt;=AZ$3)*('حجز الإجازات'!$G$5:$G$104="معتمد")*ROW('حجز الإجازات'!$B$5:$B$104)))-5+1))</f>
        <v/>
      </c>
      <c r="BA5" s="62">
        <f>IF(SUMPRODUCT(('حجز الإجازات'!$B$5:$B$104='الموظفون'!$B$3)*('حجز الإجازات'!$D$5:$D$104&lt;=BA$3)*(('حجز الإجازات'!$E$5:$E$104)&gt;=BA$3)*('حجز الإجازات'!$G$5:$G$104="معتمد")*ROW('حجز الإجازات'!$B$5:$B$104))=0,"",INDEX('حجز الإجازات'!$C$5:$C$104,(SUMPRODUCT(('حجز الإجازات'!$B$5:$B$104='الموظفون'!$B$3)*('حجز الإجازات'!$D$5:$D$104&lt;=BA$3)*(('حجز الإجازات'!$E$5:$E$104)&gt;=BA$3)*('حجز الإجازات'!$G$5:$G$104="معتمد")*ROW('حجز الإجازات'!$B$5:$B$104)))-5+1))</f>
        <v/>
      </c>
      <c r="BB5" s="62">
        <f>IF(SUMPRODUCT(('حجز الإجازات'!$B$5:$B$104='الموظفون'!$B$3)*('حجز الإجازات'!$D$5:$D$104&lt;=BB$3)*(('حجز الإجازات'!$E$5:$E$104)&gt;=BB$3)*('حجز الإجازات'!$G$5:$G$104="معتمد")*ROW('حجز الإجازات'!$B$5:$B$104))=0,"",INDEX('حجز الإجازات'!$C$5:$C$104,(SUMPRODUCT(('حجز الإجازات'!$B$5:$B$104='الموظفون'!$B$3)*('حجز الإجازات'!$D$5:$D$104&lt;=BB$3)*(('حجز الإجازات'!$E$5:$E$104)&gt;=BB$3)*('حجز الإجازات'!$G$5:$G$104="معتمد")*ROW('حجز الإجازات'!$B$5:$B$104)))-5+1))</f>
        <v/>
      </c>
      <c r="BC5" s="62">
        <f>IF(SUMPRODUCT(('حجز الإجازات'!$B$5:$B$104='الموظفون'!$B$3)*('حجز الإجازات'!$D$5:$D$104&lt;=BC$3)*(('حجز الإجازات'!$E$5:$E$104)&gt;=BC$3)*('حجز الإجازات'!$G$5:$G$104="معتمد")*ROW('حجز الإجازات'!$B$5:$B$104))=0,"",INDEX('حجز الإجازات'!$C$5:$C$104,(SUMPRODUCT(('حجز الإجازات'!$B$5:$B$104='الموظفون'!$B$3)*('حجز الإجازات'!$D$5:$D$104&lt;=BC$3)*(('حجز الإجازات'!$E$5:$E$104)&gt;=BC$3)*('حجز الإجازات'!$G$5:$G$104="معتمد")*ROW('حجز الإجازات'!$B$5:$B$104)))-5+1))</f>
        <v/>
      </c>
      <c r="BD5" s="62">
        <f>IF(SUMPRODUCT(('حجز الإجازات'!$B$5:$B$104='الموظفون'!$B$3)*('حجز الإجازات'!$D$5:$D$104&lt;=BD$3)*(('حجز الإجازات'!$E$5:$E$104)&gt;=BD$3)*('حجز الإجازات'!$G$5:$G$104="معتمد")*ROW('حجز الإجازات'!$B$5:$B$104))=0,"",INDEX('حجز الإجازات'!$C$5:$C$104,(SUMPRODUCT(('حجز الإجازات'!$B$5:$B$104='الموظفون'!$B$3)*('حجز الإجازات'!$D$5:$D$104&lt;=BD$3)*(('حجز الإجازات'!$E$5:$E$104)&gt;=BD$3)*('حجز الإجازات'!$G$5:$G$104="معتمد")*ROW('حجز الإجازات'!$B$5:$B$104)))-5+1))</f>
        <v/>
      </c>
      <c r="BE5" s="62">
        <f>IF(SUMPRODUCT(('حجز الإجازات'!$B$5:$B$104='الموظفون'!$B$3)*('حجز الإجازات'!$D$5:$D$104&lt;=BE$3)*(('حجز الإجازات'!$E$5:$E$104)&gt;=BE$3)*('حجز الإجازات'!$G$5:$G$104="معتمد")*ROW('حجز الإجازات'!$B$5:$B$104))=0,"",INDEX('حجز الإجازات'!$C$5:$C$104,(SUMPRODUCT(('حجز الإجازات'!$B$5:$B$104='الموظفون'!$B$3)*('حجز الإجازات'!$D$5:$D$104&lt;=BE$3)*(('حجز الإجازات'!$E$5:$E$104)&gt;=BE$3)*('حجز الإجازات'!$G$5:$G$104="معتمد")*ROW('حجز الإجازات'!$B$5:$B$104)))-5+1))</f>
        <v/>
      </c>
      <c r="BF5" s="62">
        <f>IF(SUMPRODUCT(('حجز الإجازات'!$B$5:$B$104='الموظفون'!$B$3)*('حجز الإجازات'!$D$5:$D$104&lt;=BF$3)*(('حجز الإجازات'!$E$5:$E$104)&gt;=BF$3)*('حجز الإجازات'!$G$5:$G$104="معتمد")*ROW('حجز الإجازات'!$B$5:$B$104))=0,"",INDEX('حجز الإجازات'!$C$5:$C$104,(SUMPRODUCT(('حجز الإجازات'!$B$5:$B$104='الموظفون'!$B$3)*('حجز الإجازات'!$D$5:$D$104&lt;=BF$3)*(('حجز الإجازات'!$E$5:$E$104)&gt;=BF$3)*('حجز الإجازات'!$G$5:$G$104="معتمد")*ROW('حجز الإجازات'!$B$5:$B$104)))-5+1))</f>
        <v/>
      </c>
      <c r="BG5" s="62">
        <f>IF(SUMPRODUCT(('حجز الإجازات'!$B$5:$B$104='الموظفون'!$B$3)*('حجز الإجازات'!$D$5:$D$104&lt;=BG$3)*(('حجز الإجازات'!$E$5:$E$104)&gt;=BG$3)*('حجز الإجازات'!$G$5:$G$104="معتمد")*ROW('حجز الإجازات'!$B$5:$B$104))=0,"",INDEX('حجز الإجازات'!$C$5:$C$104,(SUMPRODUCT(('حجز الإجازات'!$B$5:$B$104='الموظفون'!$B$3)*('حجز الإجازات'!$D$5:$D$104&lt;=BG$3)*(('حجز الإجازات'!$E$5:$E$104)&gt;=BG$3)*('حجز الإجازات'!$G$5:$G$104="معتمد")*ROW('حجز الإجازات'!$B$5:$B$104)))-5+1))</f>
        <v/>
      </c>
      <c r="BH5" s="62">
        <f>IF(SUMPRODUCT(('حجز الإجازات'!$B$5:$B$104='الموظفون'!$B$3)*('حجز الإجازات'!$D$5:$D$104&lt;=BH$3)*(('حجز الإجازات'!$E$5:$E$104)&gt;=BH$3)*('حجز الإجازات'!$G$5:$G$104="معتمد")*ROW('حجز الإجازات'!$B$5:$B$104))=0,"",INDEX('حجز الإجازات'!$C$5:$C$104,(SUMPRODUCT(('حجز الإجازات'!$B$5:$B$104='الموظفون'!$B$3)*('حجز الإجازات'!$D$5:$D$104&lt;=BH$3)*(('حجز الإجازات'!$E$5:$E$104)&gt;=BH$3)*('حجز الإجازات'!$G$5:$G$104="معتمد")*ROW('حجز الإجازات'!$B$5:$B$104)))-5+1))</f>
        <v/>
      </c>
      <c r="BI5" s="62">
        <f>IF(SUMPRODUCT(('حجز الإجازات'!$B$5:$B$104='الموظفون'!$B$3)*('حجز الإجازات'!$D$5:$D$104&lt;=BI$3)*(('حجز الإجازات'!$E$5:$E$104)&gt;=BI$3)*('حجز الإجازات'!$G$5:$G$104="معتمد")*ROW('حجز الإجازات'!$B$5:$B$104))=0,"",INDEX('حجز الإجازات'!$C$5:$C$104,(SUMPRODUCT(('حجز الإجازات'!$B$5:$B$104='الموظفون'!$B$3)*('حجز الإجازات'!$D$5:$D$104&lt;=BI$3)*(('حجز الإجازات'!$E$5:$E$104)&gt;=BI$3)*('حجز الإجازات'!$G$5:$G$104="معتمد")*ROW('حجز الإجازات'!$B$5:$B$104)))-5+1))</f>
        <v/>
      </c>
      <c r="BJ5" s="62">
        <f>IF(SUMPRODUCT(('حجز الإجازات'!$B$5:$B$104='الموظفون'!$B$3)*('حجز الإجازات'!$D$5:$D$104&lt;=BJ$3)*(('حجز الإجازات'!$E$5:$E$104)&gt;=BJ$3)*('حجز الإجازات'!$G$5:$G$104="معتمد")*ROW('حجز الإجازات'!$B$5:$B$104))=0,"",INDEX('حجز الإجازات'!$C$5:$C$104,(SUMPRODUCT(('حجز الإجازات'!$B$5:$B$104='الموظفون'!$B$3)*('حجز الإجازات'!$D$5:$D$104&lt;=BJ$3)*(('حجز الإجازات'!$E$5:$E$104)&gt;=BJ$3)*('حجز الإجازات'!$G$5:$G$104="معتمد")*ROW('حجز الإجازات'!$B$5:$B$104)))-5+1))</f>
        <v/>
      </c>
      <c r="BK5" s="62">
        <f>IF(SUMPRODUCT(('حجز الإجازات'!$B$5:$B$104='الموظفون'!$B$3)*('حجز الإجازات'!$D$5:$D$104&lt;=BK$3)*(('حجز الإجازات'!$E$5:$E$104)&gt;=BK$3)*('حجز الإجازات'!$G$5:$G$104="معتمد")*ROW('حجز الإجازات'!$B$5:$B$104))=0,"",INDEX('حجز الإجازات'!$C$5:$C$104,(SUMPRODUCT(('حجز الإجازات'!$B$5:$B$104='الموظفون'!$B$3)*('حجز الإجازات'!$D$5:$D$104&lt;=BK$3)*(('حجز الإجازات'!$E$5:$E$104)&gt;=BK$3)*('حجز الإجازات'!$G$5:$G$104="معتمد")*ROW('حجز الإجازات'!$B$5:$B$104)))-5+1))</f>
        <v/>
      </c>
      <c r="BL5" s="62">
        <f>IF(SUMPRODUCT(('حجز الإجازات'!$B$5:$B$104='الموظفون'!$B$3)*('حجز الإجازات'!$D$5:$D$104&lt;=BL$3)*(('حجز الإجازات'!$E$5:$E$104)&gt;=BL$3)*('حجز الإجازات'!$G$5:$G$104="معتمد")*ROW('حجز الإجازات'!$B$5:$B$104))=0,"",INDEX('حجز الإجازات'!$C$5:$C$104,(SUMPRODUCT(('حجز الإجازات'!$B$5:$B$104='الموظفون'!$B$3)*('حجز الإجازات'!$D$5:$D$104&lt;=BL$3)*(('حجز الإجازات'!$E$5:$E$104)&gt;=BL$3)*('حجز الإجازات'!$G$5:$G$104="معتمد")*ROW('حجز الإجازات'!$B$5:$B$104)))-5+1))</f>
        <v/>
      </c>
      <c r="BM5" s="62">
        <f>IF(SUMPRODUCT(('حجز الإجازات'!$B$5:$B$104='الموظفون'!$B$3)*('حجز الإجازات'!$D$5:$D$104&lt;=BM$3)*(('حجز الإجازات'!$E$5:$E$104)&gt;=BM$3)*('حجز الإجازات'!$G$5:$G$104="معتمد")*ROW('حجز الإجازات'!$B$5:$B$104))=0,"",INDEX('حجز الإجازات'!$C$5:$C$104,(SUMPRODUCT(('حجز الإجازات'!$B$5:$B$104='الموظفون'!$B$3)*('حجز الإجازات'!$D$5:$D$104&lt;=BM$3)*(('حجز الإجازات'!$E$5:$E$104)&gt;=BM$3)*('حجز الإجازات'!$G$5:$G$104="معتمد")*ROW('حجز الإجازات'!$B$5:$B$104)))-5+1))</f>
        <v/>
      </c>
      <c r="BN5" s="62">
        <f>IF(SUMPRODUCT(('حجز الإجازات'!$B$5:$B$104='الموظفون'!$B$3)*('حجز الإجازات'!$D$5:$D$104&lt;=BN$3)*(('حجز الإجازات'!$E$5:$E$104)&gt;=BN$3)*('حجز الإجازات'!$G$5:$G$104="معتمد")*ROW('حجز الإجازات'!$B$5:$B$104))=0,"",INDEX('حجز الإجازات'!$C$5:$C$104,(SUMPRODUCT(('حجز الإجازات'!$B$5:$B$104='الموظفون'!$B$3)*('حجز الإجازات'!$D$5:$D$104&lt;=BN$3)*(('حجز الإجازات'!$E$5:$E$104)&gt;=BN$3)*('حجز الإجازات'!$G$5:$G$104="معتمد")*ROW('حجز الإجازات'!$B$5:$B$104)))-5+1))</f>
        <v/>
      </c>
      <c r="BO5" s="62">
        <f>IF(SUMPRODUCT(('حجز الإجازات'!$B$5:$B$104='الموظفون'!$B$3)*('حجز الإجازات'!$D$5:$D$104&lt;=BO$3)*(('حجز الإجازات'!$E$5:$E$104)&gt;=BO$3)*('حجز الإجازات'!$G$5:$G$104="معتمد")*ROW('حجز الإجازات'!$B$5:$B$104))=0,"",INDEX('حجز الإجازات'!$C$5:$C$104,(SUMPRODUCT(('حجز الإجازات'!$B$5:$B$104='الموظفون'!$B$3)*('حجز الإجازات'!$D$5:$D$104&lt;=BO$3)*(('حجز الإجازات'!$E$5:$E$104)&gt;=BO$3)*('حجز الإجازات'!$G$5:$G$104="معتمد")*ROW('حجز الإجازات'!$B$5:$B$104)))-5+1))</f>
        <v/>
      </c>
      <c r="BP5" s="62">
        <f>IF(SUMPRODUCT(('حجز الإجازات'!$B$5:$B$104='الموظفون'!$B$3)*('حجز الإجازات'!$D$5:$D$104&lt;=BP$3)*(('حجز الإجازات'!$E$5:$E$104)&gt;=BP$3)*('حجز الإجازات'!$G$5:$G$104="معتمد")*ROW('حجز الإجازات'!$B$5:$B$104))=0,"",INDEX('حجز الإجازات'!$C$5:$C$104,(SUMPRODUCT(('حجز الإجازات'!$B$5:$B$104='الموظفون'!$B$3)*('حجز الإجازات'!$D$5:$D$104&lt;=BP$3)*(('حجز الإجازات'!$E$5:$E$104)&gt;=BP$3)*('حجز الإجازات'!$G$5:$G$104="معتمد")*ROW('حجز الإجازات'!$B$5:$B$104)))-5+1))</f>
        <v/>
      </c>
      <c r="BQ5" s="62">
        <f>IF(SUMPRODUCT(('حجز الإجازات'!$B$5:$B$104='الموظفون'!$B$3)*('حجز الإجازات'!$D$5:$D$104&lt;=BQ$3)*(('حجز الإجازات'!$E$5:$E$104)&gt;=BQ$3)*('حجز الإجازات'!$G$5:$G$104="معتمد")*ROW('حجز الإجازات'!$B$5:$B$104))=0,"",INDEX('حجز الإجازات'!$C$5:$C$104,(SUMPRODUCT(('حجز الإجازات'!$B$5:$B$104='الموظفون'!$B$3)*('حجز الإجازات'!$D$5:$D$104&lt;=BQ$3)*(('حجز الإجازات'!$E$5:$E$104)&gt;=BQ$3)*('حجز الإجازات'!$G$5:$G$104="معتمد")*ROW('حجز الإجازات'!$B$5:$B$104)))-5+1))</f>
        <v/>
      </c>
      <c r="BR5" s="62">
        <f>IF(SUMPRODUCT(('حجز الإجازات'!$B$5:$B$104='الموظفون'!$B$3)*('حجز الإجازات'!$D$5:$D$104&lt;=BR$3)*(('حجز الإجازات'!$E$5:$E$104)&gt;=BR$3)*('حجز الإجازات'!$G$5:$G$104="معتمد")*ROW('حجز الإجازات'!$B$5:$B$104))=0,"",INDEX('حجز الإجازات'!$C$5:$C$104,(SUMPRODUCT(('حجز الإجازات'!$B$5:$B$104='الموظفون'!$B$3)*('حجز الإجازات'!$D$5:$D$104&lt;=BR$3)*(('حجز الإجازات'!$E$5:$E$104)&gt;=BR$3)*('حجز الإجازات'!$G$5:$G$104="معتمد")*ROW('حجز الإجازات'!$B$5:$B$104)))-5+1))</f>
        <v/>
      </c>
      <c r="BS5" s="62">
        <f>IF(SUMPRODUCT(('حجز الإجازات'!$B$5:$B$104='الموظفون'!$B$3)*('حجز الإجازات'!$D$5:$D$104&lt;=BS$3)*(('حجز الإجازات'!$E$5:$E$104)&gt;=BS$3)*('حجز الإجازات'!$G$5:$G$104="معتمد")*ROW('حجز الإجازات'!$B$5:$B$104))=0,"",INDEX('حجز الإجازات'!$C$5:$C$104,(SUMPRODUCT(('حجز الإجازات'!$B$5:$B$104='الموظفون'!$B$3)*('حجز الإجازات'!$D$5:$D$104&lt;=BS$3)*(('حجز الإجازات'!$E$5:$E$104)&gt;=BS$3)*('حجز الإجازات'!$G$5:$G$104="معتمد")*ROW('حجز الإجازات'!$B$5:$B$104)))-5+1))</f>
        <v/>
      </c>
      <c r="BT5" s="62">
        <f>IF(SUMPRODUCT(('حجز الإجازات'!$B$5:$B$104='الموظفون'!$B$3)*('حجز الإجازات'!$D$5:$D$104&lt;=BT$3)*(('حجز الإجازات'!$E$5:$E$104)&gt;=BT$3)*('حجز الإجازات'!$G$5:$G$104="معتمد")*ROW('حجز الإجازات'!$B$5:$B$104))=0,"",INDEX('حجز الإجازات'!$C$5:$C$104,(SUMPRODUCT(('حجز الإجازات'!$B$5:$B$104='الموظفون'!$B$3)*('حجز الإجازات'!$D$5:$D$104&lt;=BT$3)*(('حجز الإجازات'!$E$5:$E$104)&gt;=BT$3)*('حجز الإجازات'!$G$5:$G$104="معتمد")*ROW('حجز الإجازات'!$B$5:$B$104)))-5+1))</f>
        <v/>
      </c>
      <c r="BU5" s="62">
        <f>IF(SUMPRODUCT(('حجز الإجازات'!$B$5:$B$104='الموظفون'!$B$3)*('حجز الإجازات'!$D$5:$D$104&lt;=BU$3)*(('حجز الإجازات'!$E$5:$E$104)&gt;=BU$3)*('حجز الإجازات'!$G$5:$G$104="معتمد")*ROW('حجز الإجازات'!$B$5:$B$104))=0,"",INDEX('حجز الإجازات'!$C$5:$C$104,(SUMPRODUCT(('حجز الإجازات'!$B$5:$B$104='الموظفون'!$B$3)*('حجز الإجازات'!$D$5:$D$104&lt;=BU$3)*(('حجز الإجازات'!$E$5:$E$104)&gt;=BU$3)*('حجز الإجازات'!$G$5:$G$104="معتمد")*ROW('حجز الإجازات'!$B$5:$B$104)))-5+1))</f>
        <v/>
      </c>
      <c r="BV5" s="62">
        <f>IF(SUMPRODUCT(('حجز الإجازات'!$B$5:$B$104='الموظفون'!$B$3)*('حجز الإجازات'!$D$5:$D$104&lt;=BV$3)*(('حجز الإجازات'!$E$5:$E$104)&gt;=BV$3)*('حجز الإجازات'!$G$5:$G$104="معتمد")*ROW('حجز الإجازات'!$B$5:$B$104))=0,"",INDEX('حجز الإجازات'!$C$5:$C$104,(SUMPRODUCT(('حجز الإجازات'!$B$5:$B$104='الموظفون'!$B$3)*('حجز الإجازات'!$D$5:$D$104&lt;=BV$3)*(('حجز الإجازات'!$E$5:$E$104)&gt;=BV$3)*('حجز الإجازات'!$G$5:$G$104="معتمد")*ROW('حجز الإجازات'!$B$5:$B$104)))-5+1))</f>
        <v/>
      </c>
      <c r="BW5" s="62">
        <f>IF(SUMPRODUCT(('حجز الإجازات'!$B$5:$B$104='الموظفون'!$B$3)*('حجز الإجازات'!$D$5:$D$104&lt;=BW$3)*(('حجز الإجازات'!$E$5:$E$104)&gt;=BW$3)*('حجز الإجازات'!$G$5:$G$104="معتمد")*ROW('حجز الإجازات'!$B$5:$B$104))=0,"",INDEX('حجز الإجازات'!$C$5:$C$104,(SUMPRODUCT(('حجز الإجازات'!$B$5:$B$104='الموظفون'!$B$3)*('حجز الإجازات'!$D$5:$D$104&lt;=BW$3)*(('حجز الإجازات'!$E$5:$E$104)&gt;=BW$3)*('حجز الإجازات'!$G$5:$G$104="معتمد")*ROW('حجز الإجازات'!$B$5:$B$104)))-5+1))</f>
        <v/>
      </c>
      <c r="BX5" s="62">
        <f>IF(SUMPRODUCT(('حجز الإجازات'!$B$5:$B$104='الموظفون'!$B$3)*('حجز الإجازات'!$D$5:$D$104&lt;=BX$3)*(('حجز الإجازات'!$E$5:$E$104)&gt;=BX$3)*('حجز الإجازات'!$G$5:$G$104="معتمد")*ROW('حجز الإجازات'!$B$5:$B$104))=0,"",INDEX('حجز الإجازات'!$C$5:$C$104,(SUMPRODUCT(('حجز الإجازات'!$B$5:$B$104='الموظفون'!$B$3)*('حجز الإجازات'!$D$5:$D$104&lt;=BX$3)*(('حجز الإجازات'!$E$5:$E$104)&gt;=BX$3)*('حجز الإجازات'!$G$5:$G$104="معتمد")*ROW('حجز الإجازات'!$B$5:$B$104)))-5+1))</f>
        <v/>
      </c>
      <c r="BY5" s="62">
        <f>IF(SUMPRODUCT(('حجز الإجازات'!$B$5:$B$104='الموظفون'!$B$3)*('حجز الإجازات'!$D$5:$D$104&lt;=BY$3)*(('حجز الإجازات'!$E$5:$E$104)&gt;=BY$3)*('حجز الإجازات'!$G$5:$G$104="معتمد")*ROW('حجز الإجازات'!$B$5:$B$104))=0,"",INDEX('حجز الإجازات'!$C$5:$C$104,(SUMPRODUCT(('حجز الإجازات'!$B$5:$B$104='الموظفون'!$B$3)*('حجز الإجازات'!$D$5:$D$104&lt;=BY$3)*(('حجز الإجازات'!$E$5:$E$104)&gt;=BY$3)*('حجز الإجازات'!$G$5:$G$104="معتمد")*ROW('حجز الإجازات'!$B$5:$B$104)))-5+1))</f>
        <v/>
      </c>
      <c r="BZ5" s="62">
        <f>IF(SUMPRODUCT(('حجز الإجازات'!$B$5:$B$104='الموظفون'!$B$3)*('حجز الإجازات'!$D$5:$D$104&lt;=BZ$3)*(('حجز الإجازات'!$E$5:$E$104)&gt;=BZ$3)*('حجز الإجازات'!$G$5:$G$104="معتمد")*ROW('حجز الإجازات'!$B$5:$B$104))=0,"",INDEX('حجز الإجازات'!$C$5:$C$104,(SUMPRODUCT(('حجز الإجازات'!$B$5:$B$104='الموظفون'!$B$3)*('حجز الإجازات'!$D$5:$D$104&lt;=BZ$3)*(('حجز الإجازات'!$E$5:$E$104)&gt;=BZ$3)*('حجز الإجازات'!$G$5:$G$104="معتمد")*ROW('حجز الإجازات'!$B$5:$B$104)))-5+1))</f>
        <v/>
      </c>
      <c r="CA5" s="62">
        <f>IF(SUMPRODUCT(('حجز الإجازات'!$B$5:$B$104='الموظفون'!$B$3)*('حجز الإجازات'!$D$5:$D$104&lt;=CA$3)*(('حجز الإجازات'!$E$5:$E$104)&gt;=CA$3)*('حجز الإجازات'!$G$5:$G$104="معتمد")*ROW('حجز الإجازات'!$B$5:$B$104))=0,"",INDEX('حجز الإجازات'!$C$5:$C$104,(SUMPRODUCT(('حجز الإجازات'!$B$5:$B$104='الموظفون'!$B$3)*('حجز الإجازات'!$D$5:$D$104&lt;=CA$3)*(('حجز الإجازات'!$E$5:$E$104)&gt;=CA$3)*('حجز الإجازات'!$G$5:$G$104="معتمد")*ROW('حجز الإجازات'!$B$5:$B$104)))-5+1))</f>
        <v/>
      </c>
      <c r="CB5" s="62">
        <f>IF(SUMPRODUCT(('حجز الإجازات'!$B$5:$B$104='الموظفون'!$B$3)*('حجز الإجازات'!$D$5:$D$104&lt;=CB$3)*(('حجز الإجازات'!$E$5:$E$104)&gt;=CB$3)*('حجز الإجازات'!$G$5:$G$104="معتمد")*ROW('حجز الإجازات'!$B$5:$B$104))=0,"",INDEX('حجز الإجازات'!$C$5:$C$104,(SUMPRODUCT(('حجز الإجازات'!$B$5:$B$104='الموظفون'!$B$3)*('حجز الإجازات'!$D$5:$D$104&lt;=CB$3)*(('حجز الإجازات'!$E$5:$E$104)&gt;=CB$3)*('حجز الإجازات'!$G$5:$G$104="معتمد")*ROW('حجز الإجازات'!$B$5:$B$104)))-5+1))</f>
        <v/>
      </c>
      <c r="CC5" s="62">
        <f>IF(SUMPRODUCT(('حجز الإجازات'!$B$5:$B$104='الموظفون'!$B$3)*('حجز الإجازات'!$D$5:$D$104&lt;=CC$3)*(('حجز الإجازات'!$E$5:$E$104)&gt;=CC$3)*('حجز الإجازات'!$G$5:$G$104="معتمد")*ROW('حجز الإجازات'!$B$5:$B$104))=0,"",INDEX('حجز الإجازات'!$C$5:$C$104,(SUMPRODUCT(('حجز الإجازات'!$B$5:$B$104='الموظفون'!$B$3)*('حجز الإجازات'!$D$5:$D$104&lt;=CC$3)*(('حجز الإجازات'!$E$5:$E$104)&gt;=CC$3)*('حجز الإجازات'!$G$5:$G$104="معتمد")*ROW('حجز الإجازات'!$B$5:$B$104)))-5+1))</f>
        <v/>
      </c>
      <c r="CD5" s="62">
        <f>IF(SUMPRODUCT(('حجز الإجازات'!$B$5:$B$104='الموظفون'!$B$3)*('حجز الإجازات'!$D$5:$D$104&lt;=CD$3)*(('حجز الإجازات'!$E$5:$E$104)&gt;=CD$3)*('حجز الإجازات'!$G$5:$G$104="معتمد")*ROW('حجز الإجازات'!$B$5:$B$104))=0,"",INDEX('حجز الإجازات'!$C$5:$C$104,(SUMPRODUCT(('حجز الإجازات'!$B$5:$B$104='الموظفون'!$B$3)*('حجز الإجازات'!$D$5:$D$104&lt;=CD$3)*(('حجز الإجازات'!$E$5:$E$104)&gt;=CD$3)*('حجز الإجازات'!$G$5:$G$104="معتمد")*ROW('حجز الإجازات'!$B$5:$B$104)))-5+1))</f>
        <v/>
      </c>
      <c r="CE5" s="62">
        <f>IF(SUMPRODUCT(('حجز الإجازات'!$B$5:$B$104='الموظفون'!$B$3)*('حجز الإجازات'!$D$5:$D$104&lt;=CE$3)*(('حجز الإجازات'!$E$5:$E$104)&gt;=CE$3)*('حجز الإجازات'!$G$5:$G$104="معتمد")*ROW('حجز الإجازات'!$B$5:$B$104))=0,"",INDEX('حجز الإجازات'!$C$5:$C$104,(SUMPRODUCT(('حجز الإجازات'!$B$5:$B$104='الموظفون'!$B$3)*('حجز الإجازات'!$D$5:$D$104&lt;=CE$3)*(('حجز الإجازات'!$E$5:$E$104)&gt;=CE$3)*('حجز الإجازات'!$G$5:$G$104="معتمد")*ROW('حجز الإجازات'!$B$5:$B$104)))-5+1))</f>
        <v/>
      </c>
      <c r="CF5" s="62">
        <f>IF(SUMPRODUCT(('حجز الإجازات'!$B$5:$B$104='الموظفون'!$B$3)*('حجز الإجازات'!$D$5:$D$104&lt;=CF$3)*(('حجز الإجازات'!$E$5:$E$104)&gt;=CF$3)*('حجز الإجازات'!$G$5:$G$104="معتمد")*ROW('حجز الإجازات'!$B$5:$B$104))=0,"",INDEX('حجز الإجازات'!$C$5:$C$104,(SUMPRODUCT(('حجز الإجازات'!$B$5:$B$104='الموظفون'!$B$3)*('حجز الإجازات'!$D$5:$D$104&lt;=CF$3)*(('حجز الإجازات'!$E$5:$E$104)&gt;=CF$3)*('حجز الإجازات'!$G$5:$G$104="معتمد")*ROW('حجز الإجازات'!$B$5:$B$104)))-5+1))</f>
        <v/>
      </c>
      <c r="CG5" s="62">
        <f>IF(SUMPRODUCT(('حجز الإجازات'!$B$5:$B$104='الموظفون'!$B$3)*('حجز الإجازات'!$D$5:$D$104&lt;=CG$3)*(('حجز الإجازات'!$E$5:$E$104)&gt;=CG$3)*('حجز الإجازات'!$G$5:$G$104="معتمد")*ROW('حجز الإجازات'!$B$5:$B$104))=0,"",INDEX('حجز الإجازات'!$C$5:$C$104,(SUMPRODUCT(('حجز الإجازات'!$B$5:$B$104='الموظفون'!$B$3)*('حجز الإجازات'!$D$5:$D$104&lt;=CG$3)*(('حجز الإجازات'!$E$5:$E$104)&gt;=CG$3)*('حجز الإجازات'!$G$5:$G$104="معتمد")*ROW('حجز الإجازات'!$B$5:$B$104)))-5+1))</f>
        <v/>
      </c>
      <c r="CH5" s="62">
        <f>IF(SUMPRODUCT(('حجز الإجازات'!$B$5:$B$104='الموظفون'!$B$3)*('حجز الإجازات'!$D$5:$D$104&lt;=CH$3)*(('حجز الإجازات'!$E$5:$E$104)&gt;=CH$3)*('حجز الإجازات'!$G$5:$G$104="معتمد")*ROW('حجز الإجازات'!$B$5:$B$104))=0,"",INDEX('حجز الإجازات'!$C$5:$C$104,(SUMPRODUCT(('حجز الإجازات'!$B$5:$B$104='الموظفون'!$B$3)*('حجز الإجازات'!$D$5:$D$104&lt;=CH$3)*(('حجز الإجازات'!$E$5:$E$104)&gt;=CH$3)*('حجز الإجازات'!$G$5:$G$104="معتمد")*ROW('حجز الإجازات'!$B$5:$B$104)))-5+1))</f>
        <v/>
      </c>
      <c r="CI5" s="62">
        <f>IF(SUMPRODUCT(('حجز الإجازات'!$B$5:$B$104='الموظفون'!$B$3)*('حجز الإجازات'!$D$5:$D$104&lt;=CI$3)*(('حجز الإجازات'!$E$5:$E$104)&gt;=CI$3)*('حجز الإجازات'!$G$5:$G$104="معتمد")*ROW('حجز الإجازات'!$B$5:$B$104))=0,"",INDEX('حجز الإجازات'!$C$5:$C$104,(SUMPRODUCT(('حجز الإجازات'!$B$5:$B$104='الموظفون'!$B$3)*('حجز الإجازات'!$D$5:$D$104&lt;=CI$3)*(('حجز الإجازات'!$E$5:$E$104)&gt;=CI$3)*('حجز الإجازات'!$G$5:$G$104="معتمد")*ROW('حجز الإجازات'!$B$5:$B$104)))-5+1))</f>
        <v/>
      </c>
      <c r="CJ5" s="62">
        <f>IF(SUMPRODUCT(('حجز الإجازات'!$B$5:$B$104='الموظفون'!$B$3)*('حجز الإجازات'!$D$5:$D$104&lt;=CJ$3)*(('حجز الإجازات'!$E$5:$E$104)&gt;=CJ$3)*('حجز الإجازات'!$G$5:$G$104="معتمد")*ROW('حجز الإجازات'!$B$5:$B$104))=0,"",INDEX('حجز الإجازات'!$C$5:$C$104,(SUMPRODUCT(('حجز الإجازات'!$B$5:$B$104='الموظفون'!$B$3)*('حجز الإجازات'!$D$5:$D$104&lt;=CJ$3)*(('حجز الإجازات'!$E$5:$E$104)&gt;=CJ$3)*('حجز الإجازات'!$G$5:$G$104="معتمد")*ROW('حجز الإجازات'!$B$5:$B$104)))-5+1))</f>
        <v/>
      </c>
      <c r="CK5" s="62">
        <f>IF(SUMPRODUCT(('حجز الإجازات'!$B$5:$B$104='الموظفون'!$B$3)*('حجز الإجازات'!$D$5:$D$104&lt;=CK$3)*(('حجز الإجازات'!$E$5:$E$104)&gt;=CK$3)*('حجز الإجازات'!$G$5:$G$104="معتمد")*ROW('حجز الإجازات'!$B$5:$B$104))=0,"",INDEX('حجز الإجازات'!$C$5:$C$104,(SUMPRODUCT(('حجز الإجازات'!$B$5:$B$104='الموظفون'!$B$3)*('حجز الإجازات'!$D$5:$D$104&lt;=CK$3)*(('حجز الإجازات'!$E$5:$E$104)&gt;=CK$3)*('حجز الإجازات'!$G$5:$G$104="معتمد")*ROW('حجز الإجازات'!$B$5:$B$104)))-5+1))</f>
        <v/>
      </c>
      <c r="CL5" s="62">
        <f>IF(SUMPRODUCT(('حجز الإجازات'!$B$5:$B$104='الموظفون'!$B$3)*('حجز الإجازات'!$D$5:$D$104&lt;=CL$3)*(('حجز الإجازات'!$E$5:$E$104)&gt;=CL$3)*('حجز الإجازات'!$G$5:$G$104="معتمد")*ROW('حجز الإجازات'!$B$5:$B$104))=0,"",INDEX('حجز الإجازات'!$C$5:$C$104,(SUMPRODUCT(('حجز الإجازات'!$B$5:$B$104='الموظفون'!$B$3)*('حجز الإجازات'!$D$5:$D$104&lt;=CL$3)*(('حجز الإجازات'!$E$5:$E$104)&gt;=CL$3)*('حجز الإجازات'!$G$5:$G$104="معتمد")*ROW('حجز الإجازات'!$B$5:$B$104)))-5+1))</f>
        <v/>
      </c>
      <c r="CM5" s="62">
        <f>IF(SUMPRODUCT(('حجز الإجازات'!$B$5:$B$104='الموظفون'!$B$3)*('حجز الإجازات'!$D$5:$D$104&lt;=CM$3)*(('حجز الإجازات'!$E$5:$E$104)&gt;=CM$3)*('حجز الإجازات'!$G$5:$G$104="معتمد")*ROW('حجز الإجازات'!$B$5:$B$104))=0,"",INDEX('حجز الإجازات'!$C$5:$C$104,(SUMPRODUCT(('حجز الإجازات'!$B$5:$B$104='الموظفون'!$B$3)*('حجز الإجازات'!$D$5:$D$104&lt;=CM$3)*(('حجز الإجازات'!$E$5:$E$104)&gt;=CM$3)*('حجز الإجازات'!$G$5:$G$104="معتمد")*ROW('حجز الإجازات'!$B$5:$B$104)))-5+1))</f>
        <v/>
      </c>
      <c r="CN5" s="62">
        <f>IF(SUMPRODUCT(('حجز الإجازات'!$B$5:$B$104='الموظفون'!$B$3)*('حجز الإجازات'!$D$5:$D$104&lt;=CN$3)*(('حجز الإجازات'!$E$5:$E$104)&gt;=CN$3)*('حجز الإجازات'!$G$5:$G$104="معتمد")*ROW('حجز الإجازات'!$B$5:$B$104))=0,"",INDEX('حجز الإجازات'!$C$5:$C$104,(SUMPRODUCT(('حجز الإجازات'!$B$5:$B$104='الموظفون'!$B$3)*('حجز الإجازات'!$D$5:$D$104&lt;=CN$3)*(('حجز الإجازات'!$E$5:$E$104)&gt;=CN$3)*('حجز الإجازات'!$G$5:$G$104="معتمد")*ROW('حجز الإجازات'!$B$5:$B$104)))-5+1))</f>
        <v/>
      </c>
      <c r="CO5" s="62">
        <f>IF(SUMPRODUCT(('حجز الإجازات'!$B$5:$B$104='الموظفون'!$B$3)*('حجز الإجازات'!$D$5:$D$104&lt;=CO$3)*(('حجز الإجازات'!$E$5:$E$104)&gt;=CO$3)*('حجز الإجازات'!$G$5:$G$104="معتمد")*ROW('حجز الإجازات'!$B$5:$B$104))=0,"",INDEX('حجز الإجازات'!$C$5:$C$104,(SUMPRODUCT(('حجز الإجازات'!$B$5:$B$104='الموظفون'!$B$3)*('حجز الإجازات'!$D$5:$D$104&lt;=CO$3)*(('حجز الإجازات'!$E$5:$E$104)&gt;=CO$3)*('حجز الإجازات'!$G$5:$G$104="معتمد")*ROW('حجز الإجازات'!$B$5:$B$104)))-5+1))</f>
        <v/>
      </c>
      <c r="CP5" s="62">
        <f>IF(SUMPRODUCT(('حجز الإجازات'!$B$5:$B$104='الموظفون'!$B$3)*('حجز الإجازات'!$D$5:$D$104&lt;=CP$3)*(('حجز الإجازات'!$E$5:$E$104)&gt;=CP$3)*('حجز الإجازات'!$G$5:$G$104="معتمد")*ROW('حجز الإجازات'!$B$5:$B$104))=0,"",INDEX('حجز الإجازات'!$C$5:$C$104,(SUMPRODUCT(('حجز الإجازات'!$B$5:$B$104='الموظفون'!$B$3)*('حجز الإجازات'!$D$5:$D$104&lt;=CP$3)*(('حجز الإجازات'!$E$5:$E$104)&gt;=CP$3)*('حجز الإجازات'!$G$5:$G$104="معتمد")*ROW('حجز الإجازات'!$B$5:$B$104)))-5+1))</f>
        <v/>
      </c>
      <c r="CQ5" s="62">
        <f>IF(SUMPRODUCT(('حجز الإجازات'!$B$5:$B$104='الموظفون'!$B$3)*('حجز الإجازات'!$D$5:$D$104&lt;=CQ$3)*(('حجز الإجازات'!$E$5:$E$104)&gt;=CQ$3)*('حجز الإجازات'!$G$5:$G$104="معتمد")*ROW('حجز الإجازات'!$B$5:$B$104))=0,"",INDEX('حجز الإجازات'!$C$5:$C$104,(SUMPRODUCT(('حجز الإجازات'!$B$5:$B$104='الموظفون'!$B$3)*('حجز الإجازات'!$D$5:$D$104&lt;=CQ$3)*(('حجز الإجازات'!$E$5:$E$104)&gt;=CQ$3)*('حجز الإجازات'!$G$5:$G$104="معتمد")*ROW('حجز الإجازات'!$B$5:$B$104)))-5+1))</f>
        <v/>
      </c>
      <c r="CR5" s="62">
        <f>IF(SUMPRODUCT(('حجز الإجازات'!$B$5:$B$104='الموظفون'!$B$3)*('حجز الإجازات'!$D$5:$D$104&lt;=CR$3)*(('حجز الإجازات'!$E$5:$E$104)&gt;=CR$3)*('حجز الإجازات'!$G$5:$G$104="معتمد")*ROW('حجز الإجازات'!$B$5:$B$104))=0,"",INDEX('حجز الإجازات'!$C$5:$C$104,(SUMPRODUCT(('حجز الإجازات'!$B$5:$B$104='الموظفون'!$B$3)*('حجز الإجازات'!$D$5:$D$104&lt;=CR$3)*(('حجز الإجازات'!$E$5:$E$104)&gt;=CR$3)*('حجز الإجازات'!$G$5:$G$104="معتمد")*ROW('حجز الإجازات'!$B$5:$B$104)))-5+1))</f>
        <v/>
      </c>
      <c r="CS5" s="62">
        <f>IF(SUMPRODUCT(('حجز الإجازات'!$B$5:$B$104='الموظفون'!$B$3)*('حجز الإجازات'!$D$5:$D$104&lt;=CS$3)*(('حجز الإجازات'!$E$5:$E$104)&gt;=CS$3)*('حجز الإجازات'!$G$5:$G$104="معتمد")*ROW('حجز الإجازات'!$B$5:$B$104))=0,"",INDEX('حجز الإجازات'!$C$5:$C$104,(SUMPRODUCT(('حجز الإجازات'!$B$5:$B$104='الموظفون'!$B$3)*('حجز الإجازات'!$D$5:$D$104&lt;=CS$3)*(('حجز الإجازات'!$E$5:$E$104)&gt;=CS$3)*('حجز الإجازات'!$G$5:$G$104="معتمد")*ROW('حجز الإجازات'!$B$5:$B$104)))-5+1))</f>
        <v/>
      </c>
      <c r="CT5" s="62">
        <f>IF(SUMPRODUCT(('حجز الإجازات'!$B$5:$B$104='الموظفون'!$B$3)*('حجز الإجازات'!$D$5:$D$104&lt;=CT$3)*(('حجز الإجازات'!$E$5:$E$104)&gt;=CT$3)*('حجز الإجازات'!$G$5:$G$104="معتمد")*ROW('حجز الإجازات'!$B$5:$B$104))=0,"",INDEX('حجز الإجازات'!$C$5:$C$104,(SUMPRODUCT(('حجز الإجازات'!$B$5:$B$104='الموظفون'!$B$3)*('حجز الإجازات'!$D$5:$D$104&lt;=CT$3)*(('حجز الإجازات'!$E$5:$E$104)&gt;=CT$3)*('حجز الإجازات'!$G$5:$G$104="معتمد")*ROW('حجز الإجازات'!$B$5:$B$104)))-5+1))</f>
        <v/>
      </c>
      <c r="CU5" s="62">
        <f>IF(SUMPRODUCT(('حجز الإجازات'!$B$5:$B$104='الموظفون'!$B$3)*('حجز الإجازات'!$D$5:$D$104&lt;=CU$3)*(('حجز الإجازات'!$E$5:$E$104)&gt;=CU$3)*('حجز الإجازات'!$G$5:$G$104="معتمد")*ROW('حجز الإجازات'!$B$5:$B$104))=0,"",INDEX('حجز الإجازات'!$C$5:$C$104,(SUMPRODUCT(('حجز الإجازات'!$B$5:$B$104='الموظفون'!$B$3)*('حجز الإجازات'!$D$5:$D$104&lt;=CU$3)*(('حجز الإجازات'!$E$5:$E$104)&gt;=CU$3)*('حجز الإجازات'!$G$5:$G$104="معتمد")*ROW('حجز الإجازات'!$B$5:$B$104)))-5+1))</f>
        <v/>
      </c>
      <c r="CV5" s="62">
        <f>IF(SUMPRODUCT(('حجز الإجازات'!$B$5:$B$104='الموظفون'!$B$3)*('حجز الإجازات'!$D$5:$D$104&lt;=CV$3)*(('حجز الإجازات'!$E$5:$E$104)&gt;=CV$3)*('حجز الإجازات'!$G$5:$G$104="معتمد")*ROW('حجز الإجازات'!$B$5:$B$104))=0,"",INDEX('حجز الإجازات'!$C$5:$C$104,(SUMPRODUCT(('حجز الإجازات'!$B$5:$B$104='الموظفون'!$B$3)*('حجز الإجازات'!$D$5:$D$104&lt;=CV$3)*(('حجز الإجازات'!$E$5:$E$104)&gt;=CV$3)*('حجز الإجازات'!$G$5:$G$104="معتمد")*ROW('حجز الإجازات'!$B$5:$B$104)))-5+1))</f>
        <v/>
      </c>
      <c r="CW5" s="62">
        <f>IF(SUMPRODUCT(('حجز الإجازات'!$B$5:$B$104='الموظفون'!$B$3)*('حجز الإجازات'!$D$5:$D$104&lt;=CW$3)*(('حجز الإجازات'!$E$5:$E$104)&gt;=CW$3)*('حجز الإجازات'!$G$5:$G$104="معتمد")*ROW('حجز الإجازات'!$B$5:$B$104))=0,"",INDEX('حجز الإجازات'!$C$5:$C$104,(SUMPRODUCT(('حجز الإجازات'!$B$5:$B$104='الموظفون'!$B$3)*('حجز الإجازات'!$D$5:$D$104&lt;=CW$3)*(('حجز الإجازات'!$E$5:$E$104)&gt;=CW$3)*('حجز الإجازات'!$G$5:$G$104="معتمد")*ROW('حجز الإجازات'!$B$5:$B$104)))-5+1))</f>
        <v/>
      </c>
      <c r="CX5" s="62">
        <f>IF(SUMPRODUCT(('حجز الإجازات'!$B$5:$B$104='الموظفون'!$B$3)*('حجز الإجازات'!$D$5:$D$104&lt;=CX$3)*(('حجز الإجازات'!$E$5:$E$104)&gt;=CX$3)*('حجز الإجازات'!$G$5:$G$104="معتمد")*ROW('حجز الإجازات'!$B$5:$B$104))=0,"",INDEX('حجز الإجازات'!$C$5:$C$104,(SUMPRODUCT(('حجز الإجازات'!$B$5:$B$104='الموظفون'!$B$3)*('حجز الإجازات'!$D$5:$D$104&lt;=CX$3)*(('حجز الإجازات'!$E$5:$E$104)&gt;=CX$3)*('حجز الإجازات'!$G$5:$G$104="معتمد")*ROW('حجز الإجازات'!$B$5:$B$104)))-5+1))</f>
        <v/>
      </c>
      <c r="CY5" s="62">
        <f>IF(SUMPRODUCT(('حجز الإجازات'!$B$5:$B$104='الموظفون'!$B$3)*('حجز الإجازات'!$D$5:$D$104&lt;=CY$3)*(('حجز الإجازات'!$E$5:$E$104)&gt;=CY$3)*('حجز الإجازات'!$G$5:$G$104="معتمد")*ROW('حجز الإجازات'!$B$5:$B$104))=0,"",INDEX('حجز الإجازات'!$C$5:$C$104,(SUMPRODUCT(('حجز الإجازات'!$B$5:$B$104='الموظفون'!$B$3)*('حجز الإجازات'!$D$5:$D$104&lt;=CY$3)*(('حجز الإجازات'!$E$5:$E$104)&gt;=CY$3)*('حجز الإجازات'!$G$5:$G$104="معتمد")*ROW('حجز الإجازات'!$B$5:$B$104)))-5+1))</f>
        <v/>
      </c>
      <c r="CZ5" s="62">
        <f>IF(SUMPRODUCT(('حجز الإجازات'!$B$5:$B$104='الموظفون'!$B$3)*('حجز الإجازات'!$D$5:$D$104&lt;=CZ$3)*(('حجز الإجازات'!$E$5:$E$104)&gt;=CZ$3)*('حجز الإجازات'!$G$5:$G$104="معتمد")*ROW('حجز الإجازات'!$B$5:$B$104))=0,"",INDEX('حجز الإجازات'!$C$5:$C$104,(SUMPRODUCT(('حجز الإجازات'!$B$5:$B$104='الموظفون'!$B$3)*('حجز الإجازات'!$D$5:$D$104&lt;=CZ$3)*(('حجز الإجازات'!$E$5:$E$104)&gt;=CZ$3)*('حجز الإجازات'!$G$5:$G$104="معتمد")*ROW('حجز الإجازات'!$B$5:$B$104)))-5+1))</f>
        <v/>
      </c>
      <c r="DA5" s="62">
        <f>IF(SUMPRODUCT(('حجز الإجازات'!$B$5:$B$104='الموظفون'!$B$3)*('حجز الإجازات'!$D$5:$D$104&lt;=DA$3)*(('حجز الإجازات'!$E$5:$E$104)&gt;=DA$3)*('حجز الإجازات'!$G$5:$G$104="معتمد")*ROW('حجز الإجازات'!$B$5:$B$104))=0,"",INDEX('حجز الإجازات'!$C$5:$C$104,(SUMPRODUCT(('حجز الإجازات'!$B$5:$B$104='الموظفون'!$B$3)*('حجز الإجازات'!$D$5:$D$104&lt;=DA$3)*(('حجز الإجازات'!$E$5:$E$104)&gt;=DA$3)*('حجز الإجازات'!$G$5:$G$104="معتمد")*ROW('حجز الإجازات'!$B$5:$B$104)))-5+1))</f>
        <v/>
      </c>
      <c r="DB5" s="62">
        <f>IF(SUMPRODUCT(('حجز الإجازات'!$B$5:$B$104='الموظفون'!$B$3)*('حجز الإجازات'!$D$5:$D$104&lt;=DB$3)*(('حجز الإجازات'!$E$5:$E$104)&gt;=DB$3)*('حجز الإجازات'!$G$5:$G$104="معتمد")*ROW('حجز الإجازات'!$B$5:$B$104))=0,"",INDEX('حجز الإجازات'!$C$5:$C$104,(SUMPRODUCT(('حجز الإجازات'!$B$5:$B$104='الموظفون'!$B$3)*('حجز الإجازات'!$D$5:$D$104&lt;=DB$3)*(('حجز الإجازات'!$E$5:$E$104)&gt;=DB$3)*('حجز الإجازات'!$G$5:$G$104="معتمد")*ROW('حجز الإجازات'!$B$5:$B$104)))-5+1))</f>
        <v/>
      </c>
      <c r="DC5" s="62">
        <f>IF(SUMPRODUCT(('حجز الإجازات'!$B$5:$B$104='الموظفون'!$B$3)*('حجز الإجازات'!$D$5:$D$104&lt;=DC$3)*(('حجز الإجازات'!$E$5:$E$104)&gt;=DC$3)*('حجز الإجازات'!$G$5:$G$104="معتمد")*ROW('حجز الإجازات'!$B$5:$B$104))=0,"",INDEX('حجز الإجازات'!$C$5:$C$104,(SUMPRODUCT(('حجز الإجازات'!$B$5:$B$104='الموظفون'!$B$3)*('حجز الإجازات'!$D$5:$D$104&lt;=DC$3)*(('حجز الإجازات'!$E$5:$E$104)&gt;=DC$3)*('حجز الإجازات'!$G$5:$G$104="معتمد")*ROW('حجز الإجازات'!$B$5:$B$104)))-5+1))</f>
        <v/>
      </c>
      <c r="DD5" s="62">
        <f>IF(SUMPRODUCT(('حجز الإجازات'!$B$5:$B$104='الموظفون'!$B$3)*('حجز الإجازات'!$D$5:$D$104&lt;=DD$3)*(('حجز الإجازات'!$E$5:$E$104)&gt;=DD$3)*('حجز الإجازات'!$G$5:$G$104="معتمد")*ROW('حجز الإجازات'!$B$5:$B$104))=0,"",INDEX('حجز الإجازات'!$C$5:$C$104,(SUMPRODUCT(('حجز الإجازات'!$B$5:$B$104='الموظفون'!$B$3)*('حجز الإجازات'!$D$5:$D$104&lt;=DD$3)*(('حجز الإجازات'!$E$5:$E$104)&gt;=DD$3)*('حجز الإجازات'!$G$5:$G$104="معتمد")*ROW('حجز الإجازات'!$B$5:$B$104)))-5+1))</f>
        <v/>
      </c>
      <c r="DE5" s="62">
        <f>IF(SUMPRODUCT(('حجز الإجازات'!$B$5:$B$104='الموظفون'!$B$3)*('حجز الإجازات'!$D$5:$D$104&lt;=DE$3)*(('حجز الإجازات'!$E$5:$E$104)&gt;=DE$3)*('حجز الإجازات'!$G$5:$G$104="معتمد")*ROW('حجز الإجازات'!$B$5:$B$104))=0,"",INDEX('حجز الإجازات'!$C$5:$C$104,(SUMPRODUCT(('حجز الإجازات'!$B$5:$B$104='الموظفون'!$B$3)*('حجز الإجازات'!$D$5:$D$104&lt;=DE$3)*(('حجز الإجازات'!$E$5:$E$104)&gt;=DE$3)*('حجز الإجازات'!$G$5:$G$104="معتمد")*ROW('حجز الإجازات'!$B$5:$B$104)))-5+1))</f>
        <v/>
      </c>
      <c r="DF5" s="62">
        <f>IF(SUMPRODUCT(('حجز الإجازات'!$B$5:$B$104='الموظفون'!$B$3)*('حجز الإجازات'!$D$5:$D$104&lt;=DF$3)*(('حجز الإجازات'!$E$5:$E$104)&gt;=DF$3)*('حجز الإجازات'!$G$5:$G$104="معتمد")*ROW('حجز الإجازات'!$B$5:$B$104))=0,"",INDEX('حجز الإجازات'!$C$5:$C$104,(SUMPRODUCT(('حجز الإجازات'!$B$5:$B$104='الموظفون'!$B$3)*('حجز الإجازات'!$D$5:$D$104&lt;=DF$3)*(('حجز الإجازات'!$E$5:$E$104)&gt;=DF$3)*('حجز الإجازات'!$G$5:$G$104="معتمد")*ROW('حجز الإجازات'!$B$5:$B$104)))-5+1))</f>
        <v/>
      </c>
      <c r="DG5" s="62">
        <f>IF(SUMPRODUCT(('حجز الإجازات'!$B$5:$B$104='الموظفون'!$B$3)*('حجز الإجازات'!$D$5:$D$104&lt;=DG$3)*(('حجز الإجازات'!$E$5:$E$104)&gt;=DG$3)*('حجز الإجازات'!$G$5:$G$104="معتمد")*ROW('حجز الإجازات'!$B$5:$B$104))=0,"",INDEX('حجز الإجازات'!$C$5:$C$104,(SUMPRODUCT(('حجز الإجازات'!$B$5:$B$104='الموظفون'!$B$3)*('حجز الإجازات'!$D$5:$D$104&lt;=DG$3)*(('حجز الإجازات'!$E$5:$E$104)&gt;=DG$3)*('حجز الإجازات'!$G$5:$G$104="معتمد")*ROW('حجز الإجازات'!$B$5:$B$104)))-5+1))</f>
        <v/>
      </c>
      <c r="DH5" s="62">
        <f>IF(SUMPRODUCT(('حجز الإجازات'!$B$5:$B$104='الموظفون'!$B$3)*('حجز الإجازات'!$D$5:$D$104&lt;=DH$3)*(('حجز الإجازات'!$E$5:$E$104)&gt;=DH$3)*('حجز الإجازات'!$G$5:$G$104="معتمد")*ROW('حجز الإجازات'!$B$5:$B$104))=0,"",INDEX('حجز الإجازات'!$C$5:$C$104,(SUMPRODUCT(('حجز الإجازات'!$B$5:$B$104='الموظفون'!$B$3)*('حجز الإجازات'!$D$5:$D$104&lt;=DH$3)*(('حجز الإجازات'!$E$5:$E$104)&gt;=DH$3)*('حجز الإجازات'!$G$5:$G$104="معتمد")*ROW('حجز الإجازات'!$B$5:$B$104)))-5+1))</f>
        <v/>
      </c>
      <c r="DI5" s="62">
        <f>IF(SUMPRODUCT(('حجز الإجازات'!$B$5:$B$104='الموظفون'!$B$3)*('حجز الإجازات'!$D$5:$D$104&lt;=DI$3)*(('حجز الإجازات'!$E$5:$E$104)&gt;=DI$3)*('حجز الإجازات'!$G$5:$G$104="معتمد")*ROW('حجز الإجازات'!$B$5:$B$104))=0,"",INDEX('حجز الإجازات'!$C$5:$C$104,(SUMPRODUCT(('حجز الإجازات'!$B$5:$B$104='الموظفون'!$B$3)*('حجز الإجازات'!$D$5:$D$104&lt;=DI$3)*(('حجز الإجازات'!$E$5:$E$104)&gt;=DI$3)*('حجز الإجازات'!$G$5:$G$104="معتمد")*ROW('حجز الإجازات'!$B$5:$B$104)))-5+1))</f>
        <v/>
      </c>
      <c r="DJ5" s="62">
        <f>IF(SUMPRODUCT(('حجز الإجازات'!$B$5:$B$104='الموظفون'!$B$3)*('حجز الإجازات'!$D$5:$D$104&lt;=DJ$3)*(('حجز الإجازات'!$E$5:$E$104)&gt;=DJ$3)*('حجز الإجازات'!$G$5:$G$104="معتمد")*ROW('حجز الإجازات'!$B$5:$B$104))=0,"",INDEX('حجز الإجازات'!$C$5:$C$104,(SUMPRODUCT(('حجز الإجازات'!$B$5:$B$104='الموظفون'!$B$3)*('حجز الإجازات'!$D$5:$D$104&lt;=DJ$3)*(('حجز الإجازات'!$E$5:$E$104)&gt;=DJ$3)*('حجز الإجازات'!$G$5:$G$104="معتمد")*ROW('حجز الإجازات'!$B$5:$B$104)))-5+1))</f>
        <v/>
      </c>
      <c r="DK5" s="62">
        <f>IF(SUMPRODUCT(('حجز الإجازات'!$B$5:$B$104='الموظفون'!$B$3)*('حجز الإجازات'!$D$5:$D$104&lt;=DK$3)*(('حجز الإجازات'!$E$5:$E$104)&gt;=DK$3)*('حجز الإجازات'!$G$5:$G$104="معتمد")*ROW('حجز الإجازات'!$B$5:$B$104))=0,"",INDEX('حجز الإجازات'!$C$5:$C$104,(SUMPRODUCT(('حجز الإجازات'!$B$5:$B$104='الموظفون'!$B$3)*('حجز الإجازات'!$D$5:$D$104&lt;=DK$3)*(('حجز الإجازات'!$E$5:$E$104)&gt;=DK$3)*('حجز الإجازات'!$G$5:$G$104="معتمد")*ROW('حجز الإجازات'!$B$5:$B$104)))-5+1))</f>
        <v/>
      </c>
      <c r="DL5" s="62">
        <f>IF(SUMPRODUCT(('حجز الإجازات'!$B$5:$B$104='الموظفون'!$B$3)*('حجز الإجازات'!$D$5:$D$104&lt;=DL$3)*(('حجز الإجازات'!$E$5:$E$104)&gt;=DL$3)*('حجز الإجازات'!$G$5:$G$104="معتمد")*ROW('حجز الإجازات'!$B$5:$B$104))=0,"",INDEX('حجز الإجازات'!$C$5:$C$104,(SUMPRODUCT(('حجز الإجازات'!$B$5:$B$104='الموظفون'!$B$3)*('حجز الإجازات'!$D$5:$D$104&lt;=DL$3)*(('حجز الإجازات'!$E$5:$E$104)&gt;=DL$3)*('حجز الإجازات'!$G$5:$G$104="معتمد")*ROW('حجز الإجازات'!$B$5:$B$104)))-5+1))</f>
        <v/>
      </c>
      <c r="DM5" s="62">
        <f>IF(SUMPRODUCT(('حجز الإجازات'!$B$5:$B$104='الموظفون'!$B$3)*('حجز الإجازات'!$D$5:$D$104&lt;=DM$3)*(('حجز الإجازات'!$E$5:$E$104)&gt;=DM$3)*('حجز الإجازات'!$G$5:$G$104="معتمد")*ROW('حجز الإجازات'!$B$5:$B$104))=0,"",INDEX('حجز الإجازات'!$C$5:$C$104,(SUMPRODUCT(('حجز الإجازات'!$B$5:$B$104='الموظفون'!$B$3)*('حجز الإجازات'!$D$5:$D$104&lt;=DM$3)*(('حجز الإجازات'!$E$5:$E$104)&gt;=DM$3)*('حجز الإجازات'!$G$5:$G$104="معتمد")*ROW('حجز الإجازات'!$B$5:$B$104)))-5+1))</f>
        <v/>
      </c>
      <c r="DN5" s="62">
        <f>IF(SUMPRODUCT(('حجز الإجازات'!$B$5:$B$104='الموظفون'!$B$3)*('حجز الإجازات'!$D$5:$D$104&lt;=DN$3)*(('حجز الإجازات'!$E$5:$E$104)&gt;=DN$3)*('حجز الإجازات'!$G$5:$G$104="معتمد")*ROW('حجز الإجازات'!$B$5:$B$104))=0,"",INDEX('حجز الإجازات'!$C$5:$C$104,(SUMPRODUCT(('حجز الإجازات'!$B$5:$B$104='الموظفون'!$B$3)*('حجز الإجازات'!$D$5:$D$104&lt;=DN$3)*(('حجز الإجازات'!$E$5:$E$104)&gt;=DN$3)*('حجز الإجازات'!$G$5:$G$104="معتمد")*ROW('حجز الإجازات'!$B$5:$B$104)))-5+1))</f>
        <v/>
      </c>
      <c r="DO5" s="62">
        <f>IF(SUMPRODUCT(('حجز الإجازات'!$B$5:$B$104='الموظفون'!$B$3)*('حجز الإجازات'!$D$5:$D$104&lt;=DO$3)*(('حجز الإجازات'!$E$5:$E$104)&gt;=DO$3)*('حجز الإجازات'!$G$5:$G$104="معتمد")*ROW('حجز الإجازات'!$B$5:$B$104))=0,"",INDEX('حجز الإجازات'!$C$5:$C$104,(SUMPRODUCT(('حجز الإجازات'!$B$5:$B$104='الموظفون'!$B$3)*('حجز الإجازات'!$D$5:$D$104&lt;=DO$3)*(('حجز الإجازات'!$E$5:$E$104)&gt;=DO$3)*('حجز الإجازات'!$G$5:$G$104="معتمد")*ROW('حجز الإجازات'!$B$5:$B$104)))-5+1))</f>
        <v/>
      </c>
      <c r="DP5" s="62">
        <f>IF(SUMPRODUCT(('حجز الإجازات'!$B$5:$B$104='الموظفون'!$B$3)*('حجز الإجازات'!$D$5:$D$104&lt;=DP$3)*(('حجز الإجازات'!$E$5:$E$104)&gt;=DP$3)*('حجز الإجازات'!$G$5:$G$104="معتمد")*ROW('حجز الإجازات'!$B$5:$B$104))=0,"",INDEX('حجز الإجازات'!$C$5:$C$104,(SUMPRODUCT(('حجز الإجازات'!$B$5:$B$104='الموظفون'!$B$3)*('حجز الإجازات'!$D$5:$D$104&lt;=DP$3)*(('حجز الإجازات'!$E$5:$E$104)&gt;=DP$3)*('حجز الإجازات'!$G$5:$G$104="معتمد")*ROW('حجز الإجازات'!$B$5:$B$104)))-5+1))</f>
        <v/>
      </c>
      <c r="DQ5" s="62">
        <f>IF(SUMPRODUCT(('حجز الإجازات'!$B$5:$B$104='الموظفون'!$B$3)*('حجز الإجازات'!$D$5:$D$104&lt;=DQ$3)*(('حجز الإجازات'!$E$5:$E$104)&gt;=DQ$3)*('حجز الإجازات'!$G$5:$G$104="معتمد")*ROW('حجز الإجازات'!$B$5:$B$104))=0,"",INDEX('حجز الإجازات'!$C$5:$C$104,(SUMPRODUCT(('حجز الإجازات'!$B$5:$B$104='الموظفون'!$B$3)*('حجز الإجازات'!$D$5:$D$104&lt;=DQ$3)*(('حجز الإجازات'!$E$5:$E$104)&gt;=DQ$3)*('حجز الإجازات'!$G$5:$G$104="معتمد")*ROW('حجز الإجازات'!$B$5:$B$104)))-5+1))</f>
        <v/>
      </c>
      <c r="DR5" s="62">
        <f>IF(SUMPRODUCT(('حجز الإجازات'!$B$5:$B$104='الموظفون'!$B$3)*('حجز الإجازات'!$D$5:$D$104&lt;=DR$3)*(('حجز الإجازات'!$E$5:$E$104)&gt;=DR$3)*('حجز الإجازات'!$G$5:$G$104="معتمد")*ROW('حجز الإجازات'!$B$5:$B$104))=0,"",INDEX('حجز الإجازات'!$C$5:$C$104,(SUMPRODUCT(('حجز الإجازات'!$B$5:$B$104='الموظفون'!$B$3)*('حجز الإجازات'!$D$5:$D$104&lt;=DR$3)*(('حجز الإجازات'!$E$5:$E$104)&gt;=DR$3)*('حجز الإجازات'!$G$5:$G$104="معتمد")*ROW('حجز الإجازات'!$B$5:$B$104)))-5+1))</f>
        <v/>
      </c>
      <c r="DS5" s="62">
        <f>IF(SUMPRODUCT(('حجز الإجازات'!$B$5:$B$104='الموظفون'!$B$3)*('حجز الإجازات'!$D$5:$D$104&lt;=DS$3)*(('حجز الإجازات'!$E$5:$E$104)&gt;=DS$3)*('حجز الإجازات'!$G$5:$G$104="معتمد")*ROW('حجز الإجازات'!$B$5:$B$104))=0,"",INDEX('حجز الإجازات'!$C$5:$C$104,(SUMPRODUCT(('حجز الإجازات'!$B$5:$B$104='الموظفون'!$B$3)*('حجز الإجازات'!$D$5:$D$104&lt;=DS$3)*(('حجز الإجازات'!$E$5:$E$104)&gt;=DS$3)*('حجز الإجازات'!$G$5:$G$104="معتمد")*ROW('حجز الإجازات'!$B$5:$B$104)))-5+1))</f>
        <v/>
      </c>
      <c r="DT5" s="62">
        <f>IF(SUMPRODUCT(('حجز الإجازات'!$B$5:$B$104='الموظفون'!$B$3)*('حجز الإجازات'!$D$5:$D$104&lt;=DT$3)*(('حجز الإجازات'!$E$5:$E$104)&gt;=DT$3)*('حجز الإجازات'!$G$5:$G$104="معتمد")*ROW('حجز الإجازات'!$B$5:$B$104))=0,"",INDEX('حجز الإجازات'!$C$5:$C$104,(SUMPRODUCT(('حجز الإجازات'!$B$5:$B$104='الموظفون'!$B$3)*('حجز الإجازات'!$D$5:$D$104&lt;=DT$3)*(('حجز الإجازات'!$E$5:$E$104)&gt;=DT$3)*('حجز الإجازات'!$G$5:$G$104="معتمد")*ROW('حجز الإجازات'!$B$5:$B$104)))-5+1))</f>
        <v/>
      </c>
      <c r="DU5" s="62">
        <f>IF(SUMPRODUCT(('حجز الإجازات'!$B$5:$B$104='الموظفون'!$B$3)*('حجز الإجازات'!$D$5:$D$104&lt;=DU$3)*(('حجز الإجازات'!$E$5:$E$104)&gt;=DU$3)*('حجز الإجازات'!$G$5:$G$104="معتمد")*ROW('حجز الإجازات'!$B$5:$B$104))=0,"",INDEX('حجز الإجازات'!$C$5:$C$104,(SUMPRODUCT(('حجز الإجازات'!$B$5:$B$104='الموظفون'!$B$3)*('حجز الإجازات'!$D$5:$D$104&lt;=DU$3)*(('حجز الإجازات'!$E$5:$E$104)&gt;=DU$3)*('حجز الإجازات'!$G$5:$G$104="معتمد")*ROW('حجز الإجازات'!$B$5:$B$104)))-5+1))</f>
        <v/>
      </c>
      <c r="DV5" s="62">
        <f>IF(SUMPRODUCT(('حجز الإجازات'!$B$5:$B$104='الموظفون'!$B$3)*('حجز الإجازات'!$D$5:$D$104&lt;=DV$3)*(('حجز الإجازات'!$E$5:$E$104)&gt;=DV$3)*('حجز الإجازات'!$G$5:$G$104="معتمد")*ROW('حجز الإجازات'!$B$5:$B$104))=0,"",INDEX('حجز الإجازات'!$C$5:$C$104,(SUMPRODUCT(('حجز الإجازات'!$B$5:$B$104='الموظفون'!$B$3)*('حجز الإجازات'!$D$5:$D$104&lt;=DV$3)*(('حجز الإجازات'!$E$5:$E$104)&gt;=DV$3)*('حجز الإجازات'!$G$5:$G$104="معتمد")*ROW('حجز الإجازات'!$B$5:$B$104)))-5+1))</f>
        <v/>
      </c>
      <c r="DW5" s="62">
        <f>IF(SUMPRODUCT(('حجز الإجازات'!$B$5:$B$104='الموظفون'!$B$3)*('حجز الإجازات'!$D$5:$D$104&lt;=DW$3)*(('حجز الإجازات'!$E$5:$E$104)&gt;=DW$3)*('حجز الإجازات'!$G$5:$G$104="معتمد")*ROW('حجز الإجازات'!$B$5:$B$104))=0,"",INDEX('حجز الإجازات'!$C$5:$C$104,(SUMPRODUCT(('حجز الإجازات'!$B$5:$B$104='الموظفون'!$B$3)*('حجز الإجازات'!$D$5:$D$104&lt;=DW$3)*(('حجز الإجازات'!$E$5:$E$104)&gt;=DW$3)*('حجز الإجازات'!$G$5:$G$104="معتمد")*ROW('حجز الإجازات'!$B$5:$B$104)))-5+1))</f>
        <v/>
      </c>
      <c r="DX5" s="62">
        <f>IF(SUMPRODUCT(('حجز الإجازات'!$B$5:$B$104='الموظفون'!$B$3)*('حجز الإجازات'!$D$5:$D$104&lt;=DX$3)*(('حجز الإجازات'!$E$5:$E$104)&gt;=DX$3)*('حجز الإجازات'!$G$5:$G$104="معتمد")*ROW('حجز الإجازات'!$B$5:$B$104))=0,"",INDEX('حجز الإجازات'!$C$5:$C$104,(SUMPRODUCT(('حجز الإجازات'!$B$5:$B$104='الموظفون'!$B$3)*('حجز الإجازات'!$D$5:$D$104&lt;=DX$3)*(('حجز الإجازات'!$E$5:$E$104)&gt;=DX$3)*('حجز الإجازات'!$G$5:$G$104="معتمد")*ROW('حجز الإجازات'!$B$5:$B$104)))-5+1))</f>
        <v/>
      </c>
      <c r="DY5" s="62">
        <f>IF(SUMPRODUCT(('حجز الإجازات'!$B$5:$B$104='الموظفون'!$B$3)*('حجز الإجازات'!$D$5:$D$104&lt;=DY$3)*(('حجز الإجازات'!$E$5:$E$104)&gt;=DY$3)*('حجز الإجازات'!$G$5:$G$104="معتمد")*ROW('حجز الإجازات'!$B$5:$B$104))=0,"",INDEX('حجز الإجازات'!$C$5:$C$104,(SUMPRODUCT(('حجز الإجازات'!$B$5:$B$104='الموظفون'!$B$3)*('حجز الإجازات'!$D$5:$D$104&lt;=DY$3)*(('حجز الإجازات'!$E$5:$E$104)&gt;=DY$3)*('حجز الإجازات'!$G$5:$G$104="معتمد")*ROW('حجز الإجازات'!$B$5:$B$104)))-5+1))</f>
        <v/>
      </c>
      <c r="DZ5" s="62">
        <f>IF(SUMPRODUCT(('حجز الإجازات'!$B$5:$B$104='الموظفون'!$B$3)*('حجز الإجازات'!$D$5:$D$104&lt;=DZ$3)*(('حجز الإجازات'!$E$5:$E$104)&gt;=DZ$3)*('حجز الإجازات'!$G$5:$G$104="معتمد")*ROW('حجز الإجازات'!$B$5:$B$104))=0,"",INDEX('حجز الإجازات'!$C$5:$C$104,(SUMPRODUCT(('حجز الإجازات'!$B$5:$B$104='الموظفون'!$B$3)*('حجز الإجازات'!$D$5:$D$104&lt;=DZ$3)*(('حجز الإجازات'!$E$5:$E$104)&gt;=DZ$3)*('حجز الإجازات'!$G$5:$G$104="معتمد")*ROW('حجز الإجازات'!$B$5:$B$104)))-5+1))</f>
        <v/>
      </c>
      <c r="EA5" s="62">
        <f>IF(SUMPRODUCT(('حجز الإجازات'!$B$5:$B$104='الموظفون'!$B$3)*('حجز الإجازات'!$D$5:$D$104&lt;=EA$3)*(('حجز الإجازات'!$E$5:$E$104)&gt;=EA$3)*('حجز الإجازات'!$G$5:$G$104="معتمد")*ROW('حجز الإجازات'!$B$5:$B$104))=0,"",INDEX('حجز الإجازات'!$C$5:$C$104,(SUMPRODUCT(('حجز الإجازات'!$B$5:$B$104='الموظفون'!$B$3)*('حجز الإجازات'!$D$5:$D$104&lt;=EA$3)*(('حجز الإجازات'!$E$5:$E$104)&gt;=EA$3)*('حجز الإجازات'!$G$5:$G$104="معتمد")*ROW('حجز الإجازات'!$B$5:$B$104)))-5+1))</f>
        <v/>
      </c>
      <c r="EB5" s="62">
        <f>IF(SUMPRODUCT(('حجز الإجازات'!$B$5:$B$104='الموظفون'!$B$3)*('حجز الإجازات'!$D$5:$D$104&lt;=EB$3)*(('حجز الإجازات'!$E$5:$E$104)&gt;=EB$3)*('حجز الإجازات'!$G$5:$G$104="معتمد")*ROW('حجز الإجازات'!$B$5:$B$104))=0,"",INDEX('حجز الإجازات'!$C$5:$C$104,(SUMPRODUCT(('حجز الإجازات'!$B$5:$B$104='الموظفون'!$B$3)*('حجز الإجازات'!$D$5:$D$104&lt;=EB$3)*(('حجز الإجازات'!$E$5:$E$104)&gt;=EB$3)*('حجز الإجازات'!$G$5:$G$104="معتمد")*ROW('حجز الإجازات'!$B$5:$B$104)))-5+1))</f>
        <v/>
      </c>
      <c r="EC5" s="62">
        <f>IF(SUMPRODUCT(('حجز الإجازات'!$B$5:$B$104='الموظفون'!$B$3)*('حجز الإجازات'!$D$5:$D$104&lt;=EC$3)*(('حجز الإجازات'!$E$5:$E$104)&gt;=EC$3)*('حجز الإجازات'!$G$5:$G$104="معتمد")*ROW('حجز الإجازات'!$B$5:$B$104))=0,"",INDEX('حجز الإجازات'!$C$5:$C$104,(SUMPRODUCT(('حجز الإجازات'!$B$5:$B$104='الموظفون'!$B$3)*('حجز الإجازات'!$D$5:$D$104&lt;=EC$3)*(('حجز الإجازات'!$E$5:$E$104)&gt;=EC$3)*('حجز الإجازات'!$G$5:$G$104="معتمد")*ROW('حجز الإجازات'!$B$5:$B$104)))-5+1))</f>
        <v/>
      </c>
      <c r="ED5" s="62">
        <f>IF(SUMPRODUCT(('حجز الإجازات'!$B$5:$B$104='الموظفون'!$B$3)*('حجز الإجازات'!$D$5:$D$104&lt;=ED$3)*(('حجز الإجازات'!$E$5:$E$104)&gt;=ED$3)*('حجز الإجازات'!$G$5:$G$104="معتمد")*ROW('حجز الإجازات'!$B$5:$B$104))=0,"",INDEX('حجز الإجازات'!$C$5:$C$104,(SUMPRODUCT(('حجز الإجازات'!$B$5:$B$104='الموظفون'!$B$3)*('حجز الإجازات'!$D$5:$D$104&lt;=ED$3)*(('حجز الإجازات'!$E$5:$E$104)&gt;=ED$3)*('حجز الإجازات'!$G$5:$G$104="معتمد")*ROW('حجز الإجازات'!$B$5:$B$104)))-5+1))</f>
        <v/>
      </c>
      <c r="EE5" s="62">
        <f>IF(SUMPRODUCT(('حجز الإجازات'!$B$5:$B$104='الموظفون'!$B$3)*('حجز الإجازات'!$D$5:$D$104&lt;=EE$3)*(('حجز الإجازات'!$E$5:$E$104)&gt;=EE$3)*('حجز الإجازات'!$G$5:$G$104="معتمد")*ROW('حجز الإجازات'!$B$5:$B$104))=0,"",INDEX('حجز الإجازات'!$C$5:$C$104,(SUMPRODUCT(('حجز الإجازات'!$B$5:$B$104='الموظفون'!$B$3)*('حجز الإجازات'!$D$5:$D$104&lt;=EE$3)*(('حجز الإجازات'!$E$5:$E$104)&gt;=EE$3)*('حجز الإجازات'!$G$5:$G$104="معتمد")*ROW('حجز الإجازات'!$B$5:$B$104)))-5+1))</f>
        <v/>
      </c>
      <c r="EF5" s="62">
        <f>IF(SUMPRODUCT(('حجز الإجازات'!$B$5:$B$104='الموظفون'!$B$3)*('حجز الإجازات'!$D$5:$D$104&lt;=EF$3)*(('حجز الإجازات'!$E$5:$E$104)&gt;=EF$3)*('حجز الإجازات'!$G$5:$G$104="معتمد")*ROW('حجز الإجازات'!$B$5:$B$104))=0,"",INDEX('حجز الإجازات'!$C$5:$C$104,(SUMPRODUCT(('حجز الإجازات'!$B$5:$B$104='الموظفون'!$B$3)*('حجز الإجازات'!$D$5:$D$104&lt;=EF$3)*(('حجز الإجازات'!$E$5:$E$104)&gt;=EF$3)*('حجز الإجازات'!$G$5:$G$104="معتمد")*ROW('حجز الإجازات'!$B$5:$B$104)))-5+1))</f>
        <v/>
      </c>
      <c r="EG5" s="62">
        <f>IF(SUMPRODUCT(('حجز الإجازات'!$B$5:$B$104='الموظفون'!$B$3)*('حجز الإجازات'!$D$5:$D$104&lt;=EG$3)*(('حجز الإجازات'!$E$5:$E$104)&gt;=EG$3)*('حجز الإجازات'!$G$5:$G$104="معتمد")*ROW('حجز الإجازات'!$B$5:$B$104))=0,"",INDEX('حجز الإجازات'!$C$5:$C$104,(SUMPRODUCT(('حجز الإجازات'!$B$5:$B$104='الموظفون'!$B$3)*('حجز الإجازات'!$D$5:$D$104&lt;=EG$3)*(('حجز الإجازات'!$E$5:$E$104)&gt;=EG$3)*('حجز الإجازات'!$G$5:$G$104="معتمد")*ROW('حجز الإجازات'!$B$5:$B$104)))-5+1))</f>
        <v/>
      </c>
      <c r="EH5" s="62">
        <f>IF(SUMPRODUCT(('حجز الإجازات'!$B$5:$B$104='الموظفون'!$B$3)*('حجز الإجازات'!$D$5:$D$104&lt;=EH$3)*(('حجز الإجازات'!$E$5:$E$104)&gt;=EH$3)*('حجز الإجازات'!$G$5:$G$104="معتمد")*ROW('حجز الإجازات'!$B$5:$B$104))=0,"",INDEX('حجز الإجازات'!$C$5:$C$104,(SUMPRODUCT(('حجز الإجازات'!$B$5:$B$104='الموظفون'!$B$3)*('حجز الإجازات'!$D$5:$D$104&lt;=EH$3)*(('حجز الإجازات'!$E$5:$E$104)&gt;=EH$3)*('حجز الإجازات'!$G$5:$G$104="معتمد")*ROW('حجز الإجازات'!$B$5:$B$104)))-5+1))</f>
        <v/>
      </c>
      <c r="EI5" s="62">
        <f>IF(SUMPRODUCT(('حجز الإجازات'!$B$5:$B$104='الموظفون'!$B$3)*('حجز الإجازات'!$D$5:$D$104&lt;=EI$3)*(('حجز الإجازات'!$E$5:$E$104)&gt;=EI$3)*('حجز الإجازات'!$G$5:$G$104="معتمد")*ROW('حجز الإجازات'!$B$5:$B$104))=0,"",INDEX('حجز الإجازات'!$C$5:$C$104,(SUMPRODUCT(('حجز الإجازات'!$B$5:$B$104='الموظفون'!$B$3)*('حجز الإجازات'!$D$5:$D$104&lt;=EI$3)*(('حجز الإجازات'!$E$5:$E$104)&gt;=EI$3)*('حجز الإجازات'!$G$5:$G$104="معتمد")*ROW('حجز الإجازات'!$B$5:$B$104)))-5+1))</f>
        <v/>
      </c>
      <c r="EJ5" s="62">
        <f>IF(SUMPRODUCT(('حجز الإجازات'!$B$5:$B$104='الموظفون'!$B$3)*('حجز الإجازات'!$D$5:$D$104&lt;=EJ$3)*(('حجز الإجازات'!$E$5:$E$104)&gt;=EJ$3)*('حجز الإجازات'!$G$5:$G$104="معتمد")*ROW('حجز الإجازات'!$B$5:$B$104))=0,"",INDEX('حجز الإجازات'!$C$5:$C$104,(SUMPRODUCT(('حجز الإجازات'!$B$5:$B$104='الموظفون'!$B$3)*('حجز الإجازات'!$D$5:$D$104&lt;=EJ$3)*(('حجز الإجازات'!$E$5:$E$104)&gt;=EJ$3)*('حجز الإجازات'!$G$5:$G$104="معتمد")*ROW('حجز الإجازات'!$B$5:$B$104)))-5+1))</f>
        <v/>
      </c>
      <c r="EK5" s="62">
        <f>IF(SUMPRODUCT(('حجز الإجازات'!$B$5:$B$104='الموظفون'!$B$3)*('حجز الإجازات'!$D$5:$D$104&lt;=EK$3)*(('حجز الإجازات'!$E$5:$E$104)&gt;=EK$3)*('حجز الإجازات'!$G$5:$G$104="معتمد")*ROW('حجز الإجازات'!$B$5:$B$104))=0,"",INDEX('حجز الإجازات'!$C$5:$C$104,(SUMPRODUCT(('حجز الإجازات'!$B$5:$B$104='الموظفون'!$B$3)*('حجز الإجازات'!$D$5:$D$104&lt;=EK$3)*(('حجز الإجازات'!$E$5:$E$104)&gt;=EK$3)*('حجز الإجازات'!$G$5:$G$104="معتمد")*ROW('حجز الإجازات'!$B$5:$B$104)))-5+1))</f>
        <v/>
      </c>
      <c r="EL5" s="62">
        <f>IF(SUMPRODUCT(('حجز الإجازات'!$B$5:$B$104='الموظفون'!$B$3)*('حجز الإجازات'!$D$5:$D$104&lt;=EL$3)*(('حجز الإجازات'!$E$5:$E$104)&gt;=EL$3)*('حجز الإجازات'!$G$5:$G$104="معتمد")*ROW('حجز الإجازات'!$B$5:$B$104))=0,"",INDEX('حجز الإجازات'!$C$5:$C$104,(SUMPRODUCT(('حجز الإجازات'!$B$5:$B$104='الموظفون'!$B$3)*('حجز الإجازات'!$D$5:$D$104&lt;=EL$3)*(('حجز الإجازات'!$E$5:$E$104)&gt;=EL$3)*('حجز الإجازات'!$G$5:$G$104="معتمد")*ROW('حجز الإجازات'!$B$5:$B$104)))-5+1))</f>
        <v/>
      </c>
      <c r="EM5" s="62">
        <f>IF(SUMPRODUCT(('حجز الإجازات'!$B$5:$B$104='الموظفون'!$B$3)*('حجز الإجازات'!$D$5:$D$104&lt;=EM$3)*(('حجز الإجازات'!$E$5:$E$104)&gt;=EM$3)*('حجز الإجازات'!$G$5:$G$104="معتمد")*ROW('حجز الإجازات'!$B$5:$B$104))=0,"",INDEX('حجز الإجازات'!$C$5:$C$104,(SUMPRODUCT(('حجز الإجازات'!$B$5:$B$104='الموظفون'!$B$3)*('حجز الإجازات'!$D$5:$D$104&lt;=EM$3)*(('حجز الإجازات'!$E$5:$E$104)&gt;=EM$3)*('حجز الإجازات'!$G$5:$G$104="معتمد")*ROW('حجز الإجازات'!$B$5:$B$104)))-5+1))</f>
        <v/>
      </c>
      <c r="EN5" s="62">
        <f>IF(SUMPRODUCT(('حجز الإجازات'!$B$5:$B$104='الموظفون'!$B$3)*('حجز الإجازات'!$D$5:$D$104&lt;=EN$3)*(('حجز الإجازات'!$E$5:$E$104)&gt;=EN$3)*('حجز الإجازات'!$G$5:$G$104="معتمد")*ROW('حجز الإجازات'!$B$5:$B$104))=0,"",INDEX('حجز الإجازات'!$C$5:$C$104,(SUMPRODUCT(('حجز الإجازات'!$B$5:$B$104='الموظفون'!$B$3)*('حجز الإجازات'!$D$5:$D$104&lt;=EN$3)*(('حجز الإجازات'!$E$5:$E$104)&gt;=EN$3)*('حجز الإجازات'!$G$5:$G$104="معتمد")*ROW('حجز الإجازات'!$B$5:$B$104)))-5+1))</f>
        <v/>
      </c>
      <c r="EO5" s="62">
        <f>IF(SUMPRODUCT(('حجز الإجازات'!$B$5:$B$104='الموظفون'!$B$3)*('حجز الإجازات'!$D$5:$D$104&lt;=EO$3)*(('حجز الإجازات'!$E$5:$E$104)&gt;=EO$3)*('حجز الإجازات'!$G$5:$G$104="معتمد")*ROW('حجز الإجازات'!$B$5:$B$104))=0,"",INDEX('حجز الإجازات'!$C$5:$C$104,(SUMPRODUCT(('حجز الإجازات'!$B$5:$B$104='الموظفون'!$B$3)*('حجز الإجازات'!$D$5:$D$104&lt;=EO$3)*(('حجز الإجازات'!$E$5:$E$104)&gt;=EO$3)*('حجز الإجازات'!$G$5:$G$104="معتمد")*ROW('حجز الإجازات'!$B$5:$B$104)))-5+1))</f>
        <v/>
      </c>
      <c r="EP5" s="62">
        <f>IF(SUMPRODUCT(('حجز الإجازات'!$B$5:$B$104='الموظفون'!$B$3)*('حجز الإجازات'!$D$5:$D$104&lt;=EP$3)*(('حجز الإجازات'!$E$5:$E$104)&gt;=EP$3)*('حجز الإجازات'!$G$5:$G$104="معتمد")*ROW('حجز الإجازات'!$B$5:$B$104))=0,"",INDEX('حجز الإجازات'!$C$5:$C$104,(SUMPRODUCT(('حجز الإجازات'!$B$5:$B$104='الموظفون'!$B$3)*('حجز الإجازات'!$D$5:$D$104&lt;=EP$3)*(('حجز الإجازات'!$E$5:$E$104)&gt;=EP$3)*('حجز الإجازات'!$G$5:$G$104="معتمد")*ROW('حجز الإجازات'!$B$5:$B$104)))-5+1))</f>
        <v/>
      </c>
      <c r="EQ5" s="62">
        <f>IF(SUMPRODUCT(('حجز الإجازات'!$B$5:$B$104='الموظفون'!$B$3)*('حجز الإجازات'!$D$5:$D$104&lt;=EQ$3)*(('حجز الإجازات'!$E$5:$E$104)&gt;=EQ$3)*('حجز الإجازات'!$G$5:$G$104="معتمد")*ROW('حجز الإجازات'!$B$5:$B$104))=0,"",INDEX('حجز الإجازات'!$C$5:$C$104,(SUMPRODUCT(('حجز الإجازات'!$B$5:$B$104='الموظفون'!$B$3)*('حجز الإجازات'!$D$5:$D$104&lt;=EQ$3)*(('حجز الإجازات'!$E$5:$E$104)&gt;=EQ$3)*('حجز الإجازات'!$G$5:$G$104="معتمد")*ROW('حجز الإجازات'!$B$5:$B$104)))-5+1))</f>
        <v/>
      </c>
      <c r="ER5" s="62">
        <f>IF(SUMPRODUCT(('حجز الإجازات'!$B$5:$B$104='الموظفون'!$B$3)*('حجز الإجازات'!$D$5:$D$104&lt;=ER$3)*(('حجز الإجازات'!$E$5:$E$104)&gt;=ER$3)*('حجز الإجازات'!$G$5:$G$104="معتمد")*ROW('حجز الإجازات'!$B$5:$B$104))=0,"",INDEX('حجز الإجازات'!$C$5:$C$104,(SUMPRODUCT(('حجز الإجازات'!$B$5:$B$104='الموظفون'!$B$3)*('حجز الإجازات'!$D$5:$D$104&lt;=ER$3)*(('حجز الإجازات'!$E$5:$E$104)&gt;=ER$3)*('حجز الإجازات'!$G$5:$G$104="معتمد")*ROW('حجز الإجازات'!$B$5:$B$104)))-5+1))</f>
        <v/>
      </c>
      <c r="ES5" s="62">
        <f>IF(SUMPRODUCT(('حجز الإجازات'!$B$5:$B$104='الموظفون'!$B$3)*('حجز الإجازات'!$D$5:$D$104&lt;=ES$3)*(('حجز الإجازات'!$E$5:$E$104)&gt;=ES$3)*('حجز الإجازات'!$G$5:$G$104="معتمد")*ROW('حجز الإجازات'!$B$5:$B$104))=0,"",INDEX('حجز الإجازات'!$C$5:$C$104,(SUMPRODUCT(('حجز الإجازات'!$B$5:$B$104='الموظفون'!$B$3)*('حجز الإجازات'!$D$5:$D$104&lt;=ES$3)*(('حجز الإجازات'!$E$5:$E$104)&gt;=ES$3)*('حجز الإجازات'!$G$5:$G$104="معتمد")*ROW('حجز الإجازات'!$B$5:$B$104)))-5+1))</f>
        <v/>
      </c>
      <c r="ET5" s="62">
        <f>IF(SUMPRODUCT(('حجز الإجازات'!$B$5:$B$104='الموظفون'!$B$3)*('حجز الإجازات'!$D$5:$D$104&lt;=ET$3)*(('حجز الإجازات'!$E$5:$E$104)&gt;=ET$3)*('حجز الإجازات'!$G$5:$G$104="معتمد")*ROW('حجز الإجازات'!$B$5:$B$104))=0,"",INDEX('حجز الإجازات'!$C$5:$C$104,(SUMPRODUCT(('حجز الإجازات'!$B$5:$B$104='الموظفون'!$B$3)*('حجز الإجازات'!$D$5:$D$104&lt;=ET$3)*(('حجز الإجازات'!$E$5:$E$104)&gt;=ET$3)*('حجز الإجازات'!$G$5:$G$104="معتمد")*ROW('حجز الإجازات'!$B$5:$B$104)))-5+1))</f>
        <v/>
      </c>
      <c r="EU5" s="62">
        <f>IF(SUMPRODUCT(('حجز الإجازات'!$B$5:$B$104='الموظفون'!$B$3)*('حجز الإجازات'!$D$5:$D$104&lt;=EU$3)*(('حجز الإجازات'!$E$5:$E$104)&gt;=EU$3)*('حجز الإجازات'!$G$5:$G$104="معتمد")*ROW('حجز الإجازات'!$B$5:$B$104))=0,"",INDEX('حجز الإجازات'!$C$5:$C$104,(SUMPRODUCT(('حجز الإجازات'!$B$5:$B$104='الموظفون'!$B$3)*('حجز الإجازات'!$D$5:$D$104&lt;=EU$3)*(('حجز الإجازات'!$E$5:$E$104)&gt;=EU$3)*('حجز الإجازات'!$G$5:$G$104="معتمد")*ROW('حجز الإجازات'!$B$5:$B$104)))-5+1))</f>
        <v/>
      </c>
      <c r="EV5" s="62">
        <f>IF(SUMPRODUCT(('حجز الإجازات'!$B$5:$B$104='الموظفون'!$B$3)*('حجز الإجازات'!$D$5:$D$104&lt;=EV$3)*(('حجز الإجازات'!$E$5:$E$104)&gt;=EV$3)*('حجز الإجازات'!$G$5:$G$104="معتمد")*ROW('حجز الإجازات'!$B$5:$B$104))=0,"",INDEX('حجز الإجازات'!$C$5:$C$104,(SUMPRODUCT(('حجز الإجازات'!$B$5:$B$104='الموظفون'!$B$3)*('حجز الإجازات'!$D$5:$D$104&lt;=EV$3)*(('حجز الإجازات'!$E$5:$E$104)&gt;=EV$3)*('حجز الإجازات'!$G$5:$G$104="معتمد")*ROW('حجز الإجازات'!$B$5:$B$104)))-5+1))</f>
        <v/>
      </c>
      <c r="EW5" s="62">
        <f>IF(SUMPRODUCT(('حجز الإجازات'!$B$5:$B$104='الموظفون'!$B$3)*('حجز الإجازات'!$D$5:$D$104&lt;=EW$3)*(('حجز الإجازات'!$E$5:$E$104)&gt;=EW$3)*('حجز الإجازات'!$G$5:$G$104="معتمد")*ROW('حجز الإجازات'!$B$5:$B$104))=0,"",INDEX('حجز الإجازات'!$C$5:$C$104,(SUMPRODUCT(('حجز الإجازات'!$B$5:$B$104='الموظفون'!$B$3)*('حجز الإجازات'!$D$5:$D$104&lt;=EW$3)*(('حجز الإجازات'!$E$5:$E$104)&gt;=EW$3)*('حجز الإجازات'!$G$5:$G$104="معتمد")*ROW('حجز الإجازات'!$B$5:$B$104)))-5+1))</f>
        <v/>
      </c>
      <c r="EX5" s="62">
        <f>IF(SUMPRODUCT(('حجز الإجازات'!$B$5:$B$104='الموظفون'!$B$3)*('حجز الإجازات'!$D$5:$D$104&lt;=EX$3)*(('حجز الإجازات'!$E$5:$E$104)&gt;=EX$3)*('حجز الإجازات'!$G$5:$G$104="معتمد")*ROW('حجز الإجازات'!$B$5:$B$104))=0,"",INDEX('حجز الإجازات'!$C$5:$C$104,(SUMPRODUCT(('حجز الإجازات'!$B$5:$B$104='الموظفون'!$B$3)*('حجز الإجازات'!$D$5:$D$104&lt;=EX$3)*(('حجز الإجازات'!$E$5:$E$104)&gt;=EX$3)*('حجز الإجازات'!$G$5:$G$104="معتمد")*ROW('حجز الإجازات'!$B$5:$B$104)))-5+1))</f>
        <v/>
      </c>
      <c r="EY5" s="62">
        <f>IF(SUMPRODUCT(('حجز الإجازات'!$B$5:$B$104='الموظفون'!$B$3)*('حجز الإجازات'!$D$5:$D$104&lt;=EY$3)*(('حجز الإجازات'!$E$5:$E$104)&gt;=EY$3)*('حجز الإجازات'!$G$5:$G$104="معتمد")*ROW('حجز الإجازات'!$B$5:$B$104))=0,"",INDEX('حجز الإجازات'!$C$5:$C$104,(SUMPRODUCT(('حجز الإجازات'!$B$5:$B$104='الموظفون'!$B$3)*('حجز الإجازات'!$D$5:$D$104&lt;=EY$3)*(('حجز الإجازات'!$E$5:$E$104)&gt;=EY$3)*('حجز الإجازات'!$G$5:$G$104="معتمد")*ROW('حجز الإجازات'!$B$5:$B$104)))-5+1))</f>
        <v/>
      </c>
      <c r="EZ5" s="62">
        <f>IF(SUMPRODUCT(('حجز الإجازات'!$B$5:$B$104='الموظفون'!$B$3)*('حجز الإجازات'!$D$5:$D$104&lt;=EZ$3)*(('حجز الإجازات'!$E$5:$E$104)&gt;=EZ$3)*('حجز الإجازات'!$G$5:$G$104="معتمد")*ROW('حجز الإجازات'!$B$5:$B$104))=0,"",INDEX('حجز الإجازات'!$C$5:$C$104,(SUMPRODUCT(('حجز الإجازات'!$B$5:$B$104='الموظفون'!$B$3)*('حجز الإجازات'!$D$5:$D$104&lt;=EZ$3)*(('حجز الإجازات'!$E$5:$E$104)&gt;=EZ$3)*('حجز الإجازات'!$G$5:$G$104="معتمد")*ROW('حجز الإجازات'!$B$5:$B$104)))-5+1))</f>
        <v/>
      </c>
      <c r="FA5" s="62">
        <f>IF(SUMPRODUCT(('حجز الإجازات'!$B$5:$B$104='الموظفون'!$B$3)*('حجز الإجازات'!$D$5:$D$104&lt;=FA$3)*(('حجز الإجازات'!$E$5:$E$104)&gt;=FA$3)*('حجز الإجازات'!$G$5:$G$104="معتمد")*ROW('حجز الإجازات'!$B$5:$B$104))=0,"",INDEX('حجز الإجازات'!$C$5:$C$104,(SUMPRODUCT(('حجز الإجازات'!$B$5:$B$104='الموظفون'!$B$3)*('حجز الإجازات'!$D$5:$D$104&lt;=FA$3)*(('حجز الإجازات'!$E$5:$E$104)&gt;=FA$3)*('حجز الإجازات'!$G$5:$G$104="معتمد")*ROW('حجز الإجازات'!$B$5:$B$104)))-5+1))</f>
        <v/>
      </c>
      <c r="FB5" s="62">
        <f>IF(SUMPRODUCT(('حجز الإجازات'!$B$5:$B$104='الموظفون'!$B$3)*('حجز الإجازات'!$D$5:$D$104&lt;=FB$3)*(('حجز الإجازات'!$E$5:$E$104)&gt;=FB$3)*('حجز الإجازات'!$G$5:$G$104="معتمد")*ROW('حجز الإجازات'!$B$5:$B$104))=0,"",INDEX('حجز الإجازات'!$C$5:$C$104,(SUMPRODUCT(('حجز الإجازات'!$B$5:$B$104='الموظفون'!$B$3)*('حجز الإجازات'!$D$5:$D$104&lt;=FB$3)*(('حجز الإجازات'!$E$5:$E$104)&gt;=FB$3)*('حجز الإجازات'!$G$5:$G$104="معتمد")*ROW('حجز الإجازات'!$B$5:$B$104)))-5+1))</f>
        <v/>
      </c>
      <c r="FC5" s="62">
        <f>IF(SUMPRODUCT(('حجز الإجازات'!$B$5:$B$104='الموظفون'!$B$3)*('حجز الإجازات'!$D$5:$D$104&lt;=FC$3)*(('حجز الإجازات'!$E$5:$E$104)&gt;=FC$3)*('حجز الإجازات'!$G$5:$G$104="معتمد")*ROW('حجز الإجازات'!$B$5:$B$104))=0,"",INDEX('حجز الإجازات'!$C$5:$C$104,(SUMPRODUCT(('حجز الإجازات'!$B$5:$B$104='الموظفون'!$B$3)*('حجز الإجازات'!$D$5:$D$104&lt;=FC$3)*(('حجز الإجازات'!$E$5:$E$104)&gt;=FC$3)*('حجز الإجازات'!$G$5:$G$104="معتمد")*ROW('حجز الإجازات'!$B$5:$B$104)))-5+1))</f>
        <v/>
      </c>
      <c r="FD5" s="62">
        <f>IF(SUMPRODUCT(('حجز الإجازات'!$B$5:$B$104='الموظفون'!$B$3)*('حجز الإجازات'!$D$5:$D$104&lt;=FD$3)*(('حجز الإجازات'!$E$5:$E$104)&gt;=FD$3)*('حجز الإجازات'!$G$5:$G$104="معتمد")*ROW('حجز الإجازات'!$B$5:$B$104))=0,"",INDEX('حجز الإجازات'!$C$5:$C$104,(SUMPRODUCT(('حجز الإجازات'!$B$5:$B$104='الموظفون'!$B$3)*('حجز الإجازات'!$D$5:$D$104&lt;=FD$3)*(('حجز الإجازات'!$E$5:$E$104)&gt;=FD$3)*('حجز الإجازات'!$G$5:$G$104="معتمد")*ROW('حجز الإجازات'!$B$5:$B$104)))-5+1))</f>
        <v/>
      </c>
      <c r="FE5" s="62">
        <f>IF(SUMPRODUCT(('حجز الإجازات'!$B$5:$B$104='الموظفون'!$B$3)*('حجز الإجازات'!$D$5:$D$104&lt;=FE$3)*(('حجز الإجازات'!$E$5:$E$104)&gt;=FE$3)*('حجز الإجازات'!$G$5:$G$104="معتمد")*ROW('حجز الإجازات'!$B$5:$B$104))=0,"",INDEX('حجز الإجازات'!$C$5:$C$104,(SUMPRODUCT(('حجز الإجازات'!$B$5:$B$104='الموظفون'!$B$3)*('حجز الإجازات'!$D$5:$D$104&lt;=FE$3)*(('حجز الإجازات'!$E$5:$E$104)&gt;=FE$3)*('حجز الإجازات'!$G$5:$G$104="معتمد")*ROW('حجز الإجازات'!$B$5:$B$104)))-5+1))</f>
        <v/>
      </c>
      <c r="FF5" s="62">
        <f>IF(SUMPRODUCT(('حجز الإجازات'!$B$5:$B$104='الموظفون'!$B$3)*('حجز الإجازات'!$D$5:$D$104&lt;=FF$3)*(('حجز الإجازات'!$E$5:$E$104)&gt;=FF$3)*('حجز الإجازات'!$G$5:$G$104="معتمد")*ROW('حجز الإجازات'!$B$5:$B$104))=0,"",INDEX('حجز الإجازات'!$C$5:$C$104,(SUMPRODUCT(('حجز الإجازات'!$B$5:$B$104='الموظفون'!$B$3)*('حجز الإجازات'!$D$5:$D$104&lt;=FF$3)*(('حجز الإجازات'!$E$5:$E$104)&gt;=FF$3)*('حجز الإجازات'!$G$5:$G$104="معتمد")*ROW('حجز الإجازات'!$B$5:$B$104)))-5+1))</f>
        <v/>
      </c>
      <c r="FG5" s="62">
        <f>IF(SUMPRODUCT(('حجز الإجازات'!$B$5:$B$104='الموظفون'!$B$3)*('حجز الإجازات'!$D$5:$D$104&lt;=FG$3)*(('حجز الإجازات'!$E$5:$E$104)&gt;=FG$3)*('حجز الإجازات'!$G$5:$G$104="معتمد")*ROW('حجز الإجازات'!$B$5:$B$104))=0,"",INDEX('حجز الإجازات'!$C$5:$C$104,(SUMPRODUCT(('حجز الإجازات'!$B$5:$B$104='الموظفون'!$B$3)*('حجز الإجازات'!$D$5:$D$104&lt;=FG$3)*(('حجز الإجازات'!$E$5:$E$104)&gt;=FG$3)*('حجز الإجازات'!$G$5:$G$104="معتمد")*ROW('حجز الإجازات'!$B$5:$B$104)))-5+1))</f>
        <v/>
      </c>
      <c r="FH5" s="62">
        <f>IF(SUMPRODUCT(('حجز الإجازات'!$B$5:$B$104='الموظفون'!$B$3)*('حجز الإجازات'!$D$5:$D$104&lt;=FH$3)*(('حجز الإجازات'!$E$5:$E$104)&gt;=FH$3)*('حجز الإجازات'!$G$5:$G$104="معتمد")*ROW('حجز الإجازات'!$B$5:$B$104))=0,"",INDEX('حجز الإجازات'!$C$5:$C$104,(SUMPRODUCT(('حجز الإجازات'!$B$5:$B$104='الموظفون'!$B$3)*('حجز الإجازات'!$D$5:$D$104&lt;=FH$3)*(('حجز الإجازات'!$E$5:$E$104)&gt;=FH$3)*('حجز الإجازات'!$G$5:$G$104="معتمد")*ROW('حجز الإجازات'!$B$5:$B$104)))-5+1))</f>
        <v/>
      </c>
      <c r="FI5" s="62">
        <f>IF(SUMPRODUCT(('حجز الإجازات'!$B$5:$B$104='الموظفون'!$B$3)*('حجز الإجازات'!$D$5:$D$104&lt;=FI$3)*(('حجز الإجازات'!$E$5:$E$104)&gt;=FI$3)*('حجز الإجازات'!$G$5:$G$104="معتمد")*ROW('حجز الإجازات'!$B$5:$B$104))=0,"",INDEX('حجز الإجازات'!$C$5:$C$104,(SUMPRODUCT(('حجز الإجازات'!$B$5:$B$104='الموظفون'!$B$3)*('حجز الإجازات'!$D$5:$D$104&lt;=FI$3)*(('حجز الإجازات'!$E$5:$E$104)&gt;=FI$3)*('حجز الإجازات'!$G$5:$G$104="معتمد")*ROW('حجز الإجازات'!$B$5:$B$104)))-5+1))</f>
        <v/>
      </c>
      <c r="FJ5" s="62">
        <f>IF(SUMPRODUCT(('حجز الإجازات'!$B$5:$B$104='الموظفون'!$B$3)*('حجز الإجازات'!$D$5:$D$104&lt;=FJ$3)*(('حجز الإجازات'!$E$5:$E$104)&gt;=FJ$3)*('حجز الإجازات'!$G$5:$G$104="معتمد")*ROW('حجز الإجازات'!$B$5:$B$104))=0,"",INDEX('حجز الإجازات'!$C$5:$C$104,(SUMPRODUCT(('حجز الإجازات'!$B$5:$B$104='الموظفون'!$B$3)*('حجز الإجازات'!$D$5:$D$104&lt;=FJ$3)*(('حجز الإجازات'!$E$5:$E$104)&gt;=FJ$3)*('حجز الإجازات'!$G$5:$G$104="معتمد")*ROW('حجز الإجازات'!$B$5:$B$104)))-5+1))</f>
        <v/>
      </c>
      <c r="FK5" s="62">
        <f>IF(SUMPRODUCT(('حجز الإجازات'!$B$5:$B$104='الموظفون'!$B$3)*('حجز الإجازات'!$D$5:$D$104&lt;=FK$3)*(('حجز الإجازات'!$E$5:$E$104)&gt;=FK$3)*('حجز الإجازات'!$G$5:$G$104="معتمد")*ROW('حجز الإجازات'!$B$5:$B$104))=0,"",INDEX('حجز الإجازات'!$C$5:$C$104,(SUMPRODUCT(('حجز الإجازات'!$B$5:$B$104='الموظفون'!$B$3)*('حجز الإجازات'!$D$5:$D$104&lt;=FK$3)*(('حجز الإجازات'!$E$5:$E$104)&gt;=FK$3)*('حجز الإجازات'!$G$5:$G$104="معتمد")*ROW('حجز الإجازات'!$B$5:$B$104)))-5+1))</f>
        <v/>
      </c>
      <c r="FL5" s="62">
        <f>IF(SUMPRODUCT(('حجز الإجازات'!$B$5:$B$104='الموظفون'!$B$3)*('حجز الإجازات'!$D$5:$D$104&lt;=FL$3)*(('حجز الإجازات'!$E$5:$E$104)&gt;=FL$3)*('حجز الإجازات'!$G$5:$G$104="معتمد")*ROW('حجز الإجازات'!$B$5:$B$104))=0,"",INDEX('حجز الإجازات'!$C$5:$C$104,(SUMPRODUCT(('حجز الإجازات'!$B$5:$B$104='الموظفون'!$B$3)*('حجز الإجازات'!$D$5:$D$104&lt;=FL$3)*(('حجز الإجازات'!$E$5:$E$104)&gt;=FL$3)*('حجز الإجازات'!$G$5:$G$104="معتمد")*ROW('حجز الإجازات'!$B$5:$B$104)))-5+1))</f>
        <v/>
      </c>
      <c r="FM5" s="62">
        <f>IF(SUMPRODUCT(('حجز الإجازات'!$B$5:$B$104='الموظفون'!$B$3)*('حجز الإجازات'!$D$5:$D$104&lt;=FM$3)*(('حجز الإجازات'!$E$5:$E$104)&gt;=FM$3)*('حجز الإجازات'!$G$5:$G$104="معتمد")*ROW('حجز الإجازات'!$B$5:$B$104))=0,"",INDEX('حجز الإجازات'!$C$5:$C$104,(SUMPRODUCT(('حجز الإجازات'!$B$5:$B$104='الموظفون'!$B$3)*('حجز الإجازات'!$D$5:$D$104&lt;=FM$3)*(('حجز الإجازات'!$E$5:$E$104)&gt;=FM$3)*('حجز الإجازات'!$G$5:$G$104="معتمد")*ROW('حجز الإجازات'!$B$5:$B$104)))-5+1))</f>
        <v/>
      </c>
      <c r="FN5" s="62">
        <f>IF(SUMPRODUCT(('حجز الإجازات'!$B$5:$B$104='الموظفون'!$B$3)*('حجز الإجازات'!$D$5:$D$104&lt;=FN$3)*(('حجز الإجازات'!$E$5:$E$104)&gt;=FN$3)*('حجز الإجازات'!$G$5:$G$104="معتمد")*ROW('حجز الإجازات'!$B$5:$B$104))=0,"",INDEX('حجز الإجازات'!$C$5:$C$104,(SUMPRODUCT(('حجز الإجازات'!$B$5:$B$104='الموظفون'!$B$3)*('حجز الإجازات'!$D$5:$D$104&lt;=FN$3)*(('حجز الإجازات'!$E$5:$E$104)&gt;=FN$3)*('حجز الإجازات'!$G$5:$G$104="معتمد")*ROW('حجز الإجازات'!$B$5:$B$104)))-5+1))</f>
        <v/>
      </c>
      <c r="FO5" s="62">
        <f>IF(SUMPRODUCT(('حجز الإجازات'!$B$5:$B$104='الموظفون'!$B$3)*('حجز الإجازات'!$D$5:$D$104&lt;=FO$3)*(('حجز الإجازات'!$E$5:$E$104)&gt;=FO$3)*('حجز الإجازات'!$G$5:$G$104="معتمد")*ROW('حجز الإجازات'!$B$5:$B$104))=0,"",INDEX('حجز الإجازات'!$C$5:$C$104,(SUMPRODUCT(('حجز الإجازات'!$B$5:$B$104='الموظفون'!$B$3)*('حجز الإجازات'!$D$5:$D$104&lt;=FO$3)*(('حجز الإجازات'!$E$5:$E$104)&gt;=FO$3)*('حجز الإجازات'!$G$5:$G$104="معتمد")*ROW('حجز الإجازات'!$B$5:$B$104)))-5+1))</f>
        <v/>
      </c>
      <c r="FP5" s="62">
        <f>IF(SUMPRODUCT(('حجز الإجازات'!$B$5:$B$104='الموظفون'!$B$3)*('حجز الإجازات'!$D$5:$D$104&lt;=FP$3)*(('حجز الإجازات'!$E$5:$E$104)&gt;=FP$3)*('حجز الإجازات'!$G$5:$G$104="معتمد")*ROW('حجز الإجازات'!$B$5:$B$104))=0,"",INDEX('حجز الإجازات'!$C$5:$C$104,(SUMPRODUCT(('حجز الإجازات'!$B$5:$B$104='الموظفون'!$B$3)*('حجز الإجازات'!$D$5:$D$104&lt;=FP$3)*(('حجز الإجازات'!$E$5:$E$104)&gt;=FP$3)*('حجز الإجازات'!$G$5:$G$104="معتمد")*ROW('حجز الإجازات'!$B$5:$B$104)))-5+1))</f>
        <v/>
      </c>
      <c r="FQ5" s="62">
        <f>IF(SUMPRODUCT(('حجز الإجازات'!$B$5:$B$104='الموظفون'!$B$3)*('حجز الإجازات'!$D$5:$D$104&lt;=FQ$3)*(('حجز الإجازات'!$E$5:$E$104)&gt;=FQ$3)*('حجز الإجازات'!$G$5:$G$104="معتمد")*ROW('حجز الإجازات'!$B$5:$B$104))=0,"",INDEX('حجز الإجازات'!$C$5:$C$104,(SUMPRODUCT(('حجز الإجازات'!$B$5:$B$104='الموظفون'!$B$3)*('حجز الإجازات'!$D$5:$D$104&lt;=FQ$3)*(('حجز الإجازات'!$E$5:$E$104)&gt;=FQ$3)*('حجز الإجازات'!$G$5:$G$104="معتمد")*ROW('حجز الإجازات'!$B$5:$B$104)))-5+1))</f>
        <v/>
      </c>
      <c r="FR5" s="62">
        <f>IF(SUMPRODUCT(('حجز الإجازات'!$B$5:$B$104='الموظفون'!$B$3)*('حجز الإجازات'!$D$5:$D$104&lt;=FR$3)*(('حجز الإجازات'!$E$5:$E$104)&gt;=FR$3)*('حجز الإجازات'!$G$5:$G$104="معتمد")*ROW('حجز الإجازات'!$B$5:$B$104))=0,"",INDEX('حجز الإجازات'!$C$5:$C$104,(SUMPRODUCT(('حجز الإجازات'!$B$5:$B$104='الموظفون'!$B$3)*('حجز الإجازات'!$D$5:$D$104&lt;=FR$3)*(('حجز الإجازات'!$E$5:$E$104)&gt;=FR$3)*('حجز الإجازات'!$G$5:$G$104="معتمد")*ROW('حجز الإجازات'!$B$5:$B$104)))-5+1))</f>
        <v/>
      </c>
      <c r="FS5" s="62">
        <f>IF(SUMPRODUCT(('حجز الإجازات'!$B$5:$B$104='الموظفون'!$B$3)*('حجز الإجازات'!$D$5:$D$104&lt;=FS$3)*(('حجز الإجازات'!$E$5:$E$104)&gt;=FS$3)*('حجز الإجازات'!$G$5:$G$104="معتمد")*ROW('حجز الإجازات'!$B$5:$B$104))=0,"",INDEX('حجز الإجازات'!$C$5:$C$104,(SUMPRODUCT(('حجز الإجازات'!$B$5:$B$104='الموظفون'!$B$3)*('حجز الإجازات'!$D$5:$D$104&lt;=FS$3)*(('حجز الإجازات'!$E$5:$E$104)&gt;=FS$3)*('حجز الإجازات'!$G$5:$G$104="معتمد")*ROW('حجز الإجازات'!$B$5:$B$104)))-5+1))</f>
        <v/>
      </c>
      <c r="FT5" s="62">
        <f>IF(SUMPRODUCT(('حجز الإجازات'!$B$5:$B$104='الموظفون'!$B$3)*('حجز الإجازات'!$D$5:$D$104&lt;=FT$3)*(('حجز الإجازات'!$E$5:$E$104)&gt;=FT$3)*('حجز الإجازات'!$G$5:$G$104="معتمد")*ROW('حجز الإجازات'!$B$5:$B$104))=0,"",INDEX('حجز الإجازات'!$C$5:$C$104,(SUMPRODUCT(('حجز الإجازات'!$B$5:$B$104='الموظفون'!$B$3)*('حجز الإجازات'!$D$5:$D$104&lt;=FT$3)*(('حجز الإجازات'!$E$5:$E$104)&gt;=FT$3)*('حجز الإجازات'!$G$5:$G$104="معتمد")*ROW('حجز الإجازات'!$B$5:$B$104)))-5+1))</f>
        <v/>
      </c>
      <c r="FU5" s="62">
        <f>IF(SUMPRODUCT(('حجز الإجازات'!$B$5:$B$104='الموظفون'!$B$3)*('حجز الإجازات'!$D$5:$D$104&lt;=FU$3)*(('حجز الإجازات'!$E$5:$E$104)&gt;=FU$3)*('حجز الإجازات'!$G$5:$G$104="معتمد")*ROW('حجز الإجازات'!$B$5:$B$104))=0,"",INDEX('حجز الإجازات'!$C$5:$C$104,(SUMPRODUCT(('حجز الإجازات'!$B$5:$B$104='الموظفون'!$B$3)*('حجز الإجازات'!$D$5:$D$104&lt;=FU$3)*(('حجز الإجازات'!$E$5:$E$104)&gt;=FU$3)*('حجز الإجازات'!$G$5:$G$104="معتمد")*ROW('حجز الإجازات'!$B$5:$B$104)))-5+1))</f>
        <v/>
      </c>
      <c r="FV5" s="62">
        <f>IF(SUMPRODUCT(('حجز الإجازات'!$B$5:$B$104='الموظفون'!$B$3)*('حجز الإجازات'!$D$5:$D$104&lt;=FV$3)*(('حجز الإجازات'!$E$5:$E$104)&gt;=FV$3)*('حجز الإجازات'!$G$5:$G$104="معتمد")*ROW('حجز الإجازات'!$B$5:$B$104))=0,"",INDEX('حجز الإجازات'!$C$5:$C$104,(SUMPRODUCT(('حجز الإجازات'!$B$5:$B$104='الموظفون'!$B$3)*('حجز الإجازات'!$D$5:$D$104&lt;=FV$3)*(('حجز الإجازات'!$E$5:$E$104)&gt;=FV$3)*('حجز الإجازات'!$G$5:$G$104="معتمد")*ROW('حجز الإجازات'!$B$5:$B$104)))-5+1))</f>
        <v/>
      </c>
      <c r="FW5" s="62">
        <f>IF(SUMPRODUCT(('حجز الإجازات'!$B$5:$B$104='الموظفون'!$B$3)*('حجز الإجازات'!$D$5:$D$104&lt;=FW$3)*(('حجز الإجازات'!$E$5:$E$104)&gt;=FW$3)*('حجز الإجازات'!$G$5:$G$104="معتمد")*ROW('حجز الإجازات'!$B$5:$B$104))=0,"",INDEX('حجز الإجازات'!$C$5:$C$104,(SUMPRODUCT(('حجز الإجازات'!$B$5:$B$104='الموظفون'!$B$3)*('حجز الإجازات'!$D$5:$D$104&lt;=FW$3)*(('حجز الإجازات'!$E$5:$E$104)&gt;=FW$3)*('حجز الإجازات'!$G$5:$G$104="معتمد")*ROW('حجز الإجازات'!$B$5:$B$104)))-5+1))</f>
        <v/>
      </c>
      <c r="FX5" s="62">
        <f>IF(SUMPRODUCT(('حجز الإجازات'!$B$5:$B$104='الموظفون'!$B$3)*('حجز الإجازات'!$D$5:$D$104&lt;=FX$3)*(('حجز الإجازات'!$E$5:$E$104)&gt;=FX$3)*('حجز الإجازات'!$G$5:$G$104="معتمد")*ROW('حجز الإجازات'!$B$5:$B$104))=0,"",INDEX('حجز الإجازات'!$C$5:$C$104,(SUMPRODUCT(('حجز الإجازات'!$B$5:$B$104='الموظفون'!$B$3)*('حجز الإجازات'!$D$5:$D$104&lt;=FX$3)*(('حجز الإجازات'!$E$5:$E$104)&gt;=FX$3)*('حجز الإجازات'!$G$5:$G$104="معتمد")*ROW('حجز الإجازات'!$B$5:$B$104)))-5+1))</f>
        <v/>
      </c>
      <c r="FY5" s="62">
        <f>IF(SUMPRODUCT(('حجز الإجازات'!$B$5:$B$104='الموظفون'!$B$3)*('حجز الإجازات'!$D$5:$D$104&lt;=FY$3)*(('حجز الإجازات'!$E$5:$E$104)&gt;=FY$3)*('حجز الإجازات'!$G$5:$G$104="معتمد")*ROW('حجز الإجازات'!$B$5:$B$104))=0,"",INDEX('حجز الإجازات'!$C$5:$C$104,(SUMPRODUCT(('حجز الإجازات'!$B$5:$B$104='الموظفون'!$B$3)*('حجز الإجازات'!$D$5:$D$104&lt;=FY$3)*(('حجز الإجازات'!$E$5:$E$104)&gt;=FY$3)*('حجز الإجازات'!$G$5:$G$104="معتمد")*ROW('حجز الإجازات'!$B$5:$B$104)))-5+1))</f>
        <v/>
      </c>
      <c r="FZ5" s="62">
        <f>IF(SUMPRODUCT(('حجز الإجازات'!$B$5:$B$104='الموظفون'!$B$3)*('حجز الإجازات'!$D$5:$D$104&lt;=FZ$3)*(('حجز الإجازات'!$E$5:$E$104)&gt;=FZ$3)*('حجز الإجازات'!$G$5:$G$104="معتمد")*ROW('حجز الإجازات'!$B$5:$B$104))=0,"",INDEX('حجز الإجازات'!$C$5:$C$104,(SUMPRODUCT(('حجز الإجازات'!$B$5:$B$104='الموظفون'!$B$3)*('حجز الإجازات'!$D$5:$D$104&lt;=FZ$3)*(('حجز الإجازات'!$E$5:$E$104)&gt;=FZ$3)*('حجز الإجازات'!$G$5:$G$104="معتمد")*ROW('حجز الإجازات'!$B$5:$B$104)))-5+1))</f>
        <v/>
      </c>
      <c r="GA5" s="62">
        <f>IF(SUMPRODUCT(('حجز الإجازات'!$B$5:$B$104='الموظفون'!$B$3)*('حجز الإجازات'!$D$5:$D$104&lt;=GA$3)*(('حجز الإجازات'!$E$5:$E$104)&gt;=GA$3)*('حجز الإجازات'!$G$5:$G$104="معتمد")*ROW('حجز الإجازات'!$B$5:$B$104))=0,"",INDEX('حجز الإجازات'!$C$5:$C$104,(SUMPRODUCT(('حجز الإجازات'!$B$5:$B$104='الموظفون'!$B$3)*('حجز الإجازات'!$D$5:$D$104&lt;=GA$3)*(('حجز الإجازات'!$E$5:$E$104)&gt;=GA$3)*('حجز الإجازات'!$G$5:$G$104="معتمد")*ROW('حجز الإجازات'!$B$5:$B$104)))-5+1))</f>
        <v/>
      </c>
      <c r="GB5" s="62">
        <f>IF(SUMPRODUCT(('حجز الإجازات'!$B$5:$B$104='الموظفون'!$B$3)*('حجز الإجازات'!$D$5:$D$104&lt;=GB$3)*(('حجز الإجازات'!$E$5:$E$104)&gt;=GB$3)*('حجز الإجازات'!$G$5:$G$104="معتمد")*ROW('حجز الإجازات'!$B$5:$B$104))=0,"",INDEX('حجز الإجازات'!$C$5:$C$104,(SUMPRODUCT(('حجز الإجازات'!$B$5:$B$104='الموظفون'!$B$3)*('حجز الإجازات'!$D$5:$D$104&lt;=GB$3)*(('حجز الإجازات'!$E$5:$E$104)&gt;=GB$3)*('حجز الإجازات'!$G$5:$G$104="معتمد")*ROW('حجز الإجازات'!$B$5:$B$104)))-5+1))</f>
        <v/>
      </c>
      <c r="GC5" s="62">
        <f>IF(SUMPRODUCT(('حجز الإجازات'!$B$5:$B$104='الموظفون'!$B$3)*('حجز الإجازات'!$D$5:$D$104&lt;=GC$3)*(('حجز الإجازات'!$E$5:$E$104)&gt;=GC$3)*('حجز الإجازات'!$G$5:$G$104="معتمد")*ROW('حجز الإجازات'!$B$5:$B$104))=0,"",INDEX('حجز الإجازات'!$C$5:$C$104,(SUMPRODUCT(('حجز الإجازات'!$B$5:$B$104='الموظفون'!$B$3)*('حجز الإجازات'!$D$5:$D$104&lt;=GC$3)*(('حجز الإجازات'!$E$5:$E$104)&gt;=GC$3)*('حجز الإجازات'!$G$5:$G$104="معتمد")*ROW('حجز الإجازات'!$B$5:$B$104)))-5+1))</f>
        <v/>
      </c>
      <c r="GD5" s="62">
        <f>IF(SUMPRODUCT(('حجز الإجازات'!$B$5:$B$104='الموظفون'!$B$3)*('حجز الإجازات'!$D$5:$D$104&lt;=GD$3)*(('حجز الإجازات'!$E$5:$E$104)&gt;=GD$3)*('حجز الإجازات'!$G$5:$G$104="معتمد")*ROW('حجز الإجازات'!$B$5:$B$104))=0,"",INDEX('حجز الإجازات'!$C$5:$C$104,(SUMPRODUCT(('حجز الإجازات'!$B$5:$B$104='الموظفون'!$B$3)*('حجز الإجازات'!$D$5:$D$104&lt;=GD$3)*(('حجز الإجازات'!$E$5:$E$104)&gt;=GD$3)*('حجز الإجازات'!$G$5:$G$104="معتمد")*ROW('حجز الإجازات'!$B$5:$B$104)))-5+1))</f>
        <v/>
      </c>
      <c r="GE5" s="62">
        <f>IF(SUMPRODUCT(('حجز الإجازات'!$B$5:$B$104='الموظفون'!$B$3)*('حجز الإجازات'!$D$5:$D$104&lt;=GE$3)*(('حجز الإجازات'!$E$5:$E$104)&gt;=GE$3)*('حجز الإجازات'!$G$5:$G$104="معتمد")*ROW('حجز الإجازات'!$B$5:$B$104))=0,"",INDEX('حجز الإجازات'!$C$5:$C$104,(SUMPRODUCT(('حجز الإجازات'!$B$5:$B$104='الموظفون'!$B$3)*('حجز الإجازات'!$D$5:$D$104&lt;=GE$3)*(('حجز الإجازات'!$E$5:$E$104)&gt;=GE$3)*('حجز الإجازات'!$G$5:$G$104="معتمد")*ROW('حجز الإجازات'!$B$5:$B$104)))-5+1))</f>
        <v/>
      </c>
      <c r="GF5" s="62">
        <f>IF(SUMPRODUCT(('حجز الإجازات'!$B$5:$B$104='الموظفون'!$B$3)*('حجز الإجازات'!$D$5:$D$104&lt;=GF$3)*(('حجز الإجازات'!$E$5:$E$104)&gt;=GF$3)*('حجز الإجازات'!$G$5:$G$104="معتمد")*ROW('حجز الإجازات'!$B$5:$B$104))=0,"",INDEX('حجز الإجازات'!$C$5:$C$104,(SUMPRODUCT(('حجز الإجازات'!$B$5:$B$104='الموظفون'!$B$3)*('حجز الإجازات'!$D$5:$D$104&lt;=GF$3)*(('حجز الإجازات'!$E$5:$E$104)&gt;=GF$3)*('حجز الإجازات'!$G$5:$G$104="معتمد")*ROW('حجز الإجازات'!$B$5:$B$104)))-5+1))</f>
        <v/>
      </c>
      <c r="GG5" s="62">
        <f>IF(SUMPRODUCT(('حجز الإجازات'!$B$5:$B$104='الموظفون'!$B$3)*('حجز الإجازات'!$D$5:$D$104&lt;=GG$3)*(('حجز الإجازات'!$E$5:$E$104)&gt;=GG$3)*('حجز الإجازات'!$G$5:$G$104="معتمد")*ROW('حجز الإجازات'!$B$5:$B$104))=0,"",INDEX('حجز الإجازات'!$C$5:$C$104,(SUMPRODUCT(('حجز الإجازات'!$B$5:$B$104='الموظفون'!$B$3)*('حجز الإجازات'!$D$5:$D$104&lt;=GG$3)*(('حجز الإجازات'!$E$5:$E$104)&gt;=GG$3)*('حجز الإجازات'!$G$5:$G$104="معتمد")*ROW('حجز الإجازات'!$B$5:$B$104)))-5+1))</f>
        <v/>
      </c>
      <c r="GH5" s="62">
        <f>IF(SUMPRODUCT(('حجز الإجازات'!$B$5:$B$104='الموظفون'!$B$3)*('حجز الإجازات'!$D$5:$D$104&lt;=GH$3)*(('حجز الإجازات'!$E$5:$E$104)&gt;=GH$3)*('حجز الإجازات'!$G$5:$G$104="معتمد")*ROW('حجز الإجازات'!$B$5:$B$104))=0,"",INDEX('حجز الإجازات'!$C$5:$C$104,(SUMPRODUCT(('حجز الإجازات'!$B$5:$B$104='الموظفون'!$B$3)*('حجز الإجازات'!$D$5:$D$104&lt;=GH$3)*(('حجز الإجازات'!$E$5:$E$104)&gt;=GH$3)*('حجز الإجازات'!$G$5:$G$104="معتمد")*ROW('حجز الإجازات'!$B$5:$B$104)))-5+1))</f>
        <v/>
      </c>
      <c r="GI5" s="62">
        <f>IF(SUMPRODUCT(('حجز الإجازات'!$B$5:$B$104='الموظفون'!$B$3)*('حجز الإجازات'!$D$5:$D$104&lt;=GI$3)*(('حجز الإجازات'!$E$5:$E$104)&gt;=GI$3)*('حجز الإجازات'!$G$5:$G$104="معتمد")*ROW('حجز الإجازات'!$B$5:$B$104))=0,"",INDEX('حجز الإجازات'!$C$5:$C$104,(SUMPRODUCT(('حجز الإجازات'!$B$5:$B$104='الموظفون'!$B$3)*('حجز الإجازات'!$D$5:$D$104&lt;=GI$3)*(('حجز الإجازات'!$E$5:$E$104)&gt;=GI$3)*('حجز الإجازات'!$G$5:$G$104="معتمد")*ROW('حجز الإجازات'!$B$5:$B$104)))-5+1))</f>
        <v/>
      </c>
      <c r="GJ5" s="62">
        <f>IF(SUMPRODUCT(('حجز الإجازات'!$B$5:$B$104='الموظفون'!$B$3)*('حجز الإجازات'!$D$5:$D$104&lt;=GJ$3)*(('حجز الإجازات'!$E$5:$E$104)&gt;=GJ$3)*('حجز الإجازات'!$G$5:$G$104="معتمد")*ROW('حجز الإجازات'!$B$5:$B$104))=0,"",INDEX('حجز الإجازات'!$C$5:$C$104,(SUMPRODUCT(('حجز الإجازات'!$B$5:$B$104='الموظفون'!$B$3)*('حجز الإجازات'!$D$5:$D$104&lt;=GJ$3)*(('حجز الإجازات'!$E$5:$E$104)&gt;=GJ$3)*('حجز الإجازات'!$G$5:$G$104="معتمد")*ROW('حجز الإجازات'!$B$5:$B$104)))-5+1))</f>
        <v/>
      </c>
      <c r="GK5" s="62">
        <f>IF(SUMPRODUCT(('حجز الإجازات'!$B$5:$B$104='الموظفون'!$B$3)*('حجز الإجازات'!$D$5:$D$104&lt;=GK$3)*(('حجز الإجازات'!$E$5:$E$104)&gt;=GK$3)*('حجز الإجازات'!$G$5:$G$104="معتمد")*ROW('حجز الإجازات'!$B$5:$B$104))=0,"",INDEX('حجز الإجازات'!$C$5:$C$104,(SUMPRODUCT(('حجز الإجازات'!$B$5:$B$104='الموظفون'!$B$3)*('حجز الإجازات'!$D$5:$D$104&lt;=GK$3)*(('حجز الإجازات'!$E$5:$E$104)&gt;=GK$3)*('حجز الإجازات'!$G$5:$G$104="معتمد")*ROW('حجز الإجازات'!$B$5:$B$104)))-5+1))</f>
        <v/>
      </c>
      <c r="GL5" s="62">
        <f>IF(SUMPRODUCT(('حجز الإجازات'!$B$5:$B$104='الموظفون'!$B$3)*('حجز الإجازات'!$D$5:$D$104&lt;=GL$3)*(('حجز الإجازات'!$E$5:$E$104)&gt;=GL$3)*('حجز الإجازات'!$G$5:$G$104="معتمد")*ROW('حجز الإجازات'!$B$5:$B$104))=0,"",INDEX('حجز الإجازات'!$C$5:$C$104,(SUMPRODUCT(('حجز الإجازات'!$B$5:$B$104='الموظفون'!$B$3)*('حجز الإجازات'!$D$5:$D$104&lt;=GL$3)*(('حجز الإجازات'!$E$5:$E$104)&gt;=GL$3)*('حجز الإجازات'!$G$5:$G$104="معتمد")*ROW('حجز الإجازات'!$B$5:$B$104)))-5+1))</f>
        <v/>
      </c>
      <c r="GM5" s="62">
        <f>IF(SUMPRODUCT(('حجز الإجازات'!$B$5:$B$104='الموظفون'!$B$3)*('حجز الإجازات'!$D$5:$D$104&lt;=GM$3)*(('حجز الإجازات'!$E$5:$E$104)&gt;=GM$3)*('حجز الإجازات'!$G$5:$G$104="معتمد")*ROW('حجز الإجازات'!$B$5:$B$104))=0,"",INDEX('حجز الإجازات'!$C$5:$C$104,(SUMPRODUCT(('حجز الإجازات'!$B$5:$B$104='الموظفون'!$B$3)*('حجز الإجازات'!$D$5:$D$104&lt;=GM$3)*(('حجز الإجازات'!$E$5:$E$104)&gt;=GM$3)*('حجز الإجازات'!$G$5:$G$104="معتمد")*ROW('حجز الإجازات'!$B$5:$B$104)))-5+1))</f>
        <v/>
      </c>
      <c r="GN5" s="62">
        <f>IF(SUMPRODUCT(('حجز الإجازات'!$B$5:$B$104='الموظفون'!$B$3)*('حجز الإجازات'!$D$5:$D$104&lt;=GN$3)*(('حجز الإجازات'!$E$5:$E$104)&gt;=GN$3)*('حجز الإجازات'!$G$5:$G$104="معتمد")*ROW('حجز الإجازات'!$B$5:$B$104))=0,"",INDEX('حجز الإجازات'!$C$5:$C$104,(SUMPRODUCT(('حجز الإجازات'!$B$5:$B$104='الموظفون'!$B$3)*('حجز الإجازات'!$D$5:$D$104&lt;=GN$3)*(('حجز الإجازات'!$E$5:$E$104)&gt;=GN$3)*('حجز الإجازات'!$G$5:$G$104="معتمد")*ROW('حجز الإجازات'!$B$5:$B$104)))-5+1))</f>
        <v/>
      </c>
      <c r="GO5" s="62">
        <f>IF(SUMPRODUCT(('حجز الإجازات'!$B$5:$B$104='الموظفون'!$B$3)*('حجز الإجازات'!$D$5:$D$104&lt;=GO$3)*(('حجز الإجازات'!$E$5:$E$104)&gt;=GO$3)*('حجز الإجازات'!$G$5:$G$104="معتمد")*ROW('حجز الإجازات'!$B$5:$B$104))=0,"",INDEX('حجز الإجازات'!$C$5:$C$104,(SUMPRODUCT(('حجز الإجازات'!$B$5:$B$104='الموظفون'!$B$3)*('حجز الإجازات'!$D$5:$D$104&lt;=GO$3)*(('حجز الإجازات'!$E$5:$E$104)&gt;=GO$3)*('حجز الإجازات'!$G$5:$G$104="معتمد")*ROW('حجز الإجازات'!$B$5:$B$104)))-5+1))</f>
        <v/>
      </c>
      <c r="GP5" s="62">
        <f>IF(SUMPRODUCT(('حجز الإجازات'!$B$5:$B$104='الموظفون'!$B$3)*('حجز الإجازات'!$D$5:$D$104&lt;=GP$3)*(('حجز الإجازات'!$E$5:$E$104)&gt;=GP$3)*('حجز الإجازات'!$G$5:$G$104="معتمد")*ROW('حجز الإجازات'!$B$5:$B$104))=0,"",INDEX('حجز الإجازات'!$C$5:$C$104,(SUMPRODUCT(('حجز الإجازات'!$B$5:$B$104='الموظفون'!$B$3)*('حجز الإجازات'!$D$5:$D$104&lt;=GP$3)*(('حجز الإجازات'!$E$5:$E$104)&gt;=GP$3)*('حجز الإجازات'!$G$5:$G$104="معتمد")*ROW('حجز الإجازات'!$B$5:$B$104)))-5+1))</f>
        <v/>
      </c>
      <c r="GQ5" s="62">
        <f>IF(SUMPRODUCT(('حجز الإجازات'!$B$5:$B$104='الموظفون'!$B$3)*('حجز الإجازات'!$D$5:$D$104&lt;=GQ$3)*(('حجز الإجازات'!$E$5:$E$104)&gt;=GQ$3)*('حجز الإجازات'!$G$5:$G$104="معتمد")*ROW('حجز الإجازات'!$B$5:$B$104))=0,"",INDEX('حجز الإجازات'!$C$5:$C$104,(SUMPRODUCT(('حجز الإجازات'!$B$5:$B$104='الموظفون'!$B$3)*('حجز الإجازات'!$D$5:$D$104&lt;=GQ$3)*(('حجز الإجازات'!$E$5:$E$104)&gt;=GQ$3)*('حجز الإجازات'!$G$5:$G$104="معتمد")*ROW('حجز الإجازات'!$B$5:$B$104)))-5+1))</f>
        <v/>
      </c>
      <c r="GR5" s="62">
        <f>IF(SUMPRODUCT(('حجز الإجازات'!$B$5:$B$104='الموظفون'!$B$3)*('حجز الإجازات'!$D$5:$D$104&lt;=GR$3)*(('حجز الإجازات'!$E$5:$E$104)&gt;=GR$3)*('حجز الإجازات'!$G$5:$G$104="معتمد")*ROW('حجز الإجازات'!$B$5:$B$104))=0,"",INDEX('حجز الإجازات'!$C$5:$C$104,(SUMPRODUCT(('حجز الإجازات'!$B$5:$B$104='الموظفون'!$B$3)*('حجز الإجازات'!$D$5:$D$104&lt;=GR$3)*(('حجز الإجازات'!$E$5:$E$104)&gt;=GR$3)*('حجز الإجازات'!$G$5:$G$104="معتمد")*ROW('حجز الإجازات'!$B$5:$B$104)))-5+1))</f>
        <v/>
      </c>
      <c r="GS5" s="62">
        <f>IF(SUMPRODUCT(('حجز الإجازات'!$B$5:$B$104='الموظفون'!$B$3)*('حجز الإجازات'!$D$5:$D$104&lt;=GS$3)*(('حجز الإجازات'!$E$5:$E$104)&gt;=GS$3)*('حجز الإجازات'!$G$5:$G$104="معتمد")*ROW('حجز الإجازات'!$B$5:$B$104))=0,"",INDEX('حجز الإجازات'!$C$5:$C$104,(SUMPRODUCT(('حجز الإجازات'!$B$5:$B$104='الموظفون'!$B$3)*('حجز الإجازات'!$D$5:$D$104&lt;=GS$3)*(('حجز الإجازات'!$E$5:$E$104)&gt;=GS$3)*('حجز الإجازات'!$G$5:$G$104="معتمد")*ROW('حجز الإجازات'!$B$5:$B$104)))-5+1))</f>
        <v/>
      </c>
      <c r="GT5" s="62">
        <f>IF(SUMPRODUCT(('حجز الإجازات'!$B$5:$B$104='الموظفون'!$B$3)*('حجز الإجازات'!$D$5:$D$104&lt;=GT$3)*(('حجز الإجازات'!$E$5:$E$104)&gt;=GT$3)*('حجز الإجازات'!$G$5:$G$104="معتمد")*ROW('حجز الإجازات'!$B$5:$B$104))=0,"",INDEX('حجز الإجازات'!$C$5:$C$104,(SUMPRODUCT(('حجز الإجازات'!$B$5:$B$104='الموظفون'!$B$3)*('حجز الإجازات'!$D$5:$D$104&lt;=GT$3)*(('حجز الإجازات'!$E$5:$E$104)&gt;=GT$3)*('حجز الإجازات'!$G$5:$G$104="معتمد")*ROW('حجز الإجازات'!$B$5:$B$104)))-5+1))</f>
        <v/>
      </c>
      <c r="GU5" s="62">
        <f>IF(SUMPRODUCT(('حجز الإجازات'!$B$5:$B$104='الموظفون'!$B$3)*('حجز الإجازات'!$D$5:$D$104&lt;=GU$3)*(('حجز الإجازات'!$E$5:$E$104)&gt;=GU$3)*('حجز الإجازات'!$G$5:$G$104="معتمد")*ROW('حجز الإجازات'!$B$5:$B$104))=0,"",INDEX('حجز الإجازات'!$C$5:$C$104,(SUMPRODUCT(('حجز الإجازات'!$B$5:$B$104='الموظفون'!$B$3)*('حجز الإجازات'!$D$5:$D$104&lt;=GU$3)*(('حجز الإجازات'!$E$5:$E$104)&gt;=GU$3)*('حجز الإجازات'!$G$5:$G$104="معتمد")*ROW('حجز الإجازات'!$B$5:$B$104)))-5+1))</f>
        <v/>
      </c>
      <c r="GV5" s="62">
        <f>IF(SUMPRODUCT(('حجز الإجازات'!$B$5:$B$104='الموظفون'!$B$3)*('حجز الإجازات'!$D$5:$D$104&lt;=GV$3)*(('حجز الإجازات'!$E$5:$E$104)&gt;=GV$3)*('حجز الإجازات'!$G$5:$G$104="معتمد")*ROW('حجز الإجازات'!$B$5:$B$104))=0,"",INDEX('حجز الإجازات'!$C$5:$C$104,(SUMPRODUCT(('حجز الإجازات'!$B$5:$B$104='الموظفون'!$B$3)*('حجز الإجازات'!$D$5:$D$104&lt;=GV$3)*(('حجز الإجازات'!$E$5:$E$104)&gt;=GV$3)*('حجز الإجازات'!$G$5:$G$104="معتمد")*ROW('حجز الإجازات'!$B$5:$B$104)))-5+1))</f>
        <v/>
      </c>
      <c r="GW5" s="62">
        <f>IF(SUMPRODUCT(('حجز الإجازات'!$B$5:$B$104='الموظفون'!$B$3)*('حجز الإجازات'!$D$5:$D$104&lt;=GW$3)*(('حجز الإجازات'!$E$5:$E$104)&gt;=GW$3)*('حجز الإجازات'!$G$5:$G$104="معتمد")*ROW('حجز الإجازات'!$B$5:$B$104))=0,"",INDEX('حجز الإجازات'!$C$5:$C$104,(SUMPRODUCT(('حجز الإجازات'!$B$5:$B$104='الموظفون'!$B$3)*('حجز الإجازات'!$D$5:$D$104&lt;=GW$3)*(('حجز الإجازات'!$E$5:$E$104)&gt;=GW$3)*('حجز الإجازات'!$G$5:$G$104="معتمد")*ROW('حجز الإجازات'!$B$5:$B$104)))-5+1))</f>
        <v/>
      </c>
      <c r="GX5" s="62">
        <f>IF(SUMPRODUCT(('حجز الإجازات'!$B$5:$B$104='الموظفون'!$B$3)*('حجز الإجازات'!$D$5:$D$104&lt;=GX$3)*(('حجز الإجازات'!$E$5:$E$104)&gt;=GX$3)*('حجز الإجازات'!$G$5:$G$104="معتمد")*ROW('حجز الإجازات'!$B$5:$B$104))=0,"",INDEX('حجز الإجازات'!$C$5:$C$104,(SUMPRODUCT(('حجز الإجازات'!$B$5:$B$104='الموظفون'!$B$3)*('حجز الإجازات'!$D$5:$D$104&lt;=GX$3)*(('حجز الإجازات'!$E$5:$E$104)&gt;=GX$3)*('حجز الإجازات'!$G$5:$G$104="معتمد")*ROW('حجز الإجازات'!$B$5:$B$104)))-5+1))</f>
        <v/>
      </c>
      <c r="GY5" s="62">
        <f>IF(SUMPRODUCT(('حجز الإجازات'!$B$5:$B$104='الموظفون'!$B$3)*('حجز الإجازات'!$D$5:$D$104&lt;=GY$3)*(('حجز الإجازات'!$E$5:$E$104)&gt;=GY$3)*('حجز الإجازات'!$G$5:$G$104="معتمد")*ROW('حجز الإجازات'!$B$5:$B$104))=0,"",INDEX('حجز الإجازات'!$C$5:$C$104,(SUMPRODUCT(('حجز الإجازات'!$B$5:$B$104='الموظفون'!$B$3)*('حجز الإجازات'!$D$5:$D$104&lt;=GY$3)*(('حجز الإجازات'!$E$5:$E$104)&gt;=GY$3)*('حجز الإجازات'!$G$5:$G$104="معتمد")*ROW('حجز الإجازات'!$B$5:$B$104)))-5+1))</f>
        <v/>
      </c>
      <c r="GZ5" s="62">
        <f>IF(SUMPRODUCT(('حجز الإجازات'!$B$5:$B$104='الموظفون'!$B$3)*('حجز الإجازات'!$D$5:$D$104&lt;=GZ$3)*(('حجز الإجازات'!$E$5:$E$104)&gt;=GZ$3)*('حجز الإجازات'!$G$5:$G$104="معتمد")*ROW('حجز الإجازات'!$B$5:$B$104))=0,"",INDEX('حجز الإجازات'!$C$5:$C$104,(SUMPRODUCT(('حجز الإجازات'!$B$5:$B$104='الموظفون'!$B$3)*('حجز الإجازات'!$D$5:$D$104&lt;=GZ$3)*(('حجز الإجازات'!$E$5:$E$104)&gt;=GZ$3)*('حجز الإجازات'!$G$5:$G$104="معتمد")*ROW('حجز الإجازات'!$B$5:$B$104)))-5+1))</f>
        <v/>
      </c>
      <c r="HA5" s="62">
        <f>IF(SUMPRODUCT(('حجز الإجازات'!$B$5:$B$104='الموظفون'!$B$3)*('حجز الإجازات'!$D$5:$D$104&lt;=HA$3)*(('حجز الإجازات'!$E$5:$E$104)&gt;=HA$3)*('حجز الإجازات'!$G$5:$G$104="معتمد")*ROW('حجز الإجازات'!$B$5:$B$104))=0,"",INDEX('حجز الإجازات'!$C$5:$C$104,(SUMPRODUCT(('حجز الإجازات'!$B$5:$B$104='الموظفون'!$B$3)*('حجز الإجازات'!$D$5:$D$104&lt;=HA$3)*(('حجز الإجازات'!$E$5:$E$104)&gt;=HA$3)*('حجز الإجازات'!$G$5:$G$104="معتمد")*ROW('حجز الإجازات'!$B$5:$B$104)))-5+1))</f>
        <v/>
      </c>
      <c r="HB5" s="62">
        <f>IF(SUMPRODUCT(('حجز الإجازات'!$B$5:$B$104='الموظفون'!$B$3)*('حجز الإجازات'!$D$5:$D$104&lt;=HB$3)*(('حجز الإجازات'!$E$5:$E$104)&gt;=HB$3)*('حجز الإجازات'!$G$5:$G$104="معتمد")*ROW('حجز الإجازات'!$B$5:$B$104))=0,"",INDEX('حجز الإجازات'!$C$5:$C$104,(SUMPRODUCT(('حجز الإجازات'!$B$5:$B$104='الموظفون'!$B$3)*('حجز الإجازات'!$D$5:$D$104&lt;=HB$3)*(('حجز الإجازات'!$E$5:$E$104)&gt;=HB$3)*('حجز الإجازات'!$G$5:$G$104="معتمد")*ROW('حجز الإجازات'!$B$5:$B$104)))-5+1))</f>
        <v/>
      </c>
      <c r="HC5" s="62">
        <f>IF(SUMPRODUCT(('حجز الإجازات'!$B$5:$B$104='الموظفون'!$B$3)*('حجز الإجازات'!$D$5:$D$104&lt;=HC$3)*(('حجز الإجازات'!$E$5:$E$104)&gt;=HC$3)*('حجز الإجازات'!$G$5:$G$104="معتمد")*ROW('حجز الإجازات'!$B$5:$B$104))=0,"",INDEX('حجز الإجازات'!$C$5:$C$104,(SUMPRODUCT(('حجز الإجازات'!$B$5:$B$104='الموظفون'!$B$3)*('حجز الإجازات'!$D$5:$D$104&lt;=HC$3)*(('حجز الإجازات'!$E$5:$E$104)&gt;=HC$3)*('حجز الإجازات'!$G$5:$G$104="معتمد")*ROW('حجز الإجازات'!$B$5:$B$104)))-5+1))</f>
        <v/>
      </c>
      <c r="HD5" s="62">
        <f>IF(SUMPRODUCT(('حجز الإجازات'!$B$5:$B$104='الموظفون'!$B$3)*('حجز الإجازات'!$D$5:$D$104&lt;=HD$3)*(('حجز الإجازات'!$E$5:$E$104)&gt;=HD$3)*('حجز الإجازات'!$G$5:$G$104="معتمد")*ROW('حجز الإجازات'!$B$5:$B$104))=0,"",INDEX('حجز الإجازات'!$C$5:$C$104,(SUMPRODUCT(('حجز الإجازات'!$B$5:$B$104='الموظفون'!$B$3)*('حجز الإجازات'!$D$5:$D$104&lt;=HD$3)*(('حجز الإجازات'!$E$5:$E$104)&gt;=HD$3)*('حجز الإجازات'!$G$5:$G$104="معتمد")*ROW('حجز الإجازات'!$B$5:$B$104)))-5+1))</f>
        <v/>
      </c>
      <c r="HE5" s="62">
        <f>IF(SUMPRODUCT(('حجز الإجازات'!$B$5:$B$104='الموظفون'!$B$3)*('حجز الإجازات'!$D$5:$D$104&lt;=HE$3)*(('حجز الإجازات'!$E$5:$E$104)&gt;=HE$3)*('حجز الإجازات'!$G$5:$G$104="معتمد")*ROW('حجز الإجازات'!$B$5:$B$104))=0,"",INDEX('حجز الإجازات'!$C$5:$C$104,(SUMPRODUCT(('حجز الإجازات'!$B$5:$B$104='الموظفون'!$B$3)*('حجز الإجازات'!$D$5:$D$104&lt;=HE$3)*(('حجز الإجازات'!$E$5:$E$104)&gt;=HE$3)*('حجز الإجازات'!$G$5:$G$104="معتمد")*ROW('حجز الإجازات'!$B$5:$B$104)))-5+1))</f>
        <v/>
      </c>
      <c r="HF5" s="62">
        <f>IF(SUMPRODUCT(('حجز الإجازات'!$B$5:$B$104='الموظفون'!$B$3)*('حجز الإجازات'!$D$5:$D$104&lt;=HF$3)*(('حجز الإجازات'!$E$5:$E$104)&gt;=HF$3)*('حجز الإجازات'!$G$5:$G$104="معتمد")*ROW('حجز الإجازات'!$B$5:$B$104))=0,"",INDEX('حجز الإجازات'!$C$5:$C$104,(SUMPRODUCT(('حجز الإجازات'!$B$5:$B$104='الموظفون'!$B$3)*('حجز الإجازات'!$D$5:$D$104&lt;=HF$3)*(('حجز الإجازات'!$E$5:$E$104)&gt;=HF$3)*('حجز الإجازات'!$G$5:$G$104="معتمد")*ROW('حجز الإجازات'!$B$5:$B$104)))-5+1))</f>
        <v/>
      </c>
      <c r="HG5" s="62">
        <f>IF(SUMPRODUCT(('حجز الإجازات'!$B$5:$B$104='الموظفون'!$B$3)*('حجز الإجازات'!$D$5:$D$104&lt;=HG$3)*(('حجز الإجازات'!$E$5:$E$104)&gt;=HG$3)*('حجز الإجازات'!$G$5:$G$104="معتمد")*ROW('حجز الإجازات'!$B$5:$B$104))=0,"",INDEX('حجز الإجازات'!$C$5:$C$104,(SUMPRODUCT(('حجز الإجازات'!$B$5:$B$104='الموظفون'!$B$3)*('حجز الإجازات'!$D$5:$D$104&lt;=HG$3)*(('حجز الإجازات'!$E$5:$E$104)&gt;=HG$3)*('حجز الإجازات'!$G$5:$G$104="معتمد")*ROW('حجز الإجازات'!$B$5:$B$104)))-5+1))</f>
        <v/>
      </c>
      <c r="HH5" s="62">
        <f>IF(SUMPRODUCT(('حجز الإجازات'!$B$5:$B$104='الموظفون'!$B$3)*('حجز الإجازات'!$D$5:$D$104&lt;=HH$3)*(('حجز الإجازات'!$E$5:$E$104)&gt;=HH$3)*('حجز الإجازات'!$G$5:$G$104="معتمد")*ROW('حجز الإجازات'!$B$5:$B$104))=0,"",INDEX('حجز الإجازات'!$C$5:$C$104,(SUMPRODUCT(('حجز الإجازات'!$B$5:$B$104='الموظفون'!$B$3)*('حجز الإجازات'!$D$5:$D$104&lt;=HH$3)*(('حجز الإجازات'!$E$5:$E$104)&gt;=HH$3)*('حجز الإجازات'!$G$5:$G$104="معتمد")*ROW('حجز الإجازات'!$B$5:$B$104)))-5+1))</f>
        <v/>
      </c>
      <c r="HI5" s="62">
        <f>IF(SUMPRODUCT(('حجز الإجازات'!$B$5:$B$104='الموظفون'!$B$3)*('حجز الإجازات'!$D$5:$D$104&lt;=HI$3)*(('حجز الإجازات'!$E$5:$E$104)&gt;=HI$3)*('حجز الإجازات'!$G$5:$G$104="معتمد")*ROW('حجز الإجازات'!$B$5:$B$104))=0,"",INDEX('حجز الإجازات'!$C$5:$C$104,(SUMPRODUCT(('حجز الإجازات'!$B$5:$B$104='الموظفون'!$B$3)*('حجز الإجازات'!$D$5:$D$104&lt;=HI$3)*(('حجز الإجازات'!$E$5:$E$104)&gt;=HI$3)*('حجز الإجازات'!$G$5:$G$104="معتمد")*ROW('حجز الإجازات'!$B$5:$B$104)))-5+1))</f>
        <v/>
      </c>
      <c r="HJ5" s="62">
        <f>IF(SUMPRODUCT(('حجز الإجازات'!$B$5:$B$104='الموظفون'!$B$3)*('حجز الإجازات'!$D$5:$D$104&lt;=HJ$3)*(('حجز الإجازات'!$E$5:$E$104)&gt;=HJ$3)*('حجز الإجازات'!$G$5:$G$104="معتمد")*ROW('حجز الإجازات'!$B$5:$B$104))=0,"",INDEX('حجز الإجازات'!$C$5:$C$104,(SUMPRODUCT(('حجز الإجازات'!$B$5:$B$104='الموظفون'!$B$3)*('حجز الإجازات'!$D$5:$D$104&lt;=HJ$3)*(('حجز الإجازات'!$E$5:$E$104)&gt;=HJ$3)*('حجز الإجازات'!$G$5:$G$104="معتمد")*ROW('حجز الإجازات'!$B$5:$B$104)))-5+1))</f>
        <v/>
      </c>
      <c r="HK5" s="62">
        <f>IF(SUMPRODUCT(('حجز الإجازات'!$B$5:$B$104='الموظفون'!$B$3)*('حجز الإجازات'!$D$5:$D$104&lt;=HK$3)*(('حجز الإجازات'!$E$5:$E$104)&gt;=HK$3)*('حجز الإجازات'!$G$5:$G$104="معتمد")*ROW('حجز الإجازات'!$B$5:$B$104))=0,"",INDEX('حجز الإجازات'!$C$5:$C$104,(SUMPRODUCT(('حجز الإجازات'!$B$5:$B$104='الموظفون'!$B$3)*('حجز الإجازات'!$D$5:$D$104&lt;=HK$3)*(('حجز الإجازات'!$E$5:$E$104)&gt;=HK$3)*('حجز الإجازات'!$G$5:$G$104="معتمد")*ROW('حجز الإجازات'!$B$5:$B$104)))-5+1))</f>
        <v/>
      </c>
      <c r="HL5" s="62">
        <f>IF(SUMPRODUCT(('حجز الإجازات'!$B$5:$B$104='الموظفون'!$B$3)*('حجز الإجازات'!$D$5:$D$104&lt;=HL$3)*(('حجز الإجازات'!$E$5:$E$104)&gt;=HL$3)*('حجز الإجازات'!$G$5:$G$104="معتمد")*ROW('حجز الإجازات'!$B$5:$B$104))=0,"",INDEX('حجز الإجازات'!$C$5:$C$104,(SUMPRODUCT(('حجز الإجازات'!$B$5:$B$104='الموظفون'!$B$3)*('حجز الإجازات'!$D$5:$D$104&lt;=HL$3)*(('حجز الإجازات'!$E$5:$E$104)&gt;=HL$3)*('حجز الإجازات'!$G$5:$G$104="معتمد")*ROW('حجز الإجازات'!$B$5:$B$104)))-5+1))</f>
        <v/>
      </c>
      <c r="HM5" s="62">
        <f>IF(SUMPRODUCT(('حجز الإجازات'!$B$5:$B$104='الموظفون'!$B$3)*('حجز الإجازات'!$D$5:$D$104&lt;=HM$3)*(('حجز الإجازات'!$E$5:$E$104)&gt;=HM$3)*('حجز الإجازات'!$G$5:$G$104="معتمد")*ROW('حجز الإجازات'!$B$5:$B$104))=0,"",INDEX('حجز الإجازات'!$C$5:$C$104,(SUMPRODUCT(('حجز الإجازات'!$B$5:$B$104='الموظفون'!$B$3)*('حجز الإجازات'!$D$5:$D$104&lt;=HM$3)*(('حجز الإجازات'!$E$5:$E$104)&gt;=HM$3)*('حجز الإجازات'!$G$5:$G$104="معتمد")*ROW('حجز الإجازات'!$B$5:$B$104)))-5+1))</f>
        <v/>
      </c>
      <c r="HN5" s="62">
        <f>IF(SUMPRODUCT(('حجز الإجازات'!$B$5:$B$104='الموظفون'!$B$3)*('حجز الإجازات'!$D$5:$D$104&lt;=HN$3)*(('حجز الإجازات'!$E$5:$E$104)&gt;=HN$3)*('حجز الإجازات'!$G$5:$G$104="معتمد")*ROW('حجز الإجازات'!$B$5:$B$104))=0,"",INDEX('حجز الإجازات'!$C$5:$C$104,(SUMPRODUCT(('حجز الإجازات'!$B$5:$B$104='الموظفون'!$B$3)*('حجز الإجازات'!$D$5:$D$104&lt;=HN$3)*(('حجز الإجازات'!$E$5:$E$104)&gt;=HN$3)*('حجز الإجازات'!$G$5:$G$104="معتمد")*ROW('حجز الإجازات'!$B$5:$B$104)))-5+1))</f>
        <v/>
      </c>
      <c r="HO5" s="62">
        <f>IF(SUMPRODUCT(('حجز الإجازات'!$B$5:$B$104='الموظفون'!$B$3)*('حجز الإجازات'!$D$5:$D$104&lt;=HO$3)*(('حجز الإجازات'!$E$5:$E$104)&gt;=HO$3)*('حجز الإجازات'!$G$5:$G$104="معتمد")*ROW('حجز الإجازات'!$B$5:$B$104))=0,"",INDEX('حجز الإجازات'!$C$5:$C$104,(SUMPRODUCT(('حجز الإجازات'!$B$5:$B$104='الموظفون'!$B$3)*('حجز الإجازات'!$D$5:$D$104&lt;=HO$3)*(('حجز الإجازات'!$E$5:$E$104)&gt;=HO$3)*('حجز الإجازات'!$G$5:$G$104="معتمد")*ROW('حجز الإجازات'!$B$5:$B$104)))-5+1))</f>
        <v/>
      </c>
      <c r="HP5" s="62">
        <f>IF(SUMPRODUCT(('حجز الإجازات'!$B$5:$B$104='الموظفون'!$B$3)*('حجز الإجازات'!$D$5:$D$104&lt;=HP$3)*(('حجز الإجازات'!$E$5:$E$104)&gt;=HP$3)*('حجز الإجازات'!$G$5:$G$104="معتمد")*ROW('حجز الإجازات'!$B$5:$B$104))=0,"",INDEX('حجز الإجازات'!$C$5:$C$104,(SUMPRODUCT(('حجز الإجازات'!$B$5:$B$104='الموظفون'!$B$3)*('حجز الإجازات'!$D$5:$D$104&lt;=HP$3)*(('حجز الإجازات'!$E$5:$E$104)&gt;=HP$3)*('حجز الإجازات'!$G$5:$G$104="معتمد")*ROW('حجز الإجازات'!$B$5:$B$104)))-5+1))</f>
        <v/>
      </c>
      <c r="HQ5" s="62">
        <f>IF(SUMPRODUCT(('حجز الإجازات'!$B$5:$B$104='الموظفون'!$B$3)*('حجز الإجازات'!$D$5:$D$104&lt;=HQ$3)*(('حجز الإجازات'!$E$5:$E$104)&gt;=HQ$3)*('حجز الإجازات'!$G$5:$G$104="معتمد")*ROW('حجز الإجازات'!$B$5:$B$104))=0,"",INDEX('حجز الإجازات'!$C$5:$C$104,(SUMPRODUCT(('حجز الإجازات'!$B$5:$B$104='الموظفون'!$B$3)*('حجز الإجازات'!$D$5:$D$104&lt;=HQ$3)*(('حجز الإجازات'!$E$5:$E$104)&gt;=HQ$3)*('حجز الإجازات'!$G$5:$G$104="معتمد")*ROW('حجز الإجازات'!$B$5:$B$104)))-5+1))</f>
        <v/>
      </c>
      <c r="HR5" s="62">
        <f>IF(SUMPRODUCT(('حجز الإجازات'!$B$5:$B$104='الموظفون'!$B$3)*('حجز الإجازات'!$D$5:$D$104&lt;=HR$3)*(('حجز الإجازات'!$E$5:$E$104)&gt;=HR$3)*('حجز الإجازات'!$G$5:$G$104="معتمد")*ROW('حجز الإجازات'!$B$5:$B$104))=0,"",INDEX('حجز الإجازات'!$C$5:$C$104,(SUMPRODUCT(('حجز الإجازات'!$B$5:$B$104='الموظفون'!$B$3)*('حجز الإجازات'!$D$5:$D$104&lt;=HR$3)*(('حجز الإجازات'!$E$5:$E$104)&gt;=HR$3)*('حجز الإجازات'!$G$5:$G$104="معتمد")*ROW('حجز الإجازات'!$B$5:$B$104)))-5+1))</f>
        <v/>
      </c>
      <c r="HS5" s="62">
        <f>IF(SUMPRODUCT(('حجز الإجازات'!$B$5:$B$104='الموظفون'!$B$3)*('حجز الإجازات'!$D$5:$D$104&lt;=HS$3)*(('حجز الإجازات'!$E$5:$E$104)&gt;=HS$3)*('حجز الإجازات'!$G$5:$G$104="معتمد")*ROW('حجز الإجازات'!$B$5:$B$104))=0,"",INDEX('حجز الإجازات'!$C$5:$C$104,(SUMPRODUCT(('حجز الإجازات'!$B$5:$B$104='الموظفون'!$B$3)*('حجز الإجازات'!$D$5:$D$104&lt;=HS$3)*(('حجز الإجازات'!$E$5:$E$104)&gt;=HS$3)*('حجز الإجازات'!$G$5:$G$104="معتمد")*ROW('حجز الإجازات'!$B$5:$B$104)))-5+1))</f>
        <v/>
      </c>
      <c r="HT5" s="62">
        <f>IF(SUMPRODUCT(('حجز الإجازات'!$B$5:$B$104='الموظفون'!$B$3)*('حجز الإجازات'!$D$5:$D$104&lt;=HT$3)*(('حجز الإجازات'!$E$5:$E$104)&gt;=HT$3)*('حجز الإجازات'!$G$5:$G$104="معتمد")*ROW('حجز الإجازات'!$B$5:$B$104))=0,"",INDEX('حجز الإجازات'!$C$5:$C$104,(SUMPRODUCT(('حجز الإجازات'!$B$5:$B$104='الموظفون'!$B$3)*('حجز الإجازات'!$D$5:$D$104&lt;=HT$3)*(('حجز الإجازات'!$E$5:$E$104)&gt;=HT$3)*('حجز الإجازات'!$G$5:$G$104="معتمد")*ROW('حجز الإجازات'!$B$5:$B$104)))-5+1))</f>
        <v/>
      </c>
      <c r="HU5" s="62">
        <f>IF(SUMPRODUCT(('حجز الإجازات'!$B$5:$B$104='الموظفون'!$B$3)*('حجز الإجازات'!$D$5:$D$104&lt;=HU$3)*(('حجز الإجازات'!$E$5:$E$104)&gt;=HU$3)*('حجز الإجازات'!$G$5:$G$104="معتمد")*ROW('حجز الإجازات'!$B$5:$B$104))=0,"",INDEX('حجز الإجازات'!$C$5:$C$104,(SUMPRODUCT(('حجز الإجازات'!$B$5:$B$104='الموظفون'!$B$3)*('حجز الإجازات'!$D$5:$D$104&lt;=HU$3)*(('حجز الإجازات'!$E$5:$E$104)&gt;=HU$3)*('حجز الإجازات'!$G$5:$G$104="معتمد")*ROW('حجز الإجازات'!$B$5:$B$104)))-5+1))</f>
        <v/>
      </c>
      <c r="HV5" s="62">
        <f>IF(SUMPRODUCT(('حجز الإجازات'!$B$5:$B$104='الموظفون'!$B$3)*('حجز الإجازات'!$D$5:$D$104&lt;=HV$3)*(('حجز الإجازات'!$E$5:$E$104)&gt;=HV$3)*('حجز الإجازات'!$G$5:$G$104="معتمد")*ROW('حجز الإجازات'!$B$5:$B$104))=0,"",INDEX('حجز الإجازات'!$C$5:$C$104,(SUMPRODUCT(('حجز الإجازات'!$B$5:$B$104='الموظفون'!$B$3)*('حجز الإجازات'!$D$5:$D$104&lt;=HV$3)*(('حجز الإجازات'!$E$5:$E$104)&gt;=HV$3)*('حجز الإجازات'!$G$5:$G$104="معتمد")*ROW('حجز الإجازات'!$B$5:$B$104)))-5+1))</f>
        <v/>
      </c>
      <c r="HW5" s="62">
        <f>IF(SUMPRODUCT(('حجز الإجازات'!$B$5:$B$104='الموظفون'!$B$3)*('حجز الإجازات'!$D$5:$D$104&lt;=HW$3)*(('حجز الإجازات'!$E$5:$E$104)&gt;=HW$3)*('حجز الإجازات'!$G$5:$G$104="معتمد")*ROW('حجز الإجازات'!$B$5:$B$104))=0,"",INDEX('حجز الإجازات'!$C$5:$C$104,(SUMPRODUCT(('حجز الإجازات'!$B$5:$B$104='الموظفون'!$B$3)*('حجز الإجازات'!$D$5:$D$104&lt;=HW$3)*(('حجز الإجازات'!$E$5:$E$104)&gt;=HW$3)*('حجز الإجازات'!$G$5:$G$104="معتمد")*ROW('حجز الإجازات'!$B$5:$B$104)))-5+1))</f>
        <v/>
      </c>
      <c r="HX5" s="62">
        <f>IF(SUMPRODUCT(('حجز الإجازات'!$B$5:$B$104='الموظفون'!$B$3)*('حجز الإجازات'!$D$5:$D$104&lt;=HX$3)*(('حجز الإجازات'!$E$5:$E$104)&gt;=HX$3)*('حجز الإجازات'!$G$5:$G$104="معتمد")*ROW('حجز الإجازات'!$B$5:$B$104))=0,"",INDEX('حجز الإجازات'!$C$5:$C$104,(SUMPRODUCT(('حجز الإجازات'!$B$5:$B$104='الموظفون'!$B$3)*('حجز الإجازات'!$D$5:$D$104&lt;=HX$3)*(('حجز الإجازات'!$E$5:$E$104)&gt;=HX$3)*('حجز الإجازات'!$G$5:$G$104="معتمد")*ROW('حجز الإجازات'!$B$5:$B$104)))-5+1))</f>
        <v/>
      </c>
      <c r="HY5" s="62">
        <f>IF(SUMPRODUCT(('حجز الإجازات'!$B$5:$B$104='الموظفون'!$B$3)*('حجز الإجازات'!$D$5:$D$104&lt;=HY$3)*(('حجز الإجازات'!$E$5:$E$104)&gt;=HY$3)*('حجز الإجازات'!$G$5:$G$104="معتمد")*ROW('حجز الإجازات'!$B$5:$B$104))=0,"",INDEX('حجز الإجازات'!$C$5:$C$104,(SUMPRODUCT(('حجز الإجازات'!$B$5:$B$104='الموظفون'!$B$3)*('حجز الإجازات'!$D$5:$D$104&lt;=HY$3)*(('حجز الإجازات'!$E$5:$E$104)&gt;=HY$3)*('حجز الإجازات'!$G$5:$G$104="معتمد")*ROW('حجز الإجازات'!$B$5:$B$104)))-5+1))</f>
        <v/>
      </c>
      <c r="HZ5" s="62">
        <f>IF(SUMPRODUCT(('حجز الإجازات'!$B$5:$B$104='الموظفون'!$B$3)*('حجز الإجازات'!$D$5:$D$104&lt;=HZ$3)*(('حجز الإجازات'!$E$5:$E$104)&gt;=HZ$3)*('حجز الإجازات'!$G$5:$G$104="معتمد")*ROW('حجز الإجازات'!$B$5:$B$104))=0,"",INDEX('حجز الإجازات'!$C$5:$C$104,(SUMPRODUCT(('حجز الإجازات'!$B$5:$B$104='الموظفون'!$B$3)*('حجز الإجازات'!$D$5:$D$104&lt;=HZ$3)*(('حجز الإجازات'!$E$5:$E$104)&gt;=HZ$3)*('حجز الإجازات'!$G$5:$G$104="معتمد")*ROW('حجز الإجازات'!$B$5:$B$104)))-5+1))</f>
        <v/>
      </c>
      <c r="IA5" s="62">
        <f>IF(SUMPRODUCT(('حجز الإجازات'!$B$5:$B$104='الموظفون'!$B$3)*('حجز الإجازات'!$D$5:$D$104&lt;=IA$3)*(('حجز الإجازات'!$E$5:$E$104)&gt;=IA$3)*('حجز الإجازات'!$G$5:$G$104="معتمد")*ROW('حجز الإجازات'!$B$5:$B$104))=0,"",INDEX('حجز الإجازات'!$C$5:$C$104,(SUMPRODUCT(('حجز الإجازات'!$B$5:$B$104='الموظفون'!$B$3)*('حجز الإجازات'!$D$5:$D$104&lt;=IA$3)*(('حجز الإجازات'!$E$5:$E$104)&gt;=IA$3)*('حجز الإجازات'!$G$5:$G$104="معتمد")*ROW('حجز الإجازات'!$B$5:$B$104)))-5+1))</f>
        <v/>
      </c>
      <c r="IB5" s="62">
        <f>IF(SUMPRODUCT(('حجز الإجازات'!$B$5:$B$104='الموظفون'!$B$3)*('حجز الإجازات'!$D$5:$D$104&lt;=IB$3)*(('حجز الإجازات'!$E$5:$E$104)&gt;=IB$3)*('حجز الإجازات'!$G$5:$G$104="معتمد")*ROW('حجز الإجازات'!$B$5:$B$104))=0,"",INDEX('حجز الإجازات'!$C$5:$C$104,(SUMPRODUCT(('حجز الإجازات'!$B$5:$B$104='الموظفون'!$B$3)*('حجز الإجازات'!$D$5:$D$104&lt;=IB$3)*(('حجز الإجازات'!$E$5:$E$104)&gt;=IB$3)*('حجز الإجازات'!$G$5:$G$104="معتمد")*ROW('حجز الإجازات'!$B$5:$B$104)))-5+1))</f>
        <v/>
      </c>
      <c r="IC5" s="62">
        <f>IF(SUMPRODUCT(('حجز الإجازات'!$B$5:$B$104='الموظفون'!$B$3)*('حجز الإجازات'!$D$5:$D$104&lt;=IC$3)*(('حجز الإجازات'!$E$5:$E$104)&gt;=IC$3)*('حجز الإجازات'!$G$5:$G$104="معتمد")*ROW('حجز الإجازات'!$B$5:$B$104))=0,"",INDEX('حجز الإجازات'!$C$5:$C$104,(SUMPRODUCT(('حجز الإجازات'!$B$5:$B$104='الموظفون'!$B$3)*('حجز الإجازات'!$D$5:$D$104&lt;=IC$3)*(('حجز الإجازات'!$E$5:$E$104)&gt;=IC$3)*('حجز الإجازات'!$G$5:$G$104="معتمد")*ROW('حجز الإجازات'!$B$5:$B$104)))-5+1))</f>
        <v/>
      </c>
      <c r="ID5" s="62">
        <f>IF(SUMPRODUCT(('حجز الإجازات'!$B$5:$B$104='الموظفون'!$B$3)*('حجز الإجازات'!$D$5:$D$104&lt;=ID$3)*(('حجز الإجازات'!$E$5:$E$104)&gt;=ID$3)*('حجز الإجازات'!$G$5:$G$104="معتمد")*ROW('حجز الإجازات'!$B$5:$B$104))=0,"",INDEX('حجز الإجازات'!$C$5:$C$104,(SUMPRODUCT(('حجز الإجازات'!$B$5:$B$104='الموظفون'!$B$3)*('حجز الإجازات'!$D$5:$D$104&lt;=ID$3)*(('حجز الإجازات'!$E$5:$E$104)&gt;=ID$3)*('حجز الإجازات'!$G$5:$G$104="معتمد")*ROW('حجز الإجازات'!$B$5:$B$104)))-5+1))</f>
        <v/>
      </c>
      <c r="IE5" s="62">
        <f>IF(SUMPRODUCT(('حجز الإجازات'!$B$5:$B$104='الموظفون'!$B$3)*('حجز الإجازات'!$D$5:$D$104&lt;=IE$3)*(('حجز الإجازات'!$E$5:$E$104)&gt;=IE$3)*('حجز الإجازات'!$G$5:$G$104="معتمد")*ROW('حجز الإجازات'!$B$5:$B$104))=0,"",INDEX('حجز الإجازات'!$C$5:$C$104,(SUMPRODUCT(('حجز الإجازات'!$B$5:$B$104='الموظفون'!$B$3)*('حجز الإجازات'!$D$5:$D$104&lt;=IE$3)*(('حجز الإجازات'!$E$5:$E$104)&gt;=IE$3)*('حجز الإجازات'!$G$5:$G$104="معتمد")*ROW('حجز الإجازات'!$B$5:$B$104)))-5+1))</f>
        <v/>
      </c>
      <c r="IF5" s="62">
        <f>IF(SUMPRODUCT(('حجز الإجازات'!$B$5:$B$104='الموظفون'!$B$3)*('حجز الإجازات'!$D$5:$D$104&lt;=IF$3)*(('حجز الإجازات'!$E$5:$E$104)&gt;=IF$3)*('حجز الإجازات'!$G$5:$G$104="معتمد")*ROW('حجز الإجازات'!$B$5:$B$104))=0,"",INDEX('حجز الإجازات'!$C$5:$C$104,(SUMPRODUCT(('حجز الإجازات'!$B$5:$B$104='الموظفون'!$B$3)*('حجز الإجازات'!$D$5:$D$104&lt;=IF$3)*(('حجز الإجازات'!$E$5:$E$104)&gt;=IF$3)*('حجز الإجازات'!$G$5:$G$104="معتمد")*ROW('حجز الإجازات'!$B$5:$B$104)))-5+1))</f>
        <v/>
      </c>
      <c r="IG5" s="62">
        <f>IF(SUMPRODUCT(('حجز الإجازات'!$B$5:$B$104='الموظفون'!$B$3)*('حجز الإجازات'!$D$5:$D$104&lt;=IG$3)*(('حجز الإجازات'!$E$5:$E$104)&gt;=IG$3)*('حجز الإجازات'!$G$5:$G$104="معتمد")*ROW('حجز الإجازات'!$B$5:$B$104))=0,"",INDEX('حجز الإجازات'!$C$5:$C$104,(SUMPRODUCT(('حجز الإجازات'!$B$5:$B$104='الموظفون'!$B$3)*('حجز الإجازات'!$D$5:$D$104&lt;=IG$3)*(('حجز الإجازات'!$E$5:$E$104)&gt;=IG$3)*('حجز الإجازات'!$G$5:$G$104="معتمد")*ROW('حجز الإجازات'!$B$5:$B$104)))-5+1))</f>
        <v/>
      </c>
      <c r="IH5" s="62">
        <f>IF(SUMPRODUCT(('حجز الإجازات'!$B$5:$B$104='الموظفون'!$B$3)*('حجز الإجازات'!$D$5:$D$104&lt;=IH$3)*(('حجز الإجازات'!$E$5:$E$104)&gt;=IH$3)*('حجز الإجازات'!$G$5:$G$104="معتمد")*ROW('حجز الإجازات'!$B$5:$B$104))=0,"",INDEX('حجز الإجازات'!$C$5:$C$104,(SUMPRODUCT(('حجز الإجازات'!$B$5:$B$104='الموظفون'!$B$3)*('حجز الإجازات'!$D$5:$D$104&lt;=IH$3)*(('حجز الإجازات'!$E$5:$E$104)&gt;=IH$3)*('حجز الإجازات'!$G$5:$G$104="معتمد")*ROW('حجز الإجازات'!$B$5:$B$104)))-5+1))</f>
        <v/>
      </c>
      <c r="II5" s="62">
        <f>IF(SUMPRODUCT(('حجز الإجازات'!$B$5:$B$104='الموظفون'!$B$3)*('حجز الإجازات'!$D$5:$D$104&lt;=II$3)*(('حجز الإجازات'!$E$5:$E$104)&gt;=II$3)*('حجز الإجازات'!$G$5:$G$104="معتمد")*ROW('حجز الإجازات'!$B$5:$B$104))=0,"",INDEX('حجز الإجازات'!$C$5:$C$104,(SUMPRODUCT(('حجز الإجازات'!$B$5:$B$104='الموظفون'!$B$3)*('حجز الإجازات'!$D$5:$D$104&lt;=II$3)*(('حجز الإجازات'!$E$5:$E$104)&gt;=II$3)*('حجز الإجازات'!$G$5:$G$104="معتمد")*ROW('حجز الإجازات'!$B$5:$B$104)))-5+1))</f>
        <v/>
      </c>
      <c r="IJ5" s="62">
        <f>IF(SUMPRODUCT(('حجز الإجازات'!$B$5:$B$104='الموظفون'!$B$3)*('حجز الإجازات'!$D$5:$D$104&lt;=IJ$3)*(('حجز الإجازات'!$E$5:$E$104)&gt;=IJ$3)*('حجز الإجازات'!$G$5:$G$104="معتمد")*ROW('حجز الإجازات'!$B$5:$B$104))=0,"",INDEX('حجز الإجازات'!$C$5:$C$104,(SUMPRODUCT(('حجز الإجازات'!$B$5:$B$104='الموظفون'!$B$3)*('حجز الإجازات'!$D$5:$D$104&lt;=IJ$3)*(('حجز الإجازات'!$E$5:$E$104)&gt;=IJ$3)*('حجز الإجازات'!$G$5:$G$104="معتمد")*ROW('حجز الإجازات'!$B$5:$B$104)))-5+1))</f>
        <v/>
      </c>
      <c r="IK5" s="62">
        <f>IF(SUMPRODUCT(('حجز الإجازات'!$B$5:$B$104='الموظفون'!$B$3)*('حجز الإجازات'!$D$5:$D$104&lt;=IK$3)*(('حجز الإجازات'!$E$5:$E$104)&gt;=IK$3)*('حجز الإجازات'!$G$5:$G$104="معتمد")*ROW('حجز الإجازات'!$B$5:$B$104))=0,"",INDEX('حجز الإجازات'!$C$5:$C$104,(SUMPRODUCT(('حجز الإجازات'!$B$5:$B$104='الموظفون'!$B$3)*('حجز الإجازات'!$D$5:$D$104&lt;=IK$3)*(('حجز الإجازات'!$E$5:$E$104)&gt;=IK$3)*('حجز الإجازات'!$G$5:$G$104="معتمد")*ROW('حجز الإجازات'!$B$5:$B$104)))-5+1))</f>
        <v/>
      </c>
      <c r="IL5" s="62">
        <f>IF(SUMPRODUCT(('حجز الإجازات'!$B$5:$B$104='الموظفون'!$B$3)*('حجز الإجازات'!$D$5:$D$104&lt;=IL$3)*(('حجز الإجازات'!$E$5:$E$104)&gt;=IL$3)*('حجز الإجازات'!$G$5:$G$104="معتمد")*ROW('حجز الإجازات'!$B$5:$B$104))=0,"",INDEX('حجز الإجازات'!$C$5:$C$104,(SUMPRODUCT(('حجز الإجازات'!$B$5:$B$104='الموظفون'!$B$3)*('حجز الإجازات'!$D$5:$D$104&lt;=IL$3)*(('حجز الإجازات'!$E$5:$E$104)&gt;=IL$3)*('حجز الإجازات'!$G$5:$G$104="معتمد")*ROW('حجز الإجازات'!$B$5:$B$104)))-5+1))</f>
        <v/>
      </c>
      <c r="IM5" s="62">
        <f>IF(SUMPRODUCT(('حجز الإجازات'!$B$5:$B$104='الموظفون'!$B$3)*('حجز الإجازات'!$D$5:$D$104&lt;=IM$3)*(('حجز الإجازات'!$E$5:$E$104)&gt;=IM$3)*('حجز الإجازات'!$G$5:$G$104="معتمد")*ROW('حجز الإجازات'!$B$5:$B$104))=0,"",INDEX('حجز الإجازات'!$C$5:$C$104,(SUMPRODUCT(('حجز الإجازات'!$B$5:$B$104='الموظفون'!$B$3)*('حجز الإجازات'!$D$5:$D$104&lt;=IM$3)*(('حجز الإجازات'!$E$5:$E$104)&gt;=IM$3)*('حجز الإجازات'!$G$5:$G$104="معتمد")*ROW('حجز الإجازات'!$B$5:$B$104)))-5+1))</f>
        <v/>
      </c>
      <c r="IN5" s="62">
        <f>IF(SUMPRODUCT(('حجز الإجازات'!$B$5:$B$104='الموظفون'!$B$3)*('حجز الإجازات'!$D$5:$D$104&lt;=IN$3)*(('حجز الإجازات'!$E$5:$E$104)&gt;=IN$3)*('حجز الإجازات'!$G$5:$G$104="معتمد")*ROW('حجز الإجازات'!$B$5:$B$104))=0,"",INDEX('حجز الإجازات'!$C$5:$C$104,(SUMPRODUCT(('حجز الإجازات'!$B$5:$B$104='الموظفون'!$B$3)*('حجز الإجازات'!$D$5:$D$104&lt;=IN$3)*(('حجز الإجازات'!$E$5:$E$104)&gt;=IN$3)*('حجز الإجازات'!$G$5:$G$104="معتمد")*ROW('حجز الإجازات'!$B$5:$B$104)))-5+1))</f>
        <v/>
      </c>
      <c r="IO5" s="62">
        <f>IF(SUMPRODUCT(('حجز الإجازات'!$B$5:$B$104='الموظفون'!$B$3)*('حجز الإجازات'!$D$5:$D$104&lt;=IO$3)*(('حجز الإجازات'!$E$5:$E$104)&gt;=IO$3)*('حجز الإجازات'!$G$5:$G$104="معتمد")*ROW('حجز الإجازات'!$B$5:$B$104))=0,"",INDEX('حجز الإجازات'!$C$5:$C$104,(SUMPRODUCT(('حجز الإجازات'!$B$5:$B$104='الموظفون'!$B$3)*('حجز الإجازات'!$D$5:$D$104&lt;=IO$3)*(('حجز الإجازات'!$E$5:$E$104)&gt;=IO$3)*('حجز الإجازات'!$G$5:$G$104="معتمد")*ROW('حجز الإجازات'!$B$5:$B$104)))-5+1))</f>
        <v/>
      </c>
      <c r="IP5" s="62">
        <f>IF(SUMPRODUCT(('حجز الإجازات'!$B$5:$B$104='الموظفون'!$B$3)*('حجز الإجازات'!$D$5:$D$104&lt;=IP$3)*(('حجز الإجازات'!$E$5:$E$104)&gt;=IP$3)*('حجز الإجازات'!$G$5:$G$104="معتمد")*ROW('حجز الإجازات'!$B$5:$B$104))=0,"",INDEX('حجز الإجازات'!$C$5:$C$104,(SUMPRODUCT(('حجز الإجازات'!$B$5:$B$104='الموظفون'!$B$3)*('حجز الإجازات'!$D$5:$D$104&lt;=IP$3)*(('حجز الإجازات'!$E$5:$E$104)&gt;=IP$3)*('حجز الإجازات'!$G$5:$G$104="معتمد")*ROW('حجز الإجازات'!$B$5:$B$104)))-5+1))</f>
        <v/>
      </c>
      <c r="IQ5" s="62">
        <f>IF(SUMPRODUCT(('حجز الإجازات'!$B$5:$B$104='الموظفون'!$B$3)*('حجز الإجازات'!$D$5:$D$104&lt;=IQ$3)*(('حجز الإجازات'!$E$5:$E$104)&gt;=IQ$3)*('حجز الإجازات'!$G$5:$G$104="معتمد")*ROW('حجز الإجازات'!$B$5:$B$104))=0,"",INDEX('حجز الإجازات'!$C$5:$C$104,(SUMPRODUCT(('حجز الإجازات'!$B$5:$B$104='الموظفون'!$B$3)*('حجز الإجازات'!$D$5:$D$104&lt;=IQ$3)*(('حجز الإجازات'!$E$5:$E$104)&gt;=IQ$3)*('حجز الإجازات'!$G$5:$G$104="معتمد")*ROW('حجز الإجازات'!$B$5:$B$104)))-5+1))</f>
        <v/>
      </c>
      <c r="IR5" s="62">
        <f>IF(SUMPRODUCT(('حجز الإجازات'!$B$5:$B$104='الموظفون'!$B$3)*('حجز الإجازات'!$D$5:$D$104&lt;=IR$3)*(('حجز الإجازات'!$E$5:$E$104)&gt;=IR$3)*('حجز الإجازات'!$G$5:$G$104="معتمد")*ROW('حجز الإجازات'!$B$5:$B$104))=0,"",INDEX('حجز الإجازات'!$C$5:$C$104,(SUMPRODUCT(('حجز الإجازات'!$B$5:$B$104='الموظفون'!$B$3)*('حجز الإجازات'!$D$5:$D$104&lt;=IR$3)*(('حجز الإجازات'!$E$5:$E$104)&gt;=IR$3)*('حجز الإجازات'!$G$5:$G$104="معتمد")*ROW('حجز الإجازات'!$B$5:$B$104)))-5+1))</f>
        <v/>
      </c>
      <c r="IS5" s="62">
        <f>IF(SUMPRODUCT(('حجز الإجازات'!$B$5:$B$104='الموظفون'!$B$3)*('حجز الإجازات'!$D$5:$D$104&lt;=IS$3)*(('حجز الإجازات'!$E$5:$E$104)&gt;=IS$3)*('حجز الإجازات'!$G$5:$G$104="معتمد")*ROW('حجز الإجازات'!$B$5:$B$104))=0,"",INDEX('حجز الإجازات'!$C$5:$C$104,(SUMPRODUCT(('حجز الإجازات'!$B$5:$B$104='الموظفون'!$B$3)*('حجز الإجازات'!$D$5:$D$104&lt;=IS$3)*(('حجز الإجازات'!$E$5:$E$104)&gt;=IS$3)*('حجز الإجازات'!$G$5:$G$104="معتمد")*ROW('حجز الإجازات'!$B$5:$B$104)))-5+1))</f>
        <v/>
      </c>
      <c r="IT5" s="62">
        <f>IF(SUMPRODUCT(('حجز الإجازات'!$B$5:$B$104='الموظفون'!$B$3)*('حجز الإجازات'!$D$5:$D$104&lt;=IT$3)*(('حجز الإجازات'!$E$5:$E$104)&gt;=IT$3)*('حجز الإجازات'!$G$5:$G$104="معتمد")*ROW('حجز الإجازات'!$B$5:$B$104))=0,"",INDEX('حجز الإجازات'!$C$5:$C$104,(SUMPRODUCT(('حجز الإجازات'!$B$5:$B$104='الموظفون'!$B$3)*('حجز الإجازات'!$D$5:$D$104&lt;=IT$3)*(('حجز الإجازات'!$E$5:$E$104)&gt;=IT$3)*('حجز الإجازات'!$G$5:$G$104="معتمد")*ROW('حجز الإجازات'!$B$5:$B$104)))-5+1))</f>
        <v/>
      </c>
      <c r="IU5" s="62">
        <f>IF(SUMPRODUCT(('حجز الإجازات'!$B$5:$B$104='الموظفون'!$B$3)*('حجز الإجازات'!$D$5:$D$104&lt;=IU$3)*(('حجز الإجازات'!$E$5:$E$104)&gt;=IU$3)*('حجز الإجازات'!$G$5:$G$104="معتمد")*ROW('حجز الإجازات'!$B$5:$B$104))=0,"",INDEX('حجز الإجازات'!$C$5:$C$104,(SUMPRODUCT(('حجز الإجازات'!$B$5:$B$104='الموظفون'!$B$3)*('حجز الإجازات'!$D$5:$D$104&lt;=IU$3)*(('حجز الإجازات'!$E$5:$E$104)&gt;=IU$3)*('حجز الإجازات'!$G$5:$G$104="معتمد")*ROW('حجز الإجازات'!$B$5:$B$104)))-5+1))</f>
        <v/>
      </c>
      <c r="IV5" s="62">
        <f>IF(SUMPRODUCT(('حجز الإجازات'!$B$5:$B$104='الموظفون'!$B$3)*('حجز الإجازات'!$D$5:$D$104&lt;=IV$3)*(('حجز الإجازات'!$E$5:$E$104)&gt;=IV$3)*('حجز الإجازات'!$G$5:$G$104="معتمد")*ROW('حجز الإجازات'!$B$5:$B$104))=0,"",INDEX('حجز الإجازات'!$C$5:$C$104,(SUMPRODUCT(('حجز الإجازات'!$B$5:$B$104='الموظفون'!$B$3)*('حجز الإجازات'!$D$5:$D$104&lt;=IV$3)*(('حجز الإجازات'!$E$5:$E$104)&gt;=IV$3)*('حجز الإجازات'!$G$5:$G$104="معتمد")*ROW('حجز الإجازات'!$B$5:$B$104)))-5+1))</f>
        <v/>
      </c>
      <c r="IW5" s="62">
        <f>IF(SUMPRODUCT(('حجز الإجازات'!$B$5:$B$104='الموظفون'!$B$3)*('حجز الإجازات'!$D$5:$D$104&lt;=IW$3)*(('حجز الإجازات'!$E$5:$E$104)&gt;=IW$3)*('حجز الإجازات'!$G$5:$G$104="معتمد")*ROW('حجز الإجازات'!$B$5:$B$104))=0,"",INDEX('حجز الإجازات'!$C$5:$C$104,(SUMPRODUCT(('حجز الإجازات'!$B$5:$B$104='الموظفون'!$B$3)*('حجز الإجازات'!$D$5:$D$104&lt;=IW$3)*(('حجز الإجازات'!$E$5:$E$104)&gt;=IW$3)*('حجز الإجازات'!$G$5:$G$104="معتمد")*ROW('حجز الإجازات'!$B$5:$B$104)))-5+1))</f>
        <v/>
      </c>
      <c r="IX5" s="62">
        <f>IF(SUMPRODUCT(('حجز الإجازات'!$B$5:$B$104='الموظفون'!$B$3)*('حجز الإجازات'!$D$5:$D$104&lt;=IX$3)*(('حجز الإجازات'!$E$5:$E$104)&gt;=IX$3)*('حجز الإجازات'!$G$5:$G$104="معتمد")*ROW('حجز الإجازات'!$B$5:$B$104))=0,"",INDEX('حجز الإجازات'!$C$5:$C$104,(SUMPRODUCT(('حجز الإجازات'!$B$5:$B$104='الموظفون'!$B$3)*('حجز الإجازات'!$D$5:$D$104&lt;=IX$3)*(('حجز الإجازات'!$E$5:$E$104)&gt;=IX$3)*('حجز الإجازات'!$G$5:$G$104="معتمد")*ROW('حجز الإجازات'!$B$5:$B$104)))-5+1))</f>
        <v/>
      </c>
      <c r="IY5" s="62">
        <f>IF(SUMPRODUCT(('حجز الإجازات'!$B$5:$B$104='الموظفون'!$B$3)*('حجز الإجازات'!$D$5:$D$104&lt;=IY$3)*(('حجز الإجازات'!$E$5:$E$104)&gt;=IY$3)*('حجز الإجازات'!$G$5:$G$104="معتمد")*ROW('حجز الإجازات'!$B$5:$B$104))=0,"",INDEX('حجز الإجازات'!$C$5:$C$104,(SUMPRODUCT(('حجز الإجازات'!$B$5:$B$104='الموظفون'!$B$3)*('حجز الإجازات'!$D$5:$D$104&lt;=IY$3)*(('حجز الإجازات'!$E$5:$E$104)&gt;=IY$3)*('حجز الإجازات'!$G$5:$G$104="معتمد")*ROW('حجز الإجازات'!$B$5:$B$104)))-5+1))</f>
        <v/>
      </c>
      <c r="IZ5" s="62">
        <f>IF(SUMPRODUCT(('حجز الإجازات'!$B$5:$B$104='الموظفون'!$B$3)*('حجز الإجازات'!$D$5:$D$104&lt;=IZ$3)*(('حجز الإجازات'!$E$5:$E$104)&gt;=IZ$3)*('حجز الإجازات'!$G$5:$G$104="معتمد")*ROW('حجز الإجازات'!$B$5:$B$104))=0,"",INDEX('حجز الإجازات'!$C$5:$C$104,(SUMPRODUCT(('حجز الإجازات'!$B$5:$B$104='الموظفون'!$B$3)*('حجز الإجازات'!$D$5:$D$104&lt;=IZ$3)*(('حجز الإجازات'!$E$5:$E$104)&gt;=IZ$3)*('حجز الإجازات'!$G$5:$G$104="معتمد")*ROW('حجز الإجازات'!$B$5:$B$104)))-5+1))</f>
        <v/>
      </c>
      <c r="JA5" s="62">
        <f>IF(SUMPRODUCT(('حجز الإجازات'!$B$5:$B$104='الموظفون'!$B$3)*('حجز الإجازات'!$D$5:$D$104&lt;=JA$3)*(('حجز الإجازات'!$E$5:$E$104)&gt;=JA$3)*('حجز الإجازات'!$G$5:$G$104="معتمد")*ROW('حجز الإجازات'!$B$5:$B$104))=0,"",INDEX('حجز الإجازات'!$C$5:$C$104,(SUMPRODUCT(('حجز الإجازات'!$B$5:$B$104='الموظفون'!$B$3)*('حجز الإجازات'!$D$5:$D$104&lt;=JA$3)*(('حجز الإجازات'!$E$5:$E$104)&gt;=JA$3)*('حجز الإجازات'!$G$5:$G$104="معتمد")*ROW('حجز الإجازات'!$B$5:$B$104)))-5+1))</f>
        <v/>
      </c>
      <c r="JB5" s="62">
        <f>IF(SUMPRODUCT(('حجز الإجازات'!$B$5:$B$104='الموظفون'!$B$3)*('حجز الإجازات'!$D$5:$D$104&lt;=JB$3)*(('حجز الإجازات'!$E$5:$E$104)&gt;=JB$3)*('حجز الإجازات'!$G$5:$G$104="معتمد")*ROW('حجز الإجازات'!$B$5:$B$104))=0,"",INDEX('حجز الإجازات'!$C$5:$C$104,(SUMPRODUCT(('حجز الإجازات'!$B$5:$B$104='الموظفون'!$B$3)*('حجز الإجازات'!$D$5:$D$104&lt;=JB$3)*(('حجز الإجازات'!$E$5:$E$104)&gt;=JB$3)*('حجز الإجازات'!$G$5:$G$104="معتمد")*ROW('حجز الإجازات'!$B$5:$B$104)))-5+1))</f>
        <v/>
      </c>
      <c r="JC5" s="62">
        <f>IF(SUMPRODUCT(('حجز الإجازات'!$B$5:$B$104='الموظفون'!$B$3)*('حجز الإجازات'!$D$5:$D$104&lt;=JC$3)*(('حجز الإجازات'!$E$5:$E$104)&gt;=JC$3)*('حجز الإجازات'!$G$5:$G$104="معتمد")*ROW('حجز الإجازات'!$B$5:$B$104))=0,"",INDEX('حجز الإجازات'!$C$5:$C$104,(SUMPRODUCT(('حجز الإجازات'!$B$5:$B$104='الموظفون'!$B$3)*('حجز الإجازات'!$D$5:$D$104&lt;=JC$3)*(('حجز الإجازات'!$E$5:$E$104)&gt;=JC$3)*('حجز الإجازات'!$G$5:$G$104="معتمد")*ROW('حجز الإجازات'!$B$5:$B$104)))-5+1))</f>
        <v/>
      </c>
      <c r="JD5" s="62">
        <f>IF(SUMPRODUCT(('حجز الإجازات'!$B$5:$B$104='الموظفون'!$B$3)*('حجز الإجازات'!$D$5:$D$104&lt;=JD$3)*(('حجز الإجازات'!$E$5:$E$104)&gt;=JD$3)*('حجز الإجازات'!$G$5:$G$104="معتمد")*ROW('حجز الإجازات'!$B$5:$B$104))=0,"",INDEX('حجز الإجازات'!$C$5:$C$104,(SUMPRODUCT(('حجز الإجازات'!$B$5:$B$104='الموظفون'!$B$3)*('حجز الإجازات'!$D$5:$D$104&lt;=JD$3)*(('حجز الإجازات'!$E$5:$E$104)&gt;=JD$3)*('حجز الإجازات'!$G$5:$G$104="معتمد")*ROW('حجز الإجازات'!$B$5:$B$104)))-5+1))</f>
        <v/>
      </c>
      <c r="JE5" s="62">
        <f>IF(SUMPRODUCT(('حجز الإجازات'!$B$5:$B$104='الموظفون'!$B$3)*('حجز الإجازات'!$D$5:$D$104&lt;=JE$3)*(('حجز الإجازات'!$E$5:$E$104)&gt;=JE$3)*('حجز الإجازات'!$G$5:$G$104="معتمد")*ROW('حجز الإجازات'!$B$5:$B$104))=0,"",INDEX('حجز الإجازات'!$C$5:$C$104,(SUMPRODUCT(('حجز الإجازات'!$B$5:$B$104='الموظفون'!$B$3)*('حجز الإجازات'!$D$5:$D$104&lt;=JE$3)*(('حجز الإجازات'!$E$5:$E$104)&gt;=JE$3)*('حجز الإجازات'!$G$5:$G$104="معتمد")*ROW('حجز الإجازات'!$B$5:$B$104)))-5+1))</f>
        <v/>
      </c>
      <c r="JF5" s="62">
        <f>IF(SUMPRODUCT(('حجز الإجازات'!$B$5:$B$104='الموظفون'!$B$3)*('حجز الإجازات'!$D$5:$D$104&lt;=JF$3)*(('حجز الإجازات'!$E$5:$E$104)&gt;=JF$3)*('حجز الإجازات'!$G$5:$G$104="معتمد")*ROW('حجز الإجازات'!$B$5:$B$104))=0,"",INDEX('حجز الإجازات'!$C$5:$C$104,(SUMPRODUCT(('حجز الإجازات'!$B$5:$B$104='الموظفون'!$B$3)*('حجز الإجازات'!$D$5:$D$104&lt;=JF$3)*(('حجز الإجازات'!$E$5:$E$104)&gt;=JF$3)*('حجز الإجازات'!$G$5:$G$104="معتمد")*ROW('حجز الإجازات'!$B$5:$B$104)))-5+1))</f>
        <v/>
      </c>
      <c r="JG5" s="62">
        <f>IF(SUMPRODUCT(('حجز الإجازات'!$B$5:$B$104='الموظفون'!$B$3)*('حجز الإجازات'!$D$5:$D$104&lt;=JG$3)*(('حجز الإجازات'!$E$5:$E$104)&gt;=JG$3)*('حجز الإجازات'!$G$5:$G$104="معتمد")*ROW('حجز الإجازات'!$B$5:$B$104))=0,"",INDEX('حجز الإجازات'!$C$5:$C$104,(SUMPRODUCT(('حجز الإجازات'!$B$5:$B$104='الموظفون'!$B$3)*('حجز الإجازات'!$D$5:$D$104&lt;=JG$3)*(('حجز الإجازات'!$E$5:$E$104)&gt;=JG$3)*('حجز الإجازات'!$G$5:$G$104="معتمد")*ROW('حجز الإجازات'!$B$5:$B$104)))-5+1))</f>
        <v/>
      </c>
      <c r="JH5" s="62">
        <f>IF(SUMPRODUCT(('حجز الإجازات'!$B$5:$B$104='الموظفون'!$B$3)*('حجز الإجازات'!$D$5:$D$104&lt;=JH$3)*(('حجز الإجازات'!$E$5:$E$104)&gt;=JH$3)*('حجز الإجازات'!$G$5:$G$104="معتمد")*ROW('حجز الإجازات'!$B$5:$B$104))=0,"",INDEX('حجز الإجازات'!$C$5:$C$104,(SUMPRODUCT(('حجز الإجازات'!$B$5:$B$104='الموظفون'!$B$3)*('حجز الإجازات'!$D$5:$D$104&lt;=JH$3)*(('حجز الإجازات'!$E$5:$E$104)&gt;=JH$3)*('حجز الإجازات'!$G$5:$G$104="معتمد")*ROW('حجز الإجازات'!$B$5:$B$104)))-5+1))</f>
        <v/>
      </c>
      <c r="JI5" s="62">
        <f>IF(SUMPRODUCT(('حجز الإجازات'!$B$5:$B$104='الموظفون'!$B$3)*('حجز الإجازات'!$D$5:$D$104&lt;=JI$3)*(('حجز الإجازات'!$E$5:$E$104)&gt;=JI$3)*('حجز الإجازات'!$G$5:$G$104="معتمد")*ROW('حجز الإجازات'!$B$5:$B$104))=0,"",INDEX('حجز الإجازات'!$C$5:$C$104,(SUMPRODUCT(('حجز الإجازات'!$B$5:$B$104='الموظفون'!$B$3)*('حجز الإجازات'!$D$5:$D$104&lt;=JI$3)*(('حجز الإجازات'!$E$5:$E$104)&gt;=JI$3)*('حجز الإجازات'!$G$5:$G$104="معتمد")*ROW('حجز الإجازات'!$B$5:$B$104)))-5+1))</f>
        <v/>
      </c>
      <c r="JJ5" s="62">
        <f>IF(SUMPRODUCT(('حجز الإجازات'!$B$5:$B$104='الموظفون'!$B$3)*('حجز الإجازات'!$D$5:$D$104&lt;=JJ$3)*(('حجز الإجازات'!$E$5:$E$104)&gt;=JJ$3)*('حجز الإجازات'!$G$5:$G$104="معتمد")*ROW('حجز الإجازات'!$B$5:$B$104))=0,"",INDEX('حجز الإجازات'!$C$5:$C$104,(SUMPRODUCT(('حجز الإجازات'!$B$5:$B$104='الموظفون'!$B$3)*('حجز الإجازات'!$D$5:$D$104&lt;=JJ$3)*(('حجز الإجازات'!$E$5:$E$104)&gt;=JJ$3)*('حجز الإجازات'!$G$5:$G$104="معتمد")*ROW('حجز الإجازات'!$B$5:$B$104)))-5+1))</f>
        <v/>
      </c>
      <c r="JK5" s="62">
        <f>IF(SUMPRODUCT(('حجز الإجازات'!$B$5:$B$104='الموظفون'!$B$3)*('حجز الإجازات'!$D$5:$D$104&lt;=JK$3)*(('حجز الإجازات'!$E$5:$E$104)&gt;=JK$3)*('حجز الإجازات'!$G$5:$G$104="معتمد")*ROW('حجز الإجازات'!$B$5:$B$104))=0,"",INDEX('حجز الإجازات'!$C$5:$C$104,(SUMPRODUCT(('حجز الإجازات'!$B$5:$B$104='الموظفون'!$B$3)*('حجز الإجازات'!$D$5:$D$104&lt;=JK$3)*(('حجز الإجازات'!$E$5:$E$104)&gt;=JK$3)*('حجز الإجازات'!$G$5:$G$104="معتمد")*ROW('حجز الإجازات'!$B$5:$B$104)))-5+1))</f>
        <v/>
      </c>
      <c r="JL5" s="62">
        <f>IF(SUMPRODUCT(('حجز الإجازات'!$B$5:$B$104='الموظفون'!$B$3)*('حجز الإجازات'!$D$5:$D$104&lt;=JL$3)*(('حجز الإجازات'!$E$5:$E$104)&gt;=JL$3)*('حجز الإجازات'!$G$5:$G$104="معتمد")*ROW('حجز الإجازات'!$B$5:$B$104))=0,"",INDEX('حجز الإجازات'!$C$5:$C$104,(SUMPRODUCT(('حجز الإجازات'!$B$5:$B$104='الموظفون'!$B$3)*('حجز الإجازات'!$D$5:$D$104&lt;=JL$3)*(('حجز الإجازات'!$E$5:$E$104)&gt;=JL$3)*('حجز الإجازات'!$G$5:$G$104="معتمد")*ROW('حجز الإجازات'!$B$5:$B$104)))-5+1))</f>
        <v/>
      </c>
      <c r="JM5" s="62">
        <f>IF(SUMPRODUCT(('حجز الإجازات'!$B$5:$B$104='الموظفون'!$B$3)*('حجز الإجازات'!$D$5:$D$104&lt;=JM$3)*(('حجز الإجازات'!$E$5:$E$104)&gt;=JM$3)*('حجز الإجازات'!$G$5:$G$104="معتمد")*ROW('حجز الإجازات'!$B$5:$B$104))=0,"",INDEX('حجز الإجازات'!$C$5:$C$104,(SUMPRODUCT(('حجز الإجازات'!$B$5:$B$104='الموظفون'!$B$3)*('حجز الإجازات'!$D$5:$D$104&lt;=JM$3)*(('حجز الإجازات'!$E$5:$E$104)&gt;=JM$3)*('حجز الإجازات'!$G$5:$G$104="معتمد")*ROW('حجز الإجازات'!$B$5:$B$104)))-5+1))</f>
        <v/>
      </c>
      <c r="JN5" s="62">
        <f>IF(SUMPRODUCT(('حجز الإجازات'!$B$5:$B$104='الموظفون'!$B$3)*('حجز الإجازات'!$D$5:$D$104&lt;=JN$3)*(('حجز الإجازات'!$E$5:$E$104)&gt;=JN$3)*('حجز الإجازات'!$G$5:$G$104="معتمد")*ROW('حجز الإجازات'!$B$5:$B$104))=0,"",INDEX('حجز الإجازات'!$C$5:$C$104,(SUMPRODUCT(('حجز الإجازات'!$B$5:$B$104='الموظفون'!$B$3)*('حجز الإجازات'!$D$5:$D$104&lt;=JN$3)*(('حجز الإجازات'!$E$5:$E$104)&gt;=JN$3)*('حجز الإجازات'!$G$5:$G$104="معتمد")*ROW('حجز الإجازات'!$B$5:$B$104)))-5+1))</f>
        <v/>
      </c>
      <c r="JO5" s="62">
        <f>IF(SUMPRODUCT(('حجز الإجازات'!$B$5:$B$104='الموظفون'!$B$3)*('حجز الإجازات'!$D$5:$D$104&lt;=JO$3)*(('حجز الإجازات'!$E$5:$E$104)&gt;=JO$3)*('حجز الإجازات'!$G$5:$G$104="معتمد")*ROW('حجز الإجازات'!$B$5:$B$104))=0,"",INDEX('حجز الإجازات'!$C$5:$C$104,(SUMPRODUCT(('حجز الإجازات'!$B$5:$B$104='الموظفون'!$B$3)*('حجز الإجازات'!$D$5:$D$104&lt;=JO$3)*(('حجز الإجازات'!$E$5:$E$104)&gt;=JO$3)*('حجز الإجازات'!$G$5:$G$104="معتمد")*ROW('حجز الإجازات'!$B$5:$B$104)))-5+1))</f>
        <v/>
      </c>
      <c r="JP5" s="62">
        <f>IF(SUMPRODUCT(('حجز الإجازات'!$B$5:$B$104='الموظفون'!$B$3)*('حجز الإجازات'!$D$5:$D$104&lt;=JP$3)*(('حجز الإجازات'!$E$5:$E$104)&gt;=JP$3)*('حجز الإجازات'!$G$5:$G$104="معتمد")*ROW('حجز الإجازات'!$B$5:$B$104))=0,"",INDEX('حجز الإجازات'!$C$5:$C$104,(SUMPRODUCT(('حجز الإجازات'!$B$5:$B$104='الموظفون'!$B$3)*('حجز الإجازات'!$D$5:$D$104&lt;=JP$3)*(('حجز الإجازات'!$E$5:$E$104)&gt;=JP$3)*('حجز الإجازات'!$G$5:$G$104="معتمد")*ROW('حجز الإجازات'!$B$5:$B$104)))-5+1))</f>
        <v/>
      </c>
      <c r="JQ5" s="62">
        <f>IF(SUMPRODUCT(('حجز الإجازات'!$B$5:$B$104='الموظفون'!$B$3)*('حجز الإجازات'!$D$5:$D$104&lt;=JQ$3)*(('حجز الإجازات'!$E$5:$E$104)&gt;=JQ$3)*('حجز الإجازات'!$G$5:$G$104="معتمد")*ROW('حجز الإجازات'!$B$5:$B$104))=0,"",INDEX('حجز الإجازات'!$C$5:$C$104,(SUMPRODUCT(('حجز الإجازات'!$B$5:$B$104='الموظفون'!$B$3)*('حجز الإجازات'!$D$5:$D$104&lt;=JQ$3)*(('حجز الإجازات'!$E$5:$E$104)&gt;=JQ$3)*('حجز الإجازات'!$G$5:$G$104="معتمد")*ROW('حجز الإجازات'!$B$5:$B$104)))-5+1))</f>
        <v/>
      </c>
      <c r="JR5" s="62">
        <f>IF(SUMPRODUCT(('حجز الإجازات'!$B$5:$B$104='الموظفون'!$B$3)*('حجز الإجازات'!$D$5:$D$104&lt;=JR$3)*(('حجز الإجازات'!$E$5:$E$104)&gt;=JR$3)*('حجز الإجازات'!$G$5:$G$104="معتمد")*ROW('حجز الإجازات'!$B$5:$B$104))=0,"",INDEX('حجز الإجازات'!$C$5:$C$104,(SUMPRODUCT(('حجز الإجازات'!$B$5:$B$104='الموظفون'!$B$3)*('حجز الإجازات'!$D$5:$D$104&lt;=JR$3)*(('حجز الإجازات'!$E$5:$E$104)&gt;=JR$3)*('حجز الإجازات'!$G$5:$G$104="معتمد")*ROW('حجز الإجازات'!$B$5:$B$104)))-5+1))</f>
        <v/>
      </c>
      <c r="JS5" s="62">
        <f>IF(SUMPRODUCT(('حجز الإجازات'!$B$5:$B$104='الموظفون'!$B$3)*('حجز الإجازات'!$D$5:$D$104&lt;=JS$3)*(('حجز الإجازات'!$E$5:$E$104)&gt;=JS$3)*('حجز الإجازات'!$G$5:$G$104="معتمد")*ROW('حجز الإجازات'!$B$5:$B$104))=0,"",INDEX('حجز الإجازات'!$C$5:$C$104,(SUMPRODUCT(('حجز الإجازات'!$B$5:$B$104='الموظفون'!$B$3)*('حجز الإجازات'!$D$5:$D$104&lt;=JS$3)*(('حجز الإجازات'!$E$5:$E$104)&gt;=JS$3)*('حجز الإجازات'!$G$5:$G$104="معتمد")*ROW('حجز الإجازات'!$B$5:$B$104)))-5+1))</f>
        <v/>
      </c>
      <c r="JT5" s="62">
        <f>IF(SUMPRODUCT(('حجز الإجازات'!$B$5:$B$104='الموظفون'!$B$3)*('حجز الإجازات'!$D$5:$D$104&lt;=JT$3)*(('حجز الإجازات'!$E$5:$E$104)&gt;=JT$3)*('حجز الإجازات'!$G$5:$G$104="معتمد")*ROW('حجز الإجازات'!$B$5:$B$104))=0,"",INDEX('حجز الإجازات'!$C$5:$C$104,(SUMPRODUCT(('حجز الإجازات'!$B$5:$B$104='الموظفون'!$B$3)*('حجز الإجازات'!$D$5:$D$104&lt;=JT$3)*(('حجز الإجازات'!$E$5:$E$104)&gt;=JT$3)*('حجز الإجازات'!$G$5:$G$104="معتمد")*ROW('حجز الإجازات'!$B$5:$B$104)))-5+1))</f>
        <v/>
      </c>
      <c r="JU5" s="62">
        <f>IF(SUMPRODUCT(('حجز الإجازات'!$B$5:$B$104='الموظفون'!$B$3)*('حجز الإجازات'!$D$5:$D$104&lt;=JU$3)*(('حجز الإجازات'!$E$5:$E$104)&gt;=JU$3)*('حجز الإجازات'!$G$5:$G$104="معتمد")*ROW('حجز الإجازات'!$B$5:$B$104))=0,"",INDEX('حجز الإجازات'!$C$5:$C$104,(SUMPRODUCT(('حجز الإجازات'!$B$5:$B$104='الموظفون'!$B$3)*('حجز الإجازات'!$D$5:$D$104&lt;=JU$3)*(('حجز الإجازات'!$E$5:$E$104)&gt;=JU$3)*('حجز الإجازات'!$G$5:$G$104="معتمد")*ROW('حجز الإجازات'!$B$5:$B$104)))-5+1))</f>
        <v/>
      </c>
      <c r="JV5" s="62">
        <f>IF(SUMPRODUCT(('حجز الإجازات'!$B$5:$B$104='الموظفون'!$B$3)*('حجز الإجازات'!$D$5:$D$104&lt;=JV$3)*(('حجز الإجازات'!$E$5:$E$104)&gt;=JV$3)*('حجز الإجازات'!$G$5:$G$104="معتمد")*ROW('حجز الإجازات'!$B$5:$B$104))=0,"",INDEX('حجز الإجازات'!$C$5:$C$104,(SUMPRODUCT(('حجز الإجازات'!$B$5:$B$104='الموظفون'!$B$3)*('حجز الإجازات'!$D$5:$D$104&lt;=JV$3)*(('حجز الإجازات'!$E$5:$E$104)&gt;=JV$3)*('حجز الإجازات'!$G$5:$G$104="معتمد")*ROW('حجز الإجازات'!$B$5:$B$104)))-5+1))</f>
        <v/>
      </c>
      <c r="JW5" s="62">
        <f>IF(SUMPRODUCT(('حجز الإجازات'!$B$5:$B$104='الموظفون'!$B$3)*('حجز الإجازات'!$D$5:$D$104&lt;=JW$3)*(('حجز الإجازات'!$E$5:$E$104)&gt;=JW$3)*('حجز الإجازات'!$G$5:$G$104="معتمد")*ROW('حجز الإجازات'!$B$5:$B$104))=0,"",INDEX('حجز الإجازات'!$C$5:$C$104,(SUMPRODUCT(('حجز الإجازات'!$B$5:$B$104='الموظفون'!$B$3)*('حجز الإجازات'!$D$5:$D$104&lt;=JW$3)*(('حجز الإجازات'!$E$5:$E$104)&gt;=JW$3)*('حجز الإجازات'!$G$5:$G$104="معتمد")*ROW('حجز الإجازات'!$B$5:$B$104)))-5+1))</f>
        <v/>
      </c>
      <c r="JX5" s="62">
        <f>IF(SUMPRODUCT(('حجز الإجازات'!$B$5:$B$104='الموظفون'!$B$3)*('حجز الإجازات'!$D$5:$D$104&lt;=JX$3)*(('حجز الإجازات'!$E$5:$E$104)&gt;=JX$3)*('حجز الإجازات'!$G$5:$G$104="معتمد")*ROW('حجز الإجازات'!$B$5:$B$104))=0,"",INDEX('حجز الإجازات'!$C$5:$C$104,(SUMPRODUCT(('حجز الإجازات'!$B$5:$B$104='الموظفون'!$B$3)*('حجز الإجازات'!$D$5:$D$104&lt;=JX$3)*(('حجز الإجازات'!$E$5:$E$104)&gt;=JX$3)*('حجز الإجازات'!$G$5:$G$104="معتمد")*ROW('حجز الإجازات'!$B$5:$B$104)))-5+1))</f>
        <v/>
      </c>
      <c r="JY5" s="62">
        <f>IF(SUMPRODUCT(('حجز الإجازات'!$B$5:$B$104='الموظفون'!$B$3)*('حجز الإجازات'!$D$5:$D$104&lt;=JY$3)*(('حجز الإجازات'!$E$5:$E$104)&gt;=JY$3)*('حجز الإجازات'!$G$5:$G$104="معتمد")*ROW('حجز الإجازات'!$B$5:$B$104))=0,"",INDEX('حجز الإجازات'!$C$5:$C$104,(SUMPRODUCT(('حجز الإجازات'!$B$5:$B$104='الموظفون'!$B$3)*('حجز الإجازات'!$D$5:$D$104&lt;=JY$3)*(('حجز الإجازات'!$E$5:$E$104)&gt;=JY$3)*('حجز الإجازات'!$G$5:$G$104="معتمد")*ROW('حجز الإجازات'!$B$5:$B$104)))-5+1))</f>
        <v/>
      </c>
      <c r="JZ5" s="62">
        <f>IF(SUMPRODUCT(('حجز الإجازات'!$B$5:$B$104='الموظفون'!$B$3)*('حجز الإجازات'!$D$5:$D$104&lt;=JZ$3)*(('حجز الإجازات'!$E$5:$E$104)&gt;=JZ$3)*('حجز الإجازات'!$G$5:$G$104="معتمد")*ROW('حجز الإجازات'!$B$5:$B$104))=0,"",INDEX('حجز الإجازات'!$C$5:$C$104,(SUMPRODUCT(('حجز الإجازات'!$B$5:$B$104='الموظفون'!$B$3)*('حجز الإجازات'!$D$5:$D$104&lt;=JZ$3)*(('حجز الإجازات'!$E$5:$E$104)&gt;=JZ$3)*('حجز الإجازات'!$G$5:$G$104="معتمد")*ROW('حجز الإجازات'!$B$5:$B$104)))-5+1))</f>
        <v/>
      </c>
      <c r="KA5" s="62">
        <f>IF(SUMPRODUCT(('حجز الإجازات'!$B$5:$B$104='الموظفون'!$B$3)*('حجز الإجازات'!$D$5:$D$104&lt;=KA$3)*(('حجز الإجازات'!$E$5:$E$104)&gt;=KA$3)*('حجز الإجازات'!$G$5:$G$104="معتمد")*ROW('حجز الإجازات'!$B$5:$B$104))=0,"",INDEX('حجز الإجازات'!$C$5:$C$104,(SUMPRODUCT(('حجز الإجازات'!$B$5:$B$104='الموظفون'!$B$3)*('حجز الإجازات'!$D$5:$D$104&lt;=KA$3)*(('حجز الإجازات'!$E$5:$E$104)&gt;=KA$3)*('حجز الإجازات'!$G$5:$G$104="معتمد")*ROW('حجز الإجازات'!$B$5:$B$104)))-5+1))</f>
        <v/>
      </c>
      <c r="KB5" s="62">
        <f>IF(SUMPRODUCT(('حجز الإجازات'!$B$5:$B$104='الموظفون'!$B$3)*('حجز الإجازات'!$D$5:$D$104&lt;=KB$3)*(('حجز الإجازات'!$E$5:$E$104)&gt;=KB$3)*('حجز الإجازات'!$G$5:$G$104="معتمد")*ROW('حجز الإجازات'!$B$5:$B$104))=0,"",INDEX('حجز الإجازات'!$C$5:$C$104,(SUMPRODUCT(('حجز الإجازات'!$B$5:$B$104='الموظفون'!$B$3)*('حجز الإجازات'!$D$5:$D$104&lt;=KB$3)*(('حجز الإجازات'!$E$5:$E$104)&gt;=KB$3)*('حجز الإجازات'!$G$5:$G$104="معتمد")*ROW('حجز الإجازات'!$B$5:$B$104)))-5+1))</f>
        <v/>
      </c>
      <c r="KC5" s="62">
        <f>IF(SUMPRODUCT(('حجز الإجازات'!$B$5:$B$104='الموظفون'!$B$3)*('حجز الإجازات'!$D$5:$D$104&lt;=KC$3)*(('حجز الإجازات'!$E$5:$E$104)&gt;=KC$3)*('حجز الإجازات'!$G$5:$G$104="معتمد")*ROW('حجز الإجازات'!$B$5:$B$104))=0,"",INDEX('حجز الإجازات'!$C$5:$C$104,(SUMPRODUCT(('حجز الإجازات'!$B$5:$B$104='الموظفون'!$B$3)*('حجز الإجازات'!$D$5:$D$104&lt;=KC$3)*(('حجز الإجازات'!$E$5:$E$104)&gt;=KC$3)*('حجز الإجازات'!$G$5:$G$104="معتمد")*ROW('حجز الإجازات'!$B$5:$B$104)))-5+1))</f>
        <v/>
      </c>
      <c r="KD5" s="62">
        <f>IF(SUMPRODUCT(('حجز الإجازات'!$B$5:$B$104='الموظفون'!$B$3)*('حجز الإجازات'!$D$5:$D$104&lt;=KD$3)*(('حجز الإجازات'!$E$5:$E$104)&gt;=KD$3)*('حجز الإجازات'!$G$5:$G$104="معتمد")*ROW('حجز الإجازات'!$B$5:$B$104))=0,"",INDEX('حجز الإجازات'!$C$5:$C$104,(SUMPRODUCT(('حجز الإجازات'!$B$5:$B$104='الموظفون'!$B$3)*('حجز الإجازات'!$D$5:$D$104&lt;=KD$3)*(('حجز الإجازات'!$E$5:$E$104)&gt;=KD$3)*('حجز الإجازات'!$G$5:$G$104="معتمد")*ROW('حجز الإجازات'!$B$5:$B$104)))-5+1))</f>
        <v/>
      </c>
      <c r="KE5" s="62">
        <f>IF(SUMPRODUCT(('حجز الإجازات'!$B$5:$B$104='الموظفون'!$B$3)*('حجز الإجازات'!$D$5:$D$104&lt;=KE$3)*(('حجز الإجازات'!$E$5:$E$104)&gt;=KE$3)*('حجز الإجازات'!$G$5:$G$104="معتمد")*ROW('حجز الإجازات'!$B$5:$B$104))=0,"",INDEX('حجز الإجازات'!$C$5:$C$104,(SUMPRODUCT(('حجز الإجازات'!$B$5:$B$104='الموظفون'!$B$3)*('حجز الإجازات'!$D$5:$D$104&lt;=KE$3)*(('حجز الإجازات'!$E$5:$E$104)&gt;=KE$3)*('حجز الإجازات'!$G$5:$G$104="معتمد")*ROW('حجز الإجازات'!$B$5:$B$104)))-5+1))</f>
        <v/>
      </c>
      <c r="KF5" s="62">
        <f>IF(SUMPRODUCT(('حجز الإجازات'!$B$5:$B$104='الموظفون'!$B$3)*('حجز الإجازات'!$D$5:$D$104&lt;=KF$3)*(('حجز الإجازات'!$E$5:$E$104)&gt;=KF$3)*('حجز الإجازات'!$G$5:$G$104="معتمد")*ROW('حجز الإجازات'!$B$5:$B$104))=0,"",INDEX('حجز الإجازات'!$C$5:$C$104,(SUMPRODUCT(('حجز الإجازات'!$B$5:$B$104='الموظفون'!$B$3)*('حجز الإجازات'!$D$5:$D$104&lt;=KF$3)*(('حجز الإجازات'!$E$5:$E$104)&gt;=KF$3)*('حجز الإجازات'!$G$5:$G$104="معتمد")*ROW('حجز الإجازات'!$B$5:$B$104)))-5+1))</f>
        <v/>
      </c>
      <c r="KG5" s="62">
        <f>IF(SUMPRODUCT(('حجز الإجازات'!$B$5:$B$104='الموظفون'!$B$3)*('حجز الإجازات'!$D$5:$D$104&lt;=KG$3)*(('حجز الإجازات'!$E$5:$E$104)&gt;=KG$3)*('حجز الإجازات'!$G$5:$G$104="معتمد")*ROW('حجز الإجازات'!$B$5:$B$104))=0,"",INDEX('حجز الإجازات'!$C$5:$C$104,(SUMPRODUCT(('حجز الإجازات'!$B$5:$B$104='الموظفون'!$B$3)*('حجز الإجازات'!$D$5:$D$104&lt;=KG$3)*(('حجز الإجازات'!$E$5:$E$104)&gt;=KG$3)*('حجز الإجازات'!$G$5:$G$104="معتمد")*ROW('حجز الإجازات'!$B$5:$B$104)))-5+1))</f>
        <v/>
      </c>
      <c r="KH5" s="62">
        <f>IF(SUMPRODUCT(('حجز الإجازات'!$B$5:$B$104='الموظفون'!$B$3)*('حجز الإجازات'!$D$5:$D$104&lt;=KH$3)*(('حجز الإجازات'!$E$5:$E$104)&gt;=KH$3)*('حجز الإجازات'!$G$5:$G$104="معتمد")*ROW('حجز الإجازات'!$B$5:$B$104))=0,"",INDEX('حجز الإجازات'!$C$5:$C$104,(SUMPRODUCT(('حجز الإجازات'!$B$5:$B$104='الموظفون'!$B$3)*('حجز الإجازات'!$D$5:$D$104&lt;=KH$3)*(('حجز الإجازات'!$E$5:$E$104)&gt;=KH$3)*('حجز الإجازات'!$G$5:$G$104="معتمد")*ROW('حجز الإجازات'!$B$5:$B$104)))-5+1))</f>
        <v/>
      </c>
      <c r="KI5" s="62">
        <f>IF(SUMPRODUCT(('حجز الإجازات'!$B$5:$B$104='الموظفون'!$B$3)*('حجز الإجازات'!$D$5:$D$104&lt;=KI$3)*(('حجز الإجازات'!$E$5:$E$104)&gt;=KI$3)*('حجز الإجازات'!$G$5:$G$104="معتمد")*ROW('حجز الإجازات'!$B$5:$B$104))=0,"",INDEX('حجز الإجازات'!$C$5:$C$104,(SUMPRODUCT(('حجز الإجازات'!$B$5:$B$104='الموظفون'!$B$3)*('حجز الإجازات'!$D$5:$D$104&lt;=KI$3)*(('حجز الإجازات'!$E$5:$E$104)&gt;=KI$3)*('حجز الإجازات'!$G$5:$G$104="معتمد")*ROW('حجز الإجازات'!$B$5:$B$104)))-5+1))</f>
        <v/>
      </c>
      <c r="KJ5" s="62">
        <f>IF(SUMPRODUCT(('حجز الإجازات'!$B$5:$B$104='الموظفون'!$B$3)*('حجز الإجازات'!$D$5:$D$104&lt;=KJ$3)*(('حجز الإجازات'!$E$5:$E$104)&gt;=KJ$3)*('حجز الإجازات'!$G$5:$G$104="معتمد")*ROW('حجز الإجازات'!$B$5:$B$104))=0,"",INDEX('حجز الإجازات'!$C$5:$C$104,(SUMPRODUCT(('حجز الإجازات'!$B$5:$B$104='الموظفون'!$B$3)*('حجز الإجازات'!$D$5:$D$104&lt;=KJ$3)*(('حجز الإجازات'!$E$5:$E$104)&gt;=KJ$3)*('حجز الإجازات'!$G$5:$G$104="معتمد")*ROW('حجز الإجازات'!$B$5:$B$104)))-5+1))</f>
        <v/>
      </c>
      <c r="KK5" s="62">
        <f>IF(SUMPRODUCT(('حجز الإجازات'!$B$5:$B$104='الموظفون'!$B$3)*('حجز الإجازات'!$D$5:$D$104&lt;=KK$3)*(('حجز الإجازات'!$E$5:$E$104)&gt;=KK$3)*('حجز الإجازات'!$G$5:$G$104="معتمد")*ROW('حجز الإجازات'!$B$5:$B$104))=0,"",INDEX('حجز الإجازات'!$C$5:$C$104,(SUMPRODUCT(('حجز الإجازات'!$B$5:$B$104='الموظفون'!$B$3)*('حجز الإجازات'!$D$5:$D$104&lt;=KK$3)*(('حجز الإجازات'!$E$5:$E$104)&gt;=KK$3)*('حجز الإجازات'!$G$5:$G$104="معتمد")*ROW('حجز الإجازات'!$B$5:$B$104)))-5+1))</f>
        <v/>
      </c>
      <c r="KL5" s="62">
        <f>IF(SUMPRODUCT(('حجز الإجازات'!$B$5:$B$104='الموظفون'!$B$3)*('حجز الإجازات'!$D$5:$D$104&lt;=KL$3)*(('حجز الإجازات'!$E$5:$E$104)&gt;=KL$3)*('حجز الإجازات'!$G$5:$G$104="معتمد")*ROW('حجز الإجازات'!$B$5:$B$104))=0,"",INDEX('حجز الإجازات'!$C$5:$C$104,(SUMPRODUCT(('حجز الإجازات'!$B$5:$B$104='الموظفون'!$B$3)*('حجز الإجازات'!$D$5:$D$104&lt;=KL$3)*(('حجز الإجازات'!$E$5:$E$104)&gt;=KL$3)*('حجز الإجازات'!$G$5:$G$104="معتمد")*ROW('حجز الإجازات'!$B$5:$B$104)))-5+1))</f>
        <v/>
      </c>
      <c r="KM5" s="62">
        <f>IF(SUMPRODUCT(('حجز الإجازات'!$B$5:$B$104='الموظفون'!$B$3)*('حجز الإجازات'!$D$5:$D$104&lt;=KM$3)*(('حجز الإجازات'!$E$5:$E$104)&gt;=KM$3)*('حجز الإجازات'!$G$5:$G$104="معتمد")*ROW('حجز الإجازات'!$B$5:$B$104))=0,"",INDEX('حجز الإجازات'!$C$5:$C$104,(SUMPRODUCT(('حجز الإجازات'!$B$5:$B$104='الموظفون'!$B$3)*('حجز الإجازات'!$D$5:$D$104&lt;=KM$3)*(('حجز الإجازات'!$E$5:$E$104)&gt;=KM$3)*('حجز الإجازات'!$G$5:$G$104="معتمد")*ROW('حجز الإجازات'!$B$5:$B$104)))-5+1))</f>
        <v/>
      </c>
      <c r="KN5" s="62">
        <f>IF(SUMPRODUCT(('حجز الإجازات'!$B$5:$B$104='الموظفون'!$B$3)*('حجز الإجازات'!$D$5:$D$104&lt;=KN$3)*(('حجز الإجازات'!$E$5:$E$104)&gt;=KN$3)*('حجز الإجازات'!$G$5:$G$104="معتمد")*ROW('حجز الإجازات'!$B$5:$B$104))=0,"",INDEX('حجز الإجازات'!$C$5:$C$104,(SUMPRODUCT(('حجز الإجازات'!$B$5:$B$104='الموظفون'!$B$3)*('حجز الإجازات'!$D$5:$D$104&lt;=KN$3)*(('حجز الإجازات'!$E$5:$E$104)&gt;=KN$3)*('حجز الإجازات'!$G$5:$G$104="معتمد")*ROW('حجز الإجازات'!$B$5:$B$104)))-5+1))</f>
        <v/>
      </c>
      <c r="KO5" s="62">
        <f>IF(SUMPRODUCT(('حجز الإجازات'!$B$5:$B$104='الموظفون'!$B$3)*('حجز الإجازات'!$D$5:$D$104&lt;=KO$3)*(('حجز الإجازات'!$E$5:$E$104)&gt;=KO$3)*('حجز الإجازات'!$G$5:$G$104="معتمد")*ROW('حجز الإجازات'!$B$5:$B$104))=0,"",INDEX('حجز الإجازات'!$C$5:$C$104,(SUMPRODUCT(('حجز الإجازات'!$B$5:$B$104='الموظفون'!$B$3)*('حجز الإجازات'!$D$5:$D$104&lt;=KO$3)*(('حجز الإجازات'!$E$5:$E$104)&gt;=KO$3)*('حجز الإجازات'!$G$5:$G$104="معتمد")*ROW('حجز الإجازات'!$B$5:$B$104)))-5+1))</f>
        <v/>
      </c>
      <c r="KP5" s="62">
        <f>IF(SUMPRODUCT(('حجز الإجازات'!$B$5:$B$104='الموظفون'!$B$3)*('حجز الإجازات'!$D$5:$D$104&lt;=KP$3)*(('حجز الإجازات'!$E$5:$E$104)&gt;=KP$3)*('حجز الإجازات'!$G$5:$G$104="معتمد")*ROW('حجز الإجازات'!$B$5:$B$104))=0,"",INDEX('حجز الإجازات'!$C$5:$C$104,(SUMPRODUCT(('حجز الإجازات'!$B$5:$B$104='الموظفون'!$B$3)*('حجز الإجازات'!$D$5:$D$104&lt;=KP$3)*(('حجز الإجازات'!$E$5:$E$104)&gt;=KP$3)*('حجز الإجازات'!$G$5:$G$104="معتمد")*ROW('حجز الإجازات'!$B$5:$B$104)))-5+1))</f>
        <v/>
      </c>
      <c r="KQ5" s="62">
        <f>IF(SUMPRODUCT(('حجز الإجازات'!$B$5:$B$104='الموظفون'!$B$3)*('حجز الإجازات'!$D$5:$D$104&lt;=KQ$3)*(('حجز الإجازات'!$E$5:$E$104)&gt;=KQ$3)*('حجز الإجازات'!$G$5:$G$104="معتمد")*ROW('حجز الإجازات'!$B$5:$B$104))=0,"",INDEX('حجز الإجازات'!$C$5:$C$104,(SUMPRODUCT(('حجز الإجازات'!$B$5:$B$104='الموظفون'!$B$3)*('حجز الإجازات'!$D$5:$D$104&lt;=KQ$3)*(('حجز الإجازات'!$E$5:$E$104)&gt;=KQ$3)*('حجز الإجازات'!$G$5:$G$104="معتمد")*ROW('حجز الإجازات'!$B$5:$B$104)))-5+1))</f>
        <v/>
      </c>
      <c r="KR5" s="62">
        <f>IF(SUMPRODUCT(('حجز الإجازات'!$B$5:$B$104='الموظفون'!$B$3)*('حجز الإجازات'!$D$5:$D$104&lt;=KR$3)*(('حجز الإجازات'!$E$5:$E$104)&gt;=KR$3)*('حجز الإجازات'!$G$5:$G$104="معتمد")*ROW('حجز الإجازات'!$B$5:$B$104))=0,"",INDEX('حجز الإجازات'!$C$5:$C$104,(SUMPRODUCT(('حجز الإجازات'!$B$5:$B$104='الموظفون'!$B$3)*('حجز الإجازات'!$D$5:$D$104&lt;=KR$3)*(('حجز الإجازات'!$E$5:$E$104)&gt;=KR$3)*('حجز الإجازات'!$G$5:$G$104="معتمد")*ROW('حجز الإجازات'!$B$5:$B$104)))-5+1))</f>
        <v/>
      </c>
      <c r="KS5" s="62">
        <f>IF(SUMPRODUCT(('حجز الإجازات'!$B$5:$B$104='الموظفون'!$B$3)*('حجز الإجازات'!$D$5:$D$104&lt;=KS$3)*(('حجز الإجازات'!$E$5:$E$104)&gt;=KS$3)*('حجز الإجازات'!$G$5:$G$104="معتمد")*ROW('حجز الإجازات'!$B$5:$B$104))=0,"",INDEX('حجز الإجازات'!$C$5:$C$104,(SUMPRODUCT(('حجز الإجازات'!$B$5:$B$104='الموظفون'!$B$3)*('حجز الإجازات'!$D$5:$D$104&lt;=KS$3)*(('حجز الإجازات'!$E$5:$E$104)&gt;=KS$3)*('حجز الإجازات'!$G$5:$G$104="معتمد")*ROW('حجز الإجازات'!$B$5:$B$104)))-5+1))</f>
        <v/>
      </c>
      <c r="KT5" s="62">
        <f>IF(SUMPRODUCT(('حجز الإجازات'!$B$5:$B$104='الموظفون'!$B$3)*('حجز الإجازات'!$D$5:$D$104&lt;=KT$3)*(('حجز الإجازات'!$E$5:$E$104)&gt;=KT$3)*('حجز الإجازات'!$G$5:$G$104="معتمد")*ROW('حجز الإجازات'!$B$5:$B$104))=0,"",INDEX('حجز الإجازات'!$C$5:$C$104,(SUMPRODUCT(('حجز الإجازات'!$B$5:$B$104='الموظفون'!$B$3)*('حجز الإجازات'!$D$5:$D$104&lt;=KT$3)*(('حجز الإجازات'!$E$5:$E$104)&gt;=KT$3)*('حجز الإجازات'!$G$5:$G$104="معتمد")*ROW('حجز الإجازات'!$B$5:$B$104)))-5+1))</f>
        <v/>
      </c>
      <c r="KU5" s="62">
        <f>IF(SUMPRODUCT(('حجز الإجازات'!$B$5:$B$104='الموظفون'!$B$3)*('حجز الإجازات'!$D$5:$D$104&lt;=KU$3)*(('حجز الإجازات'!$E$5:$E$104)&gt;=KU$3)*('حجز الإجازات'!$G$5:$G$104="معتمد")*ROW('حجز الإجازات'!$B$5:$B$104))=0,"",INDEX('حجز الإجازات'!$C$5:$C$104,(SUMPRODUCT(('حجز الإجازات'!$B$5:$B$104='الموظفون'!$B$3)*('حجز الإجازات'!$D$5:$D$104&lt;=KU$3)*(('حجز الإجازات'!$E$5:$E$104)&gt;=KU$3)*('حجز الإجازات'!$G$5:$G$104="معتمد")*ROW('حجز الإجازات'!$B$5:$B$104)))-5+1))</f>
        <v/>
      </c>
      <c r="KV5" s="62">
        <f>IF(SUMPRODUCT(('حجز الإجازات'!$B$5:$B$104='الموظفون'!$B$3)*('حجز الإجازات'!$D$5:$D$104&lt;=KV$3)*(('حجز الإجازات'!$E$5:$E$104)&gt;=KV$3)*('حجز الإجازات'!$G$5:$G$104="معتمد")*ROW('حجز الإجازات'!$B$5:$B$104))=0,"",INDEX('حجز الإجازات'!$C$5:$C$104,(SUMPRODUCT(('حجز الإجازات'!$B$5:$B$104='الموظفون'!$B$3)*('حجز الإجازات'!$D$5:$D$104&lt;=KV$3)*(('حجز الإجازات'!$E$5:$E$104)&gt;=KV$3)*('حجز الإجازات'!$G$5:$G$104="معتمد")*ROW('حجز الإجازات'!$B$5:$B$104)))-5+1))</f>
        <v/>
      </c>
      <c r="KW5" s="62">
        <f>IF(SUMPRODUCT(('حجز الإجازات'!$B$5:$B$104='الموظفون'!$B$3)*('حجز الإجازات'!$D$5:$D$104&lt;=KW$3)*(('حجز الإجازات'!$E$5:$E$104)&gt;=KW$3)*('حجز الإجازات'!$G$5:$G$104="معتمد")*ROW('حجز الإجازات'!$B$5:$B$104))=0,"",INDEX('حجز الإجازات'!$C$5:$C$104,(SUMPRODUCT(('حجز الإجازات'!$B$5:$B$104='الموظفون'!$B$3)*('حجز الإجازات'!$D$5:$D$104&lt;=KW$3)*(('حجز الإجازات'!$E$5:$E$104)&gt;=KW$3)*('حجز الإجازات'!$G$5:$G$104="معتمد")*ROW('حجز الإجازات'!$B$5:$B$104)))-5+1))</f>
        <v/>
      </c>
      <c r="KX5" s="62">
        <f>IF(SUMPRODUCT(('حجز الإجازات'!$B$5:$B$104='الموظفون'!$B$3)*('حجز الإجازات'!$D$5:$D$104&lt;=KX$3)*(('حجز الإجازات'!$E$5:$E$104)&gt;=KX$3)*('حجز الإجازات'!$G$5:$G$104="معتمد")*ROW('حجز الإجازات'!$B$5:$B$104))=0,"",INDEX('حجز الإجازات'!$C$5:$C$104,(SUMPRODUCT(('حجز الإجازات'!$B$5:$B$104='الموظفون'!$B$3)*('حجز الإجازات'!$D$5:$D$104&lt;=KX$3)*(('حجز الإجازات'!$E$5:$E$104)&gt;=KX$3)*('حجز الإجازات'!$G$5:$G$104="معتمد")*ROW('حجز الإجازات'!$B$5:$B$104)))-5+1))</f>
        <v/>
      </c>
      <c r="KY5" s="62">
        <f>IF(SUMPRODUCT(('حجز الإجازات'!$B$5:$B$104='الموظفون'!$B$3)*('حجز الإجازات'!$D$5:$D$104&lt;=KY$3)*(('حجز الإجازات'!$E$5:$E$104)&gt;=KY$3)*('حجز الإجازات'!$G$5:$G$104="معتمد")*ROW('حجز الإجازات'!$B$5:$B$104))=0,"",INDEX('حجز الإجازات'!$C$5:$C$104,(SUMPRODUCT(('حجز الإجازات'!$B$5:$B$104='الموظفون'!$B$3)*('حجز الإجازات'!$D$5:$D$104&lt;=KY$3)*(('حجز الإجازات'!$E$5:$E$104)&gt;=KY$3)*('حجز الإجازات'!$G$5:$G$104="معتمد")*ROW('حجز الإجازات'!$B$5:$B$104)))-5+1))</f>
        <v/>
      </c>
      <c r="KZ5" s="62">
        <f>IF(SUMPRODUCT(('حجز الإجازات'!$B$5:$B$104='الموظفون'!$B$3)*('حجز الإجازات'!$D$5:$D$104&lt;=KZ$3)*(('حجز الإجازات'!$E$5:$E$104)&gt;=KZ$3)*('حجز الإجازات'!$G$5:$G$104="معتمد")*ROW('حجز الإجازات'!$B$5:$B$104))=0,"",INDEX('حجز الإجازات'!$C$5:$C$104,(SUMPRODUCT(('حجز الإجازات'!$B$5:$B$104='الموظفون'!$B$3)*('حجز الإجازات'!$D$5:$D$104&lt;=KZ$3)*(('حجز الإجازات'!$E$5:$E$104)&gt;=KZ$3)*('حجز الإجازات'!$G$5:$G$104="معتمد")*ROW('حجز الإجازات'!$B$5:$B$104)))-5+1))</f>
        <v/>
      </c>
      <c r="LA5" s="62">
        <f>IF(SUMPRODUCT(('حجز الإجازات'!$B$5:$B$104='الموظفون'!$B$3)*('حجز الإجازات'!$D$5:$D$104&lt;=LA$3)*(('حجز الإجازات'!$E$5:$E$104)&gt;=LA$3)*('حجز الإجازات'!$G$5:$G$104="معتمد")*ROW('حجز الإجازات'!$B$5:$B$104))=0,"",INDEX('حجز الإجازات'!$C$5:$C$104,(SUMPRODUCT(('حجز الإجازات'!$B$5:$B$104='الموظفون'!$B$3)*('حجز الإجازات'!$D$5:$D$104&lt;=LA$3)*(('حجز الإجازات'!$E$5:$E$104)&gt;=LA$3)*('حجز الإجازات'!$G$5:$G$104="معتمد")*ROW('حجز الإجازات'!$B$5:$B$104)))-5+1))</f>
        <v/>
      </c>
      <c r="LB5" s="62">
        <f>IF(SUMPRODUCT(('حجز الإجازات'!$B$5:$B$104='الموظفون'!$B$3)*('حجز الإجازات'!$D$5:$D$104&lt;=LB$3)*(('حجز الإجازات'!$E$5:$E$104)&gt;=LB$3)*('حجز الإجازات'!$G$5:$G$104="معتمد")*ROW('حجز الإجازات'!$B$5:$B$104))=0,"",INDEX('حجز الإجازات'!$C$5:$C$104,(SUMPRODUCT(('حجز الإجازات'!$B$5:$B$104='الموظفون'!$B$3)*('حجز الإجازات'!$D$5:$D$104&lt;=LB$3)*(('حجز الإجازات'!$E$5:$E$104)&gt;=LB$3)*('حجز الإجازات'!$G$5:$G$104="معتمد")*ROW('حجز الإجازات'!$B$5:$B$104)))-5+1))</f>
        <v/>
      </c>
      <c r="LC5" s="62">
        <f>IF(SUMPRODUCT(('حجز الإجازات'!$B$5:$B$104='الموظفون'!$B$3)*('حجز الإجازات'!$D$5:$D$104&lt;=LC$3)*(('حجز الإجازات'!$E$5:$E$104)&gt;=LC$3)*('حجز الإجازات'!$G$5:$G$104="معتمد")*ROW('حجز الإجازات'!$B$5:$B$104))=0,"",INDEX('حجز الإجازات'!$C$5:$C$104,(SUMPRODUCT(('حجز الإجازات'!$B$5:$B$104='الموظفون'!$B$3)*('حجز الإجازات'!$D$5:$D$104&lt;=LC$3)*(('حجز الإجازات'!$E$5:$E$104)&gt;=LC$3)*('حجز الإجازات'!$G$5:$G$104="معتمد")*ROW('حجز الإجازات'!$B$5:$B$104)))-5+1))</f>
        <v/>
      </c>
      <c r="LD5" s="62">
        <f>IF(SUMPRODUCT(('حجز الإجازات'!$B$5:$B$104='الموظفون'!$B$3)*('حجز الإجازات'!$D$5:$D$104&lt;=LD$3)*(('حجز الإجازات'!$E$5:$E$104)&gt;=LD$3)*('حجز الإجازات'!$G$5:$G$104="معتمد")*ROW('حجز الإجازات'!$B$5:$B$104))=0,"",INDEX('حجز الإجازات'!$C$5:$C$104,(SUMPRODUCT(('حجز الإجازات'!$B$5:$B$104='الموظفون'!$B$3)*('حجز الإجازات'!$D$5:$D$104&lt;=LD$3)*(('حجز الإجازات'!$E$5:$E$104)&gt;=LD$3)*('حجز الإجازات'!$G$5:$G$104="معتمد")*ROW('حجز الإجازات'!$B$5:$B$104)))-5+1))</f>
        <v/>
      </c>
      <c r="LE5" s="62">
        <f>IF(SUMPRODUCT(('حجز الإجازات'!$B$5:$B$104='الموظفون'!$B$3)*('حجز الإجازات'!$D$5:$D$104&lt;=LE$3)*(('حجز الإجازات'!$E$5:$E$104)&gt;=LE$3)*('حجز الإجازات'!$G$5:$G$104="معتمد")*ROW('حجز الإجازات'!$B$5:$B$104))=0,"",INDEX('حجز الإجازات'!$C$5:$C$104,(SUMPRODUCT(('حجز الإجازات'!$B$5:$B$104='الموظفون'!$B$3)*('حجز الإجازات'!$D$5:$D$104&lt;=LE$3)*(('حجز الإجازات'!$E$5:$E$104)&gt;=LE$3)*('حجز الإجازات'!$G$5:$G$104="معتمد")*ROW('حجز الإجازات'!$B$5:$B$104)))-5+1))</f>
        <v/>
      </c>
      <c r="LF5" s="62">
        <f>IF(SUMPRODUCT(('حجز الإجازات'!$B$5:$B$104='الموظفون'!$B$3)*('حجز الإجازات'!$D$5:$D$104&lt;=LF$3)*(('حجز الإجازات'!$E$5:$E$104)&gt;=LF$3)*('حجز الإجازات'!$G$5:$G$104="معتمد")*ROW('حجز الإجازات'!$B$5:$B$104))=0,"",INDEX('حجز الإجازات'!$C$5:$C$104,(SUMPRODUCT(('حجز الإجازات'!$B$5:$B$104='الموظفون'!$B$3)*('حجز الإجازات'!$D$5:$D$104&lt;=LF$3)*(('حجز الإجازات'!$E$5:$E$104)&gt;=LF$3)*('حجز الإجازات'!$G$5:$G$104="معتمد")*ROW('حجز الإجازات'!$B$5:$B$104)))-5+1))</f>
        <v/>
      </c>
      <c r="LG5" s="62">
        <f>IF(SUMPRODUCT(('حجز الإجازات'!$B$5:$B$104='الموظفون'!$B$3)*('حجز الإجازات'!$D$5:$D$104&lt;=LG$3)*(('حجز الإجازات'!$E$5:$E$104)&gt;=LG$3)*('حجز الإجازات'!$G$5:$G$104="معتمد")*ROW('حجز الإجازات'!$B$5:$B$104))=0,"",INDEX('حجز الإجازات'!$C$5:$C$104,(SUMPRODUCT(('حجز الإجازات'!$B$5:$B$104='الموظفون'!$B$3)*('حجز الإجازات'!$D$5:$D$104&lt;=LG$3)*(('حجز الإجازات'!$E$5:$E$104)&gt;=LG$3)*('حجز الإجازات'!$G$5:$G$104="معتمد")*ROW('حجز الإجازات'!$B$5:$B$104)))-5+1))</f>
        <v/>
      </c>
      <c r="LH5" s="62">
        <f>IF(SUMPRODUCT(('حجز الإجازات'!$B$5:$B$104='الموظفون'!$B$3)*('حجز الإجازات'!$D$5:$D$104&lt;=LH$3)*(('حجز الإجازات'!$E$5:$E$104)&gt;=LH$3)*('حجز الإجازات'!$G$5:$G$104="معتمد")*ROW('حجز الإجازات'!$B$5:$B$104))=0,"",INDEX('حجز الإجازات'!$C$5:$C$104,(SUMPRODUCT(('حجز الإجازات'!$B$5:$B$104='الموظفون'!$B$3)*('حجز الإجازات'!$D$5:$D$104&lt;=LH$3)*(('حجز الإجازات'!$E$5:$E$104)&gt;=LH$3)*('حجز الإجازات'!$G$5:$G$104="معتمد")*ROW('حجز الإجازات'!$B$5:$B$104)))-5+1))</f>
        <v/>
      </c>
      <c r="LI5" s="62">
        <f>IF(SUMPRODUCT(('حجز الإجازات'!$B$5:$B$104='الموظفون'!$B$3)*('حجز الإجازات'!$D$5:$D$104&lt;=LI$3)*(('حجز الإجازات'!$E$5:$E$104)&gt;=LI$3)*('حجز الإجازات'!$G$5:$G$104="معتمد")*ROW('حجز الإجازات'!$B$5:$B$104))=0,"",INDEX('حجز الإجازات'!$C$5:$C$104,(SUMPRODUCT(('حجز الإجازات'!$B$5:$B$104='الموظفون'!$B$3)*('حجز الإجازات'!$D$5:$D$104&lt;=LI$3)*(('حجز الإجازات'!$E$5:$E$104)&gt;=LI$3)*('حجز الإجازات'!$G$5:$G$104="معتمد")*ROW('حجز الإجازات'!$B$5:$B$104)))-5+1))</f>
        <v/>
      </c>
      <c r="LJ5" s="62">
        <f>IF(SUMPRODUCT(('حجز الإجازات'!$B$5:$B$104='الموظفون'!$B$3)*('حجز الإجازات'!$D$5:$D$104&lt;=LJ$3)*(('حجز الإجازات'!$E$5:$E$104)&gt;=LJ$3)*('حجز الإجازات'!$G$5:$G$104="معتمد")*ROW('حجز الإجازات'!$B$5:$B$104))=0,"",INDEX('حجز الإجازات'!$C$5:$C$104,(SUMPRODUCT(('حجز الإجازات'!$B$5:$B$104='الموظفون'!$B$3)*('حجز الإجازات'!$D$5:$D$104&lt;=LJ$3)*(('حجز الإجازات'!$E$5:$E$104)&gt;=LJ$3)*('حجز الإجازات'!$G$5:$G$104="معتمد")*ROW('حجز الإجازات'!$B$5:$B$104)))-5+1))</f>
        <v/>
      </c>
      <c r="LK5" s="62">
        <f>IF(SUMPRODUCT(('حجز الإجازات'!$B$5:$B$104='الموظفون'!$B$3)*('حجز الإجازات'!$D$5:$D$104&lt;=LK$3)*(('حجز الإجازات'!$E$5:$E$104)&gt;=LK$3)*('حجز الإجازات'!$G$5:$G$104="معتمد")*ROW('حجز الإجازات'!$B$5:$B$104))=0,"",INDEX('حجز الإجازات'!$C$5:$C$104,(SUMPRODUCT(('حجز الإجازات'!$B$5:$B$104='الموظفون'!$B$3)*('حجز الإجازات'!$D$5:$D$104&lt;=LK$3)*(('حجز الإجازات'!$E$5:$E$104)&gt;=LK$3)*('حجز الإجازات'!$G$5:$G$104="معتمد")*ROW('حجز الإجازات'!$B$5:$B$104)))-5+1))</f>
        <v/>
      </c>
      <c r="LL5" s="62">
        <f>IF(SUMPRODUCT(('حجز الإجازات'!$B$5:$B$104='الموظفون'!$B$3)*('حجز الإجازات'!$D$5:$D$104&lt;=LL$3)*(('حجز الإجازات'!$E$5:$E$104)&gt;=LL$3)*('حجز الإجازات'!$G$5:$G$104="معتمد")*ROW('حجز الإجازات'!$B$5:$B$104))=0,"",INDEX('حجز الإجازات'!$C$5:$C$104,(SUMPRODUCT(('حجز الإجازات'!$B$5:$B$104='الموظفون'!$B$3)*('حجز الإجازات'!$D$5:$D$104&lt;=LL$3)*(('حجز الإجازات'!$E$5:$E$104)&gt;=LL$3)*('حجز الإجازات'!$G$5:$G$104="معتمد")*ROW('حجز الإجازات'!$B$5:$B$104)))-5+1))</f>
        <v/>
      </c>
      <c r="LM5" s="62">
        <f>IF(SUMPRODUCT(('حجز الإجازات'!$B$5:$B$104='الموظفون'!$B$3)*('حجز الإجازات'!$D$5:$D$104&lt;=LM$3)*(('حجز الإجازات'!$E$5:$E$104)&gt;=LM$3)*('حجز الإجازات'!$G$5:$G$104="معتمد")*ROW('حجز الإجازات'!$B$5:$B$104))=0,"",INDEX('حجز الإجازات'!$C$5:$C$104,(SUMPRODUCT(('حجز الإجازات'!$B$5:$B$104='الموظفون'!$B$3)*('حجز الإجازات'!$D$5:$D$104&lt;=LM$3)*(('حجز الإجازات'!$E$5:$E$104)&gt;=LM$3)*('حجز الإجازات'!$G$5:$G$104="معتمد")*ROW('حجز الإجازات'!$B$5:$B$104)))-5+1))</f>
        <v/>
      </c>
      <c r="LN5" s="62">
        <f>IF(SUMPRODUCT(('حجز الإجازات'!$B$5:$B$104='الموظفون'!$B$3)*('حجز الإجازات'!$D$5:$D$104&lt;=LN$3)*(('حجز الإجازات'!$E$5:$E$104)&gt;=LN$3)*('حجز الإجازات'!$G$5:$G$104="معتمد")*ROW('حجز الإجازات'!$B$5:$B$104))=0,"",INDEX('حجز الإجازات'!$C$5:$C$104,(SUMPRODUCT(('حجز الإجازات'!$B$5:$B$104='الموظفون'!$B$3)*('حجز الإجازات'!$D$5:$D$104&lt;=LN$3)*(('حجز الإجازات'!$E$5:$E$104)&gt;=LN$3)*('حجز الإجازات'!$G$5:$G$104="معتمد")*ROW('حجز الإجازات'!$B$5:$B$104)))-5+1))</f>
        <v/>
      </c>
      <c r="LO5" s="62">
        <f>IF(SUMPRODUCT(('حجز الإجازات'!$B$5:$B$104='الموظفون'!$B$3)*('حجز الإجازات'!$D$5:$D$104&lt;=LO$3)*(('حجز الإجازات'!$E$5:$E$104)&gt;=LO$3)*('حجز الإجازات'!$G$5:$G$104="معتمد")*ROW('حجز الإجازات'!$B$5:$B$104))=0,"",INDEX('حجز الإجازات'!$C$5:$C$104,(SUMPRODUCT(('حجز الإجازات'!$B$5:$B$104='الموظفون'!$B$3)*('حجز الإجازات'!$D$5:$D$104&lt;=LO$3)*(('حجز الإجازات'!$E$5:$E$104)&gt;=LO$3)*('حجز الإجازات'!$G$5:$G$104="معتمد")*ROW('حجز الإجازات'!$B$5:$B$104)))-5+1))</f>
        <v/>
      </c>
      <c r="LP5" s="62">
        <f>IF(SUMPRODUCT(('حجز الإجازات'!$B$5:$B$104='الموظفون'!$B$3)*('حجز الإجازات'!$D$5:$D$104&lt;=LP$3)*(('حجز الإجازات'!$E$5:$E$104)&gt;=LP$3)*('حجز الإجازات'!$G$5:$G$104="معتمد")*ROW('حجز الإجازات'!$B$5:$B$104))=0,"",INDEX('حجز الإجازات'!$C$5:$C$104,(SUMPRODUCT(('حجز الإجازات'!$B$5:$B$104='الموظفون'!$B$3)*('حجز الإجازات'!$D$5:$D$104&lt;=LP$3)*(('حجز الإجازات'!$E$5:$E$104)&gt;=LP$3)*('حجز الإجازات'!$G$5:$G$104="معتمد")*ROW('حجز الإجازات'!$B$5:$B$104)))-5+1))</f>
        <v/>
      </c>
      <c r="LQ5" s="62">
        <f>IF(SUMPRODUCT(('حجز الإجازات'!$B$5:$B$104='الموظفون'!$B$3)*('حجز الإجازات'!$D$5:$D$104&lt;=LQ$3)*(('حجز الإجازات'!$E$5:$E$104)&gt;=LQ$3)*('حجز الإجازات'!$G$5:$G$104="معتمد")*ROW('حجز الإجازات'!$B$5:$B$104))=0,"",INDEX('حجز الإجازات'!$C$5:$C$104,(SUMPRODUCT(('حجز الإجازات'!$B$5:$B$104='الموظفون'!$B$3)*('حجز الإجازات'!$D$5:$D$104&lt;=LQ$3)*(('حجز الإجازات'!$E$5:$E$104)&gt;=LQ$3)*('حجز الإجازات'!$G$5:$G$104="معتمد")*ROW('حجز الإجازات'!$B$5:$B$104)))-5+1))</f>
        <v/>
      </c>
      <c r="LR5" s="62">
        <f>IF(SUMPRODUCT(('حجز الإجازات'!$B$5:$B$104='الموظفون'!$B$3)*('حجز الإجازات'!$D$5:$D$104&lt;=LR$3)*(('حجز الإجازات'!$E$5:$E$104)&gt;=LR$3)*('حجز الإجازات'!$G$5:$G$104="معتمد")*ROW('حجز الإجازات'!$B$5:$B$104))=0,"",INDEX('حجز الإجازات'!$C$5:$C$104,(SUMPRODUCT(('حجز الإجازات'!$B$5:$B$104='الموظفون'!$B$3)*('حجز الإجازات'!$D$5:$D$104&lt;=LR$3)*(('حجز الإجازات'!$E$5:$E$104)&gt;=LR$3)*('حجز الإجازات'!$G$5:$G$104="معتمد")*ROW('حجز الإجازات'!$B$5:$B$104)))-5+1))</f>
        <v/>
      </c>
      <c r="LS5" s="62">
        <f>IF(SUMPRODUCT(('حجز الإجازات'!$B$5:$B$104='الموظفون'!$B$3)*('حجز الإجازات'!$D$5:$D$104&lt;=LS$3)*(('حجز الإجازات'!$E$5:$E$104)&gt;=LS$3)*('حجز الإجازات'!$G$5:$G$104="معتمد")*ROW('حجز الإجازات'!$B$5:$B$104))=0,"",INDEX('حجز الإجازات'!$C$5:$C$104,(SUMPRODUCT(('حجز الإجازات'!$B$5:$B$104='الموظفون'!$B$3)*('حجز الإجازات'!$D$5:$D$104&lt;=LS$3)*(('حجز الإجازات'!$E$5:$E$104)&gt;=LS$3)*('حجز الإجازات'!$G$5:$G$104="معتمد")*ROW('حجز الإجازات'!$B$5:$B$104)))-5+1))</f>
        <v/>
      </c>
      <c r="LT5" s="62">
        <f>IF(SUMPRODUCT(('حجز الإجازات'!$B$5:$B$104='الموظفون'!$B$3)*('حجز الإجازات'!$D$5:$D$104&lt;=LT$3)*(('حجز الإجازات'!$E$5:$E$104)&gt;=LT$3)*('حجز الإجازات'!$G$5:$G$104="معتمد")*ROW('حجز الإجازات'!$B$5:$B$104))=0,"",INDEX('حجز الإجازات'!$C$5:$C$104,(SUMPRODUCT(('حجز الإجازات'!$B$5:$B$104='الموظفون'!$B$3)*('حجز الإجازات'!$D$5:$D$104&lt;=LT$3)*(('حجز الإجازات'!$E$5:$E$104)&gt;=LT$3)*('حجز الإجازات'!$G$5:$G$104="معتمد")*ROW('حجز الإجازات'!$B$5:$B$104)))-5+1))</f>
        <v/>
      </c>
      <c r="LU5" s="62">
        <f>IF(SUMPRODUCT(('حجز الإجازات'!$B$5:$B$104='الموظفون'!$B$3)*('حجز الإجازات'!$D$5:$D$104&lt;=LU$3)*(('حجز الإجازات'!$E$5:$E$104)&gt;=LU$3)*('حجز الإجازات'!$G$5:$G$104="معتمد")*ROW('حجز الإجازات'!$B$5:$B$104))=0,"",INDEX('حجز الإجازات'!$C$5:$C$104,(SUMPRODUCT(('حجز الإجازات'!$B$5:$B$104='الموظفون'!$B$3)*('حجز الإجازات'!$D$5:$D$104&lt;=LU$3)*(('حجز الإجازات'!$E$5:$E$104)&gt;=LU$3)*('حجز الإجازات'!$G$5:$G$104="معتمد")*ROW('حجز الإجازات'!$B$5:$B$104)))-5+1))</f>
        <v/>
      </c>
      <c r="LV5" s="62">
        <f>IF(SUMPRODUCT(('حجز الإجازات'!$B$5:$B$104='الموظفون'!$B$3)*('حجز الإجازات'!$D$5:$D$104&lt;=LV$3)*(('حجز الإجازات'!$E$5:$E$104)&gt;=LV$3)*('حجز الإجازات'!$G$5:$G$104="معتمد")*ROW('حجز الإجازات'!$B$5:$B$104))=0,"",INDEX('حجز الإجازات'!$C$5:$C$104,(SUMPRODUCT(('حجز الإجازات'!$B$5:$B$104='الموظفون'!$B$3)*('حجز الإجازات'!$D$5:$D$104&lt;=LV$3)*(('حجز الإجازات'!$E$5:$E$104)&gt;=LV$3)*('حجز الإجازات'!$G$5:$G$104="معتمد")*ROW('حجز الإجازات'!$B$5:$B$104)))-5+1))</f>
        <v/>
      </c>
      <c r="LW5" s="62">
        <f>IF(SUMPRODUCT(('حجز الإجازات'!$B$5:$B$104='الموظفون'!$B$3)*('حجز الإجازات'!$D$5:$D$104&lt;=LW$3)*(('حجز الإجازات'!$E$5:$E$104)&gt;=LW$3)*('حجز الإجازات'!$G$5:$G$104="معتمد")*ROW('حجز الإجازات'!$B$5:$B$104))=0,"",INDEX('حجز الإجازات'!$C$5:$C$104,(SUMPRODUCT(('حجز الإجازات'!$B$5:$B$104='الموظفون'!$B$3)*('حجز الإجازات'!$D$5:$D$104&lt;=LW$3)*(('حجز الإجازات'!$E$5:$E$104)&gt;=LW$3)*('حجز الإجازات'!$G$5:$G$104="معتمد")*ROW('حجز الإجازات'!$B$5:$B$104)))-5+1))</f>
        <v/>
      </c>
      <c r="LX5" s="62">
        <f>IF(SUMPRODUCT(('حجز الإجازات'!$B$5:$B$104='الموظفون'!$B$3)*('حجز الإجازات'!$D$5:$D$104&lt;=LX$3)*(('حجز الإجازات'!$E$5:$E$104)&gt;=LX$3)*('حجز الإجازات'!$G$5:$G$104="معتمد")*ROW('حجز الإجازات'!$B$5:$B$104))=0,"",INDEX('حجز الإجازات'!$C$5:$C$104,(SUMPRODUCT(('حجز الإجازات'!$B$5:$B$104='الموظفون'!$B$3)*('حجز الإجازات'!$D$5:$D$104&lt;=LX$3)*(('حجز الإجازات'!$E$5:$E$104)&gt;=LX$3)*('حجز الإجازات'!$G$5:$G$104="معتمد")*ROW('حجز الإجازات'!$B$5:$B$104)))-5+1))</f>
        <v/>
      </c>
      <c r="LY5" s="62">
        <f>IF(SUMPRODUCT(('حجز الإجازات'!$B$5:$B$104='الموظفون'!$B$3)*('حجز الإجازات'!$D$5:$D$104&lt;=LY$3)*(('حجز الإجازات'!$E$5:$E$104)&gt;=LY$3)*('حجز الإجازات'!$G$5:$G$104="معتمد")*ROW('حجز الإجازات'!$B$5:$B$104))=0,"",INDEX('حجز الإجازات'!$C$5:$C$104,(SUMPRODUCT(('حجز الإجازات'!$B$5:$B$104='الموظفون'!$B$3)*('حجز الإجازات'!$D$5:$D$104&lt;=LY$3)*(('حجز الإجازات'!$E$5:$E$104)&gt;=LY$3)*('حجز الإجازات'!$G$5:$G$104="معتمد")*ROW('حجز الإجازات'!$B$5:$B$104)))-5+1))</f>
        <v/>
      </c>
      <c r="LZ5" s="62">
        <f>IF(SUMPRODUCT(('حجز الإجازات'!$B$5:$B$104='الموظفون'!$B$3)*('حجز الإجازات'!$D$5:$D$104&lt;=LZ$3)*(('حجز الإجازات'!$E$5:$E$104)&gt;=LZ$3)*('حجز الإجازات'!$G$5:$G$104="معتمد")*ROW('حجز الإجازات'!$B$5:$B$104))=0,"",INDEX('حجز الإجازات'!$C$5:$C$104,(SUMPRODUCT(('حجز الإجازات'!$B$5:$B$104='الموظفون'!$B$3)*('حجز الإجازات'!$D$5:$D$104&lt;=LZ$3)*(('حجز الإجازات'!$E$5:$E$104)&gt;=LZ$3)*('حجز الإجازات'!$G$5:$G$104="معتمد")*ROW('حجز الإجازات'!$B$5:$B$104)))-5+1))</f>
        <v/>
      </c>
      <c r="MA5" s="62">
        <f>IF(SUMPRODUCT(('حجز الإجازات'!$B$5:$B$104='الموظفون'!$B$3)*('حجز الإجازات'!$D$5:$D$104&lt;=MA$3)*(('حجز الإجازات'!$E$5:$E$104)&gt;=MA$3)*('حجز الإجازات'!$G$5:$G$104="معتمد")*ROW('حجز الإجازات'!$B$5:$B$104))=0,"",INDEX('حجز الإجازات'!$C$5:$C$104,(SUMPRODUCT(('حجز الإجازات'!$B$5:$B$104='الموظفون'!$B$3)*('حجز الإجازات'!$D$5:$D$104&lt;=MA$3)*(('حجز الإجازات'!$E$5:$E$104)&gt;=MA$3)*('حجز الإجازات'!$G$5:$G$104="معتمد")*ROW('حجز الإجازات'!$B$5:$B$104)))-5+1))</f>
        <v/>
      </c>
      <c r="MB5" s="62">
        <f>IF(SUMPRODUCT(('حجز الإجازات'!$B$5:$B$104='الموظفون'!$B$3)*('حجز الإجازات'!$D$5:$D$104&lt;=MB$3)*(('حجز الإجازات'!$E$5:$E$104)&gt;=MB$3)*('حجز الإجازات'!$G$5:$G$104="معتمد")*ROW('حجز الإجازات'!$B$5:$B$104))=0,"",INDEX('حجز الإجازات'!$C$5:$C$104,(SUMPRODUCT(('حجز الإجازات'!$B$5:$B$104='الموظفون'!$B$3)*('حجز الإجازات'!$D$5:$D$104&lt;=MB$3)*(('حجز الإجازات'!$E$5:$E$104)&gt;=MB$3)*('حجز الإجازات'!$G$5:$G$104="معتمد")*ROW('حجز الإجازات'!$B$5:$B$104)))-5+1))</f>
        <v/>
      </c>
      <c r="MC5" s="62">
        <f>IF(SUMPRODUCT(('حجز الإجازات'!$B$5:$B$104='الموظفون'!$B$3)*('حجز الإجازات'!$D$5:$D$104&lt;=MC$3)*(('حجز الإجازات'!$E$5:$E$104)&gt;=MC$3)*('حجز الإجازات'!$G$5:$G$104="معتمد")*ROW('حجز الإجازات'!$B$5:$B$104))=0,"",INDEX('حجز الإجازات'!$C$5:$C$104,(SUMPRODUCT(('حجز الإجازات'!$B$5:$B$104='الموظفون'!$B$3)*('حجز الإجازات'!$D$5:$D$104&lt;=MC$3)*(('حجز الإجازات'!$E$5:$E$104)&gt;=MC$3)*('حجز الإجازات'!$G$5:$G$104="معتمد")*ROW('حجز الإجازات'!$B$5:$B$104)))-5+1))</f>
        <v/>
      </c>
      <c r="MD5" s="62">
        <f>IF(SUMPRODUCT(('حجز الإجازات'!$B$5:$B$104='الموظفون'!$B$3)*('حجز الإجازات'!$D$5:$D$104&lt;=MD$3)*(('حجز الإجازات'!$E$5:$E$104)&gt;=MD$3)*('حجز الإجازات'!$G$5:$G$104="معتمد")*ROW('حجز الإجازات'!$B$5:$B$104))=0,"",INDEX('حجز الإجازات'!$C$5:$C$104,(SUMPRODUCT(('حجز الإجازات'!$B$5:$B$104='الموظفون'!$B$3)*('حجز الإجازات'!$D$5:$D$104&lt;=MD$3)*(('حجز الإجازات'!$E$5:$E$104)&gt;=MD$3)*('حجز الإجازات'!$G$5:$G$104="معتمد")*ROW('حجز الإجازات'!$B$5:$B$104)))-5+1))</f>
        <v/>
      </c>
      <c r="ME5" s="62">
        <f>IF(SUMPRODUCT(('حجز الإجازات'!$B$5:$B$104='الموظفون'!$B$3)*('حجز الإجازات'!$D$5:$D$104&lt;=ME$3)*(('حجز الإجازات'!$E$5:$E$104)&gt;=ME$3)*('حجز الإجازات'!$G$5:$G$104="معتمد")*ROW('حجز الإجازات'!$B$5:$B$104))=0,"",INDEX('حجز الإجازات'!$C$5:$C$104,(SUMPRODUCT(('حجز الإجازات'!$B$5:$B$104='الموظفون'!$B$3)*('حجز الإجازات'!$D$5:$D$104&lt;=ME$3)*(('حجز الإجازات'!$E$5:$E$104)&gt;=ME$3)*('حجز الإجازات'!$G$5:$G$104="معتمد")*ROW('حجز الإجازات'!$B$5:$B$104)))-5+1))</f>
        <v/>
      </c>
      <c r="MF5" s="62">
        <f>IF(SUMPRODUCT(('حجز الإجازات'!$B$5:$B$104='الموظفون'!$B$3)*('حجز الإجازات'!$D$5:$D$104&lt;=MF$3)*(('حجز الإجازات'!$E$5:$E$104)&gt;=MF$3)*('حجز الإجازات'!$G$5:$G$104="معتمد")*ROW('حجز الإجازات'!$B$5:$B$104))=0,"",INDEX('حجز الإجازات'!$C$5:$C$104,(SUMPRODUCT(('حجز الإجازات'!$B$5:$B$104='الموظفون'!$B$3)*('حجز الإجازات'!$D$5:$D$104&lt;=MF$3)*(('حجز الإجازات'!$E$5:$E$104)&gt;=MF$3)*('حجز الإجازات'!$G$5:$G$104="معتمد")*ROW('حجز الإجازات'!$B$5:$B$104)))-5+1))</f>
        <v/>
      </c>
      <c r="MG5" s="62">
        <f>IF(SUMPRODUCT(('حجز الإجازات'!$B$5:$B$104='الموظفون'!$B$3)*('حجز الإجازات'!$D$5:$D$104&lt;=MG$3)*(('حجز الإجازات'!$E$5:$E$104)&gt;=MG$3)*('حجز الإجازات'!$G$5:$G$104="معتمد")*ROW('حجز الإجازات'!$B$5:$B$104))=0,"",INDEX('حجز الإجازات'!$C$5:$C$104,(SUMPRODUCT(('حجز الإجازات'!$B$5:$B$104='الموظفون'!$B$3)*('حجز الإجازات'!$D$5:$D$104&lt;=MG$3)*(('حجز الإجازات'!$E$5:$E$104)&gt;=MG$3)*('حجز الإجازات'!$G$5:$G$104="معتمد")*ROW('حجز الإجازات'!$B$5:$B$104)))-5+1))</f>
        <v/>
      </c>
      <c r="MH5" s="62">
        <f>IF(SUMPRODUCT(('حجز الإجازات'!$B$5:$B$104='الموظفون'!$B$3)*('حجز الإجازات'!$D$5:$D$104&lt;=MH$3)*(('حجز الإجازات'!$E$5:$E$104)&gt;=MH$3)*('حجز الإجازات'!$G$5:$G$104="معتمد")*ROW('حجز الإجازات'!$B$5:$B$104))=0,"",INDEX('حجز الإجازات'!$C$5:$C$104,(SUMPRODUCT(('حجز الإجازات'!$B$5:$B$104='الموظفون'!$B$3)*('حجز الإجازات'!$D$5:$D$104&lt;=MH$3)*(('حجز الإجازات'!$E$5:$E$104)&gt;=MH$3)*('حجز الإجازات'!$G$5:$G$104="معتمد")*ROW('حجز الإجازات'!$B$5:$B$104)))-5+1))</f>
        <v/>
      </c>
      <c r="MI5" s="62">
        <f>IF(SUMPRODUCT(('حجز الإجازات'!$B$5:$B$104='الموظفون'!$B$3)*('حجز الإجازات'!$D$5:$D$104&lt;=MI$3)*(('حجز الإجازات'!$E$5:$E$104)&gt;=MI$3)*('حجز الإجازات'!$G$5:$G$104="معتمد")*ROW('حجز الإجازات'!$B$5:$B$104))=0,"",INDEX('حجز الإجازات'!$C$5:$C$104,(SUMPRODUCT(('حجز الإجازات'!$B$5:$B$104='الموظفون'!$B$3)*('حجز الإجازات'!$D$5:$D$104&lt;=MI$3)*(('حجز الإجازات'!$E$5:$E$104)&gt;=MI$3)*('حجز الإجازات'!$G$5:$G$104="معتمد")*ROW('حجز الإجازات'!$B$5:$B$104)))-5+1))</f>
        <v/>
      </c>
      <c r="MJ5" s="62">
        <f>IF(SUMPRODUCT(('حجز الإجازات'!$B$5:$B$104='الموظفون'!$B$3)*('حجز الإجازات'!$D$5:$D$104&lt;=MJ$3)*(('حجز الإجازات'!$E$5:$E$104)&gt;=MJ$3)*('حجز الإجازات'!$G$5:$G$104="معتمد")*ROW('حجز الإجازات'!$B$5:$B$104))=0,"",INDEX('حجز الإجازات'!$C$5:$C$104,(SUMPRODUCT(('حجز الإجازات'!$B$5:$B$104='الموظفون'!$B$3)*('حجز الإجازات'!$D$5:$D$104&lt;=MJ$3)*(('حجز الإجازات'!$E$5:$E$104)&gt;=MJ$3)*('حجز الإجازات'!$G$5:$G$104="معتمد")*ROW('حجز الإجازات'!$B$5:$B$104)))-5+1))</f>
        <v/>
      </c>
      <c r="MK5" s="62">
        <f>IF(SUMPRODUCT(('حجز الإجازات'!$B$5:$B$104='الموظفون'!$B$3)*('حجز الإجازات'!$D$5:$D$104&lt;=MK$3)*(('حجز الإجازات'!$E$5:$E$104)&gt;=MK$3)*('حجز الإجازات'!$G$5:$G$104="معتمد")*ROW('حجز الإجازات'!$B$5:$B$104))=0,"",INDEX('حجز الإجازات'!$C$5:$C$104,(SUMPRODUCT(('حجز الإجازات'!$B$5:$B$104='الموظفون'!$B$3)*('حجز الإجازات'!$D$5:$D$104&lt;=MK$3)*(('حجز الإجازات'!$E$5:$E$104)&gt;=MK$3)*('حجز الإجازات'!$G$5:$G$104="معتمد")*ROW('حجز الإجازات'!$B$5:$B$104)))-5+1))</f>
        <v/>
      </c>
      <c r="ML5" s="62">
        <f>IF(SUMPRODUCT(('حجز الإجازات'!$B$5:$B$104='الموظفون'!$B$3)*('حجز الإجازات'!$D$5:$D$104&lt;=ML$3)*(('حجز الإجازات'!$E$5:$E$104)&gt;=ML$3)*('حجز الإجازات'!$G$5:$G$104="معتمد")*ROW('حجز الإجازات'!$B$5:$B$104))=0,"",INDEX('حجز الإجازات'!$C$5:$C$104,(SUMPRODUCT(('حجز الإجازات'!$B$5:$B$104='الموظفون'!$B$3)*('حجز الإجازات'!$D$5:$D$104&lt;=ML$3)*(('حجز الإجازات'!$E$5:$E$104)&gt;=ML$3)*('حجز الإجازات'!$G$5:$G$104="معتمد")*ROW('حجز الإجازات'!$B$5:$B$104)))-5+1))</f>
        <v/>
      </c>
      <c r="MM5" s="62">
        <f>IF(SUMPRODUCT(('حجز الإجازات'!$B$5:$B$104='الموظفون'!$B$3)*('حجز الإجازات'!$D$5:$D$104&lt;=MM$3)*(('حجز الإجازات'!$E$5:$E$104)&gt;=MM$3)*('حجز الإجازات'!$G$5:$G$104="معتمد")*ROW('حجز الإجازات'!$B$5:$B$104))=0,"",INDEX('حجز الإجازات'!$C$5:$C$104,(SUMPRODUCT(('حجز الإجازات'!$B$5:$B$104='الموظفون'!$B$3)*('حجز الإجازات'!$D$5:$D$104&lt;=MM$3)*(('حجز الإجازات'!$E$5:$E$104)&gt;=MM$3)*('حجز الإجازات'!$G$5:$G$104="معتمد")*ROW('حجز الإجازات'!$B$5:$B$104)))-5+1))</f>
        <v/>
      </c>
      <c r="MN5" s="62">
        <f>IF(SUMPRODUCT(('حجز الإجازات'!$B$5:$B$104='الموظفون'!$B$3)*('حجز الإجازات'!$D$5:$D$104&lt;=MN$3)*(('حجز الإجازات'!$E$5:$E$104)&gt;=MN$3)*('حجز الإجازات'!$G$5:$G$104="معتمد")*ROW('حجز الإجازات'!$B$5:$B$104))=0,"",INDEX('حجز الإجازات'!$C$5:$C$104,(SUMPRODUCT(('حجز الإجازات'!$B$5:$B$104='الموظفون'!$B$3)*('حجز الإجازات'!$D$5:$D$104&lt;=MN$3)*(('حجز الإجازات'!$E$5:$E$104)&gt;=MN$3)*('حجز الإجازات'!$G$5:$G$104="معتمد")*ROW('حجز الإجازات'!$B$5:$B$104)))-5+1))</f>
        <v/>
      </c>
      <c r="MO5" s="62">
        <f>IF(SUMPRODUCT(('حجز الإجازات'!$B$5:$B$104='الموظفون'!$B$3)*('حجز الإجازات'!$D$5:$D$104&lt;=MO$3)*(('حجز الإجازات'!$E$5:$E$104)&gt;=MO$3)*('حجز الإجازات'!$G$5:$G$104="معتمد")*ROW('حجز الإجازات'!$B$5:$B$104))=0,"",INDEX('حجز الإجازات'!$C$5:$C$104,(SUMPRODUCT(('حجز الإجازات'!$B$5:$B$104='الموظفون'!$B$3)*('حجز الإجازات'!$D$5:$D$104&lt;=MO$3)*(('حجز الإجازات'!$E$5:$E$104)&gt;=MO$3)*('حجز الإجازات'!$G$5:$G$104="معتمد")*ROW('حجز الإجازات'!$B$5:$B$104)))-5+1))</f>
        <v/>
      </c>
      <c r="MP5" s="62">
        <f>IF(SUMPRODUCT(('حجز الإجازات'!$B$5:$B$104='الموظفون'!$B$3)*('حجز الإجازات'!$D$5:$D$104&lt;=MP$3)*(('حجز الإجازات'!$E$5:$E$104)&gt;=MP$3)*('حجز الإجازات'!$G$5:$G$104="معتمد")*ROW('حجز الإجازات'!$B$5:$B$104))=0,"",INDEX('حجز الإجازات'!$C$5:$C$104,(SUMPRODUCT(('حجز الإجازات'!$B$5:$B$104='الموظفون'!$B$3)*('حجز الإجازات'!$D$5:$D$104&lt;=MP$3)*(('حجز الإجازات'!$E$5:$E$104)&gt;=MP$3)*('حجز الإجازات'!$G$5:$G$104="معتمد")*ROW('حجز الإجازات'!$B$5:$B$104)))-5+1))</f>
        <v/>
      </c>
      <c r="MQ5" s="62">
        <f>IF(SUMPRODUCT(('حجز الإجازات'!$B$5:$B$104='الموظفون'!$B$3)*('حجز الإجازات'!$D$5:$D$104&lt;=MQ$3)*(('حجز الإجازات'!$E$5:$E$104)&gt;=MQ$3)*('حجز الإجازات'!$G$5:$G$104="معتمد")*ROW('حجز الإجازات'!$B$5:$B$104))=0,"",INDEX('حجز الإجازات'!$C$5:$C$104,(SUMPRODUCT(('حجز الإجازات'!$B$5:$B$104='الموظفون'!$B$3)*('حجز الإجازات'!$D$5:$D$104&lt;=MQ$3)*(('حجز الإجازات'!$E$5:$E$104)&gt;=MQ$3)*('حجز الإجازات'!$G$5:$G$104="معتمد")*ROW('حجز الإجازات'!$B$5:$B$104)))-5+1))</f>
        <v/>
      </c>
      <c r="MR5" s="62">
        <f>IF(SUMPRODUCT(('حجز الإجازات'!$B$5:$B$104='الموظفون'!$B$3)*('حجز الإجازات'!$D$5:$D$104&lt;=MR$3)*(('حجز الإجازات'!$E$5:$E$104)&gt;=MR$3)*('حجز الإجازات'!$G$5:$G$104="معتمد")*ROW('حجز الإجازات'!$B$5:$B$104))=0,"",INDEX('حجز الإجازات'!$C$5:$C$104,(SUMPRODUCT(('حجز الإجازات'!$B$5:$B$104='الموظفون'!$B$3)*('حجز الإجازات'!$D$5:$D$104&lt;=MR$3)*(('حجز الإجازات'!$E$5:$E$104)&gt;=MR$3)*('حجز الإجازات'!$G$5:$G$104="معتمد")*ROW('حجز الإجازات'!$B$5:$B$104)))-5+1))</f>
        <v/>
      </c>
      <c r="MS5" s="62">
        <f>IF(SUMPRODUCT(('حجز الإجازات'!$B$5:$B$104='الموظفون'!$B$3)*('حجز الإجازات'!$D$5:$D$104&lt;=MS$3)*(('حجز الإجازات'!$E$5:$E$104)&gt;=MS$3)*('حجز الإجازات'!$G$5:$G$104="معتمد")*ROW('حجز الإجازات'!$B$5:$B$104))=0,"",INDEX('حجز الإجازات'!$C$5:$C$104,(SUMPRODUCT(('حجز الإجازات'!$B$5:$B$104='الموظفون'!$B$3)*('حجز الإجازات'!$D$5:$D$104&lt;=MS$3)*(('حجز الإجازات'!$E$5:$E$104)&gt;=MS$3)*('حجز الإجازات'!$G$5:$G$104="معتمد")*ROW('حجز الإجازات'!$B$5:$B$104)))-5+1))</f>
        <v/>
      </c>
      <c r="MT5" s="62">
        <f>IF(SUMPRODUCT(('حجز الإجازات'!$B$5:$B$104='الموظفون'!$B$3)*('حجز الإجازات'!$D$5:$D$104&lt;=MT$3)*(('حجز الإجازات'!$E$5:$E$104)&gt;=MT$3)*('حجز الإجازات'!$G$5:$G$104="معتمد")*ROW('حجز الإجازات'!$B$5:$B$104))=0,"",INDEX('حجز الإجازات'!$C$5:$C$104,(SUMPRODUCT(('حجز الإجازات'!$B$5:$B$104='الموظفون'!$B$3)*('حجز الإجازات'!$D$5:$D$104&lt;=MT$3)*(('حجز الإجازات'!$E$5:$E$104)&gt;=MT$3)*('حجز الإجازات'!$G$5:$G$104="معتمد")*ROW('حجز الإجازات'!$B$5:$B$104)))-5+1))</f>
        <v/>
      </c>
      <c r="MU5" s="62">
        <f>IF(SUMPRODUCT(('حجز الإجازات'!$B$5:$B$104='الموظفون'!$B$3)*('حجز الإجازات'!$D$5:$D$104&lt;=MU$3)*(('حجز الإجازات'!$E$5:$E$104)&gt;=MU$3)*('حجز الإجازات'!$G$5:$G$104="معتمد")*ROW('حجز الإجازات'!$B$5:$B$104))=0,"",INDEX('حجز الإجازات'!$C$5:$C$104,(SUMPRODUCT(('حجز الإجازات'!$B$5:$B$104='الموظفون'!$B$3)*('حجز الإجازات'!$D$5:$D$104&lt;=MU$3)*(('حجز الإجازات'!$E$5:$E$104)&gt;=MU$3)*('حجز الإجازات'!$G$5:$G$104="معتمد")*ROW('حجز الإجازات'!$B$5:$B$104)))-5+1))</f>
        <v/>
      </c>
      <c r="MV5" s="62">
        <f>IF(SUMPRODUCT(('حجز الإجازات'!$B$5:$B$104='الموظفون'!$B$3)*('حجز الإجازات'!$D$5:$D$104&lt;=MV$3)*(('حجز الإجازات'!$E$5:$E$104)&gt;=MV$3)*('حجز الإجازات'!$G$5:$G$104="معتمد")*ROW('حجز الإجازات'!$B$5:$B$104))=0,"",INDEX('حجز الإجازات'!$C$5:$C$104,(SUMPRODUCT(('حجز الإجازات'!$B$5:$B$104='الموظفون'!$B$3)*('حجز الإجازات'!$D$5:$D$104&lt;=MV$3)*(('حجز الإجازات'!$E$5:$E$104)&gt;=MV$3)*('حجز الإجازات'!$G$5:$G$104="معتمد")*ROW('حجز الإجازات'!$B$5:$B$104)))-5+1))</f>
        <v/>
      </c>
      <c r="MW5" s="62">
        <f>IF(SUMPRODUCT(('حجز الإجازات'!$B$5:$B$104='الموظفون'!$B$3)*('حجز الإجازات'!$D$5:$D$104&lt;=MW$3)*(('حجز الإجازات'!$E$5:$E$104)&gt;=MW$3)*('حجز الإجازات'!$G$5:$G$104="معتمد")*ROW('حجز الإجازات'!$B$5:$B$104))=0,"",INDEX('حجز الإجازات'!$C$5:$C$104,(SUMPRODUCT(('حجز الإجازات'!$B$5:$B$104='الموظفون'!$B$3)*('حجز الإجازات'!$D$5:$D$104&lt;=MW$3)*(('حجز الإجازات'!$E$5:$E$104)&gt;=MW$3)*('حجز الإجازات'!$G$5:$G$104="معتمد")*ROW('حجز الإجازات'!$B$5:$B$104)))-5+1))</f>
        <v/>
      </c>
      <c r="MX5" s="62">
        <f>IF(SUMPRODUCT(('حجز الإجازات'!$B$5:$B$104='الموظفون'!$B$3)*('حجز الإجازات'!$D$5:$D$104&lt;=MX$3)*(('حجز الإجازات'!$E$5:$E$104)&gt;=MX$3)*('حجز الإجازات'!$G$5:$G$104="معتمد")*ROW('حجز الإجازات'!$B$5:$B$104))=0,"",INDEX('حجز الإجازات'!$C$5:$C$104,(SUMPRODUCT(('حجز الإجازات'!$B$5:$B$104='الموظفون'!$B$3)*('حجز الإجازات'!$D$5:$D$104&lt;=MX$3)*(('حجز الإجازات'!$E$5:$E$104)&gt;=MX$3)*('حجز الإجازات'!$G$5:$G$104="معتمد")*ROW('حجز الإجازات'!$B$5:$B$104)))-5+1))</f>
        <v/>
      </c>
      <c r="MY5" s="62">
        <f>IF(SUMPRODUCT(('حجز الإجازات'!$B$5:$B$104='الموظفون'!$B$3)*('حجز الإجازات'!$D$5:$D$104&lt;=MY$3)*(('حجز الإجازات'!$E$5:$E$104)&gt;=MY$3)*('حجز الإجازات'!$G$5:$G$104="معتمد")*ROW('حجز الإجازات'!$B$5:$B$104))=0,"",INDEX('حجز الإجازات'!$C$5:$C$104,(SUMPRODUCT(('حجز الإجازات'!$B$5:$B$104='الموظفون'!$B$3)*('حجز الإجازات'!$D$5:$D$104&lt;=MY$3)*(('حجز الإجازات'!$E$5:$E$104)&gt;=MY$3)*('حجز الإجازات'!$G$5:$G$104="معتمد")*ROW('حجز الإجازات'!$B$5:$B$104)))-5+1))</f>
        <v/>
      </c>
      <c r="MZ5" s="62">
        <f>IF(SUMPRODUCT(('حجز الإجازات'!$B$5:$B$104='الموظفون'!$B$3)*('حجز الإجازات'!$D$5:$D$104&lt;=MZ$3)*(('حجز الإجازات'!$E$5:$E$104)&gt;=MZ$3)*('حجز الإجازات'!$G$5:$G$104="معتمد")*ROW('حجز الإجازات'!$B$5:$B$104))=0,"",INDEX('حجز الإجازات'!$C$5:$C$104,(SUMPRODUCT(('حجز الإجازات'!$B$5:$B$104='الموظفون'!$B$3)*('حجز الإجازات'!$D$5:$D$104&lt;=MZ$3)*(('حجز الإجازات'!$E$5:$E$104)&gt;=MZ$3)*('حجز الإجازات'!$G$5:$G$104="معتمد")*ROW('حجز الإجازات'!$B$5:$B$104)))-5+1))</f>
        <v/>
      </c>
      <c r="NA5" s="62">
        <f>IF(SUMPRODUCT(('حجز الإجازات'!$B$5:$B$104='الموظفون'!$B$3)*('حجز الإجازات'!$D$5:$D$104&lt;=NA$3)*(('حجز الإجازات'!$E$5:$E$104)&gt;=NA$3)*('حجز الإجازات'!$G$5:$G$104="معتمد")*ROW('حجز الإجازات'!$B$5:$B$104))=0,"",INDEX('حجز الإجازات'!$C$5:$C$104,(SUMPRODUCT(('حجز الإجازات'!$B$5:$B$104='الموظفون'!$B$3)*('حجز الإجازات'!$D$5:$D$104&lt;=NA$3)*(('حجز الإجازات'!$E$5:$E$104)&gt;=NA$3)*('حجز الإجازات'!$G$5:$G$104="معتمد")*ROW('حجز الإجازات'!$B$5:$B$104)))-5+1))</f>
        <v/>
      </c>
      <c r="NB5" s="62">
        <f>IF(SUMPRODUCT(('حجز الإجازات'!$B$5:$B$104='الموظفون'!$B$3)*('حجز الإجازات'!$D$5:$D$104&lt;=NB$3)*(('حجز الإجازات'!$E$5:$E$104)&gt;=NB$3)*('حجز الإجازات'!$G$5:$G$104="معتمد")*ROW('حجز الإجازات'!$B$5:$B$104))=0,"",INDEX('حجز الإجازات'!$C$5:$C$104,(SUMPRODUCT(('حجز الإجازات'!$B$5:$B$104='الموظفون'!$B$3)*('حجز الإجازات'!$D$5:$D$104&lt;=NB$3)*(('حجز الإجازات'!$E$5:$E$104)&gt;=NB$3)*('حجز الإجازات'!$G$5:$G$104="معتمد")*ROW('حجز الإجازات'!$B$5:$B$104)))-5+1))</f>
        <v/>
      </c>
      <c r="NC5" s="62">
        <f>IF(SUMPRODUCT(('حجز الإجازات'!$B$5:$B$104='الموظفون'!$B$3)*('حجز الإجازات'!$D$5:$D$104&lt;=NC$3)*(('حجز الإجازات'!$E$5:$E$104)&gt;=NC$3)*('حجز الإجازات'!$G$5:$G$104="معتمد")*ROW('حجز الإجازات'!$B$5:$B$104))=0,"",INDEX('حجز الإجازات'!$C$5:$C$104,(SUMPRODUCT(('حجز الإجازات'!$B$5:$B$104='الموظفون'!$B$3)*('حجز الإجازات'!$D$5:$D$104&lt;=NC$3)*(('حجز الإجازات'!$E$5:$E$104)&gt;=NC$3)*('حجز الإجازات'!$G$5:$G$104="معتمد")*ROW('حجز الإجازات'!$B$5:$B$104)))-5+1))</f>
        <v/>
      </c>
      <c r="ND5" s="62">
        <f>IF(SUMPRODUCT(('حجز الإجازات'!$B$5:$B$104='الموظفون'!$B$3)*('حجز الإجازات'!$D$5:$D$104&lt;=ND$3)*(('حجز الإجازات'!$E$5:$E$104)&gt;=ND$3)*('حجز الإجازات'!$G$5:$G$104="معتمد")*ROW('حجز الإجازات'!$B$5:$B$104))=0,"",INDEX('حجز الإجازات'!$C$5:$C$104,(SUMPRODUCT(('حجز الإجازات'!$B$5:$B$104='الموظفون'!$B$3)*('حجز الإجازات'!$D$5:$D$104&lt;=ND$3)*(('حجز الإجازات'!$E$5:$E$104)&gt;=ND$3)*('حجز الإجازات'!$G$5:$G$104="معتمد")*ROW('حجز الإجازات'!$B$5:$B$104)))-5+1))</f>
        <v/>
      </c>
      <c r="NE5" s="74">
        <f>SUMPRODUCT(--(D5:ND5&lt;&gt;""))</f>
        <v/>
      </c>
    </row>
    <row r="6">
      <c r="A6" s="16" t="n">
        <v>3</v>
      </c>
      <c r="B6" s="22">
        <f>'الموظفون'!B4</f>
        <v/>
      </c>
      <c r="C6" s="16">
        <f>'الموظفون'!C4</f>
        <v/>
      </c>
      <c r="D6" s="62">
        <f>IF(SUMPRODUCT(('حجز الإجازات'!$B$5:$B$104='الموظفون'!$B$4)*('حجز الإجازات'!$D$5:$D$104&lt;=D$3)*(('حجز الإجازات'!$E$5:$E$104)&gt;=D$3)*('حجز الإجازات'!$G$5:$G$104="معتمد")*ROW('حجز الإجازات'!$B$5:$B$104))=0,"",INDEX('حجز الإجازات'!$C$5:$C$104,(SUMPRODUCT(('حجز الإجازات'!$B$5:$B$104='الموظفون'!$B$4)*('حجز الإجازات'!$D$5:$D$104&lt;=D$3)*(('حجز الإجازات'!$E$5:$E$104)&gt;=D$3)*('حجز الإجازات'!$G$5:$G$104="معتمد")*ROW('حجز الإجازات'!$B$5:$B$104)))-5+1))</f>
        <v/>
      </c>
      <c r="E6" s="62">
        <f>IF(SUMPRODUCT(('حجز الإجازات'!$B$5:$B$104='الموظفون'!$B$4)*('حجز الإجازات'!$D$5:$D$104&lt;=E$3)*(('حجز الإجازات'!$E$5:$E$104)&gt;=E$3)*('حجز الإجازات'!$G$5:$G$104="معتمد")*ROW('حجز الإجازات'!$B$5:$B$104))=0,"",INDEX('حجز الإجازات'!$C$5:$C$104,(SUMPRODUCT(('حجز الإجازات'!$B$5:$B$104='الموظفون'!$B$4)*('حجز الإجازات'!$D$5:$D$104&lt;=E$3)*(('حجز الإجازات'!$E$5:$E$104)&gt;=E$3)*('حجز الإجازات'!$G$5:$G$104="معتمد")*ROW('حجز الإجازات'!$B$5:$B$104)))-5+1))</f>
        <v/>
      </c>
      <c r="F6" s="62">
        <f>IF(SUMPRODUCT(('حجز الإجازات'!$B$5:$B$104='الموظفون'!$B$4)*('حجز الإجازات'!$D$5:$D$104&lt;=F$3)*(('حجز الإجازات'!$E$5:$E$104)&gt;=F$3)*('حجز الإجازات'!$G$5:$G$104="معتمد")*ROW('حجز الإجازات'!$B$5:$B$104))=0,"",INDEX('حجز الإجازات'!$C$5:$C$104,(SUMPRODUCT(('حجز الإجازات'!$B$5:$B$104='الموظفون'!$B$4)*('حجز الإجازات'!$D$5:$D$104&lt;=F$3)*(('حجز الإجازات'!$E$5:$E$104)&gt;=F$3)*('حجز الإجازات'!$G$5:$G$104="معتمد")*ROW('حجز الإجازات'!$B$5:$B$104)))-5+1))</f>
        <v/>
      </c>
      <c r="G6" s="62">
        <f>IF(SUMPRODUCT(('حجز الإجازات'!$B$5:$B$104='الموظفون'!$B$4)*('حجز الإجازات'!$D$5:$D$104&lt;=G$3)*(('حجز الإجازات'!$E$5:$E$104)&gt;=G$3)*('حجز الإجازات'!$G$5:$G$104="معتمد")*ROW('حجز الإجازات'!$B$5:$B$104))=0,"",INDEX('حجز الإجازات'!$C$5:$C$104,(SUMPRODUCT(('حجز الإجازات'!$B$5:$B$104='الموظفون'!$B$4)*('حجز الإجازات'!$D$5:$D$104&lt;=G$3)*(('حجز الإجازات'!$E$5:$E$104)&gt;=G$3)*('حجز الإجازات'!$G$5:$G$104="معتمد")*ROW('حجز الإجازات'!$B$5:$B$104)))-5+1))</f>
        <v/>
      </c>
      <c r="H6" s="62">
        <f>IF(SUMPRODUCT(('حجز الإجازات'!$B$5:$B$104='الموظفون'!$B$4)*('حجز الإجازات'!$D$5:$D$104&lt;=H$3)*(('حجز الإجازات'!$E$5:$E$104)&gt;=H$3)*('حجز الإجازات'!$G$5:$G$104="معتمد")*ROW('حجز الإجازات'!$B$5:$B$104))=0,"",INDEX('حجز الإجازات'!$C$5:$C$104,(SUMPRODUCT(('حجز الإجازات'!$B$5:$B$104='الموظفون'!$B$4)*('حجز الإجازات'!$D$5:$D$104&lt;=H$3)*(('حجز الإجازات'!$E$5:$E$104)&gt;=H$3)*('حجز الإجازات'!$G$5:$G$104="معتمد")*ROW('حجز الإجازات'!$B$5:$B$104)))-5+1))</f>
        <v/>
      </c>
      <c r="I6" s="62">
        <f>IF(SUMPRODUCT(('حجز الإجازات'!$B$5:$B$104='الموظفون'!$B$4)*('حجز الإجازات'!$D$5:$D$104&lt;=I$3)*(('حجز الإجازات'!$E$5:$E$104)&gt;=I$3)*('حجز الإجازات'!$G$5:$G$104="معتمد")*ROW('حجز الإجازات'!$B$5:$B$104))=0,"",INDEX('حجز الإجازات'!$C$5:$C$104,(SUMPRODUCT(('حجز الإجازات'!$B$5:$B$104='الموظفون'!$B$4)*('حجز الإجازات'!$D$5:$D$104&lt;=I$3)*(('حجز الإجازات'!$E$5:$E$104)&gt;=I$3)*('حجز الإجازات'!$G$5:$G$104="معتمد")*ROW('حجز الإجازات'!$B$5:$B$104)))-5+1))</f>
        <v/>
      </c>
      <c r="J6" s="62">
        <f>IF(SUMPRODUCT(('حجز الإجازات'!$B$5:$B$104='الموظفون'!$B$4)*('حجز الإجازات'!$D$5:$D$104&lt;=J$3)*(('حجز الإجازات'!$E$5:$E$104)&gt;=J$3)*('حجز الإجازات'!$G$5:$G$104="معتمد")*ROW('حجز الإجازات'!$B$5:$B$104))=0,"",INDEX('حجز الإجازات'!$C$5:$C$104,(SUMPRODUCT(('حجز الإجازات'!$B$5:$B$104='الموظفون'!$B$4)*('حجز الإجازات'!$D$5:$D$104&lt;=J$3)*(('حجز الإجازات'!$E$5:$E$104)&gt;=J$3)*('حجز الإجازات'!$G$5:$G$104="معتمد")*ROW('حجز الإجازات'!$B$5:$B$104)))-5+1))</f>
        <v/>
      </c>
      <c r="K6" s="62">
        <f>IF(SUMPRODUCT(('حجز الإجازات'!$B$5:$B$104='الموظفون'!$B$4)*('حجز الإجازات'!$D$5:$D$104&lt;=K$3)*(('حجز الإجازات'!$E$5:$E$104)&gt;=K$3)*('حجز الإجازات'!$G$5:$G$104="معتمد")*ROW('حجز الإجازات'!$B$5:$B$104))=0,"",INDEX('حجز الإجازات'!$C$5:$C$104,(SUMPRODUCT(('حجز الإجازات'!$B$5:$B$104='الموظفون'!$B$4)*('حجز الإجازات'!$D$5:$D$104&lt;=K$3)*(('حجز الإجازات'!$E$5:$E$104)&gt;=K$3)*('حجز الإجازات'!$G$5:$G$104="معتمد")*ROW('حجز الإجازات'!$B$5:$B$104)))-5+1))</f>
        <v/>
      </c>
      <c r="L6" s="62">
        <f>IF(SUMPRODUCT(('حجز الإجازات'!$B$5:$B$104='الموظفون'!$B$4)*('حجز الإجازات'!$D$5:$D$104&lt;=L$3)*(('حجز الإجازات'!$E$5:$E$104)&gt;=L$3)*('حجز الإجازات'!$G$5:$G$104="معتمد")*ROW('حجز الإجازات'!$B$5:$B$104))=0,"",INDEX('حجز الإجازات'!$C$5:$C$104,(SUMPRODUCT(('حجز الإجازات'!$B$5:$B$104='الموظفون'!$B$4)*('حجز الإجازات'!$D$5:$D$104&lt;=L$3)*(('حجز الإجازات'!$E$5:$E$104)&gt;=L$3)*('حجز الإجازات'!$G$5:$G$104="معتمد")*ROW('حجز الإجازات'!$B$5:$B$104)))-5+1))</f>
        <v/>
      </c>
      <c r="M6" s="62">
        <f>IF(SUMPRODUCT(('حجز الإجازات'!$B$5:$B$104='الموظفون'!$B$4)*('حجز الإجازات'!$D$5:$D$104&lt;=M$3)*(('حجز الإجازات'!$E$5:$E$104)&gt;=M$3)*('حجز الإجازات'!$G$5:$G$104="معتمد")*ROW('حجز الإجازات'!$B$5:$B$104))=0,"",INDEX('حجز الإجازات'!$C$5:$C$104,(SUMPRODUCT(('حجز الإجازات'!$B$5:$B$104='الموظفون'!$B$4)*('حجز الإجازات'!$D$5:$D$104&lt;=M$3)*(('حجز الإجازات'!$E$5:$E$104)&gt;=M$3)*('حجز الإجازات'!$G$5:$G$104="معتمد")*ROW('حجز الإجازات'!$B$5:$B$104)))-5+1))</f>
        <v/>
      </c>
      <c r="N6" s="62">
        <f>IF(SUMPRODUCT(('حجز الإجازات'!$B$5:$B$104='الموظفون'!$B$4)*('حجز الإجازات'!$D$5:$D$104&lt;=N$3)*(('حجز الإجازات'!$E$5:$E$104)&gt;=N$3)*('حجز الإجازات'!$G$5:$G$104="معتمد")*ROW('حجز الإجازات'!$B$5:$B$104))=0,"",INDEX('حجز الإجازات'!$C$5:$C$104,(SUMPRODUCT(('حجز الإجازات'!$B$5:$B$104='الموظفون'!$B$4)*('حجز الإجازات'!$D$5:$D$104&lt;=N$3)*(('حجز الإجازات'!$E$5:$E$104)&gt;=N$3)*('حجز الإجازات'!$G$5:$G$104="معتمد")*ROW('حجز الإجازات'!$B$5:$B$104)))-5+1))</f>
        <v/>
      </c>
      <c r="O6" s="62">
        <f>IF(SUMPRODUCT(('حجز الإجازات'!$B$5:$B$104='الموظفون'!$B$4)*('حجز الإجازات'!$D$5:$D$104&lt;=O$3)*(('حجز الإجازات'!$E$5:$E$104)&gt;=O$3)*('حجز الإجازات'!$G$5:$G$104="معتمد")*ROW('حجز الإجازات'!$B$5:$B$104))=0,"",INDEX('حجز الإجازات'!$C$5:$C$104,(SUMPRODUCT(('حجز الإجازات'!$B$5:$B$104='الموظفون'!$B$4)*('حجز الإجازات'!$D$5:$D$104&lt;=O$3)*(('حجز الإجازات'!$E$5:$E$104)&gt;=O$3)*('حجز الإجازات'!$G$5:$G$104="معتمد")*ROW('حجز الإجازات'!$B$5:$B$104)))-5+1))</f>
        <v/>
      </c>
      <c r="P6" s="62">
        <f>IF(SUMPRODUCT(('حجز الإجازات'!$B$5:$B$104='الموظفون'!$B$4)*('حجز الإجازات'!$D$5:$D$104&lt;=P$3)*(('حجز الإجازات'!$E$5:$E$104)&gt;=P$3)*('حجز الإجازات'!$G$5:$G$104="معتمد")*ROW('حجز الإجازات'!$B$5:$B$104))=0,"",INDEX('حجز الإجازات'!$C$5:$C$104,(SUMPRODUCT(('حجز الإجازات'!$B$5:$B$104='الموظفون'!$B$4)*('حجز الإجازات'!$D$5:$D$104&lt;=P$3)*(('حجز الإجازات'!$E$5:$E$104)&gt;=P$3)*('حجز الإجازات'!$G$5:$G$104="معتمد")*ROW('حجز الإجازات'!$B$5:$B$104)))-5+1))</f>
        <v/>
      </c>
      <c r="Q6" s="62">
        <f>IF(SUMPRODUCT(('حجز الإجازات'!$B$5:$B$104='الموظفون'!$B$4)*('حجز الإجازات'!$D$5:$D$104&lt;=Q$3)*(('حجز الإجازات'!$E$5:$E$104)&gt;=Q$3)*('حجز الإجازات'!$G$5:$G$104="معتمد")*ROW('حجز الإجازات'!$B$5:$B$104))=0,"",INDEX('حجز الإجازات'!$C$5:$C$104,(SUMPRODUCT(('حجز الإجازات'!$B$5:$B$104='الموظفون'!$B$4)*('حجز الإجازات'!$D$5:$D$104&lt;=Q$3)*(('حجز الإجازات'!$E$5:$E$104)&gt;=Q$3)*('حجز الإجازات'!$G$5:$G$104="معتمد")*ROW('حجز الإجازات'!$B$5:$B$104)))-5+1))</f>
        <v/>
      </c>
      <c r="R6" s="62">
        <f>IF(SUMPRODUCT(('حجز الإجازات'!$B$5:$B$104='الموظفون'!$B$4)*('حجز الإجازات'!$D$5:$D$104&lt;=R$3)*(('حجز الإجازات'!$E$5:$E$104)&gt;=R$3)*('حجز الإجازات'!$G$5:$G$104="معتمد")*ROW('حجز الإجازات'!$B$5:$B$104))=0,"",INDEX('حجز الإجازات'!$C$5:$C$104,(SUMPRODUCT(('حجز الإجازات'!$B$5:$B$104='الموظفون'!$B$4)*('حجز الإجازات'!$D$5:$D$104&lt;=R$3)*(('حجز الإجازات'!$E$5:$E$104)&gt;=R$3)*('حجز الإجازات'!$G$5:$G$104="معتمد")*ROW('حجز الإجازات'!$B$5:$B$104)))-5+1))</f>
        <v/>
      </c>
      <c r="S6" s="62">
        <f>IF(SUMPRODUCT(('حجز الإجازات'!$B$5:$B$104='الموظفون'!$B$4)*('حجز الإجازات'!$D$5:$D$104&lt;=S$3)*(('حجز الإجازات'!$E$5:$E$104)&gt;=S$3)*('حجز الإجازات'!$G$5:$G$104="معتمد")*ROW('حجز الإجازات'!$B$5:$B$104))=0,"",INDEX('حجز الإجازات'!$C$5:$C$104,(SUMPRODUCT(('حجز الإجازات'!$B$5:$B$104='الموظفون'!$B$4)*('حجز الإجازات'!$D$5:$D$104&lt;=S$3)*(('حجز الإجازات'!$E$5:$E$104)&gt;=S$3)*('حجز الإجازات'!$G$5:$G$104="معتمد")*ROW('حجز الإجازات'!$B$5:$B$104)))-5+1))</f>
        <v/>
      </c>
      <c r="T6" s="62">
        <f>IF(SUMPRODUCT(('حجز الإجازات'!$B$5:$B$104='الموظفون'!$B$4)*('حجز الإجازات'!$D$5:$D$104&lt;=T$3)*(('حجز الإجازات'!$E$5:$E$104)&gt;=T$3)*('حجز الإجازات'!$G$5:$G$104="معتمد")*ROW('حجز الإجازات'!$B$5:$B$104))=0,"",INDEX('حجز الإجازات'!$C$5:$C$104,(SUMPRODUCT(('حجز الإجازات'!$B$5:$B$104='الموظفون'!$B$4)*('حجز الإجازات'!$D$5:$D$104&lt;=T$3)*(('حجز الإجازات'!$E$5:$E$104)&gt;=T$3)*('حجز الإجازات'!$G$5:$G$104="معتمد")*ROW('حجز الإجازات'!$B$5:$B$104)))-5+1))</f>
        <v/>
      </c>
      <c r="U6" s="62">
        <f>IF(SUMPRODUCT(('حجز الإجازات'!$B$5:$B$104='الموظفون'!$B$4)*('حجز الإجازات'!$D$5:$D$104&lt;=U$3)*(('حجز الإجازات'!$E$5:$E$104)&gt;=U$3)*('حجز الإجازات'!$G$5:$G$104="معتمد")*ROW('حجز الإجازات'!$B$5:$B$104))=0,"",INDEX('حجز الإجازات'!$C$5:$C$104,(SUMPRODUCT(('حجز الإجازات'!$B$5:$B$104='الموظفون'!$B$4)*('حجز الإجازات'!$D$5:$D$104&lt;=U$3)*(('حجز الإجازات'!$E$5:$E$104)&gt;=U$3)*('حجز الإجازات'!$G$5:$G$104="معتمد")*ROW('حجز الإجازات'!$B$5:$B$104)))-5+1))</f>
        <v/>
      </c>
      <c r="V6" s="62">
        <f>IF(SUMPRODUCT(('حجز الإجازات'!$B$5:$B$104='الموظفون'!$B$4)*('حجز الإجازات'!$D$5:$D$104&lt;=V$3)*(('حجز الإجازات'!$E$5:$E$104)&gt;=V$3)*('حجز الإجازات'!$G$5:$G$104="معتمد")*ROW('حجز الإجازات'!$B$5:$B$104))=0,"",INDEX('حجز الإجازات'!$C$5:$C$104,(SUMPRODUCT(('حجز الإجازات'!$B$5:$B$104='الموظفون'!$B$4)*('حجز الإجازات'!$D$5:$D$104&lt;=V$3)*(('حجز الإجازات'!$E$5:$E$104)&gt;=V$3)*('حجز الإجازات'!$G$5:$G$104="معتمد")*ROW('حجز الإجازات'!$B$5:$B$104)))-5+1))</f>
        <v/>
      </c>
      <c r="W6" s="62">
        <f>IF(SUMPRODUCT(('حجز الإجازات'!$B$5:$B$104='الموظفون'!$B$4)*('حجز الإجازات'!$D$5:$D$104&lt;=W$3)*(('حجز الإجازات'!$E$5:$E$104)&gt;=W$3)*('حجز الإجازات'!$G$5:$G$104="معتمد")*ROW('حجز الإجازات'!$B$5:$B$104))=0,"",INDEX('حجز الإجازات'!$C$5:$C$104,(SUMPRODUCT(('حجز الإجازات'!$B$5:$B$104='الموظفون'!$B$4)*('حجز الإجازات'!$D$5:$D$104&lt;=W$3)*(('حجز الإجازات'!$E$5:$E$104)&gt;=W$3)*('حجز الإجازات'!$G$5:$G$104="معتمد")*ROW('حجز الإجازات'!$B$5:$B$104)))-5+1))</f>
        <v/>
      </c>
      <c r="X6" s="62">
        <f>IF(SUMPRODUCT(('حجز الإجازات'!$B$5:$B$104='الموظفون'!$B$4)*('حجز الإجازات'!$D$5:$D$104&lt;=X$3)*(('حجز الإجازات'!$E$5:$E$104)&gt;=X$3)*('حجز الإجازات'!$G$5:$G$104="معتمد")*ROW('حجز الإجازات'!$B$5:$B$104))=0,"",INDEX('حجز الإجازات'!$C$5:$C$104,(SUMPRODUCT(('حجز الإجازات'!$B$5:$B$104='الموظفون'!$B$4)*('حجز الإجازات'!$D$5:$D$104&lt;=X$3)*(('حجز الإجازات'!$E$5:$E$104)&gt;=X$3)*('حجز الإجازات'!$G$5:$G$104="معتمد")*ROW('حجز الإجازات'!$B$5:$B$104)))-5+1))</f>
        <v/>
      </c>
      <c r="Y6" s="62">
        <f>IF(SUMPRODUCT(('حجز الإجازات'!$B$5:$B$104='الموظفون'!$B$4)*('حجز الإجازات'!$D$5:$D$104&lt;=Y$3)*(('حجز الإجازات'!$E$5:$E$104)&gt;=Y$3)*('حجز الإجازات'!$G$5:$G$104="معتمد")*ROW('حجز الإجازات'!$B$5:$B$104))=0,"",INDEX('حجز الإجازات'!$C$5:$C$104,(SUMPRODUCT(('حجز الإجازات'!$B$5:$B$104='الموظفون'!$B$4)*('حجز الإجازات'!$D$5:$D$104&lt;=Y$3)*(('حجز الإجازات'!$E$5:$E$104)&gt;=Y$3)*('حجز الإجازات'!$G$5:$G$104="معتمد")*ROW('حجز الإجازات'!$B$5:$B$104)))-5+1))</f>
        <v/>
      </c>
      <c r="Z6" s="62">
        <f>IF(SUMPRODUCT(('حجز الإجازات'!$B$5:$B$104='الموظفون'!$B$4)*('حجز الإجازات'!$D$5:$D$104&lt;=Z$3)*(('حجز الإجازات'!$E$5:$E$104)&gt;=Z$3)*('حجز الإجازات'!$G$5:$G$104="معتمد")*ROW('حجز الإجازات'!$B$5:$B$104))=0,"",INDEX('حجز الإجازات'!$C$5:$C$104,(SUMPRODUCT(('حجز الإجازات'!$B$5:$B$104='الموظفون'!$B$4)*('حجز الإجازات'!$D$5:$D$104&lt;=Z$3)*(('حجز الإجازات'!$E$5:$E$104)&gt;=Z$3)*('حجز الإجازات'!$G$5:$G$104="معتمد")*ROW('حجز الإجازات'!$B$5:$B$104)))-5+1))</f>
        <v/>
      </c>
      <c r="AA6" s="62">
        <f>IF(SUMPRODUCT(('حجز الإجازات'!$B$5:$B$104='الموظفون'!$B$4)*('حجز الإجازات'!$D$5:$D$104&lt;=AA$3)*(('حجز الإجازات'!$E$5:$E$104)&gt;=AA$3)*('حجز الإجازات'!$G$5:$G$104="معتمد")*ROW('حجز الإجازات'!$B$5:$B$104))=0,"",INDEX('حجز الإجازات'!$C$5:$C$104,(SUMPRODUCT(('حجز الإجازات'!$B$5:$B$104='الموظفون'!$B$4)*('حجز الإجازات'!$D$5:$D$104&lt;=AA$3)*(('حجز الإجازات'!$E$5:$E$104)&gt;=AA$3)*('حجز الإجازات'!$G$5:$G$104="معتمد")*ROW('حجز الإجازات'!$B$5:$B$104)))-5+1))</f>
        <v/>
      </c>
      <c r="AB6" s="62">
        <f>IF(SUMPRODUCT(('حجز الإجازات'!$B$5:$B$104='الموظفون'!$B$4)*('حجز الإجازات'!$D$5:$D$104&lt;=AB$3)*(('حجز الإجازات'!$E$5:$E$104)&gt;=AB$3)*('حجز الإجازات'!$G$5:$G$104="معتمد")*ROW('حجز الإجازات'!$B$5:$B$104))=0,"",INDEX('حجز الإجازات'!$C$5:$C$104,(SUMPRODUCT(('حجز الإجازات'!$B$5:$B$104='الموظفون'!$B$4)*('حجز الإجازات'!$D$5:$D$104&lt;=AB$3)*(('حجز الإجازات'!$E$5:$E$104)&gt;=AB$3)*('حجز الإجازات'!$G$5:$G$104="معتمد")*ROW('حجز الإجازات'!$B$5:$B$104)))-5+1))</f>
        <v/>
      </c>
      <c r="AC6" s="62">
        <f>IF(SUMPRODUCT(('حجز الإجازات'!$B$5:$B$104='الموظفون'!$B$4)*('حجز الإجازات'!$D$5:$D$104&lt;=AC$3)*(('حجز الإجازات'!$E$5:$E$104)&gt;=AC$3)*('حجز الإجازات'!$G$5:$G$104="معتمد")*ROW('حجز الإجازات'!$B$5:$B$104))=0,"",INDEX('حجز الإجازات'!$C$5:$C$104,(SUMPRODUCT(('حجز الإجازات'!$B$5:$B$104='الموظفون'!$B$4)*('حجز الإجازات'!$D$5:$D$104&lt;=AC$3)*(('حجز الإجازات'!$E$5:$E$104)&gt;=AC$3)*('حجز الإجازات'!$G$5:$G$104="معتمد")*ROW('حجز الإجازات'!$B$5:$B$104)))-5+1))</f>
        <v/>
      </c>
      <c r="AD6" s="62">
        <f>IF(SUMPRODUCT(('حجز الإجازات'!$B$5:$B$104='الموظفون'!$B$4)*('حجز الإجازات'!$D$5:$D$104&lt;=AD$3)*(('حجز الإجازات'!$E$5:$E$104)&gt;=AD$3)*('حجز الإجازات'!$G$5:$G$104="معتمد")*ROW('حجز الإجازات'!$B$5:$B$104))=0,"",INDEX('حجز الإجازات'!$C$5:$C$104,(SUMPRODUCT(('حجز الإجازات'!$B$5:$B$104='الموظفون'!$B$4)*('حجز الإجازات'!$D$5:$D$104&lt;=AD$3)*(('حجز الإجازات'!$E$5:$E$104)&gt;=AD$3)*('حجز الإجازات'!$G$5:$G$104="معتمد")*ROW('حجز الإجازات'!$B$5:$B$104)))-5+1))</f>
        <v/>
      </c>
      <c r="AE6" s="62">
        <f>IF(SUMPRODUCT(('حجز الإجازات'!$B$5:$B$104='الموظفون'!$B$4)*('حجز الإجازات'!$D$5:$D$104&lt;=AE$3)*(('حجز الإجازات'!$E$5:$E$104)&gt;=AE$3)*('حجز الإجازات'!$G$5:$G$104="معتمد")*ROW('حجز الإجازات'!$B$5:$B$104))=0,"",INDEX('حجز الإجازات'!$C$5:$C$104,(SUMPRODUCT(('حجز الإجازات'!$B$5:$B$104='الموظفون'!$B$4)*('حجز الإجازات'!$D$5:$D$104&lt;=AE$3)*(('حجز الإجازات'!$E$5:$E$104)&gt;=AE$3)*('حجز الإجازات'!$G$5:$G$104="معتمد")*ROW('حجز الإجازات'!$B$5:$B$104)))-5+1))</f>
        <v/>
      </c>
      <c r="AF6" s="62">
        <f>IF(SUMPRODUCT(('حجز الإجازات'!$B$5:$B$104='الموظفون'!$B$4)*('حجز الإجازات'!$D$5:$D$104&lt;=AF$3)*(('حجز الإجازات'!$E$5:$E$104)&gt;=AF$3)*('حجز الإجازات'!$G$5:$G$104="معتمد")*ROW('حجز الإجازات'!$B$5:$B$104))=0,"",INDEX('حجز الإجازات'!$C$5:$C$104,(SUMPRODUCT(('حجز الإجازات'!$B$5:$B$104='الموظفون'!$B$4)*('حجز الإجازات'!$D$5:$D$104&lt;=AF$3)*(('حجز الإجازات'!$E$5:$E$104)&gt;=AF$3)*('حجز الإجازات'!$G$5:$G$104="معتمد")*ROW('حجز الإجازات'!$B$5:$B$104)))-5+1))</f>
        <v/>
      </c>
      <c r="AG6" s="62">
        <f>IF(SUMPRODUCT(('حجز الإجازات'!$B$5:$B$104='الموظفون'!$B$4)*('حجز الإجازات'!$D$5:$D$104&lt;=AG$3)*(('حجز الإجازات'!$E$5:$E$104)&gt;=AG$3)*('حجز الإجازات'!$G$5:$G$104="معتمد")*ROW('حجز الإجازات'!$B$5:$B$104))=0,"",INDEX('حجز الإجازات'!$C$5:$C$104,(SUMPRODUCT(('حجز الإجازات'!$B$5:$B$104='الموظفون'!$B$4)*('حجز الإجازات'!$D$5:$D$104&lt;=AG$3)*(('حجز الإجازات'!$E$5:$E$104)&gt;=AG$3)*('حجز الإجازات'!$G$5:$G$104="معتمد")*ROW('حجز الإجازات'!$B$5:$B$104)))-5+1))</f>
        <v/>
      </c>
      <c r="AH6" s="62">
        <f>IF(SUMPRODUCT(('حجز الإجازات'!$B$5:$B$104='الموظفون'!$B$4)*('حجز الإجازات'!$D$5:$D$104&lt;=AH$3)*(('حجز الإجازات'!$E$5:$E$104)&gt;=AH$3)*('حجز الإجازات'!$G$5:$G$104="معتمد")*ROW('حجز الإجازات'!$B$5:$B$104))=0,"",INDEX('حجز الإجازات'!$C$5:$C$104,(SUMPRODUCT(('حجز الإجازات'!$B$5:$B$104='الموظفون'!$B$4)*('حجز الإجازات'!$D$5:$D$104&lt;=AH$3)*(('حجز الإجازات'!$E$5:$E$104)&gt;=AH$3)*('حجز الإجازات'!$G$5:$G$104="معتمد")*ROW('حجز الإجازات'!$B$5:$B$104)))-5+1))</f>
        <v/>
      </c>
      <c r="AI6" s="62">
        <f>IF(SUMPRODUCT(('حجز الإجازات'!$B$5:$B$104='الموظفون'!$B$4)*('حجز الإجازات'!$D$5:$D$104&lt;=AI$3)*(('حجز الإجازات'!$E$5:$E$104)&gt;=AI$3)*('حجز الإجازات'!$G$5:$G$104="معتمد")*ROW('حجز الإجازات'!$B$5:$B$104))=0,"",INDEX('حجز الإجازات'!$C$5:$C$104,(SUMPRODUCT(('حجز الإجازات'!$B$5:$B$104='الموظفون'!$B$4)*('حجز الإجازات'!$D$5:$D$104&lt;=AI$3)*(('حجز الإجازات'!$E$5:$E$104)&gt;=AI$3)*('حجز الإجازات'!$G$5:$G$104="معتمد")*ROW('حجز الإجازات'!$B$5:$B$104)))-5+1))</f>
        <v/>
      </c>
      <c r="AJ6" s="62">
        <f>IF(SUMPRODUCT(('حجز الإجازات'!$B$5:$B$104='الموظفون'!$B$4)*('حجز الإجازات'!$D$5:$D$104&lt;=AJ$3)*(('حجز الإجازات'!$E$5:$E$104)&gt;=AJ$3)*('حجز الإجازات'!$G$5:$G$104="معتمد")*ROW('حجز الإجازات'!$B$5:$B$104))=0,"",INDEX('حجز الإجازات'!$C$5:$C$104,(SUMPRODUCT(('حجز الإجازات'!$B$5:$B$104='الموظفون'!$B$4)*('حجز الإجازات'!$D$5:$D$104&lt;=AJ$3)*(('حجز الإجازات'!$E$5:$E$104)&gt;=AJ$3)*('حجز الإجازات'!$G$5:$G$104="معتمد")*ROW('حجز الإجازات'!$B$5:$B$104)))-5+1))</f>
        <v/>
      </c>
      <c r="AK6" s="62">
        <f>IF(SUMPRODUCT(('حجز الإجازات'!$B$5:$B$104='الموظفون'!$B$4)*('حجز الإجازات'!$D$5:$D$104&lt;=AK$3)*(('حجز الإجازات'!$E$5:$E$104)&gt;=AK$3)*('حجز الإجازات'!$G$5:$G$104="معتمد")*ROW('حجز الإجازات'!$B$5:$B$104))=0,"",INDEX('حجز الإجازات'!$C$5:$C$104,(SUMPRODUCT(('حجز الإجازات'!$B$5:$B$104='الموظفون'!$B$4)*('حجز الإجازات'!$D$5:$D$104&lt;=AK$3)*(('حجز الإجازات'!$E$5:$E$104)&gt;=AK$3)*('حجز الإجازات'!$G$5:$G$104="معتمد")*ROW('حجز الإجازات'!$B$5:$B$104)))-5+1))</f>
        <v/>
      </c>
      <c r="AL6" s="62">
        <f>IF(SUMPRODUCT(('حجز الإجازات'!$B$5:$B$104='الموظفون'!$B$4)*('حجز الإجازات'!$D$5:$D$104&lt;=AL$3)*(('حجز الإجازات'!$E$5:$E$104)&gt;=AL$3)*('حجز الإجازات'!$G$5:$G$104="معتمد")*ROW('حجز الإجازات'!$B$5:$B$104))=0,"",INDEX('حجز الإجازات'!$C$5:$C$104,(SUMPRODUCT(('حجز الإجازات'!$B$5:$B$104='الموظفون'!$B$4)*('حجز الإجازات'!$D$5:$D$104&lt;=AL$3)*(('حجز الإجازات'!$E$5:$E$104)&gt;=AL$3)*('حجز الإجازات'!$G$5:$G$104="معتمد")*ROW('حجز الإجازات'!$B$5:$B$104)))-5+1))</f>
        <v/>
      </c>
      <c r="AM6" s="62">
        <f>IF(SUMPRODUCT(('حجز الإجازات'!$B$5:$B$104='الموظفون'!$B$4)*('حجز الإجازات'!$D$5:$D$104&lt;=AM$3)*(('حجز الإجازات'!$E$5:$E$104)&gt;=AM$3)*('حجز الإجازات'!$G$5:$G$104="معتمد")*ROW('حجز الإجازات'!$B$5:$B$104))=0,"",INDEX('حجز الإجازات'!$C$5:$C$104,(SUMPRODUCT(('حجز الإجازات'!$B$5:$B$104='الموظفون'!$B$4)*('حجز الإجازات'!$D$5:$D$104&lt;=AM$3)*(('حجز الإجازات'!$E$5:$E$104)&gt;=AM$3)*('حجز الإجازات'!$G$5:$G$104="معتمد")*ROW('حجز الإجازات'!$B$5:$B$104)))-5+1))</f>
        <v/>
      </c>
      <c r="AN6" s="62">
        <f>IF(SUMPRODUCT(('حجز الإجازات'!$B$5:$B$104='الموظفون'!$B$4)*('حجز الإجازات'!$D$5:$D$104&lt;=AN$3)*(('حجز الإجازات'!$E$5:$E$104)&gt;=AN$3)*('حجز الإجازات'!$G$5:$G$104="معتمد")*ROW('حجز الإجازات'!$B$5:$B$104))=0,"",INDEX('حجز الإجازات'!$C$5:$C$104,(SUMPRODUCT(('حجز الإجازات'!$B$5:$B$104='الموظفون'!$B$4)*('حجز الإجازات'!$D$5:$D$104&lt;=AN$3)*(('حجز الإجازات'!$E$5:$E$104)&gt;=AN$3)*('حجز الإجازات'!$G$5:$G$104="معتمد")*ROW('حجز الإجازات'!$B$5:$B$104)))-5+1))</f>
        <v/>
      </c>
      <c r="AO6" s="62">
        <f>IF(SUMPRODUCT(('حجز الإجازات'!$B$5:$B$104='الموظفون'!$B$4)*('حجز الإجازات'!$D$5:$D$104&lt;=AO$3)*(('حجز الإجازات'!$E$5:$E$104)&gt;=AO$3)*('حجز الإجازات'!$G$5:$G$104="معتمد")*ROW('حجز الإجازات'!$B$5:$B$104))=0,"",INDEX('حجز الإجازات'!$C$5:$C$104,(SUMPRODUCT(('حجز الإجازات'!$B$5:$B$104='الموظفون'!$B$4)*('حجز الإجازات'!$D$5:$D$104&lt;=AO$3)*(('حجز الإجازات'!$E$5:$E$104)&gt;=AO$3)*('حجز الإجازات'!$G$5:$G$104="معتمد")*ROW('حجز الإجازات'!$B$5:$B$104)))-5+1))</f>
        <v/>
      </c>
      <c r="AP6" s="62">
        <f>IF(SUMPRODUCT(('حجز الإجازات'!$B$5:$B$104='الموظفون'!$B$4)*('حجز الإجازات'!$D$5:$D$104&lt;=AP$3)*(('حجز الإجازات'!$E$5:$E$104)&gt;=AP$3)*('حجز الإجازات'!$G$5:$G$104="معتمد")*ROW('حجز الإجازات'!$B$5:$B$104))=0,"",INDEX('حجز الإجازات'!$C$5:$C$104,(SUMPRODUCT(('حجز الإجازات'!$B$5:$B$104='الموظفون'!$B$4)*('حجز الإجازات'!$D$5:$D$104&lt;=AP$3)*(('حجز الإجازات'!$E$5:$E$104)&gt;=AP$3)*('حجز الإجازات'!$G$5:$G$104="معتمد")*ROW('حجز الإجازات'!$B$5:$B$104)))-5+1))</f>
        <v/>
      </c>
      <c r="AQ6" s="62">
        <f>IF(SUMPRODUCT(('حجز الإجازات'!$B$5:$B$104='الموظفون'!$B$4)*('حجز الإجازات'!$D$5:$D$104&lt;=AQ$3)*(('حجز الإجازات'!$E$5:$E$104)&gt;=AQ$3)*('حجز الإجازات'!$G$5:$G$104="معتمد")*ROW('حجز الإجازات'!$B$5:$B$104))=0,"",INDEX('حجز الإجازات'!$C$5:$C$104,(SUMPRODUCT(('حجز الإجازات'!$B$5:$B$104='الموظفون'!$B$4)*('حجز الإجازات'!$D$5:$D$104&lt;=AQ$3)*(('حجز الإجازات'!$E$5:$E$104)&gt;=AQ$3)*('حجز الإجازات'!$G$5:$G$104="معتمد")*ROW('حجز الإجازات'!$B$5:$B$104)))-5+1))</f>
        <v/>
      </c>
      <c r="AR6" s="62">
        <f>IF(SUMPRODUCT(('حجز الإجازات'!$B$5:$B$104='الموظفون'!$B$4)*('حجز الإجازات'!$D$5:$D$104&lt;=AR$3)*(('حجز الإجازات'!$E$5:$E$104)&gt;=AR$3)*('حجز الإجازات'!$G$5:$G$104="معتمد")*ROW('حجز الإجازات'!$B$5:$B$104))=0,"",INDEX('حجز الإجازات'!$C$5:$C$104,(SUMPRODUCT(('حجز الإجازات'!$B$5:$B$104='الموظفون'!$B$4)*('حجز الإجازات'!$D$5:$D$104&lt;=AR$3)*(('حجز الإجازات'!$E$5:$E$104)&gt;=AR$3)*('حجز الإجازات'!$G$5:$G$104="معتمد")*ROW('حجز الإجازات'!$B$5:$B$104)))-5+1))</f>
        <v/>
      </c>
      <c r="AS6" s="62">
        <f>IF(SUMPRODUCT(('حجز الإجازات'!$B$5:$B$104='الموظفون'!$B$4)*('حجز الإجازات'!$D$5:$D$104&lt;=AS$3)*(('حجز الإجازات'!$E$5:$E$104)&gt;=AS$3)*('حجز الإجازات'!$G$5:$G$104="معتمد")*ROW('حجز الإجازات'!$B$5:$B$104))=0,"",INDEX('حجز الإجازات'!$C$5:$C$104,(SUMPRODUCT(('حجز الإجازات'!$B$5:$B$104='الموظفون'!$B$4)*('حجز الإجازات'!$D$5:$D$104&lt;=AS$3)*(('حجز الإجازات'!$E$5:$E$104)&gt;=AS$3)*('حجز الإجازات'!$G$5:$G$104="معتمد")*ROW('حجز الإجازات'!$B$5:$B$104)))-5+1))</f>
        <v/>
      </c>
      <c r="AT6" s="62">
        <f>IF(SUMPRODUCT(('حجز الإجازات'!$B$5:$B$104='الموظفون'!$B$4)*('حجز الإجازات'!$D$5:$D$104&lt;=AT$3)*(('حجز الإجازات'!$E$5:$E$104)&gt;=AT$3)*('حجز الإجازات'!$G$5:$G$104="معتمد")*ROW('حجز الإجازات'!$B$5:$B$104))=0,"",INDEX('حجز الإجازات'!$C$5:$C$104,(SUMPRODUCT(('حجز الإجازات'!$B$5:$B$104='الموظفون'!$B$4)*('حجز الإجازات'!$D$5:$D$104&lt;=AT$3)*(('حجز الإجازات'!$E$5:$E$104)&gt;=AT$3)*('حجز الإجازات'!$G$5:$G$104="معتمد")*ROW('حجز الإجازات'!$B$5:$B$104)))-5+1))</f>
        <v/>
      </c>
      <c r="AU6" s="62">
        <f>IF(SUMPRODUCT(('حجز الإجازات'!$B$5:$B$104='الموظفون'!$B$4)*('حجز الإجازات'!$D$5:$D$104&lt;=AU$3)*(('حجز الإجازات'!$E$5:$E$104)&gt;=AU$3)*('حجز الإجازات'!$G$5:$G$104="معتمد")*ROW('حجز الإجازات'!$B$5:$B$104))=0,"",INDEX('حجز الإجازات'!$C$5:$C$104,(SUMPRODUCT(('حجز الإجازات'!$B$5:$B$104='الموظفون'!$B$4)*('حجز الإجازات'!$D$5:$D$104&lt;=AU$3)*(('حجز الإجازات'!$E$5:$E$104)&gt;=AU$3)*('حجز الإجازات'!$G$5:$G$104="معتمد")*ROW('حجز الإجازات'!$B$5:$B$104)))-5+1))</f>
        <v/>
      </c>
      <c r="AV6" s="62">
        <f>IF(SUMPRODUCT(('حجز الإجازات'!$B$5:$B$104='الموظفون'!$B$4)*('حجز الإجازات'!$D$5:$D$104&lt;=AV$3)*(('حجز الإجازات'!$E$5:$E$104)&gt;=AV$3)*('حجز الإجازات'!$G$5:$G$104="معتمد")*ROW('حجز الإجازات'!$B$5:$B$104))=0,"",INDEX('حجز الإجازات'!$C$5:$C$104,(SUMPRODUCT(('حجز الإجازات'!$B$5:$B$104='الموظفون'!$B$4)*('حجز الإجازات'!$D$5:$D$104&lt;=AV$3)*(('حجز الإجازات'!$E$5:$E$104)&gt;=AV$3)*('حجز الإجازات'!$G$5:$G$104="معتمد")*ROW('حجز الإجازات'!$B$5:$B$104)))-5+1))</f>
        <v/>
      </c>
      <c r="AW6" s="62">
        <f>IF(SUMPRODUCT(('حجز الإجازات'!$B$5:$B$104='الموظفون'!$B$4)*('حجز الإجازات'!$D$5:$D$104&lt;=AW$3)*(('حجز الإجازات'!$E$5:$E$104)&gt;=AW$3)*('حجز الإجازات'!$G$5:$G$104="معتمد")*ROW('حجز الإجازات'!$B$5:$B$104))=0,"",INDEX('حجز الإجازات'!$C$5:$C$104,(SUMPRODUCT(('حجز الإجازات'!$B$5:$B$104='الموظفون'!$B$4)*('حجز الإجازات'!$D$5:$D$104&lt;=AW$3)*(('حجز الإجازات'!$E$5:$E$104)&gt;=AW$3)*('حجز الإجازات'!$G$5:$G$104="معتمد")*ROW('حجز الإجازات'!$B$5:$B$104)))-5+1))</f>
        <v/>
      </c>
      <c r="AX6" s="62">
        <f>IF(SUMPRODUCT(('حجز الإجازات'!$B$5:$B$104='الموظفون'!$B$4)*('حجز الإجازات'!$D$5:$D$104&lt;=AX$3)*(('حجز الإجازات'!$E$5:$E$104)&gt;=AX$3)*('حجز الإجازات'!$G$5:$G$104="معتمد")*ROW('حجز الإجازات'!$B$5:$B$104))=0,"",INDEX('حجز الإجازات'!$C$5:$C$104,(SUMPRODUCT(('حجز الإجازات'!$B$5:$B$104='الموظفون'!$B$4)*('حجز الإجازات'!$D$5:$D$104&lt;=AX$3)*(('حجز الإجازات'!$E$5:$E$104)&gt;=AX$3)*('حجز الإجازات'!$G$5:$G$104="معتمد")*ROW('حجز الإجازات'!$B$5:$B$104)))-5+1))</f>
        <v/>
      </c>
      <c r="AY6" s="62">
        <f>IF(SUMPRODUCT(('حجز الإجازات'!$B$5:$B$104='الموظفون'!$B$4)*('حجز الإجازات'!$D$5:$D$104&lt;=AY$3)*(('حجز الإجازات'!$E$5:$E$104)&gt;=AY$3)*('حجز الإجازات'!$G$5:$G$104="معتمد")*ROW('حجز الإجازات'!$B$5:$B$104))=0,"",INDEX('حجز الإجازات'!$C$5:$C$104,(SUMPRODUCT(('حجز الإجازات'!$B$5:$B$104='الموظفون'!$B$4)*('حجز الإجازات'!$D$5:$D$104&lt;=AY$3)*(('حجز الإجازات'!$E$5:$E$104)&gt;=AY$3)*('حجز الإجازات'!$G$5:$G$104="معتمد")*ROW('حجز الإجازات'!$B$5:$B$104)))-5+1))</f>
        <v/>
      </c>
      <c r="AZ6" s="62">
        <f>IF(SUMPRODUCT(('حجز الإجازات'!$B$5:$B$104='الموظفون'!$B$4)*('حجز الإجازات'!$D$5:$D$104&lt;=AZ$3)*(('حجز الإجازات'!$E$5:$E$104)&gt;=AZ$3)*('حجز الإجازات'!$G$5:$G$104="معتمد")*ROW('حجز الإجازات'!$B$5:$B$104))=0,"",INDEX('حجز الإجازات'!$C$5:$C$104,(SUMPRODUCT(('حجز الإجازات'!$B$5:$B$104='الموظفون'!$B$4)*('حجز الإجازات'!$D$5:$D$104&lt;=AZ$3)*(('حجز الإجازات'!$E$5:$E$104)&gt;=AZ$3)*('حجز الإجازات'!$G$5:$G$104="معتمد")*ROW('حجز الإجازات'!$B$5:$B$104)))-5+1))</f>
        <v/>
      </c>
      <c r="BA6" s="62">
        <f>IF(SUMPRODUCT(('حجز الإجازات'!$B$5:$B$104='الموظفون'!$B$4)*('حجز الإجازات'!$D$5:$D$104&lt;=BA$3)*(('حجز الإجازات'!$E$5:$E$104)&gt;=BA$3)*('حجز الإجازات'!$G$5:$G$104="معتمد")*ROW('حجز الإجازات'!$B$5:$B$104))=0,"",INDEX('حجز الإجازات'!$C$5:$C$104,(SUMPRODUCT(('حجز الإجازات'!$B$5:$B$104='الموظفون'!$B$4)*('حجز الإجازات'!$D$5:$D$104&lt;=BA$3)*(('حجز الإجازات'!$E$5:$E$104)&gt;=BA$3)*('حجز الإجازات'!$G$5:$G$104="معتمد")*ROW('حجز الإجازات'!$B$5:$B$104)))-5+1))</f>
        <v/>
      </c>
      <c r="BB6" s="62">
        <f>IF(SUMPRODUCT(('حجز الإجازات'!$B$5:$B$104='الموظفون'!$B$4)*('حجز الإجازات'!$D$5:$D$104&lt;=BB$3)*(('حجز الإجازات'!$E$5:$E$104)&gt;=BB$3)*('حجز الإجازات'!$G$5:$G$104="معتمد")*ROW('حجز الإجازات'!$B$5:$B$104))=0,"",INDEX('حجز الإجازات'!$C$5:$C$104,(SUMPRODUCT(('حجز الإجازات'!$B$5:$B$104='الموظفون'!$B$4)*('حجز الإجازات'!$D$5:$D$104&lt;=BB$3)*(('حجز الإجازات'!$E$5:$E$104)&gt;=BB$3)*('حجز الإجازات'!$G$5:$G$104="معتمد")*ROW('حجز الإجازات'!$B$5:$B$104)))-5+1))</f>
        <v/>
      </c>
      <c r="BC6" s="62">
        <f>IF(SUMPRODUCT(('حجز الإجازات'!$B$5:$B$104='الموظفون'!$B$4)*('حجز الإجازات'!$D$5:$D$104&lt;=BC$3)*(('حجز الإجازات'!$E$5:$E$104)&gt;=BC$3)*('حجز الإجازات'!$G$5:$G$104="معتمد")*ROW('حجز الإجازات'!$B$5:$B$104))=0,"",INDEX('حجز الإجازات'!$C$5:$C$104,(SUMPRODUCT(('حجز الإجازات'!$B$5:$B$104='الموظفون'!$B$4)*('حجز الإجازات'!$D$5:$D$104&lt;=BC$3)*(('حجز الإجازات'!$E$5:$E$104)&gt;=BC$3)*('حجز الإجازات'!$G$5:$G$104="معتمد")*ROW('حجز الإجازات'!$B$5:$B$104)))-5+1))</f>
        <v/>
      </c>
      <c r="BD6" s="62">
        <f>IF(SUMPRODUCT(('حجز الإجازات'!$B$5:$B$104='الموظفون'!$B$4)*('حجز الإجازات'!$D$5:$D$104&lt;=BD$3)*(('حجز الإجازات'!$E$5:$E$104)&gt;=BD$3)*('حجز الإجازات'!$G$5:$G$104="معتمد")*ROW('حجز الإجازات'!$B$5:$B$104))=0,"",INDEX('حجز الإجازات'!$C$5:$C$104,(SUMPRODUCT(('حجز الإجازات'!$B$5:$B$104='الموظفون'!$B$4)*('حجز الإجازات'!$D$5:$D$104&lt;=BD$3)*(('حجز الإجازات'!$E$5:$E$104)&gt;=BD$3)*('حجز الإجازات'!$G$5:$G$104="معتمد")*ROW('حجز الإجازات'!$B$5:$B$104)))-5+1))</f>
        <v/>
      </c>
      <c r="BE6" s="62">
        <f>IF(SUMPRODUCT(('حجز الإجازات'!$B$5:$B$104='الموظفون'!$B$4)*('حجز الإجازات'!$D$5:$D$104&lt;=BE$3)*(('حجز الإجازات'!$E$5:$E$104)&gt;=BE$3)*('حجز الإجازات'!$G$5:$G$104="معتمد")*ROW('حجز الإجازات'!$B$5:$B$104))=0,"",INDEX('حجز الإجازات'!$C$5:$C$104,(SUMPRODUCT(('حجز الإجازات'!$B$5:$B$104='الموظفون'!$B$4)*('حجز الإجازات'!$D$5:$D$104&lt;=BE$3)*(('حجز الإجازات'!$E$5:$E$104)&gt;=BE$3)*('حجز الإجازات'!$G$5:$G$104="معتمد")*ROW('حجز الإجازات'!$B$5:$B$104)))-5+1))</f>
        <v/>
      </c>
      <c r="BF6" s="62">
        <f>IF(SUMPRODUCT(('حجز الإجازات'!$B$5:$B$104='الموظفون'!$B$4)*('حجز الإجازات'!$D$5:$D$104&lt;=BF$3)*(('حجز الإجازات'!$E$5:$E$104)&gt;=BF$3)*('حجز الإجازات'!$G$5:$G$104="معتمد")*ROW('حجز الإجازات'!$B$5:$B$104))=0,"",INDEX('حجز الإجازات'!$C$5:$C$104,(SUMPRODUCT(('حجز الإجازات'!$B$5:$B$104='الموظفون'!$B$4)*('حجز الإجازات'!$D$5:$D$104&lt;=BF$3)*(('حجز الإجازات'!$E$5:$E$104)&gt;=BF$3)*('حجز الإجازات'!$G$5:$G$104="معتمد")*ROW('حجز الإجازات'!$B$5:$B$104)))-5+1))</f>
        <v/>
      </c>
      <c r="BG6" s="62">
        <f>IF(SUMPRODUCT(('حجز الإجازات'!$B$5:$B$104='الموظفون'!$B$4)*('حجز الإجازات'!$D$5:$D$104&lt;=BG$3)*(('حجز الإجازات'!$E$5:$E$104)&gt;=BG$3)*('حجز الإجازات'!$G$5:$G$104="معتمد")*ROW('حجز الإجازات'!$B$5:$B$104))=0,"",INDEX('حجز الإجازات'!$C$5:$C$104,(SUMPRODUCT(('حجز الإجازات'!$B$5:$B$104='الموظفون'!$B$4)*('حجز الإجازات'!$D$5:$D$104&lt;=BG$3)*(('حجز الإجازات'!$E$5:$E$104)&gt;=BG$3)*('حجز الإجازات'!$G$5:$G$104="معتمد")*ROW('حجز الإجازات'!$B$5:$B$104)))-5+1))</f>
        <v/>
      </c>
      <c r="BH6" s="62">
        <f>IF(SUMPRODUCT(('حجز الإجازات'!$B$5:$B$104='الموظفون'!$B$4)*('حجز الإجازات'!$D$5:$D$104&lt;=BH$3)*(('حجز الإجازات'!$E$5:$E$104)&gt;=BH$3)*('حجز الإجازات'!$G$5:$G$104="معتمد")*ROW('حجز الإجازات'!$B$5:$B$104))=0,"",INDEX('حجز الإجازات'!$C$5:$C$104,(SUMPRODUCT(('حجز الإجازات'!$B$5:$B$104='الموظفون'!$B$4)*('حجز الإجازات'!$D$5:$D$104&lt;=BH$3)*(('حجز الإجازات'!$E$5:$E$104)&gt;=BH$3)*('حجز الإجازات'!$G$5:$G$104="معتمد")*ROW('حجز الإجازات'!$B$5:$B$104)))-5+1))</f>
        <v/>
      </c>
      <c r="BI6" s="62">
        <f>IF(SUMPRODUCT(('حجز الإجازات'!$B$5:$B$104='الموظفون'!$B$4)*('حجز الإجازات'!$D$5:$D$104&lt;=BI$3)*(('حجز الإجازات'!$E$5:$E$104)&gt;=BI$3)*('حجز الإجازات'!$G$5:$G$104="معتمد")*ROW('حجز الإجازات'!$B$5:$B$104))=0,"",INDEX('حجز الإجازات'!$C$5:$C$104,(SUMPRODUCT(('حجز الإجازات'!$B$5:$B$104='الموظفون'!$B$4)*('حجز الإجازات'!$D$5:$D$104&lt;=BI$3)*(('حجز الإجازات'!$E$5:$E$104)&gt;=BI$3)*('حجز الإجازات'!$G$5:$G$104="معتمد")*ROW('حجز الإجازات'!$B$5:$B$104)))-5+1))</f>
        <v/>
      </c>
      <c r="BJ6" s="62">
        <f>IF(SUMPRODUCT(('حجز الإجازات'!$B$5:$B$104='الموظفون'!$B$4)*('حجز الإجازات'!$D$5:$D$104&lt;=BJ$3)*(('حجز الإجازات'!$E$5:$E$104)&gt;=BJ$3)*('حجز الإجازات'!$G$5:$G$104="معتمد")*ROW('حجز الإجازات'!$B$5:$B$104))=0,"",INDEX('حجز الإجازات'!$C$5:$C$104,(SUMPRODUCT(('حجز الإجازات'!$B$5:$B$104='الموظفون'!$B$4)*('حجز الإجازات'!$D$5:$D$104&lt;=BJ$3)*(('حجز الإجازات'!$E$5:$E$104)&gt;=BJ$3)*('حجز الإجازات'!$G$5:$G$104="معتمد")*ROW('حجز الإجازات'!$B$5:$B$104)))-5+1))</f>
        <v/>
      </c>
      <c r="BK6" s="62">
        <f>IF(SUMPRODUCT(('حجز الإجازات'!$B$5:$B$104='الموظفون'!$B$4)*('حجز الإجازات'!$D$5:$D$104&lt;=BK$3)*(('حجز الإجازات'!$E$5:$E$104)&gt;=BK$3)*('حجز الإجازات'!$G$5:$G$104="معتمد")*ROW('حجز الإجازات'!$B$5:$B$104))=0,"",INDEX('حجز الإجازات'!$C$5:$C$104,(SUMPRODUCT(('حجز الإجازات'!$B$5:$B$104='الموظفون'!$B$4)*('حجز الإجازات'!$D$5:$D$104&lt;=BK$3)*(('حجز الإجازات'!$E$5:$E$104)&gt;=BK$3)*('حجز الإجازات'!$G$5:$G$104="معتمد")*ROW('حجز الإجازات'!$B$5:$B$104)))-5+1))</f>
        <v/>
      </c>
      <c r="BL6" s="62">
        <f>IF(SUMPRODUCT(('حجز الإجازات'!$B$5:$B$104='الموظفون'!$B$4)*('حجز الإجازات'!$D$5:$D$104&lt;=BL$3)*(('حجز الإجازات'!$E$5:$E$104)&gt;=BL$3)*('حجز الإجازات'!$G$5:$G$104="معتمد")*ROW('حجز الإجازات'!$B$5:$B$104))=0,"",INDEX('حجز الإجازات'!$C$5:$C$104,(SUMPRODUCT(('حجز الإجازات'!$B$5:$B$104='الموظفون'!$B$4)*('حجز الإجازات'!$D$5:$D$104&lt;=BL$3)*(('حجز الإجازات'!$E$5:$E$104)&gt;=BL$3)*('حجز الإجازات'!$G$5:$G$104="معتمد")*ROW('حجز الإجازات'!$B$5:$B$104)))-5+1))</f>
        <v/>
      </c>
      <c r="BM6" s="62">
        <f>IF(SUMPRODUCT(('حجز الإجازات'!$B$5:$B$104='الموظفون'!$B$4)*('حجز الإجازات'!$D$5:$D$104&lt;=BM$3)*(('حجز الإجازات'!$E$5:$E$104)&gt;=BM$3)*('حجز الإجازات'!$G$5:$G$104="معتمد")*ROW('حجز الإجازات'!$B$5:$B$104))=0,"",INDEX('حجز الإجازات'!$C$5:$C$104,(SUMPRODUCT(('حجز الإجازات'!$B$5:$B$104='الموظفون'!$B$4)*('حجز الإجازات'!$D$5:$D$104&lt;=BM$3)*(('حجز الإجازات'!$E$5:$E$104)&gt;=BM$3)*('حجز الإجازات'!$G$5:$G$104="معتمد")*ROW('حجز الإجازات'!$B$5:$B$104)))-5+1))</f>
        <v/>
      </c>
      <c r="BN6" s="62">
        <f>IF(SUMPRODUCT(('حجز الإجازات'!$B$5:$B$104='الموظفون'!$B$4)*('حجز الإجازات'!$D$5:$D$104&lt;=BN$3)*(('حجز الإجازات'!$E$5:$E$104)&gt;=BN$3)*('حجز الإجازات'!$G$5:$G$104="معتمد")*ROW('حجز الإجازات'!$B$5:$B$104))=0,"",INDEX('حجز الإجازات'!$C$5:$C$104,(SUMPRODUCT(('حجز الإجازات'!$B$5:$B$104='الموظفون'!$B$4)*('حجز الإجازات'!$D$5:$D$104&lt;=BN$3)*(('حجز الإجازات'!$E$5:$E$104)&gt;=BN$3)*('حجز الإجازات'!$G$5:$G$104="معتمد")*ROW('حجز الإجازات'!$B$5:$B$104)))-5+1))</f>
        <v/>
      </c>
      <c r="BO6" s="62">
        <f>IF(SUMPRODUCT(('حجز الإجازات'!$B$5:$B$104='الموظفون'!$B$4)*('حجز الإجازات'!$D$5:$D$104&lt;=BO$3)*(('حجز الإجازات'!$E$5:$E$104)&gt;=BO$3)*('حجز الإجازات'!$G$5:$G$104="معتمد")*ROW('حجز الإجازات'!$B$5:$B$104))=0,"",INDEX('حجز الإجازات'!$C$5:$C$104,(SUMPRODUCT(('حجز الإجازات'!$B$5:$B$104='الموظفون'!$B$4)*('حجز الإجازات'!$D$5:$D$104&lt;=BO$3)*(('حجز الإجازات'!$E$5:$E$104)&gt;=BO$3)*('حجز الإجازات'!$G$5:$G$104="معتمد")*ROW('حجز الإجازات'!$B$5:$B$104)))-5+1))</f>
        <v/>
      </c>
      <c r="BP6" s="62">
        <f>IF(SUMPRODUCT(('حجز الإجازات'!$B$5:$B$104='الموظفون'!$B$4)*('حجز الإجازات'!$D$5:$D$104&lt;=BP$3)*(('حجز الإجازات'!$E$5:$E$104)&gt;=BP$3)*('حجز الإجازات'!$G$5:$G$104="معتمد")*ROW('حجز الإجازات'!$B$5:$B$104))=0,"",INDEX('حجز الإجازات'!$C$5:$C$104,(SUMPRODUCT(('حجز الإجازات'!$B$5:$B$104='الموظفون'!$B$4)*('حجز الإجازات'!$D$5:$D$104&lt;=BP$3)*(('حجز الإجازات'!$E$5:$E$104)&gt;=BP$3)*('حجز الإجازات'!$G$5:$G$104="معتمد")*ROW('حجز الإجازات'!$B$5:$B$104)))-5+1))</f>
        <v/>
      </c>
      <c r="BQ6" s="62">
        <f>IF(SUMPRODUCT(('حجز الإجازات'!$B$5:$B$104='الموظفون'!$B$4)*('حجز الإجازات'!$D$5:$D$104&lt;=BQ$3)*(('حجز الإجازات'!$E$5:$E$104)&gt;=BQ$3)*('حجز الإجازات'!$G$5:$G$104="معتمد")*ROW('حجز الإجازات'!$B$5:$B$104))=0,"",INDEX('حجز الإجازات'!$C$5:$C$104,(SUMPRODUCT(('حجز الإجازات'!$B$5:$B$104='الموظفون'!$B$4)*('حجز الإجازات'!$D$5:$D$104&lt;=BQ$3)*(('حجز الإجازات'!$E$5:$E$104)&gt;=BQ$3)*('حجز الإجازات'!$G$5:$G$104="معتمد")*ROW('حجز الإجازات'!$B$5:$B$104)))-5+1))</f>
        <v/>
      </c>
      <c r="BR6" s="62">
        <f>IF(SUMPRODUCT(('حجز الإجازات'!$B$5:$B$104='الموظفون'!$B$4)*('حجز الإجازات'!$D$5:$D$104&lt;=BR$3)*(('حجز الإجازات'!$E$5:$E$104)&gt;=BR$3)*('حجز الإجازات'!$G$5:$G$104="معتمد")*ROW('حجز الإجازات'!$B$5:$B$104))=0,"",INDEX('حجز الإجازات'!$C$5:$C$104,(SUMPRODUCT(('حجز الإجازات'!$B$5:$B$104='الموظفون'!$B$4)*('حجز الإجازات'!$D$5:$D$104&lt;=BR$3)*(('حجز الإجازات'!$E$5:$E$104)&gt;=BR$3)*('حجز الإجازات'!$G$5:$G$104="معتمد")*ROW('حجز الإجازات'!$B$5:$B$104)))-5+1))</f>
        <v/>
      </c>
      <c r="BS6" s="62">
        <f>IF(SUMPRODUCT(('حجز الإجازات'!$B$5:$B$104='الموظفون'!$B$4)*('حجز الإجازات'!$D$5:$D$104&lt;=BS$3)*(('حجز الإجازات'!$E$5:$E$104)&gt;=BS$3)*('حجز الإجازات'!$G$5:$G$104="معتمد")*ROW('حجز الإجازات'!$B$5:$B$104))=0,"",INDEX('حجز الإجازات'!$C$5:$C$104,(SUMPRODUCT(('حجز الإجازات'!$B$5:$B$104='الموظفون'!$B$4)*('حجز الإجازات'!$D$5:$D$104&lt;=BS$3)*(('حجز الإجازات'!$E$5:$E$104)&gt;=BS$3)*('حجز الإجازات'!$G$5:$G$104="معتمد")*ROW('حجز الإجازات'!$B$5:$B$104)))-5+1))</f>
        <v/>
      </c>
      <c r="BT6" s="62">
        <f>IF(SUMPRODUCT(('حجز الإجازات'!$B$5:$B$104='الموظفون'!$B$4)*('حجز الإجازات'!$D$5:$D$104&lt;=BT$3)*(('حجز الإجازات'!$E$5:$E$104)&gt;=BT$3)*('حجز الإجازات'!$G$5:$G$104="معتمد")*ROW('حجز الإجازات'!$B$5:$B$104))=0,"",INDEX('حجز الإجازات'!$C$5:$C$104,(SUMPRODUCT(('حجز الإجازات'!$B$5:$B$104='الموظفون'!$B$4)*('حجز الإجازات'!$D$5:$D$104&lt;=BT$3)*(('حجز الإجازات'!$E$5:$E$104)&gt;=BT$3)*('حجز الإجازات'!$G$5:$G$104="معتمد")*ROW('حجز الإجازات'!$B$5:$B$104)))-5+1))</f>
        <v/>
      </c>
      <c r="BU6" s="62">
        <f>IF(SUMPRODUCT(('حجز الإجازات'!$B$5:$B$104='الموظفون'!$B$4)*('حجز الإجازات'!$D$5:$D$104&lt;=BU$3)*(('حجز الإجازات'!$E$5:$E$104)&gt;=BU$3)*('حجز الإجازات'!$G$5:$G$104="معتمد")*ROW('حجز الإجازات'!$B$5:$B$104))=0,"",INDEX('حجز الإجازات'!$C$5:$C$104,(SUMPRODUCT(('حجز الإجازات'!$B$5:$B$104='الموظفون'!$B$4)*('حجز الإجازات'!$D$5:$D$104&lt;=BU$3)*(('حجز الإجازات'!$E$5:$E$104)&gt;=BU$3)*('حجز الإجازات'!$G$5:$G$104="معتمد")*ROW('حجز الإجازات'!$B$5:$B$104)))-5+1))</f>
        <v/>
      </c>
      <c r="BV6" s="62">
        <f>IF(SUMPRODUCT(('حجز الإجازات'!$B$5:$B$104='الموظفون'!$B$4)*('حجز الإجازات'!$D$5:$D$104&lt;=BV$3)*(('حجز الإجازات'!$E$5:$E$104)&gt;=BV$3)*('حجز الإجازات'!$G$5:$G$104="معتمد")*ROW('حجز الإجازات'!$B$5:$B$104))=0,"",INDEX('حجز الإجازات'!$C$5:$C$104,(SUMPRODUCT(('حجز الإجازات'!$B$5:$B$104='الموظفون'!$B$4)*('حجز الإجازات'!$D$5:$D$104&lt;=BV$3)*(('حجز الإجازات'!$E$5:$E$104)&gt;=BV$3)*('حجز الإجازات'!$G$5:$G$104="معتمد")*ROW('حجز الإجازات'!$B$5:$B$104)))-5+1))</f>
        <v/>
      </c>
      <c r="BW6" s="62">
        <f>IF(SUMPRODUCT(('حجز الإجازات'!$B$5:$B$104='الموظفون'!$B$4)*('حجز الإجازات'!$D$5:$D$104&lt;=BW$3)*(('حجز الإجازات'!$E$5:$E$104)&gt;=BW$3)*('حجز الإجازات'!$G$5:$G$104="معتمد")*ROW('حجز الإجازات'!$B$5:$B$104))=0,"",INDEX('حجز الإجازات'!$C$5:$C$104,(SUMPRODUCT(('حجز الإجازات'!$B$5:$B$104='الموظفون'!$B$4)*('حجز الإجازات'!$D$5:$D$104&lt;=BW$3)*(('حجز الإجازات'!$E$5:$E$104)&gt;=BW$3)*('حجز الإجازات'!$G$5:$G$104="معتمد")*ROW('حجز الإجازات'!$B$5:$B$104)))-5+1))</f>
        <v/>
      </c>
      <c r="BX6" s="62">
        <f>IF(SUMPRODUCT(('حجز الإجازات'!$B$5:$B$104='الموظفون'!$B$4)*('حجز الإجازات'!$D$5:$D$104&lt;=BX$3)*(('حجز الإجازات'!$E$5:$E$104)&gt;=BX$3)*('حجز الإجازات'!$G$5:$G$104="معتمد")*ROW('حجز الإجازات'!$B$5:$B$104))=0,"",INDEX('حجز الإجازات'!$C$5:$C$104,(SUMPRODUCT(('حجز الإجازات'!$B$5:$B$104='الموظفون'!$B$4)*('حجز الإجازات'!$D$5:$D$104&lt;=BX$3)*(('حجز الإجازات'!$E$5:$E$104)&gt;=BX$3)*('حجز الإجازات'!$G$5:$G$104="معتمد")*ROW('حجز الإجازات'!$B$5:$B$104)))-5+1))</f>
        <v/>
      </c>
      <c r="BY6" s="62">
        <f>IF(SUMPRODUCT(('حجز الإجازات'!$B$5:$B$104='الموظفون'!$B$4)*('حجز الإجازات'!$D$5:$D$104&lt;=BY$3)*(('حجز الإجازات'!$E$5:$E$104)&gt;=BY$3)*('حجز الإجازات'!$G$5:$G$104="معتمد")*ROW('حجز الإجازات'!$B$5:$B$104))=0,"",INDEX('حجز الإجازات'!$C$5:$C$104,(SUMPRODUCT(('حجز الإجازات'!$B$5:$B$104='الموظفون'!$B$4)*('حجز الإجازات'!$D$5:$D$104&lt;=BY$3)*(('حجز الإجازات'!$E$5:$E$104)&gt;=BY$3)*('حجز الإجازات'!$G$5:$G$104="معتمد")*ROW('حجز الإجازات'!$B$5:$B$104)))-5+1))</f>
        <v/>
      </c>
      <c r="BZ6" s="62">
        <f>IF(SUMPRODUCT(('حجز الإجازات'!$B$5:$B$104='الموظفون'!$B$4)*('حجز الإجازات'!$D$5:$D$104&lt;=BZ$3)*(('حجز الإجازات'!$E$5:$E$104)&gt;=BZ$3)*('حجز الإجازات'!$G$5:$G$104="معتمد")*ROW('حجز الإجازات'!$B$5:$B$104))=0,"",INDEX('حجز الإجازات'!$C$5:$C$104,(SUMPRODUCT(('حجز الإجازات'!$B$5:$B$104='الموظفون'!$B$4)*('حجز الإجازات'!$D$5:$D$104&lt;=BZ$3)*(('حجز الإجازات'!$E$5:$E$104)&gt;=BZ$3)*('حجز الإجازات'!$G$5:$G$104="معتمد")*ROW('حجز الإجازات'!$B$5:$B$104)))-5+1))</f>
        <v/>
      </c>
      <c r="CA6" s="62">
        <f>IF(SUMPRODUCT(('حجز الإجازات'!$B$5:$B$104='الموظفون'!$B$4)*('حجز الإجازات'!$D$5:$D$104&lt;=CA$3)*(('حجز الإجازات'!$E$5:$E$104)&gt;=CA$3)*('حجز الإجازات'!$G$5:$G$104="معتمد")*ROW('حجز الإجازات'!$B$5:$B$104))=0,"",INDEX('حجز الإجازات'!$C$5:$C$104,(SUMPRODUCT(('حجز الإجازات'!$B$5:$B$104='الموظفون'!$B$4)*('حجز الإجازات'!$D$5:$D$104&lt;=CA$3)*(('حجز الإجازات'!$E$5:$E$104)&gt;=CA$3)*('حجز الإجازات'!$G$5:$G$104="معتمد")*ROW('حجز الإجازات'!$B$5:$B$104)))-5+1))</f>
        <v/>
      </c>
      <c r="CB6" s="62">
        <f>IF(SUMPRODUCT(('حجز الإجازات'!$B$5:$B$104='الموظفون'!$B$4)*('حجز الإجازات'!$D$5:$D$104&lt;=CB$3)*(('حجز الإجازات'!$E$5:$E$104)&gt;=CB$3)*('حجز الإجازات'!$G$5:$G$104="معتمد")*ROW('حجز الإجازات'!$B$5:$B$104))=0,"",INDEX('حجز الإجازات'!$C$5:$C$104,(SUMPRODUCT(('حجز الإجازات'!$B$5:$B$104='الموظفون'!$B$4)*('حجز الإجازات'!$D$5:$D$104&lt;=CB$3)*(('حجز الإجازات'!$E$5:$E$104)&gt;=CB$3)*('حجز الإجازات'!$G$5:$G$104="معتمد")*ROW('حجز الإجازات'!$B$5:$B$104)))-5+1))</f>
        <v/>
      </c>
      <c r="CC6" s="62">
        <f>IF(SUMPRODUCT(('حجز الإجازات'!$B$5:$B$104='الموظفون'!$B$4)*('حجز الإجازات'!$D$5:$D$104&lt;=CC$3)*(('حجز الإجازات'!$E$5:$E$104)&gt;=CC$3)*('حجز الإجازات'!$G$5:$G$104="معتمد")*ROW('حجز الإجازات'!$B$5:$B$104))=0,"",INDEX('حجز الإجازات'!$C$5:$C$104,(SUMPRODUCT(('حجز الإجازات'!$B$5:$B$104='الموظفون'!$B$4)*('حجز الإجازات'!$D$5:$D$104&lt;=CC$3)*(('حجز الإجازات'!$E$5:$E$104)&gt;=CC$3)*('حجز الإجازات'!$G$5:$G$104="معتمد")*ROW('حجز الإجازات'!$B$5:$B$104)))-5+1))</f>
        <v/>
      </c>
      <c r="CD6" s="62">
        <f>IF(SUMPRODUCT(('حجز الإجازات'!$B$5:$B$104='الموظفون'!$B$4)*('حجز الإجازات'!$D$5:$D$104&lt;=CD$3)*(('حجز الإجازات'!$E$5:$E$104)&gt;=CD$3)*('حجز الإجازات'!$G$5:$G$104="معتمد")*ROW('حجز الإجازات'!$B$5:$B$104))=0,"",INDEX('حجز الإجازات'!$C$5:$C$104,(SUMPRODUCT(('حجز الإجازات'!$B$5:$B$104='الموظفون'!$B$4)*('حجز الإجازات'!$D$5:$D$104&lt;=CD$3)*(('حجز الإجازات'!$E$5:$E$104)&gt;=CD$3)*('حجز الإجازات'!$G$5:$G$104="معتمد")*ROW('حجز الإجازات'!$B$5:$B$104)))-5+1))</f>
        <v/>
      </c>
      <c r="CE6" s="62">
        <f>IF(SUMPRODUCT(('حجز الإجازات'!$B$5:$B$104='الموظفون'!$B$4)*('حجز الإجازات'!$D$5:$D$104&lt;=CE$3)*(('حجز الإجازات'!$E$5:$E$104)&gt;=CE$3)*('حجز الإجازات'!$G$5:$G$104="معتمد")*ROW('حجز الإجازات'!$B$5:$B$104))=0,"",INDEX('حجز الإجازات'!$C$5:$C$104,(SUMPRODUCT(('حجز الإجازات'!$B$5:$B$104='الموظفون'!$B$4)*('حجز الإجازات'!$D$5:$D$104&lt;=CE$3)*(('حجز الإجازات'!$E$5:$E$104)&gt;=CE$3)*('حجز الإجازات'!$G$5:$G$104="معتمد")*ROW('حجز الإجازات'!$B$5:$B$104)))-5+1))</f>
        <v/>
      </c>
      <c r="CF6" s="62">
        <f>IF(SUMPRODUCT(('حجز الإجازات'!$B$5:$B$104='الموظفون'!$B$4)*('حجز الإجازات'!$D$5:$D$104&lt;=CF$3)*(('حجز الإجازات'!$E$5:$E$104)&gt;=CF$3)*('حجز الإجازات'!$G$5:$G$104="معتمد")*ROW('حجز الإجازات'!$B$5:$B$104))=0,"",INDEX('حجز الإجازات'!$C$5:$C$104,(SUMPRODUCT(('حجز الإجازات'!$B$5:$B$104='الموظفون'!$B$4)*('حجز الإجازات'!$D$5:$D$104&lt;=CF$3)*(('حجز الإجازات'!$E$5:$E$104)&gt;=CF$3)*('حجز الإجازات'!$G$5:$G$104="معتمد")*ROW('حجز الإجازات'!$B$5:$B$104)))-5+1))</f>
        <v/>
      </c>
      <c r="CG6" s="62">
        <f>IF(SUMPRODUCT(('حجز الإجازات'!$B$5:$B$104='الموظفون'!$B$4)*('حجز الإجازات'!$D$5:$D$104&lt;=CG$3)*(('حجز الإجازات'!$E$5:$E$104)&gt;=CG$3)*('حجز الإجازات'!$G$5:$G$104="معتمد")*ROW('حجز الإجازات'!$B$5:$B$104))=0,"",INDEX('حجز الإجازات'!$C$5:$C$104,(SUMPRODUCT(('حجز الإجازات'!$B$5:$B$104='الموظفون'!$B$4)*('حجز الإجازات'!$D$5:$D$104&lt;=CG$3)*(('حجز الإجازات'!$E$5:$E$104)&gt;=CG$3)*('حجز الإجازات'!$G$5:$G$104="معتمد")*ROW('حجز الإجازات'!$B$5:$B$104)))-5+1))</f>
        <v/>
      </c>
      <c r="CH6" s="62">
        <f>IF(SUMPRODUCT(('حجز الإجازات'!$B$5:$B$104='الموظفون'!$B$4)*('حجز الإجازات'!$D$5:$D$104&lt;=CH$3)*(('حجز الإجازات'!$E$5:$E$104)&gt;=CH$3)*('حجز الإجازات'!$G$5:$G$104="معتمد")*ROW('حجز الإجازات'!$B$5:$B$104))=0,"",INDEX('حجز الإجازات'!$C$5:$C$104,(SUMPRODUCT(('حجز الإجازات'!$B$5:$B$104='الموظفون'!$B$4)*('حجز الإجازات'!$D$5:$D$104&lt;=CH$3)*(('حجز الإجازات'!$E$5:$E$104)&gt;=CH$3)*('حجز الإجازات'!$G$5:$G$104="معتمد")*ROW('حجز الإجازات'!$B$5:$B$104)))-5+1))</f>
        <v/>
      </c>
      <c r="CI6" s="62">
        <f>IF(SUMPRODUCT(('حجز الإجازات'!$B$5:$B$104='الموظفون'!$B$4)*('حجز الإجازات'!$D$5:$D$104&lt;=CI$3)*(('حجز الإجازات'!$E$5:$E$104)&gt;=CI$3)*('حجز الإجازات'!$G$5:$G$104="معتمد")*ROW('حجز الإجازات'!$B$5:$B$104))=0,"",INDEX('حجز الإجازات'!$C$5:$C$104,(SUMPRODUCT(('حجز الإجازات'!$B$5:$B$104='الموظفون'!$B$4)*('حجز الإجازات'!$D$5:$D$104&lt;=CI$3)*(('حجز الإجازات'!$E$5:$E$104)&gt;=CI$3)*('حجز الإجازات'!$G$5:$G$104="معتمد")*ROW('حجز الإجازات'!$B$5:$B$104)))-5+1))</f>
        <v/>
      </c>
      <c r="CJ6" s="62">
        <f>IF(SUMPRODUCT(('حجز الإجازات'!$B$5:$B$104='الموظفون'!$B$4)*('حجز الإجازات'!$D$5:$D$104&lt;=CJ$3)*(('حجز الإجازات'!$E$5:$E$104)&gt;=CJ$3)*('حجز الإجازات'!$G$5:$G$104="معتمد")*ROW('حجز الإجازات'!$B$5:$B$104))=0,"",INDEX('حجز الإجازات'!$C$5:$C$104,(SUMPRODUCT(('حجز الإجازات'!$B$5:$B$104='الموظفون'!$B$4)*('حجز الإجازات'!$D$5:$D$104&lt;=CJ$3)*(('حجز الإجازات'!$E$5:$E$104)&gt;=CJ$3)*('حجز الإجازات'!$G$5:$G$104="معتمد")*ROW('حجز الإجازات'!$B$5:$B$104)))-5+1))</f>
        <v/>
      </c>
      <c r="CK6" s="62">
        <f>IF(SUMPRODUCT(('حجز الإجازات'!$B$5:$B$104='الموظفون'!$B$4)*('حجز الإجازات'!$D$5:$D$104&lt;=CK$3)*(('حجز الإجازات'!$E$5:$E$104)&gt;=CK$3)*('حجز الإجازات'!$G$5:$G$104="معتمد")*ROW('حجز الإجازات'!$B$5:$B$104))=0,"",INDEX('حجز الإجازات'!$C$5:$C$104,(SUMPRODUCT(('حجز الإجازات'!$B$5:$B$104='الموظفون'!$B$4)*('حجز الإجازات'!$D$5:$D$104&lt;=CK$3)*(('حجز الإجازات'!$E$5:$E$104)&gt;=CK$3)*('حجز الإجازات'!$G$5:$G$104="معتمد")*ROW('حجز الإجازات'!$B$5:$B$104)))-5+1))</f>
        <v/>
      </c>
      <c r="CL6" s="62">
        <f>IF(SUMPRODUCT(('حجز الإجازات'!$B$5:$B$104='الموظفون'!$B$4)*('حجز الإجازات'!$D$5:$D$104&lt;=CL$3)*(('حجز الإجازات'!$E$5:$E$104)&gt;=CL$3)*('حجز الإجازات'!$G$5:$G$104="معتمد")*ROW('حجز الإجازات'!$B$5:$B$104))=0,"",INDEX('حجز الإجازات'!$C$5:$C$104,(SUMPRODUCT(('حجز الإجازات'!$B$5:$B$104='الموظفون'!$B$4)*('حجز الإجازات'!$D$5:$D$104&lt;=CL$3)*(('حجز الإجازات'!$E$5:$E$104)&gt;=CL$3)*('حجز الإجازات'!$G$5:$G$104="معتمد")*ROW('حجز الإجازات'!$B$5:$B$104)))-5+1))</f>
        <v/>
      </c>
      <c r="CM6" s="62">
        <f>IF(SUMPRODUCT(('حجز الإجازات'!$B$5:$B$104='الموظفون'!$B$4)*('حجز الإجازات'!$D$5:$D$104&lt;=CM$3)*(('حجز الإجازات'!$E$5:$E$104)&gt;=CM$3)*('حجز الإجازات'!$G$5:$G$104="معتمد")*ROW('حجز الإجازات'!$B$5:$B$104))=0,"",INDEX('حجز الإجازات'!$C$5:$C$104,(SUMPRODUCT(('حجز الإجازات'!$B$5:$B$104='الموظفون'!$B$4)*('حجز الإجازات'!$D$5:$D$104&lt;=CM$3)*(('حجز الإجازات'!$E$5:$E$104)&gt;=CM$3)*('حجز الإجازات'!$G$5:$G$104="معتمد")*ROW('حجز الإجازات'!$B$5:$B$104)))-5+1))</f>
        <v/>
      </c>
      <c r="CN6" s="62">
        <f>IF(SUMPRODUCT(('حجز الإجازات'!$B$5:$B$104='الموظفون'!$B$4)*('حجز الإجازات'!$D$5:$D$104&lt;=CN$3)*(('حجز الإجازات'!$E$5:$E$104)&gt;=CN$3)*('حجز الإجازات'!$G$5:$G$104="معتمد")*ROW('حجز الإجازات'!$B$5:$B$104))=0,"",INDEX('حجز الإجازات'!$C$5:$C$104,(SUMPRODUCT(('حجز الإجازات'!$B$5:$B$104='الموظفون'!$B$4)*('حجز الإجازات'!$D$5:$D$104&lt;=CN$3)*(('حجز الإجازات'!$E$5:$E$104)&gt;=CN$3)*('حجز الإجازات'!$G$5:$G$104="معتمد")*ROW('حجز الإجازات'!$B$5:$B$104)))-5+1))</f>
        <v/>
      </c>
      <c r="CO6" s="62">
        <f>IF(SUMPRODUCT(('حجز الإجازات'!$B$5:$B$104='الموظفون'!$B$4)*('حجز الإجازات'!$D$5:$D$104&lt;=CO$3)*(('حجز الإجازات'!$E$5:$E$104)&gt;=CO$3)*('حجز الإجازات'!$G$5:$G$104="معتمد")*ROW('حجز الإجازات'!$B$5:$B$104))=0,"",INDEX('حجز الإجازات'!$C$5:$C$104,(SUMPRODUCT(('حجز الإجازات'!$B$5:$B$104='الموظفون'!$B$4)*('حجز الإجازات'!$D$5:$D$104&lt;=CO$3)*(('حجز الإجازات'!$E$5:$E$104)&gt;=CO$3)*('حجز الإجازات'!$G$5:$G$104="معتمد")*ROW('حجز الإجازات'!$B$5:$B$104)))-5+1))</f>
        <v/>
      </c>
      <c r="CP6" s="62">
        <f>IF(SUMPRODUCT(('حجز الإجازات'!$B$5:$B$104='الموظفون'!$B$4)*('حجز الإجازات'!$D$5:$D$104&lt;=CP$3)*(('حجز الإجازات'!$E$5:$E$104)&gt;=CP$3)*('حجز الإجازات'!$G$5:$G$104="معتمد")*ROW('حجز الإجازات'!$B$5:$B$104))=0,"",INDEX('حجز الإجازات'!$C$5:$C$104,(SUMPRODUCT(('حجز الإجازات'!$B$5:$B$104='الموظفون'!$B$4)*('حجز الإجازات'!$D$5:$D$104&lt;=CP$3)*(('حجز الإجازات'!$E$5:$E$104)&gt;=CP$3)*('حجز الإجازات'!$G$5:$G$104="معتمد")*ROW('حجز الإجازات'!$B$5:$B$104)))-5+1))</f>
        <v/>
      </c>
      <c r="CQ6" s="62">
        <f>IF(SUMPRODUCT(('حجز الإجازات'!$B$5:$B$104='الموظفون'!$B$4)*('حجز الإجازات'!$D$5:$D$104&lt;=CQ$3)*(('حجز الإجازات'!$E$5:$E$104)&gt;=CQ$3)*('حجز الإجازات'!$G$5:$G$104="معتمد")*ROW('حجز الإجازات'!$B$5:$B$104))=0,"",INDEX('حجز الإجازات'!$C$5:$C$104,(SUMPRODUCT(('حجز الإجازات'!$B$5:$B$104='الموظفون'!$B$4)*('حجز الإجازات'!$D$5:$D$104&lt;=CQ$3)*(('حجز الإجازات'!$E$5:$E$104)&gt;=CQ$3)*('حجز الإجازات'!$G$5:$G$104="معتمد")*ROW('حجز الإجازات'!$B$5:$B$104)))-5+1))</f>
        <v/>
      </c>
      <c r="CR6" s="62">
        <f>IF(SUMPRODUCT(('حجز الإجازات'!$B$5:$B$104='الموظفون'!$B$4)*('حجز الإجازات'!$D$5:$D$104&lt;=CR$3)*(('حجز الإجازات'!$E$5:$E$104)&gt;=CR$3)*('حجز الإجازات'!$G$5:$G$104="معتمد")*ROW('حجز الإجازات'!$B$5:$B$104))=0,"",INDEX('حجز الإجازات'!$C$5:$C$104,(SUMPRODUCT(('حجز الإجازات'!$B$5:$B$104='الموظفون'!$B$4)*('حجز الإجازات'!$D$5:$D$104&lt;=CR$3)*(('حجز الإجازات'!$E$5:$E$104)&gt;=CR$3)*('حجز الإجازات'!$G$5:$G$104="معتمد")*ROW('حجز الإجازات'!$B$5:$B$104)))-5+1))</f>
        <v/>
      </c>
      <c r="CS6" s="62">
        <f>IF(SUMPRODUCT(('حجز الإجازات'!$B$5:$B$104='الموظفون'!$B$4)*('حجز الإجازات'!$D$5:$D$104&lt;=CS$3)*(('حجز الإجازات'!$E$5:$E$104)&gt;=CS$3)*('حجز الإجازات'!$G$5:$G$104="معتمد")*ROW('حجز الإجازات'!$B$5:$B$104))=0,"",INDEX('حجز الإجازات'!$C$5:$C$104,(SUMPRODUCT(('حجز الإجازات'!$B$5:$B$104='الموظفون'!$B$4)*('حجز الإجازات'!$D$5:$D$104&lt;=CS$3)*(('حجز الإجازات'!$E$5:$E$104)&gt;=CS$3)*('حجز الإجازات'!$G$5:$G$104="معتمد")*ROW('حجز الإجازات'!$B$5:$B$104)))-5+1))</f>
        <v/>
      </c>
      <c r="CT6" s="62">
        <f>IF(SUMPRODUCT(('حجز الإجازات'!$B$5:$B$104='الموظفون'!$B$4)*('حجز الإجازات'!$D$5:$D$104&lt;=CT$3)*(('حجز الإجازات'!$E$5:$E$104)&gt;=CT$3)*('حجز الإجازات'!$G$5:$G$104="معتمد")*ROW('حجز الإجازات'!$B$5:$B$104))=0,"",INDEX('حجز الإجازات'!$C$5:$C$104,(SUMPRODUCT(('حجز الإجازات'!$B$5:$B$104='الموظفون'!$B$4)*('حجز الإجازات'!$D$5:$D$104&lt;=CT$3)*(('حجز الإجازات'!$E$5:$E$104)&gt;=CT$3)*('حجز الإجازات'!$G$5:$G$104="معتمد")*ROW('حجز الإجازات'!$B$5:$B$104)))-5+1))</f>
        <v/>
      </c>
      <c r="CU6" s="62">
        <f>IF(SUMPRODUCT(('حجز الإجازات'!$B$5:$B$104='الموظفون'!$B$4)*('حجز الإجازات'!$D$5:$D$104&lt;=CU$3)*(('حجز الإجازات'!$E$5:$E$104)&gt;=CU$3)*('حجز الإجازات'!$G$5:$G$104="معتمد")*ROW('حجز الإجازات'!$B$5:$B$104))=0,"",INDEX('حجز الإجازات'!$C$5:$C$104,(SUMPRODUCT(('حجز الإجازات'!$B$5:$B$104='الموظفون'!$B$4)*('حجز الإجازات'!$D$5:$D$104&lt;=CU$3)*(('حجز الإجازات'!$E$5:$E$104)&gt;=CU$3)*('حجز الإجازات'!$G$5:$G$104="معتمد")*ROW('حجز الإجازات'!$B$5:$B$104)))-5+1))</f>
        <v/>
      </c>
      <c r="CV6" s="62">
        <f>IF(SUMPRODUCT(('حجز الإجازات'!$B$5:$B$104='الموظفون'!$B$4)*('حجز الإجازات'!$D$5:$D$104&lt;=CV$3)*(('حجز الإجازات'!$E$5:$E$104)&gt;=CV$3)*('حجز الإجازات'!$G$5:$G$104="معتمد")*ROW('حجز الإجازات'!$B$5:$B$104))=0,"",INDEX('حجز الإجازات'!$C$5:$C$104,(SUMPRODUCT(('حجز الإجازات'!$B$5:$B$104='الموظفون'!$B$4)*('حجز الإجازات'!$D$5:$D$104&lt;=CV$3)*(('حجز الإجازات'!$E$5:$E$104)&gt;=CV$3)*('حجز الإجازات'!$G$5:$G$104="معتمد")*ROW('حجز الإجازات'!$B$5:$B$104)))-5+1))</f>
        <v/>
      </c>
      <c r="CW6" s="62">
        <f>IF(SUMPRODUCT(('حجز الإجازات'!$B$5:$B$104='الموظفون'!$B$4)*('حجز الإجازات'!$D$5:$D$104&lt;=CW$3)*(('حجز الإجازات'!$E$5:$E$104)&gt;=CW$3)*('حجز الإجازات'!$G$5:$G$104="معتمد")*ROW('حجز الإجازات'!$B$5:$B$104))=0,"",INDEX('حجز الإجازات'!$C$5:$C$104,(SUMPRODUCT(('حجز الإجازات'!$B$5:$B$104='الموظفون'!$B$4)*('حجز الإجازات'!$D$5:$D$104&lt;=CW$3)*(('حجز الإجازات'!$E$5:$E$104)&gt;=CW$3)*('حجز الإجازات'!$G$5:$G$104="معتمد")*ROW('حجز الإجازات'!$B$5:$B$104)))-5+1))</f>
        <v/>
      </c>
      <c r="CX6" s="62">
        <f>IF(SUMPRODUCT(('حجز الإجازات'!$B$5:$B$104='الموظفون'!$B$4)*('حجز الإجازات'!$D$5:$D$104&lt;=CX$3)*(('حجز الإجازات'!$E$5:$E$104)&gt;=CX$3)*('حجز الإجازات'!$G$5:$G$104="معتمد")*ROW('حجز الإجازات'!$B$5:$B$104))=0,"",INDEX('حجز الإجازات'!$C$5:$C$104,(SUMPRODUCT(('حجز الإجازات'!$B$5:$B$104='الموظفون'!$B$4)*('حجز الإجازات'!$D$5:$D$104&lt;=CX$3)*(('حجز الإجازات'!$E$5:$E$104)&gt;=CX$3)*('حجز الإجازات'!$G$5:$G$104="معتمد")*ROW('حجز الإجازات'!$B$5:$B$104)))-5+1))</f>
        <v/>
      </c>
      <c r="CY6" s="62">
        <f>IF(SUMPRODUCT(('حجز الإجازات'!$B$5:$B$104='الموظفون'!$B$4)*('حجز الإجازات'!$D$5:$D$104&lt;=CY$3)*(('حجز الإجازات'!$E$5:$E$104)&gt;=CY$3)*('حجز الإجازات'!$G$5:$G$104="معتمد")*ROW('حجز الإجازات'!$B$5:$B$104))=0,"",INDEX('حجز الإجازات'!$C$5:$C$104,(SUMPRODUCT(('حجز الإجازات'!$B$5:$B$104='الموظفون'!$B$4)*('حجز الإجازات'!$D$5:$D$104&lt;=CY$3)*(('حجز الإجازات'!$E$5:$E$104)&gt;=CY$3)*('حجز الإجازات'!$G$5:$G$104="معتمد")*ROW('حجز الإجازات'!$B$5:$B$104)))-5+1))</f>
        <v/>
      </c>
      <c r="CZ6" s="62">
        <f>IF(SUMPRODUCT(('حجز الإجازات'!$B$5:$B$104='الموظفون'!$B$4)*('حجز الإجازات'!$D$5:$D$104&lt;=CZ$3)*(('حجز الإجازات'!$E$5:$E$104)&gt;=CZ$3)*('حجز الإجازات'!$G$5:$G$104="معتمد")*ROW('حجز الإجازات'!$B$5:$B$104))=0,"",INDEX('حجز الإجازات'!$C$5:$C$104,(SUMPRODUCT(('حجز الإجازات'!$B$5:$B$104='الموظفون'!$B$4)*('حجز الإجازات'!$D$5:$D$104&lt;=CZ$3)*(('حجز الإجازات'!$E$5:$E$104)&gt;=CZ$3)*('حجز الإجازات'!$G$5:$G$104="معتمد")*ROW('حجز الإجازات'!$B$5:$B$104)))-5+1))</f>
        <v/>
      </c>
      <c r="DA6" s="62">
        <f>IF(SUMPRODUCT(('حجز الإجازات'!$B$5:$B$104='الموظفون'!$B$4)*('حجز الإجازات'!$D$5:$D$104&lt;=DA$3)*(('حجز الإجازات'!$E$5:$E$104)&gt;=DA$3)*('حجز الإجازات'!$G$5:$G$104="معتمد")*ROW('حجز الإجازات'!$B$5:$B$104))=0,"",INDEX('حجز الإجازات'!$C$5:$C$104,(SUMPRODUCT(('حجز الإجازات'!$B$5:$B$104='الموظفون'!$B$4)*('حجز الإجازات'!$D$5:$D$104&lt;=DA$3)*(('حجز الإجازات'!$E$5:$E$104)&gt;=DA$3)*('حجز الإجازات'!$G$5:$G$104="معتمد")*ROW('حجز الإجازات'!$B$5:$B$104)))-5+1))</f>
        <v/>
      </c>
      <c r="DB6" s="62">
        <f>IF(SUMPRODUCT(('حجز الإجازات'!$B$5:$B$104='الموظفون'!$B$4)*('حجز الإجازات'!$D$5:$D$104&lt;=DB$3)*(('حجز الإجازات'!$E$5:$E$104)&gt;=DB$3)*('حجز الإجازات'!$G$5:$G$104="معتمد")*ROW('حجز الإجازات'!$B$5:$B$104))=0,"",INDEX('حجز الإجازات'!$C$5:$C$104,(SUMPRODUCT(('حجز الإجازات'!$B$5:$B$104='الموظفون'!$B$4)*('حجز الإجازات'!$D$5:$D$104&lt;=DB$3)*(('حجز الإجازات'!$E$5:$E$104)&gt;=DB$3)*('حجز الإجازات'!$G$5:$G$104="معتمد")*ROW('حجز الإجازات'!$B$5:$B$104)))-5+1))</f>
        <v/>
      </c>
      <c r="DC6" s="62">
        <f>IF(SUMPRODUCT(('حجز الإجازات'!$B$5:$B$104='الموظفون'!$B$4)*('حجز الإجازات'!$D$5:$D$104&lt;=DC$3)*(('حجز الإجازات'!$E$5:$E$104)&gt;=DC$3)*('حجز الإجازات'!$G$5:$G$104="معتمد")*ROW('حجز الإجازات'!$B$5:$B$104))=0,"",INDEX('حجز الإجازات'!$C$5:$C$104,(SUMPRODUCT(('حجز الإجازات'!$B$5:$B$104='الموظفون'!$B$4)*('حجز الإجازات'!$D$5:$D$104&lt;=DC$3)*(('حجز الإجازات'!$E$5:$E$104)&gt;=DC$3)*('حجز الإجازات'!$G$5:$G$104="معتمد")*ROW('حجز الإجازات'!$B$5:$B$104)))-5+1))</f>
        <v/>
      </c>
      <c r="DD6" s="62">
        <f>IF(SUMPRODUCT(('حجز الإجازات'!$B$5:$B$104='الموظفون'!$B$4)*('حجز الإجازات'!$D$5:$D$104&lt;=DD$3)*(('حجز الإجازات'!$E$5:$E$104)&gt;=DD$3)*('حجز الإجازات'!$G$5:$G$104="معتمد")*ROW('حجز الإجازات'!$B$5:$B$104))=0,"",INDEX('حجز الإجازات'!$C$5:$C$104,(SUMPRODUCT(('حجز الإجازات'!$B$5:$B$104='الموظفون'!$B$4)*('حجز الإجازات'!$D$5:$D$104&lt;=DD$3)*(('حجز الإجازات'!$E$5:$E$104)&gt;=DD$3)*('حجز الإجازات'!$G$5:$G$104="معتمد")*ROW('حجز الإجازات'!$B$5:$B$104)))-5+1))</f>
        <v/>
      </c>
      <c r="DE6" s="62">
        <f>IF(SUMPRODUCT(('حجز الإجازات'!$B$5:$B$104='الموظفون'!$B$4)*('حجز الإجازات'!$D$5:$D$104&lt;=DE$3)*(('حجز الإجازات'!$E$5:$E$104)&gt;=DE$3)*('حجز الإجازات'!$G$5:$G$104="معتمد")*ROW('حجز الإجازات'!$B$5:$B$104))=0,"",INDEX('حجز الإجازات'!$C$5:$C$104,(SUMPRODUCT(('حجز الإجازات'!$B$5:$B$104='الموظفون'!$B$4)*('حجز الإجازات'!$D$5:$D$104&lt;=DE$3)*(('حجز الإجازات'!$E$5:$E$104)&gt;=DE$3)*('حجز الإجازات'!$G$5:$G$104="معتمد")*ROW('حجز الإجازات'!$B$5:$B$104)))-5+1))</f>
        <v/>
      </c>
      <c r="DF6" s="62">
        <f>IF(SUMPRODUCT(('حجز الإجازات'!$B$5:$B$104='الموظفون'!$B$4)*('حجز الإجازات'!$D$5:$D$104&lt;=DF$3)*(('حجز الإجازات'!$E$5:$E$104)&gt;=DF$3)*('حجز الإجازات'!$G$5:$G$104="معتمد")*ROW('حجز الإجازات'!$B$5:$B$104))=0,"",INDEX('حجز الإجازات'!$C$5:$C$104,(SUMPRODUCT(('حجز الإجازات'!$B$5:$B$104='الموظفون'!$B$4)*('حجز الإجازات'!$D$5:$D$104&lt;=DF$3)*(('حجز الإجازات'!$E$5:$E$104)&gt;=DF$3)*('حجز الإجازات'!$G$5:$G$104="معتمد")*ROW('حجز الإجازات'!$B$5:$B$104)))-5+1))</f>
        <v/>
      </c>
      <c r="DG6" s="62">
        <f>IF(SUMPRODUCT(('حجز الإجازات'!$B$5:$B$104='الموظفون'!$B$4)*('حجز الإجازات'!$D$5:$D$104&lt;=DG$3)*(('حجز الإجازات'!$E$5:$E$104)&gt;=DG$3)*('حجز الإجازات'!$G$5:$G$104="معتمد")*ROW('حجز الإجازات'!$B$5:$B$104))=0,"",INDEX('حجز الإجازات'!$C$5:$C$104,(SUMPRODUCT(('حجز الإجازات'!$B$5:$B$104='الموظفون'!$B$4)*('حجز الإجازات'!$D$5:$D$104&lt;=DG$3)*(('حجز الإجازات'!$E$5:$E$104)&gt;=DG$3)*('حجز الإجازات'!$G$5:$G$104="معتمد")*ROW('حجز الإجازات'!$B$5:$B$104)))-5+1))</f>
        <v/>
      </c>
      <c r="DH6" s="62">
        <f>IF(SUMPRODUCT(('حجز الإجازات'!$B$5:$B$104='الموظفون'!$B$4)*('حجز الإجازات'!$D$5:$D$104&lt;=DH$3)*(('حجز الإجازات'!$E$5:$E$104)&gt;=DH$3)*('حجز الإجازات'!$G$5:$G$104="معتمد")*ROW('حجز الإجازات'!$B$5:$B$104))=0,"",INDEX('حجز الإجازات'!$C$5:$C$104,(SUMPRODUCT(('حجز الإجازات'!$B$5:$B$104='الموظفون'!$B$4)*('حجز الإجازات'!$D$5:$D$104&lt;=DH$3)*(('حجز الإجازات'!$E$5:$E$104)&gt;=DH$3)*('حجز الإجازات'!$G$5:$G$104="معتمد")*ROW('حجز الإجازات'!$B$5:$B$104)))-5+1))</f>
        <v/>
      </c>
      <c r="DI6" s="62">
        <f>IF(SUMPRODUCT(('حجز الإجازات'!$B$5:$B$104='الموظفون'!$B$4)*('حجز الإجازات'!$D$5:$D$104&lt;=DI$3)*(('حجز الإجازات'!$E$5:$E$104)&gt;=DI$3)*('حجز الإجازات'!$G$5:$G$104="معتمد")*ROW('حجز الإجازات'!$B$5:$B$104))=0,"",INDEX('حجز الإجازات'!$C$5:$C$104,(SUMPRODUCT(('حجز الإجازات'!$B$5:$B$104='الموظفون'!$B$4)*('حجز الإجازات'!$D$5:$D$104&lt;=DI$3)*(('حجز الإجازات'!$E$5:$E$104)&gt;=DI$3)*('حجز الإجازات'!$G$5:$G$104="معتمد")*ROW('حجز الإجازات'!$B$5:$B$104)))-5+1))</f>
        <v/>
      </c>
      <c r="DJ6" s="62">
        <f>IF(SUMPRODUCT(('حجز الإجازات'!$B$5:$B$104='الموظفون'!$B$4)*('حجز الإجازات'!$D$5:$D$104&lt;=DJ$3)*(('حجز الإجازات'!$E$5:$E$104)&gt;=DJ$3)*('حجز الإجازات'!$G$5:$G$104="معتمد")*ROW('حجز الإجازات'!$B$5:$B$104))=0,"",INDEX('حجز الإجازات'!$C$5:$C$104,(SUMPRODUCT(('حجز الإجازات'!$B$5:$B$104='الموظفون'!$B$4)*('حجز الإجازات'!$D$5:$D$104&lt;=DJ$3)*(('حجز الإجازات'!$E$5:$E$104)&gt;=DJ$3)*('حجز الإجازات'!$G$5:$G$104="معتمد")*ROW('حجز الإجازات'!$B$5:$B$104)))-5+1))</f>
        <v/>
      </c>
      <c r="DK6" s="62">
        <f>IF(SUMPRODUCT(('حجز الإجازات'!$B$5:$B$104='الموظفون'!$B$4)*('حجز الإجازات'!$D$5:$D$104&lt;=DK$3)*(('حجز الإجازات'!$E$5:$E$104)&gt;=DK$3)*('حجز الإجازات'!$G$5:$G$104="معتمد")*ROW('حجز الإجازات'!$B$5:$B$104))=0,"",INDEX('حجز الإجازات'!$C$5:$C$104,(SUMPRODUCT(('حجز الإجازات'!$B$5:$B$104='الموظفون'!$B$4)*('حجز الإجازات'!$D$5:$D$104&lt;=DK$3)*(('حجز الإجازات'!$E$5:$E$104)&gt;=DK$3)*('حجز الإجازات'!$G$5:$G$104="معتمد")*ROW('حجز الإجازات'!$B$5:$B$104)))-5+1))</f>
        <v/>
      </c>
      <c r="DL6" s="62">
        <f>IF(SUMPRODUCT(('حجز الإجازات'!$B$5:$B$104='الموظفون'!$B$4)*('حجز الإجازات'!$D$5:$D$104&lt;=DL$3)*(('حجز الإجازات'!$E$5:$E$104)&gt;=DL$3)*('حجز الإجازات'!$G$5:$G$104="معتمد")*ROW('حجز الإجازات'!$B$5:$B$104))=0,"",INDEX('حجز الإجازات'!$C$5:$C$104,(SUMPRODUCT(('حجز الإجازات'!$B$5:$B$104='الموظفون'!$B$4)*('حجز الإجازات'!$D$5:$D$104&lt;=DL$3)*(('حجز الإجازات'!$E$5:$E$104)&gt;=DL$3)*('حجز الإجازات'!$G$5:$G$104="معتمد")*ROW('حجز الإجازات'!$B$5:$B$104)))-5+1))</f>
        <v/>
      </c>
      <c r="DM6" s="62">
        <f>IF(SUMPRODUCT(('حجز الإجازات'!$B$5:$B$104='الموظفون'!$B$4)*('حجز الإجازات'!$D$5:$D$104&lt;=DM$3)*(('حجز الإجازات'!$E$5:$E$104)&gt;=DM$3)*('حجز الإجازات'!$G$5:$G$104="معتمد")*ROW('حجز الإجازات'!$B$5:$B$104))=0,"",INDEX('حجز الإجازات'!$C$5:$C$104,(SUMPRODUCT(('حجز الإجازات'!$B$5:$B$104='الموظفون'!$B$4)*('حجز الإجازات'!$D$5:$D$104&lt;=DM$3)*(('حجز الإجازات'!$E$5:$E$104)&gt;=DM$3)*('حجز الإجازات'!$G$5:$G$104="معتمد")*ROW('حجز الإجازات'!$B$5:$B$104)))-5+1))</f>
        <v/>
      </c>
      <c r="DN6" s="62">
        <f>IF(SUMPRODUCT(('حجز الإجازات'!$B$5:$B$104='الموظفون'!$B$4)*('حجز الإجازات'!$D$5:$D$104&lt;=DN$3)*(('حجز الإجازات'!$E$5:$E$104)&gt;=DN$3)*('حجز الإجازات'!$G$5:$G$104="معتمد")*ROW('حجز الإجازات'!$B$5:$B$104))=0,"",INDEX('حجز الإجازات'!$C$5:$C$104,(SUMPRODUCT(('حجز الإجازات'!$B$5:$B$104='الموظفون'!$B$4)*('حجز الإجازات'!$D$5:$D$104&lt;=DN$3)*(('حجز الإجازات'!$E$5:$E$104)&gt;=DN$3)*('حجز الإجازات'!$G$5:$G$104="معتمد")*ROW('حجز الإجازات'!$B$5:$B$104)))-5+1))</f>
        <v/>
      </c>
      <c r="DO6" s="62">
        <f>IF(SUMPRODUCT(('حجز الإجازات'!$B$5:$B$104='الموظفون'!$B$4)*('حجز الإجازات'!$D$5:$D$104&lt;=DO$3)*(('حجز الإجازات'!$E$5:$E$104)&gt;=DO$3)*('حجز الإجازات'!$G$5:$G$104="معتمد")*ROW('حجز الإجازات'!$B$5:$B$104))=0,"",INDEX('حجز الإجازات'!$C$5:$C$104,(SUMPRODUCT(('حجز الإجازات'!$B$5:$B$104='الموظفون'!$B$4)*('حجز الإجازات'!$D$5:$D$104&lt;=DO$3)*(('حجز الإجازات'!$E$5:$E$104)&gt;=DO$3)*('حجز الإجازات'!$G$5:$G$104="معتمد")*ROW('حجز الإجازات'!$B$5:$B$104)))-5+1))</f>
        <v/>
      </c>
      <c r="DP6" s="62">
        <f>IF(SUMPRODUCT(('حجز الإجازات'!$B$5:$B$104='الموظفون'!$B$4)*('حجز الإجازات'!$D$5:$D$104&lt;=DP$3)*(('حجز الإجازات'!$E$5:$E$104)&gt;=DP$3)*('حجز الإجازات'!$G$5:$G$104="معتمد")*ROW('حجز الإجازات'!$B$5:$B$104))=0,"",INDEX('حجز الإجازات'!$C$5:$C$104,(SUMPRODUCT(('حجز الإجازات'!$B$5:$B$104='الموظفون'!$B$4)*('حجز الإجازات'!$D$5:$D$104&lt;=DP$3)*(('حجز الإجازات'!$E$5:$E$104)&gt;=DP$3)*('حجز الإجازات'!$G$5:$G$104="معتمد")*ROW('حجز الإجازات'!$B$5:$B$104)))-5+1))</f>
        <v/>
      </c>
      <c r="DQ6" s="62">
        <f>IF(SUMPRODUCT(('حجز الإجازات'!$B$5:$B$104='الموظفون'!$B$4)*('حجز الإجازات'!$D$5:$D$104&lt;=DQ$3)*(('حجز الإجازات'!$E$5:$E$104)&gt;=DQ$3)*('حجز الإجازات'!$G$5:$G$104="معتمد")*ROW('حجز الإجازات'!$B$5:$B$104))=0,"",INDEX('حجز الإجازات'!$C$5:$C$104,(SUMPRODUCT(('حجز الإجازات'!$B$5:$B$104='الموظفون'!$B$4)*('حجز الإجازات'!$D$5:$D$104&lt;=DQ$3)*(('حجز الإجازات'!$E$5:$E$104)&gt;=DQ$3)*('حجز الإجازات'!$G$5:$G$104="معتمد")*ROW('حجز الإجازات'!$B$5:$B$104)))-5+1))</f>
        <v/>
      </c>
      <c r="DR6" s="62">
        <f>IF(SUMPRODUCT(('حجز الإجازات'!$B$5:$B$104='الموظفون'!$B$4)*('حجز الإجازات'!$D$5:$D$104&lt;=DR$3)*(('حجز الإجازات'!$E$5:$E$104)&gt;=DR$3)*('حجز الإجازات'!$G$5:$G$104="معتمد")*ROW('حجز الإجازات'!$B$5:$B$104))=0,"",INDEX('حجز الإجازات'!$C$5:$C$104,(SUMPRODUCT(('حجز الإجازات'!$B$5:$B$104='الموظفون'!$B$4)*('حجز الإجازات'!$D$5:$D$104&lt;=DR$3)*(('حجز الإجازات'!$E$5:$E$104)&gt;=DR$3)*('حجز الإجازات'!$G$5:$G$104="معتمد")*ROW('حجز الإجازات'!$B$5:$B$104)))-5+1))</f>
        <v/>
      </c>
      <c r="DS6" s="62">
        <f>IF(SUMPRODUCT(('حجز الإجازات'!$B$5:$B$104='الموظفون'!$B$4)*('حجز الإجازات'!$D$5:$D$104&lt;=DS$3)*(('حجز الإجازات'!$E$5:$E$104)&gt;=DS$3)*('حجز الإجازات'!$G$5:$G$104="معتمد")*ROW('حجز الإجازات'!$B$5:$B$104))=0,"",INDEX('حجز الإجازات'!$C$5:$C$104,(SUMPRODUCT(('حجز الإجازات'!$B$5:$B$104='الموظفون'!$B$4)*('حجز الإجازات'!$D$5:$D$104&lt;=DS$3)*(('حجز الإجازات'!$E$5:$E$104)&gt;=DS$3)*('حجز الإجازات'!$G$5:$G$104="معتمد")*ROW('حجز الإجازات'!$B$5:$B$104)))-5+1))</f>
        <v/>
      </c>
      <c r="DT6" s="62">
        <f>IF(SUMPRODUCT(('حجز الإجازات'!$B$5:$B$104='الموظفون'!$B$4)*('حجز الإجازات'!$D$5:$D$104&lt;=DT$3)*(('حجز الإجازات'!$E$5:$E$104)&gt;=DT$3)*('حجز الإجازات'!$G$5:$G$104="معتمد")*ROW('حجز الإجازات'!$B$5:$B$104))=0,"",INDEX('حجز الإجازات'!$C$5:$C$104,(SUMPRODUCT(('حجز الإجازات'!$B$5:$B$104='الموظفون'!$B$4)*('حجز الإجازات'!$D$5:$D$104&lt;=DT$3)*(('حجز الإجازات'!$E$5:$E$104)&gt;=DT$3)*('حجز الإجازات'!$G$5:$G$104="معتمد")*ROW('حجز الإجازات'!$B$5:$B$104)))-5+1))</f>
        <v/>
      </c>
      <c r="DU6" s="62">
        <f>IF(SUMPRODUCT(('حجز الإجازات'!$B$5:$B$104='الموظفون'!$B$4)*('حجز الإجازات'!$D$5:$D$104&lt;=DU$3)*(('حجز الإجازات'!$E$5:$E$104)&gt;=DU$3)*('حجز الإجازات'!$G$5:$G$104="معتمد")*ROW('حجز الإجازات'!$B$5:$B$104))=0,"",INDEX('حجز الإجازات'!$C$5:$C$104,(SUMPRODUCT(('حجز الإجازات'!$B$5:$B$104='الموظفون'!$B$4)*('حجز الإجازات'!$D$5:$D$104&lt;=DU$3)*(('حجز الإجازات'!$E$5:$E$104)&gt;=DU$3)*('حجز الإجازات'!$G$5:$G$104="معتمد")*ROW('حجز الإجازات'!$B$5:$B$104)))-5+1))</f>
        <v/>
      </c>
      <c r="DV6" s="62">
        <f>IF(SUMPRODUCT(('حجز الإجازات'!$B$5:$B$104='الموظفون'!$B$4)*('حجز الإجازات'!$D$5:$D$104&lt;=DV$3)*(('حجز الإجازات'!$E$5:$E$104)&gt;=DV$3)*('حجز الإجازات'!$G$5:$G$104="معتمد")*ROW('حجز الإجازات'!$B$5:$B$104))=0,"",INDEX('حجز الإجازات'!$C$5:$C$104,(SUMPRODUCT(('حجز الإجازات'!$B$5:$B$104='الموظفون'!$B$4)*('حجز الإجازات'!$D$5:$D$104&lt;=DV$3)*(('حجز الإجازات'!$E$5:$E$104)&gt;=DV$3)*('حجز الإجازات'!$G$5:$G$104="معتمد")*ROW('حجز الإجازات'!$B$5:$B$104)))-5+1))</f>
        <v/>
      </c>
      <c r="DW6" s="62">
        <f>IF(SUMPRODUCT(('حجز الإجازات'!$B$5:$B$104='الموظفون'!$B$4)*('حجز الإجازات'!$D$5:$D$104&lt;=DW$3)*(('حجز الإجازات'!$E$5:$E$104)&gt;=DW$3)*('حجز الإجازات'!$G$5:$G$104="معتمد")*ROW('حجز الإجازات'!$B$5:$B$104))=0,"",INDEX('حجز الإجازات'!$C$5:$C$104,(SUMPRODUCT(('حجز الإجازات'!$B$5:$B$104='الموظفون'!$B$4)*('حجز الإجازات'!$D$5:$D$104&lt;=DW$3)*(('حجز الإجازات'!$E$5:$E$104)&gt;=DW$3)*('حجز الإجازات'!$G$5:$G$104="معتمد")*ROW('حجز الإجازات'!$B$5:$B$104)))-5+1))</f>
        <v/>
      </c>
      <c r="DX6" s="62">
        <f>IF(SUMPRODUCT(('حجز الإجازات'!$B$5:$B$104='الموظفون'!$B$4)*('حجز الإجازات'!$D$5:$D$104&lt;=DX$3)*(('حجز الإجازات'!$E$5:$E$104)&gt;=DX$3)*('حجز الإجازات'!$G$5:$G$104="معتمد")*ROW('حجز الإجازات'!$B$5:$B$104))=0,"",INDEX('حجز الإجازات'!$C$5:$C$104,(SUMPRODUCT(('حجز الإجازات'!$B$5:$B$104='الموظفون'!$B$4)*('حجز الإجازات'!$D$5:$D$104&lt;=DX$3)*(('حجز الإجازات'!$E$5:$E$104)&gt;=DX$3)*('حجز الإجازات'!$G$5:$G$104="معتمد")*ROW('حجز الإجازات'!$B$5:$B$104)))-5+1))</f>
        <v/>
      </c>
      <c r="DY6" s="62">
        <f>IF(SUMPRODUCT(('حجز الإجازات'!$B$5:$B$104='الموظفون'!$B$4)*('حجز الإجازات'!$D$5:$D$104&lt;=DY$3)*(('حجز الإجازات'!$E$5:$E$104)&gt;=DY$3)*('حجز الإجازات'!$G$5:$G$104="معتمد")*ROW('حجز الإجازات'!$B$5:$B$104))=0,"",INDEX('حجز الإجازات'!$C$5:$C$104,(SUMPRODUCT(('حجز الإجازات'!$B$5:$B$104='الموظفون'!$B$4)*('حجز الإجازات'!$D$5:$D$104&lt;=DY$3)*(('حجز الإجازات'!$E$5:$E$104)&gt;=DY$3)*('حجز الإجازات'!$G$5:$G$104="معتمد")*ROW('حجز الإجازات'!$B$5:$B$104)))-5+1))</f>
        <v/>
      </c>
      <c r="DZ6" s="62">
        <f>IF(SUMPRODUCT(('حجز الإجازات'!$B$5:$B$104='الموظفون'!$B$4)*('حجز الإجازات'!$D$5:$D$104&lt;=DZ$3)*(('حجز الإجازات'!$E$5:$E$104)&gt;=DZ$3)*('حجز الإجازات'!$G$5:$G$104="معتمد")*ROW('حجز الإجازات'!$B$5:$B$104))=0,"",INDEX('حجز الإجازات'!$C$5:$C$104,(SUMPRODUCT(('حجز الإجازات'!$B$5:$B$104='الموظفون'!$B$4)*('حجز الإجازات'!$D$5:$D$104&lt;=DZ$3)*(('حجز الإجازات'!$E$5:$E$104)&gt;=DZ$3)*('حجز الإجازات'!$G$5:$G$104="معتمد")*ROW('حجز الإجازات'!$B$5:$B$104)))-5+1))</f>
        <v/>
      </c>
      <c r="EA6" s="62">
        <f>IF(SUMPRODUCT(('حجز الإجازات'!$B$5:$B$104='الموظفون'!$B$4)*('حجز الإجازات'!$D$5:$D$104&lt;=EA$3)*(('حجز الإجازات'!$E$5:$E$104)&gt;=EA$3)*('حجز الإجازات'!$G$5:$G$104="معتمد")*ROW('حجز الإجازات'!$B$5:$B$104))=0,"",INDEX('حجز الإجازات'!$C$5:$C$104,(SUMPRODUCT(('حجز الإجازات'!$B$5:$B$104='الموظفون'!$B$4)*('حجز الإجازات'!$D$5:$D$104&lt;=EA$3)*(('حجز الإجازات'!$E$5:$E$104)&gt;=EA$3)*('حجز الإجازات'!$G$5:$G$104="معتمد")*ROW('حجز الإجازات'!$B$5:$B$104)))-5+1))</f>
        <v/>
      </c>
      <c r="EB6" s="62">
        <f>IF(SUMPRODUCT(('حجز الإجازات'!$B$5:$B$104='الموظفون'!$B$4)*('حجز الإجازات'!$D$5:$D$104&lt;=EB$3)*(('حجز الإجازات'!$E$5:$E$104)&gt;=EB$3)*('حجز الإجازات'!$G$5:$G$104="معتمد")*ROW('حجز الإجازات'!$B$5:$B$104))=0,"",INDEX('حجز الإجازات'!$C$5:$C$104,(SUMPRODUCT(('حجز الإجازات'!$B$5:$B$104='الموظفون'!$B$4)*('حجز الإجازات'!$D$5:$D$104&lt;=EB$3)*(('حجز الإجازات'!$E$5:$E$104)&gt;=EB$3)*('حجز الإجازات'!$G$5:$G$104="معتمد")*ROW('حجز الإجازات'!$B$5:$B$104)))-5+1))</f>
        <v/>
      </c>
      <c r="EC6" s="62">
        <f>IF(SUMPRODUCT(('حجز الإجازات'!$B$5:$B$104='الموظفون'!$B$4)*('حجز الإجازات'!$D$5:$D$104&lt;=EC$3)*(('حجز الإجازات'!$E$5:$E$104)&gt;=EC$3)*('حجز الإجازات'!$G$5:$G$104="معتمد")*ROW('حجز الإجازات'!$B$5:$B$104))=0,"",INDEX('حجز الإجازات'!$C$5:$C$104,(SUMPRODUCT(('حجز الإجازات'!$B$5:$B$104='الموظفون'!$B$4)*('حجز الإجازات'!$D$5:$D$104&lt;=EC$3)*(('حجز الإجازات'!$E$5:$E$104)&gt;=EC$3)*('حجز الإجازات'!$G$5:$G$104="معتمد")*ROW('حجز الإجازات'!$B$5:$B$104)))-5+1))</f>
        <v/>
      </c>
      <c r="ED6" s="62">
        <f>IF(SUMPRODUCT(('حجز الإجازات'!$B$5:$B$104='الموظفون'!$B$4)*('حجز الإجازات'!$D$5:$D$104&lt;=ED$3)*(('حجز الإجازات'!$E$5:$E$104)&gt;=ED$3)*('حجز الإجازات'!$G$5:$G$104="معتمد")*ROW('حجز الإجازات'!$B$5:$B$104))=0,"",INDEX('حجز الإجازات'!$C$5:$C$104,(SUMPRODUCT(('حجز الإجازات'!$B$5:$B$104='الموظفون'!$B$4)*('حجز الإجازات'!$D$5:$D$104&lt;=ED$3)*(('حجز الإجازات'!$E$5:$E$104)&gt;=ED$3)*('حجز الإجازات'!$G$5:$G$104="معتمد")*ROW('حجز الإجازات'!$B$5:$B$104)))-5+1))</f>
        <v/>
      </c>
      <c r="EE6" s="62">
        <f>IF(SUMPRODUCT(('حجز الإجازات'!$B$5:$B$104='الموظفون'!$B$4)*('حجز الإجازات'!$D$5:$D$104&lt;=EE$3)*(('حجز الإجازات'!$E$5:$E$104)&gt;=EE$3)*('حجز الإجازات'!$G$5:$G$104="معتمد")*ROW('حجز الإجازات'!$B$5:$B$104))=0,"",INDEX('حجز الإجازات'!$C$5:$C$104,(SUMPRODUCT(('حجز الإجازات'!$B$5:$B$104='الموظفون'!$B$4)*('حجز الإجازات'!$D$5:$D$104&lt;=EE$3)*(('حجز الإجازات'!$E$5:$E$104)&gt;=EE$3)*('حجز الإجازات'!$G$5:$G$104="معتمد")*ROW('حجز الإجازات'!$B$5:$B$104)))-5+1))</f>
        <v/>
      </c>
      <c r="EF6" s="62">
        <f>IF(SUMPRODUCT(('حجز الإجازات'!$B$5:$B$104='الموظفون'!$B$4)*('حجز الإجازات'!$D$5:$D$104&lt;=EF$3)*(('حجز الإجازات'!$E$5:$E$104)&gt;=EF$3)*('حجز الإجازات'!$G$5:$G$104="معتمد")*ROW('حجز الإجازات'!$B$5:$B$104))=0,"",INDEX('حجز الإجازات'!$C$5:$C$104,(SUMPRODUCT(('حجز الإجازات'!$B$5:$B$104='الموظفون'!$B$4)*('حجز الإجازات'!$D$5:$D$104&lt;=EF$3)*(('حجز الإجازات'!$E$5:$E$104)&gt;=EF$3)*('حجز الإجازات'!$G$5:$G$104="معتمد")*ROW('حجز الإجازات'!$B$5:$B$104)))-5+1))</f>
        <v/>
      </c>
      <c r="EG6" s="62">
        <f>IF(SUMPRODUCT(('حجز الإجازات'!$B$5:$B$104='الموظفون'!$B$4)*('حجز الإجازات'!$D$5:$D$104&lt;=EG$3)*(('حجز الإجازات'!$E$5:$E$104)&gt;=EG$3)*('حجز الإجازات'!$G$5:$G$104="معتمد")*ROW('حجز الإجازات'!$B$5:$B$104))=0,"",INDEX('حجز الإجازات'!$C$5:$C$104,(SUMPRODUCT(('حجز الإجازات'!$B$5:$B$104='الموظفون'!$B$4)*('حجز الإجازات'!$D$5:$D$104&lt;=EG$3)*(('حجز الإجازات'!$E$5:$E$104)&gt;=EG$3)*('حجز الإجازات'!$G$5:$G$104="معتمد")*ROW('حجز الإجازات'!$B$5:$B$104)))-5+1))</f>
        <v/>
      </c>
      <c r="EH6" s="62">
        <f>IF(SUMPRODUCT(('حجز الإجازات'!$B$5:$B$104='الموظفون'!$B$4)*('حجز الإجازات'!$D$5:$D$104&lt;=EH$3)*(('حجز الإجازات'!$E$5:$E$104)&gt;=EH$3)*('حجز الإجازات'!$G$5:$G$104="معتمد")*ROW('حجز الإجازات'!$B$5:$B$104))=0,"",INDEX('حجز الإجازات'!$C$5:$C$104,(SUMPRODUCT(('حجز الإجازات'!$B$5:$B$104='الموظفون'!$B$4)*('حجز الإجازات'!$D$5:$D$104&lt;=EH$3)*(('حجز الإجازات'!$E$5:$E$104)&gt;=EH$3)*('حجز الإجازات'!$G$5:$G$104="معتمد")*ROW('حجز الإجازات'!$B$5:$B$104)))-5+1))</f>
        <v/>
      </c>
      <c r="EI6" s="62">
        <f>IF(SUMPRODUCT(('حجز الإجازات'!$B$5:$B$104='الموظفون'!$B$4)*('حجز الإجازات'!$D$5:$D$104&lt;=EI$3)*(('حجز الإجازات'!$E$5:$E$104)&gt;=EI$3)*('حجز الإجازات'!$G$5:$G$104="معتمد")*ROW('حجز الإجازات'!$B$5:$B$104))=0,"",INDEX('حجز الإجازات'!$C$5:$C$104,(SUMPRODUCT(('حجز الإجازات'!$B$5:$B$104='الموظفون'!$B$4)*('حجز الإجازات'!$D$5:$D$104&lt;=EI$3)*(('حجز الإجازات'!$E$5:$E$104)&gt;=EI$3)*('حجز الإجازات'!$G$5:$G$104="معتمد")*ROW('حجز الإجازات'!$B$5:$B$104)))-5+1))</f>
        <v/>
      </c>
      <c r="EJ6" s="62">
        <f>IF(SUMPRODUCT(('حجز الإجازات'!$B$5:$B$104='الموظفون'!$B$4)*('حجز الإجازات'!$D$5:$D$104&lt;=EJ$3)*(('حجز الإجازات'!$E$5:$E$104)&gt;=EJ$3)*('حجز الإجازات'!$G$5:$G$104="معتمد")*ROW('حجز الإجازات'!$B$5:$B$104))=0,"",INDEX('حجز الإجازات'!$C$5:$C$104,(SUMPRODUCT(('حجز الإجازات'!$B$5:$B$104='الموظفون'!$B$4)*('حجز الإجازات'!$D$5:$D$104&lt;=EJ$3)*(('حجز الإجازات'!$E$5:$E$104)&gt;=EJ$3)*('حجز الإجازات'!$G$5:$G$104="معتمد")*ROW('حجز الإجازات'!$B$5:$B$104)))-5+1))</f>
        <v/>
      </c>
      <c r="EK6" s="62">
        <f>IF(SUMPRODUCT(('حجز الإجازات'!$B$5:$B$104='الموظفون'!$B$4)*('حجز الإجازات'!$D$5:$D$104&lt;=EK$3)*(('حجز الإجازات'!$E$5:$E$104)&gt;=EK$3)*('حجز الإجازات'!$G$5:$G$104="معتمد")*ROW('حجز الإجازات'!$B$5:$B$104))=0,"",INDEX('حجز الإجازات'!$C$5:$C$104,(SUMPRODUCT(('حجز الإجازات'!$B$5:$B$104='الموظفون'!$B$4)*('حجز الإجازات'!$D$5:$D$104&lt;=EK$3)*(('حجز الإجازات'!$E$5:$E$104)&gt;=EK$3)*('حجز الإجازات'!$G$5:$G$104="معتمد")*ROW('حجز الإجازات'!$B$5:$B$104)))-5+1))</f>
        <v/>
      </c>
      <c r="EL6" s="62">
        <f>IF(SUMPRODUCT(('حجز الإجازات'!$B$5:$B$104='الموظفون'!$B$4)*('حجز الإجازات'!$D$5:$D$104&lt;=EL$3)*(('حجز الإجازات'!$E$5:$E$104)&gt;=EL$3)*('حجز الإجازات'!$G$5:$G$104="معتمد")*ROW('حجز الإجازات'!$B$5:$B$104))=0,"",INDEX('حجز الإجازات'!$C$5:$C$104,(SUMPRODUCT(('حجز الإجازات'!$B$5:$B$104='الموظفون'!$B$4)*('حجز الإجازات'!$D$5:$D$104&lt;=EL$3)*(('حجز الإجازات'!$E$5:$E$104)&gt;=EL$3)*('حجز الإجازات'!$G$5:$G$104="معتمد")*ROW('حجز الإجازات'!$B$5:$B$104)))-5+1))</f>
        <v/>
      </c>
      <c r="EM6" s="62">
        <f>IF(SUMPRODUCT(('حجز الإجازات'!$B$5:$B$104='الموظفون'!$B$4)*('حجز الإجازات'!$D$5:$D$104&lt;=EM$3)*(('حجز الإجازات'!$E$5:$E$104)&gt;=EM$3)*('حجز الإجازات'!$G$5:$G$104="معتمد")*ROW('حجز الإجازات'!$B$5:$B$104))=0,"",INDEX('حجز الإجازات'!$C$5:$C$104,(SUMPRODUCT(('حجز الإجازات'!$B$5:$B$104='الموظفون'!$B$4)*('حجز الإجازات'!$D$5:$D$104&lt;=EM$3)*(('حجز الإجازات'!$E$5:$E$104)&gt;=EM$3)*('حجز الإجازات'!$G$5:$G$104="معتمد")*ROW('حجز الإجازات'!$B$5:$B$104)))-5+1))</f>
        <v/>
      </c>
      <c r="EN6" s="62">
        <f>IF(SUMPRODUCT(('حجز الإجازات'!$B$5:$B$104='الموظفون'!$B$4)*('حجز الإجازات'!$D$5:$D$104&lt;=EN$3)*(('حجز الإجازات'!$E$5:$E$104)&gt;=EN$3)*('حجز الإجازات'!$G$5:$G$104="معتمد")*ROW('حجز الإجازات'!$B$5:$B$104))=0,"",INDEX('حجز الإجازات'!$C$5:$C$104,(SUMPRODUCT(('حجز الإجازات'!$B$5:$B$104='الموظفون'!$B$4)*('حجز الإجازات'!$D$5:$D$104&lt;=EN$3)*(('حجز الإجازات'!$E$5:$E$104)&gt;=EN$3)*('حجز الإجازات'!$G$5:$G$104="معتمد")*ROW('حجز الإجازات'!$B$5:$B$104)))-5+1))</f>
        <v/>
      </c>
      <c r="EO6" s="62">
        <f>IF(SUMPRODUCT(('حجز الإجازات'!$B$5:$B$104='الموظفون'!$B$4)*('حجز الإجازات'!$D$5:$D$104&lt;=EO$3)*(('حجز الإجازات'!$E$5:$E$104)&gt;=EO$3)*('حجز الإجازات'!$G$5:$G$104="معتمد")*ROW('حجز الإجازات'!$B$5:$B$104))=0,"",INDEX('حجز الإجازات'!$C$5:$C$104,(SUMPRODUCT(('حجز الإجازات'!$B$5:$B$104='الموظفون'!$B$4)*('حجز الإجازات'!$D$5:$D$104&lt;=EO$3)*(('حجز الإجازات'!$E$5:$E$104)&gt;=EO$3)*('حجز الإجازات'!$G$5:$G$104="معتمد")*ROW('حجز الإجازات'!$B$5:$B$104)))-5+1))</f>
        <v/>
      </c>
      <c r="EP6" s="62">
        <f>IF(SUMPRODUCT(('حجز الإجازات'!$B$5:$B$104='الموظفون'!$B$4)*('حجز الإجازات'!$D$5:$D$104&lt;=EP$3)*(('حجز الإجازات'!$E$5:$E$104)&gt;=EP$3)*('حجز الإجازات'!$G$5:$G$104="معتمد")*ROW('حجز الإجازات'!$B$5:$B$104))=0,"",INDEX('حجز الإجازات'!$C$5:$C$104,(SUMPRODUCT(('حجز الإجازات'!$B$5:$B$104='الموظفون'!$B$4)*('حجز الإجازات'!$D$5:$D$104&lt;=EP$3)*(('حجز الإجازات'!$E$5:$E$104)&gt;=EP$3)*('حجز الإجازات'!$G$5:$G$104="معتمد")*ROW('حجز الإجازات'!$B$5:$B$104)))-5+1))</f>
        <v/>
      </c>
      <c r="EQ6" s="62">
        <f>IF(SUMPRODUCT(('حجز الإجازات'!$B$5:$B$104='الموظفون'!$B$4)*('حجز الإجازات'!$D$5:$D$104&lt;=EQ$3)*(('حجز الإجازات'!$E$5:$E$104)&gt;=EQ$3)*('حجز الإجازات'!$G$5:$G$104="معتمد")*ROW('حجز الإجازات'!$B$5:$B$104))=0,"",INDEX('حجز الإجازات'!$C$5:$C$104,(SUMPRODUCT(('حجز الإجازات'!$B$5:$B$104='الموظفون'!$B$4)*('حجز الإجازات'!$D$5:$D$104&lt;=EQ$3)*(('حجز الإجازات'!$E$5:$E$104)&gt;=EQ$3)*('حجز الإجازات'!$G$5:$G$104="معتمد")*ROW('حجز الإجازات'!$B$5:$B$104)))-5+1))</f>
        <v/>
      </c>
      <c r="ER6" s="62">
        <f>IF(SUMPRODUCT(('حجز الإجازات'!$B$5:$B$104='الموظفون'!$B$4)*('حجز الإجازات'!$D$5:$D$104&lt;=ER$3)*(('حجز الإجازات'!$E$5:$E$104)&gt;=ER$3)*('حجز الإجازات'!$G$5:$G$104="معتمد")*ROW('حجز الإجازات'!$B$5:$B$104))=0,"",INDEX('حجز الإجازات'!$C$5:$C$104,(SUMPRODUCT(('حجز الإجازات'!$B$5:$B$104='الموظفون'!$B$4)*('حجز الإجازات'!$D$5:$D$104&lt;=ER$3)*(('حجز الإجازات'!$E$5:$E$104)&gt;=ER$3)*('حجز الإجازات'!$G$5:$G$104="معتمد")*ROW('حجز الإجازات'!$B$5:$B$104)))-5+1))</f>
        <v/>
      </c>
      <c r="ES6" s="62">
        <f>IF(SUMPRODUCT(('حجز الإجازات'!$B$5:$B$104='الموظفون'!$B$4)*('حجز الإجازات'!$D$5:$D$104&lt;=ES$3)*(('حجز الإجازات'!$E$5:$E$104)&gt;=ES$3)*('حجز الإجازات'!$G$5:$G$104="معتمد")*ROW('حجز الإجازات'!$B$5:$B$104))=0,"",INDEX('حجز الإجازات'!$C$5:$C$104,(SUMPRODUCT(('حجز الإجازات'!$B$5:$B$104='الموظفون'!$B$4)*('حجز الإجازات'!$D$5:$D$104&lt;=ES$3)*(('حجز الإجازات'!$E$5:$E$104)&gt;=ES$3)*('حجز الإجازات'!$G$5:$G$104="معتمد")*ROW('حجز الإجازات'!$B$5:$B$104)))-5+1))</f>
        <v/>
      </c>
      <c r="ET6" s="62">
        <f>IF(SUMPRODUCT(('حجز الإجازات'!$B$5:$B$104='الموظفون'!$B$4)*('حجز الإجازات'!$D$5:$D$104&lt;=ET$3)*(('حجز الإجازات'!$E$5:$E$104)&gt;=ET$3)*('حجز الإجازات'!$G$5:$G$104="معتمد")*ROW('حجز الإجازات'!$B$5:$B$104))=0,"",INDEX('حجز الإجازات'!$C$5:$C$104,(SUMPRODUCT(('حجز الإجازات'!$B$5:$B$104='الموظفون'!$B$4)*('حجز الإجازات'!$D$5:$D$104&lt;=ET$3)*(('حجز الإجازات'!$E$5:$E$104)&gt;=ET$3)*('حجز الإجازات'!$G$5:$G$104="معتمد")*ROW('حجز الإجازات'!$B$5:$B$104)))-5+1))</f>
        <v/>
      </c>
      <c r="EU6" s="62">
        <f>IF(SUMPRODUCT(('حجز الإجازات'!$B$5:$B$104='الموظفون'!$B$4)*('حجز الإجازات'!$D$5:$D$104&lt;=EU$3)*(('حجز الإجازات'!$E$5:$E$104)&gt;=EU$3)*('حجز الإجازات'!$G$5:$G$104="معتمد")*ROW('حجز الإجازات'!$B$5:$B$104))=0,"",INDEX('حجز الإجازات'!$C$5:$C$104,(SUMPRODUCT(('حجز الإجازات'!$B$5:$B$104='الموظفون'!$B$4)*('حجز الإجازات'!$D$5:$D$104&lt;=EU$3)*(('حجز الإجازات'!$E$5:$E$104)&gt;=EU$3)*('حجز الإجازات'!$G$5:$G$104="معتمد")*ROW('حجز الإجازات'!$B$5:$B$104)))-5+1))</f>
        <v/>
      </c>
      <c r="EV6" s="62">
        <f>IF(SUMPRODUCT(('حجز الإجازات'!$B$5:$B$104='الموظفون'!$B$4)*('حجز الإجازات'!$D$5:$D$104&lt;=EV$3)*(('حجز الإجازات'!$E$5:$E$104)&gt;=EV$3)*('حجز الإجازات'!$G$5:$G$104="معتمد")*ROW('حجز الإجازات'!$B$5:$B$104))=0,"",INDEX('حجز الإجازات'!$C$5:$C$104,(SUMPRODUCT(('حجز الإجازات'!$B$5:$B$104='الموظفون'!$B$4)*('حجز الإجازات'!$D$5:$D$104&lt;=EV$3)*(('حجز الإجازات'!$E$5:$E$104)&gt;=EV$3)*('حجز الإجازات'!$G$5:$G$104="معتمد")*ROW('حجز الإجازات'!$B$5:$B$104)))-5+1))</f>
        <v/>
      </c>
      <c r="EW6" s="62">
        <f>IF(SUMPRODUCT(('حجز الإجازات'!$B$5:$B$104='الموظفون'!$B$4)*('حجز الإجازات'!$D$5:$D$104&lt;=EW$3)*(('حجز الإجازات'!$E$5:$E$104)&gt;=EW$3)*('حجز الإجازات'!$G$5:$G$104="معتمد")*ROW('حجز الإجازات'!$B$5:$B$104))=0,"",INDEX('حجز الإجازات'!$C$5:$C$104,(SUMPRODUCT(('حجز الإجازات'!$B$5:$B$104='الموظفون'!$B$4)*('حجز الإجازات'!$D$5:$D$104&lt;=EW$3)*(('حجز الإجازات'!$E$5:$E$104)&gt;=EW$3)*('حجز الإجازات'!$G$5:$G$104="معتمد")*ROW('حجز الإجازات'!$B$5:$B$104)))-5+1))</f>
        <v/>
      </c>
      <c r="EX6" s="62">
        <f>IF(SUMPRODUCT(('حجز الإجازات'!$B$5:$B$104='الموظفون'!$B$4)*('حجز الإجازات'!$D$5:$D$104&lt;=EX$3)*(('حجز الإجازات'!$E$5:$E$104)&gt;=EX$3)*('حجز الإجازات'!$G$5:$G$104="معتمد")*ROW('حجز الإجازات'!$B$5:$B$104))=0,"",INDEX('حجز الإجازات'!$C$5:$C$104,(SUMPRODUCT(('حجز الإجازات'!$B$5:$B$104='الموظفون'!$B$4)*('حجز الإجازات'!$D$5:$D$104&lt;=EX$3)*(('حجز الإجازات'!$E$5:$E$104)&gt;=EX$3)*('حجز الإجازات'!$G$5:$G$104="معتمد")*ROW('حجز الإجازات'!$B$5:$B$104)))-5+1))</f>
        <v/>
      </c>
      <c r="EY6" s="62">
        <f>IF(SUMPRODUCT(('حجز الإجازات'!$B$5:$B$104='الموظفون'!$B$4)*('حجز الإجازات'!$D$5:$D$104&lt;=EY$3)*(('حجز الإجازات'!$E$5:$E$104)&gt;=EY$3)*('حجز الإجازات'!$G$5:$G$104="معتمد")*ROW('حجز الإجازات'!$B$5:$B$104))=0,"",INDEX('حجز الإجازات'!$C$5:$C$104,(SUMPRODUCT(('حجز الإجازات'!$B$5:$B$104='الموظفون'!$B$4)*('حجز الإجازات'!$D$5:$D$104&lt;=EY$3)*(('حجز الإجازات'!$E$5:$E$104)&gt;=EY$3)*('حجز الإجازات'!$G$5:$G$104="معتمد")*ROW('حجز الإجازات'!$B$5:$B$104)))-5+1))</f>
        <v/>
      </c>
      <c r="EZ6" s="62">
        <f>IF(SUMPRODUCT(('حجز الإجازات'!$B$5:$B$104='الموظفون'!$B$4)*('حجز الإجازات'!$D$5:$D$104&lt;=EZ$3)*(('حجز الإجازات'!$E$5:$E$104)&gt;=EZ$3)*('حجز الإجازات'!$G$5:$G$104="معتمد")*ROW('حجز الإجازات'!$B$5:$B$104))=0,"",INDEX('حجز الإجازات'!$C$5:$C$104,(SUMPRODUCT(('حجز الإجازات'!$B$5:$B$104='الموظفون'!$B$4)*('حجز الإجازات'!$D$5:$D$104&lt;=EZ$3)*(('حجز الإجازات'!$E$5:$E$104)&gt;=EZ$3)*('حجز الإجازات'!$G$5:$G$104="معتمد")*ROW('حجز الإجازات'!$B$5:$B$104)))-5+1))</f>
        <v/>
      </c>
      <c r="FA6" s="62">
        <f>IF(SUMPRODUCT(('حجز الإجازات'!$B$5:$B$104='الموظفون'!$B$4)*('حجز الإجازات'!$D$5:$D$104&lt;=FA$3)*(('حجز الإجازات'!$E$5:$E$104)&gt;=FA$3)*('حجز الإجازات'!$G$5:$G$104="معتمد")*ROW('حجز الإجازات'!$B$5:$B$104))=0,"",INDEX('حجز الإجازات'!$C$5:$C$104,(SUMPRODUCT(('حجز الإجازات'!$B$5:$B$104='الموظفون'!$B$4)*('حجز الإجازات'!$D$5:$D$104&lt;=FA$3)*(('حجز الإجازات'!$E$5:$E$104)&gt;=FA$3)*('حجز الإجازات'!$G$5:$G$104="معتمد")*ROW('حجز الإجازات'!$B$5:$B$104)))-5+1))</f>
        <v/>
      </c>
      <c r="FB6" s="62">
        <f>IF(SUMPRODUCT(('حجز الإجازات'!$B$5:$B$104='الموظفون'!$B$4)*('حجز الإجازات'!$D$5:$D$104&lt;=FB$3)*(('حجز الإجازات'!$E$5:$E$104)&gt;=FB$3)*('حجز الإجازات'!$G$5:$G$104="معتمد")*ROW('حجز الإجازات'!$B$5:$B$104))=0,"",INDEX('حجز الإجازات'!$C$5:$C$104,(SUMPRODUCT(('حجز الإجازات'!$B$5:$B$104='الموظفون'!$B$4)*('حجز الإجازات'!$D$5:$D$104&lt;=FB$3)*(('حجز الإجازات'!$E$5:$E$104)&gt;=FB$3)*('حجز الإجازات'!$G$5:$G$104="معتمد")*ROW('حجز الإجازات'!$B$5:$B$104)))-5+1))</f>
        <v/>
      </c>
      <c r="FC6" s="62">
        <f>IF(SUMPRODUCT(('حجز الإجازات'!$B$5:$B$104='الموظفون'!$B$4)*('حجز الإجازات'!$D$5:$D$104&lt;=FC$3)*(('حجز الإجازات'!$E$5:$E$104)&gt;=FC$3)*('حجز الإجازات'!$G$5:$G$104="معتمد")*ROW('حجز الإجازات'!$B$5:$B$104))=0,"",INDEX('حجز الإجازات'!$C$5:$C$104,(SUMPRODUCT(('حجز الإجازات'!$B$5:$B$104='الموظفون'!$B$4)*('حجز الإجازات'!$D$5:$D$104&lt;=FC$3)*(('حجز الإجازات'!$E$5:$E$104)&gt;=FC$3)*('حجز الإجازات'!$G$5:$G$104="معتمد")*ROW('حجز الإجازات'!$B$5:$B$104)))-5+1))</f>
        <v/>
      </c>
      <c r="FD6" s="62">
        <f>IF(SUMPRODUCT(('حجز الإجازات'!$B$5:$B$104='الموظفون'!$B$4)*('حجز الإجازات'!$D$5:$D$104&lt;=FD$3)*(('حجز الإجازات'!$E$5:$E$104)&gt;=FD$3)*('حجز الإجازات'!$G$5:$G$104="معتمد")*ROW('حجز الإجازات'!$B$5:$B$104))=0,"",INDEX('حجز الإجازات'!$C$5:$C$104,(SUMPRODUCT(('حجز الإجازات'!$B$5:$B$104='الموظفون'!$B$4)*('حجز الإجازات'!$D$5:$D$104&lt;=FD$3)*(('حجز الإجازات'!$E$5:$E$104)&gt;=FD$3)*('حجز الإجازات'!$G$5:$G$104="معتمد")*ROW('حجز الإجازات'!$B$5:$B$104)))-5+1))</f>
        <v/>
      </c>
      <c r="FE6" s="62">
        <f>IF(SUMPRODUCT(('حجز الإجازات'!$B$5:$B$104='الموظفون'!$B$4)*('حجز الإجازات'!$D$5:$D$104&lt;=FE$3)*(('حجز الإجازات'!$E$5:$E$104)&gt;=FE$3)*('حجز الإجازات'!$G$5:$G$104="معتمد")*ROW('حجز الإجازات'!$B$5:$B$104))=0,"",INDEX('حجز الإجازات'!$C$5:$C$104,(SUMPRODUCT(('حجز الإجازات'!$B$5:$B$104='الموظفون'!$B$4)*('حجز الإجازات'!$D$5:$D$104&lt;=FE$3)*(('حجز الإجازات'!$E$5:$E$104)&gt;=FE$3)*('حجز الإجازات'!$G$5:$G$104="معتمد")*ROW('حجز الإجازات'!$B$5:$B$104)))-5+1))</f>
        <v/>
      </c>
      <c r="FF6" s="62">
        <f>IF(SUMPRODUCT(('حجز الإجازات'!$B$5:$B$104='الموظفون'!$B$4)*('حجز الإجازات'!$D$5:$D$104&lt;=FF$3)*(('حجز الإجازات'!$E$5:$E$104)&gt;=FF$3)*('حجز الإجازات'!$G$5:$G$104="معتمد")*ROW('حجز الإجازات'!$B$5:$B$104))=0,"",INDEX('حجز الإجازات'!$C$5:$C$104,(SUMPRODUCT(('حجز الإجازات'!$B$5:$B$104='الموظفون'!$B$4)*('حجز الإجازات'!$D$5:$D$104&lt;=FF$3)*(('حجز الإجازات'!$E$5:$E$104)&gt;=FF$3)*('حجز الإجازات'!$G$5:$G$104="معتمد")*ROW('حجز الإجازات'!$B$5:$B$104)))-5+1))</f>
        <v/>
      </c>
      <c r="FG6" s="62">
        <f>IF(SUMPRODUCT(('حجز الإجازات'!$B$5:$B$104='الموظفون'!$B$4)*('حجز الإجازات'!$D$5:$D$104&lt;=FG$3)*(('حجز الإجازات'!$E$5:$E$104)&gt;=FG$3)*('حجز الإجازات'!$G$5:$G$104="معتمد")*ROW('حجز الإجازات'!$B$5:$B$104))=0,"",INDEX('حجز الإجازات'!$C$5:$C$104,(SUMPRODUCT(('حجز الإجازات'!$B$5:$B$104='الموظفون'!$B$4)*('حجز الإجازات'!$D$5:$D$104&lt;=FG$3)*(('حجز الإجازات'!$E$5:$E$104)&gt;=FG$3)*('حجز الإجازات'!$G$5:$G$104="معتمد")*ROW('حجز الإجازات'!$B$5:$B$104)))-5+1))</f>
        <v/>
      </c>
      <c r="FH6" s="62">
        <f>IF(SUMPRODUCT(('حجز الإجازات'!$B$5:$B$104='الموظفون'!$B$4)*('حجز الإجازات'!$D$5:$D$104&lt;=FH$3)*(('حجز الإجازات'!$E$5:$E$104)&gt;=FH$3)*('حجز الإجازات'!$G$5:$G$104="معتمد")*ROW('حجز الإجازات'!$B$5:$B$104))=0,"",INDEX('حجز الإجازات'!$C$5:$C$104,(SUMPRODUCT(('حجز الإجازات'!$B$5:$B$104='الموظفون'!$B$4)*('حجز الإجازات'!$D$5:$D$104&lt;=FH$3)*(('حجز الإجازات'!$E$5:$E$104)&gt;=FH$3)*('حجز الإجازات'!$G$5:$G$104="معتمد")*ROW('حجز الإجازات'!$B$5:$B$104)))-5+1))</f>
        <v/>
      </c>
      <c r="FI6" s="62">
        <f>IF(SUMPRODUCT(('حجز الإجازات'!$B$5:$B$104='الموظفون'!$B$4)*('حجز الإجازات'!$D$5:$D$104&lt;=FI$3)*(('حجز الإجازات'!$E$5:$E$104)&gt;=FI$3)*('حجز الإجازات'!$G$5:$G$104="معتمد")*ROW('حجز الإجازات'!$B$5:$B$104))=0,"",INDEX('حجز الإجازات'!$C$5:$C$104,(SUMPRODUCT(('حجز الإجازات'!$B$5:$B$104='الموظفون'!$B$4)*('حجز الإجازات'!$D$5:$D$104&lt;=FI$3)*(('حجز الإجازات'!$E$5:$E$104)&gt;=FI$3)*('حجز الإجازات'!$G$5:$G$104="معتمد")*ROW('حجز الإجازات'!$B$5:$B$104)))-5+1))</f>
        <v/>
      </c>
      <c r="FJ6" s="62">
        <f>IF(SUMPRODUCT(('حجز الإجازات'!$B$5:$B$104='الموظفون'!$B$4)*('حجز الإجازات'!$D$5:$D$104&lt;=FJ$3)*(('حجز الإجازات'!$E$5:$E$104)&gt;=FJ$3)*('حجز الإجازات'!$G$5:$G$104="معتمد")*ROW('حجز الإجازات'!$B$5:$B$104))=0,"",INDEX('حجز الإجازات'!$C$5:$C$104,(SUMPRODUCT(('حجز الإجازات'!$B$5:$B$104='الموظفون'!$B$4)*('حجز الإجازات'!$D$5:$D$104&lt;=FJ$3)*(('حجز الإجازات'!$E$5:$E$104)&gt;=FJ$3)*('حجز الإجازات'!$G$5:$G$104="معتمد")*ROW('حجز الإجازات'!$B$5:$B$104)))-5+1))</f>
        <v/>
      </c>
      <c r="FK6" s="62">
        <f>IF(SUMPRODUCT(('حجز الإجازات'!$B$5:$B$104='الموظفون'!$B$4)*('حجز الإجازات'!$D$5:$D$104&lt;=FK$3)*(('حجز الإجازات'!$E$5:$E$104)&gt;=FK$3)*('حجز الإجازات'!$G$5:$G$104="معتمد")*ROW('حجز الإجازات'!$B$5:$B$104))=0,"",INDEX('حجز الإجازات'!$C$5:$C$104,(SUMPRODUCT(('حجز الإجازات'!$B$5:$B$104='الموظفون'!$B$4)*('حجز الإجازات'!$D$5:$D$104&lt;=FK$3)*(('حجز الإجازات'!$E$5:$E$104)&gt;=FK$3)*('حجز الإجازات'!$G$5:$G$104="معتمد")*ROW('حجز الإجازات'!$B$5:$B$104)))-5+1))</f>
        <v/>
      </c>
      <c r="FL6" s="62">
        <f>IF(SUMPRODUCT(('حجز الإجازات'!$B$5:$B$104='الموظفون'!$B$4)*('حجز الإجازات'!$D$5:$D$104&lt;=FL$3)*(('حجز الإجازات'!$E$5:$E$104)&gt;=FL$3)*('حجز الإجازات'!$G$5:$G$104="معتمد")*ROW('حجز الإجازات'!$B$5:$B$104))=0,"",INDEX('حجز الإجازات'!$C$5:$C$104,(SUMPRODUCT(('حجز الإجازات'!$B$5:$B$104='الموظفون'!$B$4)*('حجز الإجازات'!$D$5:$D$104&lt;=FL$3)*(('حجز الإجازات'!$E$5:$E$104)&gt;=FL$3)*('حجز الإجازات'!$G$5:$G$104="معتمد")*ROW('حجز الإجازات'!$B$5:$B$104)))-5+1))</f>
        <v/>
      </c>
      <c r="FM6" s="62">
        <f>IF(SUMPRODUCT(('حجز الإجازات'!$B$5:$B$104='الموظفون'!$B$4)*('حجز الإجازات'!$D$5:$D$104&lt;=FM$3)*(('حجز الإجازات'!$E$5:$E$104)&gt;=FM$3)*('حجز الإجازات'!$G$5:$G$104="معتمد")*ROW('حجز الإجازات'!$B$5:$B$104))=0,"",INDEX('حجز الإجازات'!$C$5:$C$104,(SUMPRODUCT(('حجز الإجازات'!$B$5:$B$104='الموظفون'!$B$4)*('حجز الإجازات'!$D$5:$D$104&lt;=FM$3)*(('حجز الإجازات'!$E$5:$E$104)&gt;=FM$3)*('حجز الإجازات'!$G$5:$G$104="معتمد")*ROW('حجز الإجازات'!$B$5:$B$104)))-5+1))</f>
        <v/>
      </c>
      <c r="FN6" s="62">
        <f>IF(SUMPRODUCT(('حجز الإجازات'!$B$5:$B$104='الموظفون'!$B$4)*('حجز الإجازات'!$D$5:$D$104&lt;=FN$3)*(('حجز الإجازات'!$E$5:$E$104)&gt;=FN$3)*('حجز الإجازات'!$G$5:$G$104="معتمد")*ROW('حجز الإجازات'!$B$5:$B$104))=0,"",INDEX('حجز الإجازات'!$C$5:$C$104,(SUMPRODUCT(('حجز الإجازات'!$B$5:$B$104='الموظفون'!$B$4)*('حجز الإجازات'!$D$5:$D$104&lt;=FN$3)*(('حجز الإجازات'!$E$5:$E$104)&gt;=FN$3)*('حجز الإجازات'!$G$5:$G$104="معتمد")*ROW('حجز الإجازات'!$B$5:$B$104)))-5+1))</f>
        <v/>
      </c>
      <c r="FO6" s="62">
        <f>IF(SUMPRODUCT(('حجز الإجازات'!$B$5:$B$104='الموظفون'!$B$4)*('حجز الإجازات'!$D$5:$D$104&lt;=FO$3)*(('حجز الإجازات'!$E$5:$E$104)&gt;=FO$3)*('حجز الإجازات'!$G$5:$G$104="معتمد")*ROW('حجز الإجازات'!$B$5:$B$104))=0,"",INDEX('حجز الإجازات'!$C$5:$C$104,(SUMPRODUCT(('حجز الإجازات'!$B$5:$B$104='الموظفون'!$B$4)*('حجز الإجازات'!$D$5:$D$104&lt;=FO$3)*(('حجز الإجازات'!$E$5:$E$104)&gt;=FO$3)*('حجز الإجازات'!$G$5:$G$104="معتمد")*ROW('حجز الإجازات'!$B$5:$B$104)))-5+1))</f>
        <v/>
      </c>
      <c r="FP6" s="62">
        <f>IF(SUMPRODUCT(('حجز الإجازات'!$B$5:$B$104='الموظفون'!$B$4)*('حجز الإجازات'!$D$5:$D$104&lt;=FP$3)*(('حجز الإجازات'!$E$5:$E$104)&gt;=FP$3)*('حجز الإجازات'!$G$5:$G$104="معتمد")*ROW('حجز الإجازات'!$B$5:$B$104))=0,"",INDEX('حجز الإجازات'!$C$5:$C$104,(SUMPRODUCT(('حجز الإجازات'!$B$5:$B$104='الموظفون'!$B$4)*('حجز الإجازات'!$D$5:$D$104&lt;=FP$3)*(('حجز الإجازات'!$E$5:$E$104)&gt;=FP$3)*('حجز الإجازات'!$G$5:$G$104="معتمد")*ROW('حجز الإجازات'!$B$5:$B$104)))-5+1))</f>
        <v/>
      </c>
      <c r="FQ6" s="62">
        <f>IF(SUMPRODUCT(('حجز الإجازات'!$B$5:$B$104='الموظفون'!$B$4)*('حجز الإجازات'!$D$5:$D$104&lt;=FQ$3)*(('حجز الإجازات'!$E$5:$E$104)&gt;=FQ$3)*('حجز الإجازات'!$G$5:$G$104="معتمد")*ROW('حجز الإجازات'!$B$5:$B$104))=0,"",INDEX('حجز الإجازات'!$C$5:$C$104,(SUMPRODUCT(('حجز الإجازات'!$B$5:$B$104='الموظفون'!$B$4)*('حجز الإجازات'!$D$5:$D$104&lt;=FQ$3)*(('حجز الإجازات'!$E$5:$E$104)&gt;=FQ$3)*('حجز الإجازات'!$G$5:$G$104="معتمد")*ROW('حجز الإجازات'!$B$5:$B$104)))-5+1))</f>
        <v/>
      </c>
      <c r="FR6" s="62">
        <f>IF(SUMPRODUCT(('حجز الإجازات'!$B$5:$B$104='الموظفون'!$B$4)*('حجز الإجازات'!$D$5:$D$104&lt;=FR$3)*(('حجز الإجازات'!$E$5:$E$104)&gt;=FR$3)*('حجز الإجازات'!$G$5:$G$104="معتمد")*ROW('حجز الإجازات'!$B$5:$B$104))=0,"",INDEX('حجز الإجازات'!$C$5:$C$104,(SUMPRODUCT(('حجز الإجازات'!$B$5:$B$104='الموظفون'!$B$4)*('حجز الإجازات'!$D$5:$D$104&lt;=FR$3)*(('حجز الإجازات'!$E$5:$E$104)&gt;=FR$3)*('حجز الإجازات'!$G$5:$G$104="معتمد")*ROW('حجز الإجازات'!$B$5:$B$104)))-5+1))</f>
        <v/>
      </c>
      <c r="FS6" s="62">
        <f>IF(SUMPRODUCT(('حجز الإجازات'!$B$5:$B$104='الموظفون'!$B$4)*('حجز الإجازات'!$D$5:$D$104&lt;=FS$3)*(('حجز الإجازات'!$E$5:$E$104)&gt;=FS$3)*('حجز الإجازات'!$G$5:$G$104="معتمد")*ROW('حجز الإجازات'!$B$5:$B$104))=0,"",INDEX('حجز الإجازات'!$C$5:$C$104,(SUMPRODUCT(('حجز الإجازات'!$B$5:$B$104='الموظفون'!$B$4)*('حجز الإجازات'!$D$5:$D$104&lt;=FS$3)*(('حجز الإجازات'!$E$5:$E$104)&gt;=FS$3)*('حجز الإجازات'!$G$5:$G$104="معتمد")*ROW('حجز الإجازات'!$B$5:$B$104)))-5+1))</f>
        <v/>
      </c>
      <c r="FT6" s="62">
        <f>IF(SUMPRODUCT(('حجز الإجازات'!$B$5:$B$104='الموظفون'!$B$4)*('حجز الإجازات'!$D$5:$D$104&lt;=FT$3)*(('حجز الإجازات'!$E$5:$E$104)&gt;=FT$3)*('حجز الإجازات'!$G$5:$G$104="معتمد")*ROW('حجز الإجازات'!$B$5:$B$104))=0,"",INDEX('حجز الإجازات'!$C$5:$C$104,(SUMPRODUCT(('حجز الإجازات'!$B$5:$B$104='الموظفون'!$B$4)*('حجز الإجازات'!$D$5:$D$104&lt;=FT$3)*(('حجز الإجازات'!$E$5:$E$104)&gt;=FT$3)*('حجز الإجازات'!$G$5:$G$104="معتمد")*ROW('حجز الإجازات'!$B$5:$B$104)))-5+1))</f>
        <v/>
      </c>
      <c r="FU6" s="62">
        <f>IF(SUMPRODUCT(('حجز الإجازات'!$B$5:$B$104='الموظفون'!$B$4)*('حجز الإجازات'!$D$5:$D$104&lt;=FU$3)*(('حجز الإجازات'!$E$5:$E$104)&gt;=FU$3)*('حجز الإجازات'!$G$5:$G$104="معتمد")*ROW('حجز الإجازات'!$B$5:$B$104))=0,"",INDEX('حجز الإجازات'!$C$5:$C$104,(SUMPRODUCT(('حجز الإجازات'!$B$5:$B$104='الموظفون'!$B$4)*('حجز الإجازات'!$D$5:$D$104&lt;=FU$3)*(('حجز الإجازات'!$E$5:$E$104)&gt;=FU$3)*('حجز الإجازات'!$G$5:$G$104="معتمد")*ROW('حجز الإجازات'!$B$5:$B$104)))-5+1))</f>
        <v/>
      </c>
      <c r="FV6" s="62">
        <f>IF(SUMPRODUCT(('حجز الإجازات'!$B$5:$B$104='الموظفون'!$B$4)*('حجز الإجازات'!$D$5:$D$104&lt;=FV$3)*(('حجز الإجازات'!$E$5:$E$104)&gt;=FV$3)*('حجز الإجازات'!$G$5:$G$104="معتمد")*ROW('حجز الإجازات'!$B$5:$B$104))=0,"",INDEX('حجز الإجازات'!$C$5:$C$104,(SUMPRODUCT(('حجز الإجازات'!$B$5:$B$104='الموظفون'!$B$4)*('حجز الإجازات'!$D$5:$D$104&lt;=FV$3)*(('حجز الإجازات'!$E$5:$E$104)&gt;=FV$3)*('حجز الإجازات'!$G$5:$G$104="معتمد")*ROW('حجز الإجازات'!$B$5:$B$104)))-5+1))</f>
        <v/>
      </c>
      <c r="FW6" s="62">
        <f>IF(SUMPRODUCT(('حجز الإجازات'!$B$5:$B$104='الموظفون'!$B$4)*('حجز الإجازات'!$D$5:$D$104&lt;=FW$3)*(('حجز الإجازات'!$E$5:$E$104)&gt;=FW$3)*('حجز الإجازات'!$G$5:$G$104="معتمد")*ROW('حجز الإجازات'!$B$5:$B$104))=0,"",INDEX('حجز الإجازات'!$C$5:$C$104,(SUMPRODUCT(('حجز الإجازات'!$B$5:$B$104='الموظفون'!$B$4)*('حجز الإجازات'!$D$5:$D$104&lt;=FW$3)*(('حجز الإجازات'!$E$5:$E$104)&gt;=FW$3)*('حجز الإجازات'!$G$5:$G$104="معتمد")*ROW('حجز الإجازات'!$B$5:$B$104)))-5+1))</f>
        <v/>
      </c>
      <c r="FX6" s="62">
        <f>IF(SUMPRODUCT(('حجز الإجازات'!$B$5:$B$104='الموظفون'!$B$4)*('حجز الإجازات'!$D$5:$D$104&lt;=FX$3)*(('حجز الإجازات'!$E$5:$E$104)&gt;=FX$3)*('حجز الإجازات'!$G$5:$G$104="معتمد")*ROW('حجز الإجازات'!$B$5:$B$104))=0,"",INDEX('حجز الإجازات'!$C$5:$C$104,(SUMPRODUCT(('حجز الإجازات'!$B$5:$B$104='الموظفون'!$B$4)*('حجز الإجازات'!$D$5:$D$104&lt;=FX$3)*(('حجز الإجازات'!$E$5:$E$104)&gt;=FX$3)*('حجز الإجازات'!$G$5:$G$104="معتمد")*ROW('حجز الإجازات'!$B$5:$B$104)))-5+1))</f>
        <v/>
      </c>
      <c r="FY6" s="62">
        <f>IF(SUMPRODUCT(('حجز الإجازات'!$B$5:$B$104='الموظفون'!$B$4)*('حجز الإجازات'!$D$5:$D$104&lt;=FY$3)*(('حجز الإجازات'!$E$5:$E$104)&gt;=FY$3)*('حجز الإجازات'!$G$5:$G$104="معتمد")*ROW('حجز الإجازات'!$B$5:$B$104))=0,"",INDEX('حجز الإجازات'!$C$5:$C$104,(SUMPRODUCT(('حجز الإجازات'!$B$5:$B$104='الموظفون'!$B$4)*('حجز الإجازات'!$D$5:$D$104&lt;=FY$3)*(('حجز الإجازات'!$E$5:$E$104)&gt;=FY$3)*('حجز الإجازات'!$G$5:$G$104="معتمد")*ROW('حجز الإجازات'!$B$5:$B$104)))-5+1))</f>
        <v/>
      </c>
      <c r="FZ6" s="62">
        <f>IF(SUMPRODUCT(('حجز الإجازات'!$B$5:$B$104='الموظفون'!$B$4)*('حجز الإجازات'!$D$5:$D$104&lt;=FZ$3)*(('حجز الإجازات'!$E$5:$E$104)&gt;=FZ$3)*('حجز الإجازات'!$G$5:$G$104="معتمد")*ROW('حجز الإجازات'!$B$5:$B$104))=0,"",INDEX('حجز الإجازات'!$C$5:$C$104,(SUMPRODUCT(('حجز الإجازات'!$B$5:$B$104='الموظفون'!$B$4)*('حجز الإجازات'!$D$5:$D$104&lt;=FZ$3)*(('حجز الإجازات'!$E$5:$E$104)&gt;=FZ$3)*('حجز الإجازات'!$G$5:$G$104="معتمد")*ROW('حجز الإجازات'!$B$5:$B$104)))-5+1))</f>
        <v/>
      </c>
      <c r="GA6" s="62">
        <f>IF(SUMPRODUCT(('حجز الإجازات'!$B$5:$B$104='الموظفون'!$B$4)*('حجز الإجازات'!$D$5:$D$104&lt;=GA$3)*(('حجز الإجازات'!$E$5:$E$104)&gt;=GA$3)*('حجز الإجازات'!$G$5:$G$104="معتمد")*ROW('حجز الإجازات'!$B$5:$B$104))=0,"",INDEX('حجز الإجازات'!$C$5:$C$104,(SUMPRODUCT(('حجز الإجازات'!$B$5:$B$104='الموظفون'!$B$4)*('حجز الإجازات'!$D$5:$D$104&lt;=GA$3)*(('حجز الإجازات'!$E$5:$E$104)&gt;=GA$3)*('حجز الإجازات'!$G$5:$G$104="معتمد")*ROW('حجز الإجازات'!$B$5:$B$104)))-5+1))</f>
        <v/>
      </c>
      <c r="GB6" s="62">
        <f>IF(SUMPRODUCT(('حجز الإجازات'!$B$5:$B$104='الموظفون'!$B$4)*('حجز الإجازات'!$D$5:$D$104&lt;=GB$3)*(('حجز الإجازات'!$E$5:$E$104)&gt;=GB$3)*('حجز الإجازات'!$G$5:$G$104="معتمد")*ROW('حجز الإجازات'!$B$5:$B$104))=0,"",INDEX('حجز الإجازات'!$C$5:$C$104,(SUMPRODUCT(('حجز الإجازات'!$B$5:$B$104='الموظفون'!$B$4)*('حجز الإجازات'!$D$5:$D$104&lt;=GB$3)*(('حجز الإجازات'!$E$5:$E$104)&gt;=GB$3)*('حجز الإجازات'!$G$5:$G$104="معتمد")*ROW('حجز الإجازات'!$B$5:$B$104)))-5+1))</f>
        <v/>
      </c>
      <c r="GC6" s="62">
        <f>IF(SUMPRODUCT(('حجز الإجازات'!$B$5:$B$104='الموظفون'!$B$4)*('حجز الإجازات'!$D$5:$D$104&lt;=GC$3)*(('حجز الإجازات'!$E$5:$E$104)&gt;=GC$3)*('حجز الإجازات'!$G$5:$G$104="معتمد")*ROW('حجز الإجازات'!$B$5:$B$104))=0,"",INDEX('حجز الإجازات'!$C$5:$C$104,(SUMPRODUCT(('حجز الإجازات'!$B$5:$B$104='الموظفون'!$B$4)*('حجز الإجازات'!$D$5:$D$104&lt;=GC$3)*(('حجز الإجازات'!$E$5:$E$104)&gt;=GC$3)*('حجز الإجازات'!$G$5:$G$104="معتمد")*ROW('حجز الإجازات'!$B$5:$B$104)))-5+1))</f>
        <v/>
      </c>
      <c r="GD6" s="62">
        <f>IF(SUMPRODUCT(('حجز الإجازات'!$B$5:$B$104='الموظفون'!$B$4)*('حجز الإجازات'!$D$5:$D$104&lt;=GD$3)*(('حجز الإجازات'!$E$5:$E$104)&gt;=GD$3)*('حجز الإجازات'!$G$5:$G$104="معتمد")*ROW('حجز الإجازات'!$B$5:$B$104))=0,"",INDEX('حجز الإجازات'!$C$5:$C$104,(SUMPRODUCT(('حجز الإجازات'!$B$5:$B$104='الموظفون'!$B$4)*('حجز الإجازات'!$D$5:$D$104&lt;=GD$3)*(('حجز الإجازات'!$E$5:$E$104)&gt;=GD$3)*('حجز الإجازات'!$G$5:$G$104="معتمد")*ROW('حجز الإجازات'!$B$5:$B$104)))-5+1))</f>
        <v/>
      </c>
      <c r="GE6" s="62">
        <f>IF(SUMPRODUCT(('حجز الإجازات'!$B$5:$B$104='الموظفون'!$B$4)*('حجز الإجازات'!$D$5:$D$104&lt;=GE$3)*(('حجز الإجازات'!$E$5:$E$104)&gt;=GE$3)*('حجز الإجازات'!$G$5:$G$104="معتمد")*ROW('حجز الإجازات'!$B$5:$B$104))=0,"",INDEX('حجز الإجازات'!$C$5:$C$104,(SUMPRODUCT(('حجز الإجازات'!$B$5:$B$104='الموظفون'!$B$4)*('حجز الإجازات'!$D$5:$D$104&lt;=GE$3)*(('حجز الإجازات'!$E$5:$E$104)&gt;=GE$3)*('حجز الإجازات'!$G$5:$G$104="معتمد")*ROW('حجز الإجازات'!$B$5:$B$104)))-5+1))</f>
        <v/>
      </c>
      <c r="GF6" s="62">
        <f>IF(SUMPRODUCT(('حجز الإجازات'!$B$5:$B$104='الموظفون'!$B$4)*('حجز الإجازات'!$D$5:$D$104&lt;=GF$3)*(('حجز الإجازات'!$E$5:$E$104)&gt;=GF$3)*('حجز الإجازات'!$G$5:$G$104="معتمد")*ROW('حجز الإجازات'!$B$5:$B$104))=0,"",INDEX('حجز الإجازات'!$C$5:$C$104,(SUMPRODUCT(('حجز الإجازات'!$B$5:$B$104='الموظفون'!$B$4)*('حجز الإجازات'!$D$5:$D$104&lt;=GF$3)*(('حجز الإجازات'!$E$5:$E$104)&gt;=GF$3)*('حجز الإجازات'!$G$5:$G$104="معتمد")*ROW('حجز الإجازات'!$B$5:$B$104)))-5+1))</f>
        <v/>
      </c>
      <c r="GG6" s="62">
        <f>IF(SUMPRODUCT(('حجز الإجازات'!$B$5:$B$104='الموظفون'!$B$4)*('حجز الإجازات'!$D$5:$D$104&lt;=GG$3)*(('حجز الإجازات'!$E$5:$E$104)&gt;=GG$3)*('حجز الإجازات'!$G$5:$G$104="معتمد")*ROW('حجز الإجازات'!$B$5:$B$104))=0,"",INDEX('حجز الإجازات'!$C$5:$C$104,(SUMPRODUCT(('حجز الإجازات'!$B$5:$B$104='الموظفون'!$B$4)*('حجز الإجازات'!$D$5:$D$104&lt;=GG$3)*(('حجز الإجازات'!$E$5:$E$104)&gt;=GG$3)*('حجز الإجازات'!$G$5:$G$104="معتمد")*ROW('حجز الإجازات'!$B$5:$B$104)))-5+1))</f>
        <v/>
      </c>
      <c r="GH6" s="62">
        <f>IF(SUMPRODUCT(('حجز الإجازات'!$B$5:$B$104='الموظفون'!$B$4)*('حجز الإجازات'!$D$5:$D$104&lt;=GH$3)*(('حجز الإجازات'!$E$5:$E$104)&gt;=GH$3)*('حجز الإجازات'!$G$5:$G$104="معتمد")*ROW('حجز الإجازات'!$B$5:$B$104))=0,"",INDEX('حجز الإجازات'!$C$5:$C$104,(SUMPRODUCT(('حجز الإجازات'!$B$5:$B$104='الموظفون'!$B$4)*('حجز الإجازات'!$D$5:$D$104&lt;=GH$3)*(('حجز الإجازات'!$E$5:$E$104)&gt;=GH$3)*('حجز الإجازات'!$G$5:$G$104="معتمد")*ROW('حجز الإجازات'!$B$5:$B$104)))-5+1))</f>
        <v/>
      </c>
      <c r="GI6" s="62">
        <f>IF(SUMPRODUCT(('حجز الإجازات'!$B$5:$B$104='الموظفون'!$B$4)*('حجز الإجازات'!$D$5:$D$104&lt;=GI$3)*(('حجز الإجازات'!$E$5:$E$104)&gt;=GI$3)*('حجز الإجازات'!$G$5:$G$104="معتمد")*ROW('حجز الإجازات'!$B$5:$B$104))=0,"",INDEX('حجز الإجازات'!$C$5:$C$104,(SUMPRODUCT(('حجز الإجازات'!$B$5:$B$104='الموظفون'!$B$4)*('حجز الإجازات'!$D$5:$D$104&lt;=GI$3)*(('حجز الإجازات'!$E$5:$E$104)&gt;=GI$3)*('حجز الإجازات'!$G$5:$G$104="معتمد")*ROW('حجز الإجازات'!$B$5:$B$104)))-5+1))</f>
        <v/>
      </c>
      <c r="GJ6" s="62">
        <f>IF(SUMPRODUCT(('حجز الإجازات'!$B$5:$B$104='الموظفون'!$B$4)*('حجز الإجازات'!$D$5:$D$104&lt;=GJ$3)*(('حجز الإجازات'!$E$5:$E$104)&gt;=GJ$3)*('حجز الإجازات'!$G$5:$G$104="معتمد")*ROW('حجز الإجازات'!$B$5:$B$104))=0,"",INDEX('حجز الإجازات'!$C$5:$C$104,(SUMPRODUCT(('حجز الإجازات'!$B$5:$B$104='الموظفون'!$B$4)*('حجز الإجازات'!$D$5:$D$104&lt;=GJ$3)*(('حجز الإجازات'!$E$5:$E$104)&gt;=GJ$3)*('حجز الإجازات'!$G$5:$G$104="معتمد")*ROW('حجز الإجازات'!$B$5:$B$104)))-5+1))</f>
        <v/>
      </c>
      <c r="GK6" s="62">
        <f>IF(SUMPRODUCT(('حجز الإجازات'!$B$5:$B$104='الموظفون'!$B$4)*('حجز الإجازات'!$D$5:$D$104&lt;=GK$3)*(('حجز الإجازات'!$E$5:$E$104)&gt;=GK$3)*('حجز الإجازات'!$G$5:$G$104="معتمد")*ROW('حجز الإجازات'!$B$5:$B$104))=0,"",INDEX('حجز الإجازات'!$C$5:$C$104,(SUMPRODUCT(('حجز الإجازات'!$B$5:$B$104='الموظفون'!$B$4)*('حجز الإجازات'!$D$5:$D$104&lt;=GK$3)*(('حجز الإجازات'!$E$5:$E$104)&gt;=GK$3)*('حجز الإجازات'!$G$5:$G$104="معتمد")*ROW('حجز الإجازات'!$B$5:$B$104)))-5+1))</f>
        <v/>
      </c>
      <c r="GL6" s="62">
        <f>IF(SUMPRODUCT(('حجز الإجازات'!$B$5:$B$104='الموظفون'!$B$4)*('حجز الإجازات'!$D$5:$D$104&lt;=GL$3)*(('حجز الإجازات'!$E$5:$E$104)&gt;=GL$3)*('حجز الإجازات'!$G$5:$G$104="معتمد")*ROW('حجز الإجازات'!$B$5:$B$104))=0,"",INDEX('حجز الإجازات'!$C$5:$C$104,(SUMPRODUCT(('حجز الإجازات'!$B$5:$B$104='الموظفون'!$B$4)*('حجز الإجازات'!$D$5:$D$104&lt;=GL$3)*(('حجز الإجازات'!$E$5:$E$104)&gt;=GL$3)*('حجز الإجازات'!$G$5:$G$104="معتمد")*ROW('حجز الإجازات'!$B$5:$B$104)))-5+1))</f>
        <v/>
      </c>
      <c r="GM6" s="62">
        <f>IF(SUMPRODUCT(('حجز الإجازات'!$B$5:$B$104='الموظفون'!$B$4)*('حجز الإجازات'!$D$5:$D$104&lt;=GM$3)*(('حجز الإجازات'!$E$5:$E$104)&gt;=GM$3)*('حجز الإجازات'!$G$5:$G$104="معتمد")*ROW('حجز الإجازات'!$B$5:$B$104))=0,"",INDEX('حجز الإجازات'!$C$5:$C$104,(SUMPRODUCT(('حجز الإجازات'!$B$5:$B$104='الموظفون'!$B$4)*('حجز الإجازات'!$D$5:$D$104&lt;=GM$3)*(('حجز الإجازات'!$E$5:$E$104)&gt;=GM$3)*('حجز الإجازات'!$G$5:$G$104="معتمد")*ROW('حجز الإجازات'!$B$5:$B$104)))-5+1))</f>
        <v/>
      </c>
      <c r="GN6" s="62">
        <f>IF(SUMPRODUCT(('حجز الإجازات'!$B$5:$B$104='الموظفون'!$B$4)*('حجز الإجازات'!$D$5:$D$104&lt;=GN$3)*(('حجز الإجازات'!$E$5:$E$104)&gt;=GN$3)*('حجز الإجازات'!$G$5:$G$104="معتمد")*ROW('حجز الإجازات'!$B$5:$B$104))=0,"",INDEX('حجز الإجازات'!$C$5:$C$104,(SUMPRODUCT(('حجز الإجازات'!$B$5:$B$104='الموظفون'!$B$4)*('حجز الإجازات'!$D$5:$D$104&lt;=GN$3)*(('حجز الإجازات'!$E$5:$E$104)&gt;=GN$3)*('حجز الإجازات'!$G$5:$G$104="معتمد")*ROW('حجز الإجازات'!$B$5:$B$104)))-5+1))</f>
        <v/>
      </c>
      <c r="GO6" s="62">
        <f>IF(SUMPRODUCT(('حجز الإجازات'!$B$5:$B$104='الموظفون'!$B$4)*('حجز الإجازات'!$D$5:$D$104&lt;=GO$3)*(('حجز الإجازات'!$E$5:$E$104)&gt;=GO$3)*('حجز الإجازات'!$G$5:$G$104="معتمد")*ROW('حجز الإجازات'!$B$5:$B$104))=0,"",INDEX('حجز الإجازات'!$C$5:$C$104,(SUMPRODUCT(('حجز الإجازات'!$B$5:$B$104='الموظفون'!$B$4)*('حجز الإجازات'!$D$5:$D$104&lt;=GO$3)*(('حجز الإجازات'!$E$5:$E$104)&gt;=GO$3)*('حجز الإجازات'!$G$5:$G$104="معتمد")*ROW('حجز الإجازات'!$B$5:$B$104)))-5+1))</f>
        <v/>
      </c>
      <c r="GP6" s="62">
        <f>IF(SUMPRODUCT(('حجز الإجازات'!$B$5:$B$104='الموظفون'!$B$4)*('حجز الإجازات'!$D$5:$D$104&lt;=GP$3)*(('حجز الإجازات'!$E$5:$E$104)&gt;=GP$3)*('حجز الإجازات'!$G$5:$G$104="معتمد")*ROW('حجز الإجازات'!$B$5:$B$104))=0,"",INDEX('حجز الإجازات'!$C$5:$C$104,(SUMPRODUCT(('حجز الإجازات'!$B$5:$B$104='الموظفون'!$B$4)*('حجز الإجازات'!$D$5:$D$104&lt;=GP$3)*(('حجز الإجازات'!$E$5:$E$104)&gt;=GP$3)*('حجز الإجازات'!$G$5:$G$104="معتمد")*ROW('حجز الإجازات'!$B$5:$B$104)))-5+1))</f>
        <v/>
      </c>
      <c r="GQ6" s="62">
        <f>IF(SUMPRODUCT(('حجز الإجازات'!$B$5:$B$104='الموظفون'!$B$4)*('حجز الإجازات'!$D$5:$D$104&lt;=GQ$3)*(('حجز الإجازات'!$E$5:$E$104)&gt;=GQ$3)*('حجز الإجازات'!$G$5:$G$104="معتمد")*ROW('حجز الإجازات'!$B$5:$B$104))=0,"",INDEX('حجز الإجازات'!$C$5:$C$104,(SUMPRODUCT(('حجز الإجازات'!$B$5:$B$104='الموظفون'!$B$4)*('حجز الإجازات'!$D$5:$D$104&lt;=GQ$3)*(('حجز الإجازات'!$E$5:$E$104)&gt;=GQ$3)*('حجز الإجازات'!$G$5:$G$104="معتمد")*ROW('حجز الإجازات'!$B$5:$B$104)))-5+1))</f>
        <v/>
      </c>
      <c r="GR6" s="62">
        <f>IF(SUMPRODUCT(('حجز الإجازات'!$B$5:$B$104='الموظفون'!$B$4)*('حجز الإجازات'!$D$5:$D$104&lt;=GR$3)*(('حجز الإجازات'!$E$5:$E$104)&gt;=GR$3)*('حجز الإجازات'!$G$5:$G$104="معتمد")*ROW('حجز الإجازات'!$B$5:$B$104))=0,"",INDEX('حجز الإجازات'!$C$5:$C$104,(SUMPRODUCT(('حجز الإجازات'!$B$5:$B$104='الموظفون'!$B$4)*('حجز الإجازات'!$D$5:$D$104&lt;=GR$3)*(('حجز الإجازات'!$E$5:$E$104)&gt;=GR$3)*('حجز الإجازات'!$G$5:$G$104="معتمد")*ROW('حجز الإجازات'!$B$5:$B$104)))-5+1))</f>
        <v/>
      </c>
      <c r="GS6" s="62">
        <f>IF(SUMPRODUCT(('حجز الإجازات'!$B$5:$B$104='الموظفون'!$B$4)*('حجز الإجازات'!$D$5:$D$104&lt;=GS$3)*(('حجز الإجازات'!$E$5:$E$104)&gt;=GS$3)*('حجز الإجازات'!$G$5:$G$104="معتمد")*ROW('حجز الإجازات'!$B$5:$B$104))=0,"",INDEX('حجز الإجازات'!$C$5:$C$104,(SUMPRODUCT(('حجز الإجازات'!$B$5:$B$104='الموظفون'!$B$4)*('حجز الإجازات'!$D$5:$D$104&lt;=GS$3)*(('حجز الإجازات'!$E$5:$E$104)&gt;=GS$3)*('حجز الإجازات'!$G$5:$G$104="معتمد")*ROW('حجز الإجازات'!$B$5:$B$104)))-5+1))</f>
        <v/>
      </c>
      <c r="GT6" s="62">
        <f>IF(SUMPRODUCT(('حجز الإجازات'!$B$5:$B$104='الموظفون'!$B$4)*('حجز الإجازات'!$D$5:$D$104&lt;=GT$3)*(('حجز الإجازات'!$E$5:$E$104)&gt;=GT$3)*('حجز الإجازات'!$G$5:$G$104="معتمد")*ROW('حجز الإجازات'!$B$5:$B$104))=0,"",INDEX('حجز الإجازات'!$C$5:$C$104,(SUMPRODUCT(('حجز الإجازات'!$B$5:$B$104='الموظفون'!$B$4)*('حجز الإجازات'!$D$5:$D$104&lt;=GT$3)*(('حجز الإجازات'!$E$5:$E$104)&gt;=GT$3)*('حجز الإجازات'!$G$5:$G$104="معتمد")*ROW('حجز الإجازات'!$B$5:$B$104)))-5+1))</f>
        <v/>
      </c>
      <c r="GU6" s="62">
        <f>IF(SUMPRODUCT(('حجز الإجازات'!$B$5:$B$104='الموظفون'!$B$4)*('حجز الإجازات'!$D$5:$D$104&lt;=GU$3)*(('حجز الإجازات'!$E$5:$E$104)&gt;=GU$3)*('حجز الإجازات'!$G$5:$G$104="معتمد")*ROW('حجز الإجازات'!$B$5:$B$104))=0,"",INDEX('حجز الإجازات'!$C$5:$C$104,(SUMPRODUCT(('حجز الإجازات'!$B$5:$B$104='الموظفون'!$B$4)*('حجز الإجازات'!$D$5:$D$104&lt;=GU$3)*(('حجز الإجازات'!$E$5:$E$104)&gt;=GU$3)*('حجز الإجازات'!$G$5:$G$104="معتمد")*ROW('حجز الإجازات'!$B$5:$B$104)))-5+1))</f>
        <v/>
      </c>
      <c r="GV6" s="62">
        <f>IF(SUMPRODUCT(('حجز الإجازات'!$B$5:$B$104='الموظفون'!$B$4)*('حجز الإجازات'!$D$5:$D$104&lt;=GV$3)*(('حجز الإجازات'!$E$5:$E$104)&gt;=GV$3)*('حجز الإجازات'!$G$5:$G$104="معتمد")*ROW('حجز الإجازات'!$B$5:$B$104))=0,"",INDEX('حجز الإجازات'!$C$5:$C$104,(SUMPRODUCT(('حجز الإجازات'!$B$5:$B$104='الموظفون'!$B$4)*('حجز الإجازات'!$D$5:$D$104&lt;=GV$3)*(('حجز الإجازات'!$E$5:$E$104)&gt;=GV$3)*('حجز الإجازات'!$G$5:$G$104="معتمد")*ROW('حجز الإجازات'!$B$5:$B$104)))-5+1))</f>
        <v/>
      </c>
      <c r="GW6" s="62">
        <f>IF(SUMPRODUCT(('حجز الإجازات'!$B$5:$B$104='الموظفون'!$B$4)*('حجز الإجازات'!$D$5:$D$104&lt;=GW$3)*(('حجز الإجازات'!$E$5:$E$104)&gt;=GW$3)*('حجز الإجازات'!$G$5:$G$104="معتمد")*ROW('حجز الإجازات'!$B$5:$B$104))=0,"",INDEX('حجز الإجازات'!$C$5:$C$104,(SUMPRODUCT(('حجز الإجازات'!$B$5:$B$104='الموظفون'!$B$4)*('حجز الإجازات'!$D$5:$D$104&lt;=GW$3)*(('حجز الإجازات'!$E$5:$E$104)&gt;=GW$3)*('حجز الإجازات'!$G$5:$G$104="معتمد")*ROW('حجز الإجازات'!$B$5:$B$104)))-5+1))</f>
        <v/>
      </c>
      <c r="GX6" s="62">
        <f>IF(SUMPRODUCT(('حجز الإجازات'!$B$5:$B$104='الموظفون'!$B$4)*('حجز الإجازات'!$D$5:$D$104&lt;=GX$3)*(('حجز الإجازات'!$E$5:$E$104)&gt;=GX$3)*('حجز الإجازات'!$G$5:$G$104="معتمد")*ROW('حجز الإجازات'!$B$5:$B$104))=0,"",INDEX('حجز الإجازات'!$C$5:$C$104,(SUMPRODUCT(('حجز الإجازات'!$B$5:$B$104='الموظفون'!$B$4)*('حجز الإجازات'!$D$5:$D$104&lt;=GX$3)*(('حجز الإجازات'!$E$5:$E$104)&gt;=GX$3)*('حجز الإجازات'!$G$5:$G$104="معتمد")*ROW('حجز الإجازات'!$B$5:$B$104)))-5+1))</f>
        <v/>
      </c>
      <c r="GY6" s="62">
        <f>IF(SUMPRODUCT(('حجز الإجازات'!$B$5:$B$104='الموظفون'!$B$4)*('حجز الإجازات'!$D$5:$D$104&lt;=GY$3)*(('حجز الإجازات'!$E$5:$E$104)&gt;=GY$3)*('حجز الإجازات'!$G$5:$G$104="معتمد")*ROW('حجز الإجازات'!$B$5:$B$104))=0,"",INDEX('حجز الإجازات'!$C$5:$C$104,(SUMPRODUCT(('حجز الإجازات'!$B$5:$B$104='الموظفون'!$B$4)*('حجز الإجازات'!$D$5:$D$104&lt;=GY$3)*(('حجز الإجازات'!$E$5:$E$104)&gt;=GY$3)*('حجز الإجازات'!$G$5:$G$104="معتمد")*ROW('حجز الإجازات'!$B$5:$B$104)))-5+1))</f>
        <v/>
      </c>
      <c r="GZ6" s="62">
        <f>IF(SUMPRODUCT(('حجز الإجازات'!$B$5:$B$104='الموظفون'!$B$4)*('حجز الإجازات'!$D$5:$D$104&lt;=GZ$3)*(('حجز الإجازات'!$E$5:$E$104)&gt;=GZ$3)*('حجز الإجازات'!$G$5:$G$104="معتمد")*ROW('حجز الإجازات'!$B$5:$B$104))=0,"",INDEX('حجز الإجازات'!$C$5:$C$104,(SUMPRODUCT(('حجز الإجازات'!$B$5:$B$104='الموظفون'!$B$4)*('حجز الإجازات'!$D$5:$D$104&lt;=GZ$3)*(('حجز الإجازات'!$E$5:$E$104)&gt;=GZ$3)*('حجز الإجازات'!$G$5:$G$104="معتمد")*ROW('حجز الإجازات'!$B$5:$B$104)))-5+1))</f>
        <v/>
      </c>
      <c r="HA6" s="62">
        <f>IF(SUMPRODUCT(('حجز الإجازات'!$B$5:$B$104='الموظفون'!$B$4)*('حجز الإجازات'!$D$5:$D$104&lt;=HA$3)*(('حجز الإجازات'!$E$5:$E$104)&gt;=HA$3)*('حجز الإجازات'!$G$5:$G$104="معتمد")*ROW('حجز الإجازات'!$B$5:$B$104))=0,"",INDEX('حجز الإجازات'!$C$5:$C$104,(SUMPRODUCT(('حجز الإجازات'!$B$5:$B$104='الموظفون'!$B$4)*('حجز الإجازات'!$D$5:$D$104&lt;=HA$3)*(('حجز الإجازات'!$E$5:$E$104)&gt;=HA$3)*('حجز الإجازات'!$G$5:$G$104="معتمد")*ROW('حجز الإجازات'!$B$5:$B$104)))-5+1))</f>
        <v/>
      </c>
      <c r="HB6" s="62">
        <f>IF(SUMPRODUCT(('حجز الإجازات'!$B$5:$B$104='الموظفون'!$B$4)*('حجز الإجازات'!$D$5:$D$104&lt;=HB$3)*(('حجز الإجازات'!$E$5:$E$104)&gt;=HB$3)*('حجز الإجازات'!$G$5:$G$104="معتمد")*ROW('حجز الإجازات'!$B$5:$B$104))=0,"",INDEX('حجز الإجازات'!$C$5:$C$104,(SUMPRODUCT(('حجز الإجازات'!$B$5:$B$104='الموظفون'!$B$4)*('حجز الإجازات'!$D$5:$D$104&lt;=HB$3)*(('حجز الإجازات'!$E$5:$E$104)&gt;=HB$3)*('حجز الإجازات'!$G$5:$G$104="معتمد")*ROW('حجز الإجازات'!$B$5:$B$104)))-5+1))</f>
        <v/>
      </c>
      <c r="HC6" s="62">
        <f>IF(SUMPRODUCT(('حجز الإجازات'!$B$5:$B$104='الموظفون'!$B$4)*('حجز الإجازات'!$D$5:$D$104&lt;=HC$3)*(('حجز الإجازات'!$E$5:$E$104)&gt;=HC$3)*('حجز الإجازات'!$G$5:$G$104="معتمد")*ROW('حجز الإجازات'!$B$5:$B$104))=0,"",INDEX('حجز الإجازات'!$C$5:$C$104,(SUMPRODUCT(('حجز الإجازات'!$B$5:$B$104='الموظفون'!$B$4)*('حجز الإجازات'!$D$5:$D$104&lt;=HC$3)*(('حجز الإجازات'!$E$5:$E$104)&gt;=HC$3)*('حجز الإجازات'!$G$5:$G$104="معتمد")*ROW('حجز الإجازات'!$B$5:$B$104)))-5+1))</f>
        <v/>
      </c>
      <c r="HD6" s="62">
        <f>IF(SUMPRODUCT(('حجز الإجازات'!$B$5:$B$104='الموظفون'!$B$4)*('حجز الإجازات'!$D$5:$D$104&lt;=HD$3)*(('حجز الإجازات'!$E$5:$E$104)&gt;=HD$3)*('حجز الإجازات'!$G$5:$G$104="معتمد")*ROW('حجز الإجازات'!$B$5:$B$104))=0,"",INDEX('حجز الإجازات'!$C$5:$C$104,(SUMPRODUCT(('حجز الإجازات'!$B$5:$B$104='الموظفون'!$B$4)*('حجز الإجازات'!$D$5:$D$104&lt;=HD$3)*(('حجز الإجازات'!$E$5:$E$104)&gt;=HD$3)*('حجز الإجازات'!$G$5:$G$104="معتمد")*ROW('حجز الإجازات'!$B$5:$B$104)))-5+1))</f>
        <v/>
      </c>
      <c r="HE6" s="62">
        <f>IF(SUMPRODUCT(('حجز الإجازات'!$B$5:$B$104='الموظفون'!$B$4)*('حجز الإجازات'!$D$5:$D$104&lt;=HE$3)*(('حجز الإجازات'!$E$5:$E$104)&gt;=HE$3)*('حجز الإجازات'!$G$5:$G$104="معتمد")*ROW('حجز الإجازات'!$B$5:$B$104))=0,"",INDEX('حجز الإجازات'!$C$5:$C$104,(SUMPRODUCT(('حجز الإجازات'!$B$5:$B$104='الموظفون'!$B$4)*('حجز الإجازات'!$D$5:$D$104&lt;=HE$3)*(('حجز الإجازات'!$E$5:$E$104)&gt;=HE$3)*('حجز الإجازات'!$G$5:$G$104="معتمد")*ROW('حجز الإجازات'!$B$5:$B$104)))-5+1))</f>
        <v/>
      </c>
      <c r="HF6" s="62">
        <f>IF(SUMPRODUCT(('حجز الإجازات'!$B$5:$B$104='الموظفون'!$B$4)*('حجز الإجازات'!$D$5:$D$104&lt;=HF$3)*(('حجز الإجازات'!$E$5:$E$104)&gt;=HF$3)*('حجز الإجازات'!$G$5:$G$104="معتمد")*ROW('حجز الإجازات'!$B$5:$B$104))=0,"",INDEX('حجز الإجازات'!$C$5:$C$104,(SUMPRODUCT(('حجز الإجازات'!$B$5:$B$104='الموظفون'!$B$4)*('حجز الإجازات'!$D$5:$D$104&lt;=HF$3)*(('حجز الإجازات'!$E$5:$E$104)&gt;=HF$3)*('حجز الإجازات'!$G$5:$G$104="معتمد")*ROW('حجز الإجازات'!$B$5:$B$104)))-5+1))</f>
        <v/>
      </c>
      <c r="HG6" s="62">
        <f>IF(SUMPRODUCT(('حجز الإجازات'!$B$5:$B$104='الموظفون'!$B$4)*('حجز الإجازات'!$D$5:$D$104&lt;=HG$3)*(('حجز الإجازات'!$E$5:$E$104)&gt;=HG$3)*('حجز الإجازات'!$G$5:$G$104="معتمد")*ROW('حجز الإجازات'!$B$5:$B$104))=0,"",INDEX('حجز الإجازات'!$C$5:$C$104,(SUMPRODUCT(('حجز الإجازات'!$B$5:$B$104='الموظفون'!$B$4)*('حجز الإجازات'!$D$5:$D$104&lt;=HG$3)*(('حجز الإجازات'!$E$5:$E$104)&gt;=HG$3)*('حجز الإجازات'!$G$5:$G$104="معتمد")*ROW('حجز الإجازات'!$B$5:$B$104)))-5+1))</f>
        <v/>
      </c>
      <c r="HH6" s="62">
        <f>IF(SUMPRODUCT(('حجز الإجازات'!$B$5:$B$104='الموظفون'!$B$4)*('حجز الإجازات'!$D$5:$D$104&lt;=HH$3)*(('حجز الإجازات'!$E$5:$E$104)&gt;=HH$3)*('حجز الإجازات'!$G$5:$G$104="معتمد")*ROW('حجز الإجازات'!$B$5:$B$104))=0,"",INDEX('حجز الإجازات'!$C$5:$C$104,(SUMPRODUCT(('حجز الإجازات'!$B$5:$B$104='الموظفون'!$B$4)*('حجز الإجازات'!$D$5:$D$104&lt;=HH$3)*(('حجز الإجازات'!$E$5:$E$104)&gt;=HH$3)*('حجز الإجازات'!$G$5:$G$104="معتمد")*ROW('حجز الإجازات'!$B$5:$B$104)))-5+1))</f>
        <v/>
      </c>
      <c r="HI6" s="62">
        <f>IF(SUMPRODUCT(('حجز الإجازات'!$B$5:$B$104='الموظفون'!$B$4)*('حجز الإجازات'!$D$5:$D$104&lt;=HI$3)*(('حجز الإجازات'!$E$5:$E$104)&gt;=HI$3)*('حجز الإجازات'!$G$5:$G$104="معتمد")*ROW('حجز الإجازات'!$B$5:$B$104))=0,"",INDEX('حجز الإجازات'!$C$5:$C$104,(SUMPRODUCT(('حجز الإجازات'!$B$5:$B$104='الموظفون'!$B$4)*('حجز الإجازات'!$D$5:$D$104&lt;=HI$3)*(('حجز الإجازات'!$E$5:$E$104)&gt;=HI$3)*('حجز الإجازات'!$G$5:$G$104="معتمد")*ROW('حجز الإجازات'!$B$5:$B$104)))-5+1))</f>
        <v/>
      </c>
      <c r="HJ6" s="62">
        <f>IF(SUMPRODUCT(('حجز الإجازات'!$B$5:$B$104='الموظفون'!$B$4)*('حجز الإجازات'!$D$5:$D$104&lt;=HJ$3)*(('حجز الإجازات'!$E$5:$E$104)&gt;=HJ$3)*('حجز الإجازات'!$G$5:$G$104="معتمد")*ROW('حجز الإجازات'!$B$5:$B$104))=0,"",INDEX('حجز الإجازات'!$C$5:$C$104,(SUMPRODUCT(('حجز الإجازات'!$B$5:$B$104='الموظفون'!$B$4)*('حجز الإجازات'!$D$5:$D$104&lt;=HJ$3)*(('حجز الإجازات'!$E$5:$E$104)&gt;=HJ$3)*('حجز الإجازات'!$G$5:$G$104="معتمد")*ROW('حجز الإجازات'!$B$5:$B$104)))-5+1))</f>
        <v/>
      </c>
      <c r="HK6" s="62">
        <f>IF(SUMPRODUCT(('حجز الإجازات'!$B$5:$B$104='الموظفون'!$B$4)*('حجز الإجازات'!$D$5:$D$104&lt;=HK$3)*(('حجز الإجازات'!$E$5:$E$104)&gt;=HK$3)*('حجز الإجازات'!$G$5:$G$104="معتمد")*ROW('حجز الإجازات'!$B$5:$B$104))=0,"",INDEX('حجز الإجازات'!$C$5:$C$104,(SUMPRODUCT(('حجز الإجازات'!$B$5:$B$104='الموظفون'!$B$4)*('حجز الإجازات'!$D$5:$D$104&lt;=HK$3)*(('حجز الإجازات'!$E$5:$E$104)&gt;=HK$3)*('حجز الإجازات'!$G$5:$G$104="معتمد")*ROW('حجز الإجازات'!$B$5:$B$104)))-5+1))</f>
        <v/>
      </c>
      <c r="HL6" s="62">
        <f>IF(SUMPRODUCT(('حجز الإجازات'!$B$5:$B$104='الموظفون'!$B$4)*('حجز الإجازات'!$D$5:$D$104&lt;=HL$3)*(('حجز الإجازات'!$E$5:$E$104)&gt;=HL$3)*('حجز الإجازات'!$G$5:$G$104="معتمد")*ROW('حجز الإجازات'!$B$5:$B$104))=0,"",INDEX('حجز الإجازات'!$C$5:$C$104,(SUMPRODUCT(('حجز الإجازات'!$B$5:$B$104='الموظفون'!$B$4)*('حجز الإجازات'!$D$5:$D$104&lt;=HL$3)*(('حجز الإجازات'!$E$5:$E$104)&gt;=HL$3)*('حجز الإجازات'!$G$5:$G$104="معتمد")*ROW('حجز الإجازات'!$B$5:$B$104)))-5+1))</f>
        <v/>
      </c>
      <c r="HM6" s="62">
        <f>IF(SUMPRODUCT(('حجز الإجازات'!$B$5:$B$104='الموظفون'!$B$4)*('حجز الإجازات'!$D$5:$D$104&lt;=HM$3)*(('حجز الإجازات'!$E$5:$E$104)&gt;=HM$3)*('حجز الإجازات'!$G$5:$G$104="معتمد")*ROW('حجز الإجازات'!$B$5:$B$104))=0,"",INDEX('حجز الإجازات'!$C$5:$C$104,(SUMPRODUCT(('حجز الإجازات'!$B$5:$B$104='الموظفون'!$B$4)*('حجز الإجازات'!$D$5:$D$104&lt;=HM$3)*(('حجز الإجازات'!$E$5:$E$104)&gt;=HM$3)*('حجز الإجازات'!$G$5:$G$104="معتمد")*ROW('حجز الإجازات'!$B$5:$B$104)))-5+1))</f>
        <v/>
      </c>
      <c r="HN6" s="62">
        <f>IF(SUMPRODUCT(('حجز الإجازات'!$B$5:$B$104='الموظفون'!$B$4)*('حجز الإجازات'!$D$5:$D$104&lt;=HN$3)*(('حجز الإجازات'!$E$5:$E$104)&gt;=HN$3)*('حجز الإجازات'!$G$5:$G$104="معتمد")*ROW('حجز الإجازات'!$B$5:$B$104))=0,"",INDEX('حجز الإجازات'!$C$5:$C$104,(SUMPRODUCT(('حجز الإجازات'!$B$5:$B$104='الموظفون'!$B$4)*('حجز الإجازات'!$D$5:$D$104&lt;=HN$3)*(('حجز الإجازات'!$E$5:$E$104)&gt;=HN$3)*('حجز الإجازات'!$G$5:$G$104="معتمد")*ROW('حجز الإجازات'!$B$5:$B$104)))-5+1))</f>
        <v/>
      </c>
      <c r="HO6" s="62">
        <f>IF(SUMPRODUCT(('حجز الإجازات'!$B$5:$B$104='الموظفون'!$B$4)*('حجز الإجازات'!$D$5:$D$104&lt;=HO$3)*(('حجز الإجازات'!$E$5:$E$104)&gt;=HO$3)*('حجز الإجازات'!$G$5:$G$104="معتمد")*ROW('حجز الإجازات'!$B$5:$B$104))=0,"",INDEX('حجز الإجازات'!$C$5:$C$104,(SUMPRODUCT(('حجز الإجازات'!$B$5:$B$104='الموظفون'!$B$4)*('حجز الإجازات'!$D$5:$D$104&lt;=HO$3)*(('حجز الإجازات'!$E$5:$E$104)&gt;=HO$3)*('حجز الإجازات'!$G$5:$G$104="معتمد")*ROW('حجز الإجازات'!$B$5:$B$104)))-5+1))</f>
        <v/>
      </c>
      <c r="HP6" s="62">
        <f>IF(SUMPRODUCT(('حجز الإجازات'!$B$5:$B$104='الموظفون'!$B$4)*('حجز الإجازات'!$D$5:$D$104&lt;=HP$3)*(('حجز الإجازات'!$E$5:$E$104)&gt;=HP$3)*('حجز الإجازات'!$G$5:$G$104="معتمد")*ROW('حجز الإجازات'!$B$5:$B$104))=0,"",INDEX('حجز الإجازات'!$C$5:$C$104,(SUMPRODUCT(('حجز الإجازات'!$B$5:$B$104='الموظفون'!$B$4)*('حجز الإجازات'!$D$5:$D$104&lt;=HP$3)*(('حجز الإجازات'!$E$5:$E$104)&gt;=HP$3)*('حجز الإجازات'!$G$5:$G$104="معتمد")*ROW('حجز الإجازات'!$B$5:$B$104)))-5+1))</f>
        <v/>
      </c>
      <c r="HQ6" s="62">
        <f>IF(SUMPRODUCT(('حجز الإجازات'!$B$5:$B$104='الموظفون'!$B$4)*('حجز الإجازات'!$D$5:$D$104&lt;=HQ$3)*(('حجز الإجازات'!$E$5:$E$104)&gt;=HQ$3)*('حجز الإجازات'!$G$5:$G$104="معتمد")*ROW('حجز الإجازات'!$B$5:$B$104))=0,"",INDEX('حجز الإجازات'!$C$5:$C$104,(SUMPRODUCT(('حجز الإجازات'!$B$5:$B$104='الموظفون'!$B$4)*('حجز الإجازات'!$D$5:$D$104&lt;=HQ$3)*(('حجز الإجازات'!$E$5:$E$104)&gt;=HQ$3)*('حجز الإجازات'!$G$5:$G$104="معتمد")*ROW('حجز الإجازات'!$B$5:$B$104)))-5+1))</f>
        <v/>
      </c>
      <c r="HR6" s="62">
        <f>IF(SUMPRODUCT(('حجز الإجازات'!$B$5:$B$104='الموظفون'!$B$4)*('حجز الإجازات'!$D$5:$D$104&lt;=HR$3)*(('حجز الإجازات'!$E$5:$E$104)&gt;=HR$3)*('حجز الإجازات'!$G$5:$G$104="معتمد")*ROW('حجز الإجازات'!$B$5:$B$104))=0,"",INDEX('حجز الإجازات'!$C$5:$C$104,(SUMPRODUCT(('حجز الإجازات'!$B$5:$B$104='الموظفون'!$B$4)*('حجز الإجازات'!$D$5:$D$104&lt;=HR$3)*(('حجز الإجازات'!$E$5:$E$104)&gt;=HR$3)*('حجز الإجازات'!$G$5:$G$104="معتمد")*ROW('حجز الإجازات'!$B$5:$B$104)))-5+1))</f>
        <v/>
      </c>
      <c r="HS6" s="62">
        <f>IF(SUMPRODUCT(('حجز الإجازات'!$B$5:$B$104='الموظفون'!$B$4)*('حجز الإجازات'!$D$5:$D$104&lt;=HS$3)*(('حجز الإجازات'!$E$5:$E$104)&gt;=HS$3)*('حجز الإجازات'!$G$5:$G$104="معتمد")*ROW('حجز الإجازات'!$B$5:$B$104))=0,"",INDEX('حجز الإجازات'!$C$5:$C$104,(SUMPRODUCT(('حجز الإجازات'!$B$5:$B$104='الموظفون'!$B$4)*('حجز الإجازات'!$D$5:$D$104&lt;=HS$3)*(('حجز الإجازات'!$E$5:$E$104)&gt;=HS$3)*('حجز الإجازات'!$G$5:$G$104="معتمد")*ROW('حجز الإجازات'!$B$5:$B$104)))-5+1))</f>
        <v/>
      </c>
      <c r="HT6" s="62">
        <f>IF(SUMPRODUCT(('حجز الإجازات'!$B$5:$B$104='الموظفون'!$B$4)*('حجز الإجازات'!$D$5:$D$104&lt;=HT$3)*(('حجز الإجازات'!$E$5:$E$104)&gt;=HT$3)*('حجز الإجازات'!$G$5:$G$104="معتمد")*ROW('حجز الإجازات'!$B$5:$B$104))=0,"",INDEX('حجز الإجازات'!$C$5:$C$104,(SUMPRODUCT(('حجز الإجازات'!$B$5:$B$104='الموظفون'!$B$4)*('حجز الإجازات'!$D$5:$D$104&lt;=HT$3)*(('حجز الإجازات'!$E$5:$E$104)&gt;=HT$3)*('حجز الإجازات'!$G$5:$G$104="معتمد")*ROW('حجز الإجازات'!$B$5:$B$104)))-5+1))</f>
        <v/>
      </c>
      <c r="HU6" s="62">
        <f>IF(SUMPRODUCT(('حجز الإجازات'!$B$5:$B$104='الموظفون'!$B$4)*('حجز الإجازات'!$D$5:$D$104&lt;=HU$3)*(('حجز الإجازات'!$E$5:$E$104)&gt;=HU$3)*('حجز الإجازات'!$G$5:$G$104="معتمد")*ROW('حجز الإجازات'!$B$5:$B$104))=0,"",INDEX('حجز الإجازات'!$C$5:$C$104,(SUMPRODUCT(('حجز الإجازات'!$B$5:$B$104='الموظفون'!$B$4)*('حجز الإجازات'!$D$5:$D$104&lt;=HU$3)*(('حجز الإجازات'!$E$5:$E$104)&gt;=HU$3)*('حجز الإجازات'!$G$5:$G$104="معتمد")*ROW('حجز الإجازات'!$B$5:$B$104)))-5+1))</f>
        <v/>
      </c>
      <c r="HV6" s="62">
        <f>IF(SUMPRODUCT(('حجز الإجازات'!$B$5:$B$104='الموظفون'!$B$4)*('حجز الإجازات'!$D$5:$D$104&lt;=HV$3)*(('حجز الإجازات'!$E$5:$E$104)&gt;=HV$3)*('حجز الإجازات'!$G$5:$G$104="معتمد")*ROW('حجز الإجازات'!$B$5:$B$104))=0,"",INDEX('حجز الإجازات'!$C$5:$C$104,(SUMPRODUCT(('حجز الإجازات'!$B$5:$B$104='الموظفون'!$B$4)*('حجز الإجازات'!$D$5:$D$104&lt;=HV$3)*(('حجز الإجازات'!$E$5:$E$104)&gt;=HV$3)*('حجز الإجازات'!$G$5:$G$104="معتمد")*ROW('حجز الإجازات'!$B$5:$B$104)))-5+1))</f>
        <v/>
      </c>
      <c r="HW6" s="62">
        <f>IF(SUMPRODUCT(('حجز الإجازات'!$B$5:$B$104='الموظفون'!$B$4)*('حجز الإجازات'!$D$5:$D$104&lt;=HW$3)*(('حجز الإجازات'!$E$5:$E$104)&gt;=HW$3)*('حجز الإجازات'!$G$5:$G$104="معتمد")*ROW('حجز الإجازات'!$B$5:$B$104))=0,"",INDEX('حجز الإجازات'!$C$5:$C$104,(SUMPRODUCT(('حجز الإجازات'!$B$5:$B$104='الموظفون'!$B$4)*('حجز الإجازات'!$D$5:$D$104&lt;=HW$3)*(('حجز الإجازات'!$E$5:$E$104)&gt;=HW$3)*('حجز الإجازات'!$G$5:$G$104="معتمد")*ROW('حجز الإجازات'!$B$5:$B$104)))-5+1))</f>
        <v/>
      </c>
      <c r="HX6" s="62">
        <f>IF(SUMPRODUCT(('حجز الإجازات'!$B$5:$B$104='الموظفون'!$B$4)*('حجز الإجازات'!$D$5:$D$104&lt;=HX$3)*(('حجز الإجازات'!$E$5:$E$104)&gt;=HX$3)*('حجز الإجازات'!$G$5:$G$104="معتمد")*ROW('حجز الإجازات'!$B$5:$B$104))=0,"",INDEX('حجز الإجازات'!$C$5:$C$104,(SUMPRODUCT(('حجز الإجازات'!$B$5:$B$104='الموظفون'!$B$4)*('حجز الإجازات'!$D$5:$D$104&lt;=HX$3)*(('حجز الإجازات'!$E$5:$E$104)&gt;=HX$3)*('حجز الإجازات'!$G$5:$G$104="معتمد")*ROW('حجز الإجازات'!$B$5:$B$104)))-5+1))</f>
        <v/>
      </c>
      <c r="HY6" s="62">
        <f>IF(SUMPRODUCT(('حجز الإجازات'!$B$5:$B$104='الموظفون'!$B$4)*('حجز الإجازات'!$D$5:$D$104&lt;=HY$3)*(('حجز الإجازات'!$E$5:$E$104)&gt;=HY$3)*('حجز الإجازات'!$G$5:$G$104="معتمد")*ROW('حجز الإجازات'!$B$5:$B$104))=0,"",INDEX('حجز الإجازات'!$C$5:$C$104,(SUMPRODUCT(('حجز الإجازات'!$B$5:$B$104='الموظفون'!$B$4)*('حجز الإجازات'!$D$5:$D$104&lt;=HY$3)*(('حجز الإجازات'!$E$5:$E$104)&gt;=HY$3)*('حجز الإجازات'!$G$5:$G$104="معتمد")*ROW('حجز الإجازات'!$B$5:$B$104)))-5+1))</f>
        <v/>
      </c>
      <c r="HZ6" s="62">
        <f>IF(SUMPRODUCT(('حجز الإجازات'!$B$5:$B$104='الموظفون'!$B$4)*('حجز الإجازات'!$D$5:$D$104&lt;=HZ$3)*(('حجز الإجازات'!$E$5:$E$104)&gt;=HZ$3)*('حجز الإجازات'!$G$5:$G$104="معتمد")*ROW('حجز الإجازات'!$B$5:$B$104))=0,"",INDEX('حجز الإجازات'!$C$5:$C$104,(SUMPRODUCT(('حجز الإجازات'!$B$5:$B$104='الموظفون'!$B$4)*('حجز الإجازات'!$D$5:$D$104&lt;=HZ$3)*(('حجز الإجازات'!$E$5:$E$104)&gt;=HZ$3)*('حجز الإجازات'!$G$5:$G$104="معتمد")*ROW('حجز الإجازات'!$B$5:$B$104)))-5+1))</f>
        <v/>
      </c>
      <c r="IA6" s="62">
        <f>IF(SUMPRODUCT(('حجز الإجازات'!$B$5:$B$104='الموظفون'!$B$4)*('حجز الإجازات'!$D$5:$D$104&lt;=IA$3)*(('حجز الإجازات'!$E$5:$E$104)&gt;=IA$3)*('حجز الإجازات'!$G$5:$G$104="معتمد")*ROW('حجز الإجازات'!$B$5:$B$104))=0,"",INDEX('حجز الإجازات'!$C$5:$C$104,(SUMPRODUCT(('حجز الإجازات'!$B$5:$B$104='الموظفون'!$B$4)*('حجز الإجازات'!$D$5:$D$104&lt;=IA$3)*(('حجز الإجازات'!$E$5:$E$104)&gt;=IA$3)*('حجز الإجازات'!$G$5:$G$104="معتمد")*ROW('حجز الإجازات'!$B$5:$B$104)))-5+1))</f>
        <v/>
      </c>
      <c r="IB6" s="62">
        <f>IF(SUMPRODUCT(('حجز الإجازات'!$B$5:$B$104='الموظفون'!$B$4)*('حجز الإجازات'!$D$5:$D$104&lt;=IB$3)*(('حجز الإجازات'!$E$5:$E$104)&gt;=IB$3)*('حجز الإجازات'!$G$5:$G$104="معتمد")*ROW('حجز الإجازات'!$B$5:$B$104))=0,"",INDEX('حجز الإجازات'!$C$5:$C$104,(SUMPRODUCT(('حجز الإجازات'!$B$5:$B$104='الموظفون'!$B$4)*('حجز الإجازات'!$D$5:$D$104&lt;=IB$3)*(('حجز الإجازات'!$E$5:$E$104)&gt;=IB$3)*('حجز الإجازات'!$G$5:$G$104="معتمد")*ROW('حجز الإجازات'!$B$5:$B$104)))-5+1))</f>
        <v/>
      </c>
      <c r="IC6" s="62">
        <f>IF(SUMPRODUCT(('حجز الإجازات'!$B$5:$B$104='الموظفون'!$B$4)*('حجز الإجازات'!$D$5:$D$104&lt;=IC$3)*(('حجز الإجازات'!$E$5:$E$104)&gt;=IC$3)*('حجز الإجازات'!$G$5:$G$104="معتمد")*ROW('حجز الإجازات'!$B$5:$B$104))=0,"",INDEX('حجز الإجازات'!$C$5:$C$104,(SUMPRODUCT(('حجز الإجازات'!$B$5:$B$104='الموظفون'!$B$4)*('حجز الإجازات'!$D$5:$D$104&lt;=IC$3)*(('حجز الإجازات'!$E$5:$E$104)&gt;=IC$3)*('حجز الإجازات'!$G$5:$G$104="معتمد")*ROW('حجز الإجازات'!$B$5:$B$104)))-5+1))</f>
        <v/>
      </c>
      <c r="ID6" s="62">
        <f>IF(SUMPRODUCT(('حجز الإجازات'!$B$5:$B$104='الموظفون'!$B$4)*('حجز الإجازات'!$D$5:$D$104&lt;=ID$3)*(('حجز الإجازات'!$E$5:$E$104)&gt;=ID$3)*('حجز الإجازات'!$G$5:$G$104="معتمد")*ROW('حجز الإجازات'!$B$5:$B$104))=0,"",INDEX('حجز الإجازات'!$C$5:$C$104,(SUMPRODUCT(('حجز الإجازات'!$B$5:$B$104='الموظفون'!$B$4)*('حجز الإجازات'!$D$5:$D$104&lt;=ID$3)*(('حجز الإجازات'!$E$5:$E$104)&gt;=ID$3)*('حجز الإجازات'!$G$5:$G$104="معتمد")*ROW('حجز الإجازات'!$B$5:$B$104)))-5+1))</f>
        <v/>
      </c>
      <c r="IE6" s="62">
        <f>IF(SUMPRODUCT(('حجز الإجازات'!$B$5:$B$104='الموظفون'!$B$4)*('حجز الإجازات'!$D$5:$D$104&lt;=IE$3)*(('حجز الإجازات'!$E$5:$E$104)&gt;=IE$3)*('حجز الإجازات'!$G$5:$G$104="معتمد")*ROW('حجز الإجازات'!$B$5:$B$104))=0,"",INDEX('حجز الإجازات'!$C$5:$C$104,(SUMPRODUCT(('حجز الإجازات'!$B$5:$B$104='الموظفون'!$B$4)*('حجز الإجازات'!$D$5:$D$104&lt;=IE$3)*(('حجز الإجازات'!$E$5:$E$104)&gt;=IE$3)*('حجز الإجازات'!$G$5:$G$104="معتمد")*ROW('حجز الإجازات'!$B$5:$B$104)))-5+1))</f>
        <v/>
      </c>
      <c r="IF6" s="62">
        <f>IF(SUMPRODUCT(('حجز الإجازات'!$B$5:$B$104='الموظفون'!$B$4)*('حجز الإجازات'!$D$5:$D$104&lt;=IF$3)*(('حجز الإجازات'!$E$5:$E$104)&gt;=IF$3)*('حجز الإجازات'!$G$5:$G$104="معتمد")*ROW('حجز الإجازات'!$B$5:$B$104))=0,"",INDEX('حجز الإجازات'!$C$5:$C$104,(SUMPRODUCT(('حجز الإجازات'!$B$5:$B$104='الموظفون'!$B$4)*('حجز الإجازات'!$D$5:$D$104&lt;=IF$3)*(('حجز الإجازات'!$E$5:$E$104)&gt;=IF$3)*('حجز الإجازات'!$G$5:$G$104="معتمد")*ROW('حجز الإجازات'!$B$5:$B$104)))-5+1))</f>
        <v/>
      </c>
      <c r="IG6" s="62">
        <f>IF(SUMPRODUCT(('حجز الإجازات'!$B$5:$B$104='الموظفون'!$B$4)*('حجز الإجازات'!$D$5:$D$104&lt;=IG$3)*(('حجز الإجازات'!$E$5:$E$104)&gt;=IG$3)*('حجز الإجازات'!$G$5:$G$104="معتمد")*ROW('حجز الإجازات'!$B$5:$B$104))=0,"",INDEX('حجز الإجازات'!$C$5:$C$104,(SUMPRODUCT(('حجز الإجازات'!$B$5:$B$104='الموظفون'!$B$4)*('حجز الإجازات'!$D$5:$D$104&lt;=IG$3)*(('حجز الإجازات'!$E$5:$E$104)&gt;=IG$3)*('حجز الإجازات'!$G$5:$G$104="معتمد")*ROW('حجز الإجازات'!$B$5:$B$104)))-5+1))</f>
        <v/>
      </c>
      <c r="IH6" s="62">
        <f>IF(SUMPRODUCT(('حجز الإجازات'!$B$5:$B$104='الموظفون'!$B$4)*('حجز الإجازات'!$D$5:$D$104&lt;=IH$3)*(('حجز الإجازات'!$E$5:$E$104)&gt;=IH$3)*('حجز الإجازات'!$G$5:$G$104="معتمد")*ROW('حجز الإجازات'!$B$5:$B$104))=0,"",INDEX('حجز الإجازات'!$C$5:$C$104,(SUMPRODUCT(('حجز الإجازات'!$B$5:$B$104='الموظفون'!$B$4)*('حجز الإجازات'!$D$5:$D$104&lt;=IH$3)*(('حجز الإجازات'!$E$5:$E$104)&gt;=IH$3)*('حجز الإجازات'!$G$5:$G$104="معتمد")*ROW('حجز الإجازات'!$B$5:$B$104)))-5+1))</f>
        <v/>
      </c>
      <c r="II6" s="62">
        <f>IF(SUMPRODUCT(('حجز الإجازات'!$B$5:$B$104='الموظفون'!$B$4)*('حجز الإجازات'!$D$5:$D$104&lt;=II$3)*(('حجز الإجازات'!$E$5:$E$104)&gt;=II$3)*('حجز الإجازات'!$G$5:$G$104="معتمد")*ROW('حجز الإجازات'!$B$5:$B$104))=0,"",INDEX('حجز الإجازات'!$C$5:$C$104,(SUMPRODUCT(('حجز الإجازات'!$B$5:$B$104='الموظفون'!$B$4)*('حجز الإجازات'!$D$5:$D$104&lt;=II$3)*(('حجز الإجازات'!$E$5:$E$104)&gt;=II$3)*('حجز الإجازات'!$G$5:$G$104="معتمد")*ROW('حجز الإجازات'!$B$5:$B$104)))-5+1))</f>
        <v/>
      </c>
      <c r="IJ6" s="62">
        <f>IF(SUMPRODUCT(('حجز الإجازات'!$B$5:$B$104='الموظفون'!$B$4)*('حجز الإجازات'!$D$5:$D$104&lt;=IJ$3)*(('حجز الإجازات'!$E$5:$E$104)&gt;=IJ$3)*('حجز الإجازات'!$G$5:$G$104="معتمد")*ROW('حجز الإجازات'!$B$5:$B$104))=0,"",INDEX('حجز الإجازات'!$C$5:$C$104,(SUMPRODUCT(('حجز الإجازات'!$B$5:$B$104='الموظفون'!$B$4)*('حجز الإجازات'!$D$5:$D$104&lt;=IJ$3)*(('حجز الإجازات'!$E$5:$E$104)&gt;=IJ$3)*('حجز الإجازات'!$G$5:$G$104="معتمد")*ROW('حجز الإجازات'!$B$5:$B$104)))-5+1))</f>
        <v/>
      </c>
      <c r="IK6" s="62">
        <f>IF(SUMPRODUCT(('حجز الإجازات'!$B$5:$B$104='الموظفون'!$B$4)*('حجز الإجازات'!$D$5:$D$104&lt;=IK$3)*(('حجز الإجازات'!$E$5:$E$104)&gt;=IK$3)*('حجز الإجازات'!$G$5:$G$104="معتمد")*ROW('حجز الإجازات'!$B$5:$B$104))=0,"",INDEX('حجز الإجازات'!$C$5:$C$104,(SUMPRODUCT(('حجز الإجازات'!$B$5:$B$104='الموظفون'!$B$4)*('حجز الإجازات'!$D$5:$D$104&lt;=IK$3)*(('حجز الإجازات'!$E$5:$E$104)&gt;=IK$3)*('حجز الإجازات'!$G$5:$G$104="معتمد")*ROW('حجز الإجازات'!$B$5:$B$104)))-5+1))</f>
        <v/>
      </c>
      <c r="IL6" s="62">
        <f>IF(SUMPRODUCT(('حجز الإجازات'!$B$5:$B$104='الموظفون'!$B$4)*('حجز الإجازات'!$D$5:$D$104&lt;=IL$3)*(('حجز الإجازات'!$E$5:$E$104)&gt;=IL$3)*('حجز الإجازات'!$G$5:$G$104="معتمد")*ROW('حجز الإجازات'!$B$5:$B$104))=0,"",INDEX('حجز الإجازات'!$C$5:$C$104,(SUMPRODUCT(('حجز الإجازات'!$B$5:$B$104='الموظفون'!$B$4)*('حجز الإجازات'!$D$5:$D$104&lt;=IL$3)*(('حجز الإجازات'!$E$5:$E$104)&gt;=IL$3)*('حجز الإجازات'!$G$5:$G$104="معتمد")*ROW('حجز الإجازات'!$B$5:$B$104)))-5+1))</f>
        <v/>
      </c>
      <c r="IM6" s="62">
        <f>IF(SUMPRODUCT(('حجز الإجازات'!$B$5:$B$104='الموظفون'!$B$4)*('حجز الإجازات'!$D$5:$D$104&lt;=IM$3)*(('حجز الإجازات'!$E$5:$E$104)&gt;=IM$3)*('حجز الإجازات'!$G$5:$G$104="معتمد")*ROW('حجز الإجازات'!$B$5:$B$104))=0,"",INDEX('حجز الإجازات'!$C$5:$C$104,(SUMPRODUCT(('حجز الإجازات'!$B$5:$B$104='الموظفون'!$B$4)*('حجز الإجازات'!$D$5:$D$104&lt;=IM$3)*(('حجز الإجازات'!$E$5:$E$104)&gt;=IM$3)*('حجز الإجازات'!$G$5:$G$104="معتمد")*ROW('حجز الإجازات'!$B$5:$B$104)))-5+1))</f>
        <v/>
      </c>
      <c r="IN6" s="62">
        <f>IF(SUMPRODUCT(('حجز الإجازات'!$B$5:$B$104='الموظفون'!$B$4)*('حجز الإجازات'!$D$5:$D$104&lt;=IN$3)*(('حجز الإجازات'!$E$5:$E$104)&gt;=IN$3)*('حجز الإجازات'!$G$5:$G$104="معتمد")*ROW('حجز الإجازات'!$B$5:$B$104))=0,"",INDEX('حجز الإجازات'!$C$5:$C$104,(SUMPRODUCT(('حجز الإجازات'!$B$5:$B$104='الموظفون'!$B$4)*('حجز الإجازات'!$D$5:$D$104&lt;=IN$3)*(('حجز الإجازات'!$E$5:$E$104)&gt;=IN$3)*('حجز الإجازات'!$G$5:$G$104="معتمد")*ROW('حجز الإجازات'!$B$5:$B$104)))-5+1))</f>
        <v/>
      </c>
      <c r="IO6" s="62">
        <f>IF(SUMPRODUCT(('حجز الإجازات'!$B$5:$B$104='الموظفون'!$B$4)*('حجز الإجازات'!$D$5:$D$104&lt;=IO$3)*(('حجز الإجازات'!$E$5:$E$104)&gt;=IO$3)*('حجز الإجازات'!$G$5:$G$104="معتمد")*ROW('حجز الإجازات'!$B$5:$B$104))=0,"",INDEX('حجز الإجازات'!$C$5:$C$104,(SUMPRODUCT(('حجز الإجازات'!$B$5:$B$104='الموظفون'!$B$4)*('حجز الإجازات'!$D$5:$D$104&lt;=IO$3)*(('حجز الإجازات'!$E$5:$E$104)&gt;=IO$3)*('حجز الإجازات'!$G$5:$G$104="معتمد")*ROW('حجز الإجازات'!$B$5:$B$104)))-5+1))</f>
        <v/>
      </c>
      <c r="IP6" s="62">
        <f>IF(SUMPRODUCT(('حجز الإجازات'!$B$5:$B$104='الموظفون'!$B$4)*('حجز الإجازات'!$D$5:$D$104&lt;=IP$3)*(('حجز الإجازات'!$E$5:$E$104)&gt;=IP$3)*('حجز الإجازات'!$G$5:$G$104="معتمد")*ROW('حجز الإجازات'!$B$5:$B$104))=0,"",INDEX('حجز الإجازات'!$C$5:$C$104,(SUMPRODUCT(('حجز الإجازات'!$B$5:$B$104='الموظفون'!$B$4)*('حجز الإجازات'!$D$5:$D$104&lt;=IP$3)*(('حجز الإجازات'!$E$5:$E$104)&gt;=IP$3)*('حجز الإجازات'!$G$5:$G$104="معتمد")*ROW('حجز الإجازات'!$B$5:$B$104)))-5+1))</f>
        <v/>
      </c>
      <c r="IQ6" s="62">
        <f>IF(SUMPRODUCT(('حجز الإجازات'!$B$5:$B$104='الموظفون'!$B$4)*('حجز الإجازات'!$D$5:$D$104&lt;=IQ$3)*(('حجز الإجازات'!$E$5:$E$104)&gt;=IQ$3)*('حجز الإجازات'!$G$5:$G$104="معتمد")*ROW('حجز الإجازات'!$B$5:$B$104))=0,"",INDEX('حجز الإجازات'!$C$5:$C$104,(SUMPRODUCT(('حجز الإجازات'!$B$5:$B$104='الموظفون'!$B$4)*('حجز الإجازات'!$D$5:$D$104&lt;=IQ$3)*(('حجز الإجازات'!$E$5:$E$104)&gt;=IQ$3)*('حجز الإجازات'!$G$5:$G$104="معتمد")*ROW('حجز الإجازات'!$B$5:$B$104)))-5+1))</f>
        <v/>
      </c>
      <c r="IR6" s="62">
        <f>IF(SUMPRODUCT(('حجز الإجازات'!$B$5:$B$104='الموظفون'!$B$4)*('حجز الإجازات'!$D$5:$D$104&lt;=IR$3)*(('حجز الإجازات'!$E$5:$E$104)&gt;=IR$3)*('حجز الإجازات'!$G$5:$G$104="معتمد")*ROW('حجز الإجازات'!$B$5:$B$104))=0,"",INDEX('حجز الإجازات'!$C$5:$C$104,(SUMPRODUCT(('حجز الإجازات'!$B$5:$B$104='الموظفون'!$B$4)*('حجز الإجازات'!$D$5:$D$104&lt;=IR$3)*(('حجز الإجازات'!$E$5:$E$104)&gt;=IR$3)*('حجز الإجازات'!$G$5:$G$104="معتمد")*ROW('حجز الإجازات'!$B$5:$B$104)))-5+1))</f>
        <v/>
      </c>
      <c r="IS6" s="62">
        <f>IF(SUMPRODUCT(('حجز الإجازات'!$B$5:$B$104='الموظفون'!$B$4)*('حجز الإجازات'!$D$5:$D$104&lt;=IS$3)*(('حجز الإجازات'!$E$5:$E$104)&gt;=IS$3)*('حجز الإجازات'!$G$5:$G$104="معتمد")*ROW('حجز الإجازات'!$B$5:$B$104))=0,"",INDEX('حجز الإجازات'!$C$5:$C$104,(SUMPRODUCT(('حجز الإجازات'!$B$5:$B$104='الموظفون'!$B$4)*('حجز الإجازات'!$D$5:$D$104&lt;=IS$3)*(('حجز الإجازات'!$E$5:$E$104)&gt;=IS$3)*('حجز الإجازات'!$G$5:$G$104="معتمد")*ROW('حجز الإجازات'!$B$5:$B$104)))-5+1))</f>
        <v/>
      </c>
      <c r="IT6" s="62">
        <f>IF(SUMPRODUCT(('حجز الإجازات'!$B$5:$B$104='الموظفون'!$B$4)*('حجز الإجازات'!$D$5:$D$104&lt;=IT$3)*(('حجز الإجازات'!$E$5:$E$104)&gt;=IT$3)*('حجز الإجازات'!$G$5:$G$104="معتمد")*ROW('حجز الإجازات'!$B$5:$B$104))=0,"",INDEX('حجز الإجازات'!$C$5:$C$104,(SUMPRODUCT(('حجز الإجازات'!$B$5:$B$104='الموظفون'!$B$4)*('حجز الإجازات'!$D$5:$D$104&lt;=IT$3)*(('حجز الإجازات'!$E$5:$E$104)&gt;=IT$3)*('حجز الإجازات'!$G$5:$G$104="معتمد")*ROW('حجز الإجازات'!$B$5:$B$104)))-5+1))</f>
        <v/>
      </c>
      <c r="IU6" s="62">
        <f>IF(SUMPRODUCT(('حجز الإجازات'!$B$5:$B$104='الموظفون'!$B$4)*('حجز الإجازات'!$D$5:$D$104&lt;=IU$3)*(('حجز الإجازات'!$E$5:$E$104)&gt;=IU$3)*('حجز الإجازات'!$G$5:$G$104="معتمد")*ROW('حجز الإجازات'!$B$5:$B$104))=0,"",INDEX('حجز الإجازات'!$C$5:$C$104,(SUMPRODUCT(('حجز الإجازات'!$B$5:$B$104='الموظفون'!$B$4)*('حجز الإجازات'!$D$5:$D$104&lt;=IU$3)*(('حجز الإجازات'!$E$5:$E$104)&gt;=IU$3)*('حجز الإجازات'!$G$5:$G$104="معتمد")*ROW('حجز الإجازات'!$B$5:$B$104)))-5+1))</f>
        <v/>
      </c>
      <c r="IV6" s="62">
        <f>IF(SUMPRODUCT(('حجز الإجازات'!$B$5:$B$104='الموظفون'!$B$4)*('حجز الإجازات'!$D$5:$D$104&lt;=IV$3)*(('حجز الإجازات'!$E$5:$E$104)&gt;=IV$3)*('حجز الإجازات'!$G$5:$G$104="معتمد")*ROW('حجز الإجازات'!$B$5:$B$104))=0,"",INDEX('حجز الإجازات'!$C$5:$C$104,(SUMPRODUCT(('حجز الإجازات'!$B$5:$B$104='الموظفون'!$B$4)*('حجز الإجازات'!$D$5:$D$104&lt;=IV$3)*(('حجز الإجازات'!$E$5:$E$104)&gt;=IV$3)*('حجز الإجازات'!$G$5:$G$104="معتمد")*ROW('حجز الإجازات'!$B$5:$B$104)))-5+1))</f>
        <v/>
      </c>
      <c r="IW6" s="62">
        <f>IF(SUMPRODUCT(('حجز الإجازات'!$B$5:$B$104='الموظفون'!$B$4)*('حجز الإجازات'!$D$5:$D$104&lt;=IW$3)*(('حجز الإجازات'!$E$5:$E$104)&gt;=IW$3)*('حجز الإجازات'!$G$5:$G$104="معتمد")*ROW('حجز الإجازات'!$B$5:$B$104))=0,"",INDEX('حجز الإجازات'!$C$5:$C$104,(SUMPRODUCT(('حجز الإجازات'!$B$5:$B$104='الموظفون'!$B$4)*('حجز الإجازات'!$D$5:$D$104&lt;=IW$3)*(('حجز الإجازات'!$E$5:$E$104)&gt;=IW$3)*('حجز الإجازات'!$G$5:$G$104="معتمد")*ROW('حجز الإجازات'!$B$5:$B$104)))-5+1))</f>
        <v/>
      </c>
      <c r="IX6" s="62">
        <f>IF(SUMPRODUCT(('حجز الإجازات'!$B$5:$B$104='الموظفون'!$B$4)*('حجز الإجازات'!$D$5:$D$104&lt;=IX$3)*(('حجز الإجازات'!$E$5:$E$104)&gt;=IX$3)*('حجز الإجازات'!$G$5:$G$104="معتمد")*ROW('حجز الإجازات'!$B$5:$B$104))=0,"",INDEX('حجز الإجازات'!$C$5:$C$104,(SUMPRODUCT(('حجز الإجازات'!$B$5:$B$104='الموظفون'!$B$4)*('حجز الإجازات'!$D$5:$D$104&lt;=IX$3)*(('حجز الإجازات'!$E$5:$E$104)&gt;=IX$3)*('حجز الإجازات'!$G$5:$G$104="معتمد")*ROW('حجز الإجازات'!$B$5:$B$104)))-5+1))</f>
        <v/>
      </c>
      <c r="IY6" s="62">
        <f>IF(SUMPRODUCT(('حجز الإجازات'!$B$5:$B$104='الموظفون'!$B$4)*('حجز الإجازات'!$D$5:$D$104&lt;=IY$3)*(('حجز الإجازات'!$E$5:$E$104)&gt;=IY$3)*('حجز الإجازات'!$G$5:$G$104="معتمد")*ROW('حجز الإجازات'!$B$5:$B$104))=0,"",INDEX('حجز الإجازات'!$C$5:$C$104,(SUMPRODUCT(('حجز الإجازات'!$B$5:$B$104='الموظفون'!$B$4)*('حجز الإجازات'!$D$5:$D$104&lt;=IY$3)*(('حجز الإجازات'!$E$5:$E$104)&gt;=IY$3)*('حجز الإجازات'!$G$5:$G$104="معتمد")*ROW('حجز الإجازات'!$B$5:$B$104)))-5+1))</f>
        <v/>
      </c>
      <c r="IZ6" s="62">
        <f>IF(SUMPRODUCT(('حجز الإجازات'!$B$5:$B$104='الموظفون'!$B$4)*('حجز الإجازات'!$D$5:$D$104&lt;=IZ$3)*(('حجز الإجازات'!$E$5:$E$104)&gt;=IZ$3)*('حجز الإجازات'!$G$5:$G$104="معتمد")*ROW('حجز الإجازات'!$B$5:$B$104))=0,"",INDEX('حجز الإجازات'!$C$5:$C$104,(SUMPRODUCT(('حجز الإجازات'!$B$5:$B$104='الموظفون'!$B$4)*('حجز الإجازات'!$D$5:$D$104&lt;=IZ$3)*(('حجز الإجازات'!$E$5:$E$104)&gt;=IZ$3)*('حجز الإجازات'!$G$5:$G$104="معتمد")*ROW('حجز الإجازات'!$B$5:$B$104)))-5+1))</f>
        <v/>
      </c>
      <c r="JA6" s="62">
        <f>IF(SUMPRODUCT(('حجز الإجازات'!$B$5:$B$104='الموظفون'!$B$4)*('حجز الإجازات'!$D$5:$D$104&lt;=JA$3)*(('حجز الإجازات'!$E$5:$E$104)&gt;=JA$3)*('حجز الإجازات'!$G$5:$G$104="معتمد")*ROW('حجز الإجازات'!$B$5:$B$104))=0,"",INDEX('حجز الإجازات'!$C$5:$C$104,(SUMPRODUCT(('حجز الإجازات'!$B$5:$B$104='الموظفون'!$B$4)*('حجز الإجازات'!$D$5:$D$104&lt;=JA$3)*(('حجز الإجازات'!$E$5:$E$104)&gt;=JA$3)*('حجز الإجازات'!$G$5:$G$104="معتمد")*ROW('حجز الإجازات'!$B$5:$B$104)))-5+1))</f>
        <v/>
      </c>
      <c r="JB6" s="62">
        <f>IF(SUMPRODUCT(('حجز الإجازات'!$B$5:$B$104='الموظفون'!$B$4)*('حجز الإجازات'!$D$5:$D$104&lt;=JB$3)*(('حجز الإجازات'!$E$5:$E$104)&gt;=JB$3)*('حجز الإجازات'!$G$5:$G$104="معتمد")*ROW('حجز الإجازات'!$B$5:$B$104))=0,"",INDEX('حجز الإجازات'!$C$5:$C$104,(SUMPRODUCT(('حجز الإجازات'!$B$5:$B$104='الموظفون'!$B$4)*('حجز الإجازات'!$D$5:$D$104&lt;=JB$3)*(('حجز الإجازات'!$E$5:$E$104)&gt;=JB$3)*('حجز الإجازات'!$G$5:$G$104="معتمد")*ROW('حجز الإجازات'!$B$5:$B$104)))-5+1))</f>
        <v/>
      </c>
      <c r="JC6" s="62">
        <f>IF(SUMPRODUCT(('حجز الإجازات'!$B$5:$B$104='الموظفون'!$B$4)*('حجز الإجازات'!$D$5:$D$104&lt;=JC$3)*(('حجز الإجازات'!$E$5:$E$104)&gt;=JC$3)*('حجز الإجازات'!$G$5:$G$104="معتمد")*ROW('حجز الإجازات'!$B$5:$B$104))=0,"",INDEX('حجز الإجازات'!$C$5:$C$104,(SUMPRODUCT(('حجز الإجازات'!$B$5:$B$104='الموظفون'!$B$4)*('حجز الإجازات'!$D$5:$D$104&lt;=JC$3)*(('حجز الإجازات'!$E$5:$E$104)&gt;=JC$3)*('حجز الإجازات'!$G$5:$G$104="معتمد")*ROW('حجز الإجازات'!$B$5:$B$104)))-5+1))</f>
        <v/>
      </c>
      <c r="JD6" s="62">
        <f>IF(SUMPRODUCT(('حجز الإجازات'!$B$5:$B$104='الموظفون'!$B$4)*('حجز الإجازات'!$D$5:$D$104&lt;=JD$3)*(('حجز الإجازات'!$E$5:$E$104)&gt;=JD$3)*('حجز الإجازات'!$G$5:$G$104="معتمد")*ROW('حجز الإجازات'!$B$5:$B$104))=0,"",INDEX('حجز الإجازات'!$C$5:$C$104,(SUMPRODUCT(('حجز الإجازات'!$B$5:$B$104='الموظفون'!$B$4)*('حجز الإجازات'!$D$5:$D$104&lt;=JD$3)*(('حجز الإجازات'!$E$5:$E$104)&gt;=JD$3)*('حجز الإجازات'!$G$5:$G$104="معتمد")*ROW('حجز الإجازات'!$B$5:$B$104)))-5+1))</f>
        <v/>
      </c>
      <c r="JE6" s="62">
        <f>IF(SUMPRODUCT(('حجز الإجازات'!$B$5:$B$104='الموظفون'!$B$4)*('حجز الإجازات'!$D$5:$D$104&lt;=JE$3)*(('حجز الإجازات'!$E$5:$E$104)&gt;=JE$3)*('حجز الإجازات'!$G$5:$G$104="معتمد")*ROW('حجز الإجازات'!$B$5:$B$104))=0,"",INDEX('حجز الإجازات'!$C$5:$C$104,(SUMPRODUCT(('حجز الإجازات'!$B$5:$B$104='الموظفون'!$B$4)*('حجز الإجازات'!$D$5:$D$104&lt;=JE$3)*(('حجز الإجازات'!$E$5:$E$104)&gt;=JE$3)*('حجز الإجازات'!$G$5:$G$104="معتمد")*ROW('حجز الإجازات'!$B$5:$B$104)))-5+1))</f>
        <v/>
      </c>
      <c r="JF6" s="62">
        <f>IF(SUMPRODUCT(('حجز الإجازات'!$B$5:$B$104='الموظفون'!$B$4)*('حجز الإجازات'!$D$5:$D$104&lt;=JF$3)*(('حجز الإجازات'!$E$5:$E$104)&gt;=JF$3)*('حجز الإجازات'!$G$5:$G$104="معتمد")*ROW('حجز الإجازات'!$B$5:$B$104))=0,"",INDEX('حجز الإجازات'!$C$5:$C$104,(SUMPRODUCT(('حجز الإجازات'!$B$5:$B$104='الموظفون'!$B$4)*('حجز الإجازات'!$D$5:$D$104&lt;=JF$3)*(('حجز الإجازات'!$E$5:$E$104)&gt;=JF$3)*('حجز الإجازات'!$G$5:$G$104="معتمد")*ROW('حجز الإجازات'!$B$5:$B$104)))-5+1))</f>
        <v/>
      </c>
      <c r="JG6" s="62">
        <f>IF(SUMPRODUCT(('حجز الإجازات'!$B$5:$B$104='الموظفون'!$B$4)*('حجز الإجازات'!$D$5:$D$104&lt;=JG$3)*(('حجز الإجازات'!$E$5:$E$104)&gt;=JG$3)*('حجز الإجازات'!$G$5:$G$104="معتمد")*ROW('حجز الإجازات'!$B$5:$B$104))=0,"",INDEX('حجز الإجازات'!$C$5:$C$104,(SUMPRODUCT(('حجز الإجازات'!$B$5:$B$104='الموظفون'!$B$4)*('حجز الإجازات'!$D$5:$D$104&lt;=JG$3)*(('حجز الإجازات'!$E$5:$E$104)&gt;=JG$3)*('حجز الإجازات'!$G$5:$G$104="معتمد")*ROW('حجز الإجازات'!$B$5:$B$104)))-5+1))</f>
        <v/>
      </c>
      <c r="JH6" s="62">
        <f>IF(SUMPRODUCT(('حجز الإجازات'!$B$5:$B$104='الموظفون'!$B$4)*('حجز الإجازات'!$D$5:$D$104&lt;=JH$3)*(('حجز الإجازات'!$E$5:$E$104)&gt;=JH$3)*('حجز الإجازات'!$G$5:$G$104="معتمد")*ROW('حجز الإجازات'!$B$5:$B$104))=0,"",INDEX('حجز الإجازات'!$C$5:$C$104,(SUMPRODUCT(('حجز الإجازات'!$B$5:$B$104='الموظفون'!$B$4)*('حجز الإجازات'!$D$5:$D$104&lt;=JH$3)*(('حجز الإجازات'!$E$5:$E$104)&gt;=JH$3)*('حجز الإجازات'!$G$5:$G$104="معتمد")*ROW('حجز الإجازات'!$B$5:$B$104)))-5+1))</f>
        <v/>
      </c>
      <c r="JI6" s="62">
        <f>IF(SUMPRODUCT(('حجز الإجازات'!$B$5:$B$104='الموظفون'!$B$4)*('حجز الإجازات'!$D$5:$D$104&lt;=JI$3)*(('حجز الإجازات'!$E$5:$E$104)&gt;=JI$3)*('حجز الإجازات'!$G$5:$G$104="معتمد")*ROW('حجز الإجازات'!$B$5:$B$104))=0,"",INDEX('حجز الإجازات'!$C$5:$C$104,(SUMPRODUCT(('حجز الإجازات'!$B$5:$B$104='الموظفون'!$B$4)*('حجز الإجازات'!$D$5:$D$104&lt;=JI$3)*(('حجز الإجازات'!$E$5:$E$104)&gt;=JI$3)*('حجز الإجازات'!$G$5:$G$104="معتمد")*ROW('حجز الإجازات'!$B$5:$B$104)))-5+1))</f>
        <v/>
      </c>
      <c r="JJ6" s="62">
        <f>IF(SUMPRODUCT(('حجز الإجازات'!$B$5:$B$104='الموظفون'!$B$4)*('حجز الإجازات'!$D$5:$D$104&lt;=JJ$3)*(('حجز الإجازات'!$E$5:$E$104)&gt;=JJ$3)*('حجز الإجازات'!$G$5:$G$104="معتمد")*ROW('حجز الإجازات'!$B$5:$B$104))=0,"",INDEX('حجز الإجازات'!$C$5:$C$104,(SUMPRODUCT(('حجز الإجازات'!$B$5:$B$104='الموظفون'!$B$4)*('حجز الإجازات'!$D$5:$D$104&lt;=JJ$3)*(('حجز الإجازات'!$E$5:$E$104)&gt;=JJ$3)*('حجز الإجازات'!$G$5:$G$104="معتمد")*ROW('حجز الإجازات'!$B$5:$B$104)))-5+1))</f>
        <v/>
      </c>
      <c r="JK6" s="62">
        <f>IF(SUMPRODUCT(('حجز الإجازات'!$B$5:$B$104='الموظفون'!$B$4)*('حجز الإجازات'!$D$5:$D$104&lt;=JK$3)*(('حجز الإجازات'!$E$5:$E$104)&gt;=JK$3)*('حجز الإجازات'!$G$5:$G$104="معتمد")*ROW('حجز الإجازات'!$B$5:$B$104))=0,"",INDEX('حجز الإجازات'!$C$5:$C$104,(SUMPRODUCT(('حجز الإجازات'!$B$5:$B$104='الموظفون'!$B$4)*('حجز الإجازات'!$D$5:$D$104&lt;=JK$3)*(('حجز الإجازات'!$E$5:$E$104)&gt;=JK$3)*('حجز الإجازات'!$G$5:$G$104="معتمد")*ROW('حجز الإجازات'!$B$5:$B$104)))-5+1))</f>
        <v/>
      </c>
      <c r="JL6" s="62">
        <f>IF(SUMPRODUCT(('حجز الإجازات'!$B$5:$B$104='الموظفون'!$B$4)*('حجز الإجازات'!$D$5:$D$104&lt;=JL$3)*(('حجز الإجازات'!$E$5:$E$104)&gt;=JL$3)*('حجز الإجازات'!$G$5:$G$104="معتمد")*ROW('حجز الإجازات'!$B$5:$B$104))=0,"",INDEX('حجز الإجازات'!$C$5:$C$104,(SUMPRODUCT(('حجز الإجازات'!$B$5:$B$104='الموظفون'!$B$4)*('حجز الإجازات'!$D$5:$D$104&lt;=JL$3)*(('حجز الإجازات'!$E$5:$E$104)&gt;=JL$3)*('حجز الإجازات'!$G$5:$G$104="معتمد")*ROW('حجز الإجازات'!$B$5:$B$104)))-5+1))</f>
        <v/>
      </c>
      <c r="JM6" s="62">
        <f>IF(SUMPRODUCT(('حجز الإجازات'!$B$5:$B$104='الموظفون'!$B$4)*('حجز الإجازات'!$D$5:$D$104&lt;=JM$3)*(('حجز الإجازات'!$E$5:$E$104)&gt;=JM$3)*('حجز الإجازات'!$G$5:$G$104="معتمد")*ROW('حجز الإجازات'!$B$5:$B$104))=0,"",INDEX('حجز الإجازات'!$C$5:$C$104,(SUMPRODUCT(('حجز الإجازات'!$B$5:$B$104='الموظفون'!$B$4)*('حجز الإجازات'!$D$5:$D$104&lt;=JM$3)*(('حجز الإجازات'!$E$5:$E$104)&gt;=JM$3)*('حجز الإجازات'!$G$5:$G$104="معتمد")*ROW('حجز الإجازات'!$B$5:$B$104)))-5+1))</f>
        <v/>
      </c>
      <c r="JN6" s="62">
        <f>IF(SUMPRODUCT(('حجز الإجازات'!$B$5:$B$104='الموظفون'!$B$4)*('حجز الإجازات'!$D$5:$D$104&lt;=JN$3)*(('حجز الإجازات'!$E$5:$E$104)&gt;=JN$3)*('حجز الإجازات'!$G$5:$G$104="معتمد")*ROW('حجز الإجازات'!$B$5:$B$104))=0,"",INDEX('حجز الإجازات'!$C$5:$C$104,(SUMPRODUCT(('حجز الإجازات'!$B$5:$B$104='الموظفون'!$B$4)*('حجز الإجازات'!$D$5:$D$104&lt;=JN$3)*(('حجز الإجازات'!$E$5:$E$104)&gt;=JN$3)*('حجز الإجازات'!$G$5:$G$104="معتمد")*ROW('حجز الإجازات'!$B$5:$B$104)))-5+1))</f>
        <v/>
      </c>
      <c r="JO6" s="62">
        <f>IF(SUMPRODUCT(('حجز الإجازات'!$B$5:$B$104='الموظفون'!$B$4)*('حجز الإجازات'!$D$5:$D$104&lt;=JO$3)*(('حجز الإجازات'!$E$5:$E$104)&gt;=JO$3)*('حجز الإجازات'!$G$5:$G$104="معتمد")*ROW('حجز الإجازات'!$B$5:$B$104))=0,"",INDEX('حجز الإجازات'!$C$5:$C$104,(SUMPRODUCT(('حجز الإجازات'!$B$5:$B$104='الموظفون'!$B$4)*('حجز الإجازات'!$D$5:$D$104&lt;=JO$3)*(('حجز الإجازات'!$E$5:$E$104)&gt;=JO$3)*('حجز الإجازات'!$G$5:$G$104="معتمد")*ROW('حجز الإجازات'!$B$5:$B$104)))-5+1))</f>
        <v/>
      </c>
      <c r="JP6" s="62">
        <f>IF(SUMPRODUCT(('حجز الإجازات'!$B$5:$B$104='الموظفون'!$B$4)*('حجز الإجازات'!$D$5:$D$104&lt;=JP$3)*(('حجز الإجازات'!$E$5:$E$104)&gt;=JP$3)*('حجز الإجازات'!$G$5:$G$104="معتمد")*ROW('حجز الإجازات'!$B$5:$B$104))=0,"",INDEX('حجز الإجازات'!$C$5:$C$104,(SUMPRODUCT(('حجز الإجازات'!$B$5:$B$104='الموظفون'!$B$4)*('حجز الإجازات'!$D$5:$D$104&lt;=JP$3)*(('حجز الإجازات'!$E$5:$E$104)&gt;=JP$3)*('حجز الإجازات'!$G$5:$G$104="معتمد")*ROW('حجز الإجازات'!$B$5:$B$104)))-5+1))</f>
        <v/>
      </c>
      <c r="JQ6" s="62">
        <f>IF(SUMPRODUCT(('حجز الإجازات'!$B$5:$B$104='الموظفون'!$B$4)*('حجز الإجازات'!$D$5:$D$104&lt;=JQ$3)*(('حجز الإجازات'!$E$5:$E$104)&gt;=JQ$3)*('حجز الإجازات'!$G$5:$G$104="معتمد")*ROW('حجز الإجازات'!$B$5:$B$104))=0,"",INDEX('حجز الإجازات'!$C$5:$C$104,(SUMPRODUCT(('حجز الإجازات'!$B$5:$B$104='الموظفون'!$B$4)*('حجز الإجازات'!$D$5:$D$104&lt;=JQ$3)*(('حجز الإجازات'!$E$5:$E$104)&gt;=JQ$3)*('حجز الإجازات'!$G$5:$G$104="معتمد")*ROW('حجز الإجازات'!$B$5:$B$104)))-5+1))</f>
        <v/>
      </c>
      <c r="JR6" s="62">
        <f>IF(SUMPRODUCT(('حجز الإجازات'!$B$5:$B$104='الموظفون'!$B$4)*('حجز الإجازات'!$D$5:$D$104&lt;=JR$3)*(('حجز الإجازات'!$E$5:$E$104)&gt;=JR$3)*('حجز الإجازات'!$G$5:$G$104="معتمد")*ROW('حجز الإجازات'!$B$5:$B$104))=0,"",INDEX('حجز الإجازات'!$C$5:$C$104,(SUMPRODUCT(('حجز الإجازات'!$B$5:$B$104='الموظفون'!$B$4)*('حجز الإجازات'!$D$5:$D$104&lt;=JR$3)*(('حجز الإجازات'!$E$5:$E$104)&gt;=JR$3)*('حجز الإجازات'!$G$5:$G$104="معتمد")*ROW('حجز الإجازات'!$B$5:$B$104)))-5+1))</f>
        <v/>
      </c>
      <c r="JS6" s="62">
        <f>IF(SUMPRODUCT(('حجز الإجازات'!$B$5:$B$104='الموظفون'!$B$4)*('حجز الإجازات'!$D$5:$D$104&lt;=JS$3)*(('حجز الإجازات'!$E$5:$E$104)&gt;=JS$3)*('حجز الإجازات'!$G$5:$G$104="معتمد")*ROW('حجز الإجازات'!$B$5:$B$104))=0,"",INDEX('حجز الإجازات'!$C$5:$C$104,(SUMPRODUCT(('حجز الإجازات'!$B$5:$B$104='الموظفون'!$B$4)*('حجز الإجازات'!$D$5:$D$104&lt;=JS$3)*(('حجز الإجازات'!$E$5:$E$104)&gt;=JS$3)*('حجز الإجازات'!$G$5:$G$104="معتمد")*ROW('حجز الإجازات'!$B$5:$B$104)))-5+1))</f>
        <v/>
      </c>
      <c r="JT6" s="62">
        <f>IF(SUMPRODUCT(('حجز الإجازات'!$B$5:$B$104='الموظفون'!$B$4)*('حجز الإجازات'!$D$5:$D$104&lt;=JT$3)*(('حجز الإجازات'!$E$5:$E$104)&gt;=JT$3)*('حجز الإجازات'!$G$5:$G$104="معتمد")*ROW('حجز الإجازات'!$B$5:$B$104))=0,"",INDEX('حجز الإجازات'!$C$5:$C$104,(SUMPRODUCT(('حجز الإجازات'!$B$5:$B$104='الموظفون'!$B$4)*('حجز الإجازات'!$D$5:$D$104&lt;=JT$3)*(('حجز الإجازات'!$E$5:$E$104)&gt;=JT$3)*('حجز الإجازات'!$G$5:$G$104="معتمد")*ROW('حجز الإجازات'!$B$5:$B$104)))-5+1))</f>
        <v/>
      </c>
      <c r="JU6" s="62">
        <f>IF(SUMPRODUCT(('حجز الإجازات'!$B$5:$B$104='الموظفون'!$B$4)*('حجز الإجازات'!$D$5:$D$104&lt;=JU$3)*(('حجز الإجازات'!$E$5:$E$104)&gt;=JU$3)*('حجز الإجازات'!$G$5:$G$104="معتمد")*ROW('حجز الإجازات'!$B$5:$B$104))=0,"",INDEX('حجز الإجازات'!$C$5:$C$104,(SUMPRODUCT(('حجز الإجازات'!$B$5:$B$104='الموظفون'!$B$4)*('حجز الإجازات'!$D$5:$D$104&lt;=JU$3)*(('حجز الإجازات'!$E$5:$E$104)&gt;=JU$3)*('حجز الإجازات'!$G$5:$G$104="معتمد")*ROW('حجز الإجازات'!$B$5:$B$104)))-5+1))</f>
        <v/>
      </c>
      <c r="JV6" s="62">
        <f>IF(SUMPRODUCT(('حجز الإجازات'!$B$5:$B$104='الموظفون'!$B$4)*('حجز الإجازات'!$D$5:$D$104&lt;=JV$3)*(('حجز الإجازات'!$E$5:$E$104)&gt;=JV$3)*('حجز الإجازات'!$G$5:$G$104="معتمد")*ROW('حجز الإجازات'!$B$5:$B$104))=0,"",INDEX('حجز الإجازات'!$C$5:$C$104,(SUMPRODUCT(('حجز الإجازات'!$B$5:$B$104='الموظفون'!$B$4)*('حجز الإجازات'!$D$5:$D$104&lt;=JV$3)*(('حجز الإجازات'!$E$5:$E$104)&gt;=JV$3)*('حجز الإجازات'!$G$5:$G$104="معتمد")*ROW('حجز الإجازات'!$B$5:$B$104)))-5+1))</f>
        <v/>
      </c>
      <c r="JW6" s="62">
        <f>IF(SUMPRODUCT(('حجز الإجازات'!$B$5:$B$104='الموظفون'!$B$4)*('حجز الإجازات'!$D$5:$D$104&lt;=JW$3)*(('حجز الإجازات'!$E$5:$E$104)&gt;=JW$3)*('حجز الإجازات'!$G$5:$G$104="معتمد")*ROW('حجز الإجازات'!$B$5:$B$104))=0,"",INDEX('حجز الإجازات'!$C$5:$C$104,(SUMPRODUCT(('حجز الإجازات'!$B$5:$B$104='الموظفون'!$B$4)*('حجز الإجازات'!$D$5:$D$104&lt;=JW$3)*(('حجز الإجازات'!$E$5:$E$104)&gt;=JW$3)*('حجز الإجازات'!$G$5:$G$104="معتمد")*ROW('حجز الإجازات'!$B$5:$B$104)))-5+1))</f>
        <v/>
      </c>
      <c r="JX6" s="62">
        <f>IF(SUMPRODUCT(('حجز الإجازات'!$B$5:$B$104='الموظفون'!$B$4)*('حجز الإجازات'!$D$5:$D$104&lt;=JX$3)*(('حجز الإجازات'!$E$5:$E$104)&gt;=JX$3)*('حجز الإجازات'!$G$5:$G$104="معتمد")*ROW('حجز الإجازات'!$B$5:$B$104))=0,"",INDEX('حجز الإجازات'!$C$5:$C$104,(SUMPRODUCT(('حجز الإجازات'!$B$5:$B$104='الموظفون'!$B$4)*('حجز الإجازات'!$D$5:$D$104&lt;=JX$3)*(('حجز الإجازات'!$E$5:$E$104)&gt;=JX$3)*('حجز الإجازات'!$G$5:$G$104="معتمد")*ROW('حجز الإجازات'!$B$5:$B$104)))-5+1))</f>
        <v/>
      </c>
      <c r="JY6" s="62">
        <f>IF(SUMPRODUCT(('حجز الإجازات'!$B$5:$B$104='الموظفون'!$B$4)*('حجز الإجازات'!$D$5:$D$104&lt;=JY$3)*(('حجز الإجازات'!$E$5:$E$104)&gt;=JY$3)*('حجز الإجازات'!$G$5:$G$104="معتمد")*ROW('حجز الإجازات'!$B$5:$B$104))=0,"",INDEX('حجز الإجازات'!$C$5:$C$104,(SUMPRODUCT(('حجز الإجازات'!$B$5:$B$104='الموظفون'!$B$4)*('حجز الإجازات'!$D$5:$D$104&lt;=JY$3)*(('حجز الإجازات'!$E$5:$E$104)&gt;=JY$3)*('حجز الإجازات'!$G$5:$G$104="معتمد")*ROW('حجز الإجازات'!$B$5:$B$104)))-5+1))</f>
        <v/>
      </c>
      <c r="JZ6" s="62">
        <f>IF(SUMPRODUCT(('حجز الإجازات'!$B$5:$B$104='الموظفون'!$B$4)*('حجز الإجازات'!$D$5:$D$104&lt;=JZ$3)*(('حجز الإجازات'!$E$5:$E$104)&gt;=JZ$3)*('حجز الإجازات'!$G$5:$G$104="معتمد")*ROW('حجز الإجازات'!$B$5:$B$104))=0,"",INDEX('حجز الإجازات'!$C$5:$C$104,(SUMPRODUCT(('حجز الإجازات'!$B$5:$B$104='الموظفون'!$B$4)*('حجز الإجازات'!$D$5:$D$104&lt;=JZ$3)*(('حجز الإجازات'!$E$5:$E$104)&gt;=JZ$3)*('حجز الإجازات'!$G$5:$G$104="معتمد")*ROW('حجز الإجازات'!$B$5:$B$104)))-5+1))</f>
        <v/>
      </c>
      <c r="KA6" s="62">
        <f>IF(SUMPRODUCT(('حجز الإجازات'!$B$5:$B$104='الموظفون'!$B$4)*('حجز الإجازات'!$D$5:$D$104&lt;=KA$3)*(('حجز الإجازات'!$E$5:$E$104)&gt;=KA$3)*('حجز الإجازات'!$G$5:$G$104="معتمد")*ROW('حجز الإجازات'!$B$5:$B$104))=0,"",INDEX('حجز الإجازات'!$C$5:$C$104,(SUMPRODUCT(('حجز الإجازات'!$B$5:$B$104='الموظفون'!$B$4)*('حجز الإجازات'!$D$5:$D$104&lt;=KA$3)*(('حجز الإجازات'!$E$5:$E$104)&gt;=KA$3)*('حجز الإجازات'!$G$5:$G$104="معتمد")*ROW('حجز الإجازات'!$B$5:$B$104)))-5+1))</f>
        <v/>
      </c>
      <c r="KB6" s="62">
        <f>IF(SUMPRODUCT(('حجز الإجازات'!$B$5:$B$104='الموظفون'!$B$4)*('حجز الإجازات'!$D$5:$D$104&lt;=KB$3)*(('حجز الإجازات'!$E$5:$E$104)&gt;=KB$3)*('حجز الإجازات'!$G$5:$G$104="معتمد")*ROW('حجز الإجازات'!$B$5:$B$104))=0,"",INDEX('حجز الإجازات'!$C$5:$C$104,(SUMPRODUCT(('حجز الإجازات'!$B$5:$B$104='الموظفون'!$B$4)*('حجز الإجازات'!$D$5:$D$104&lt;=KB$3)*(('حجز الإجازات'!$E$5:$E$104)&gt;=KB$3)*('حجز الإجازات'!$G$5:$G$104="معتمد")*ROW('حجز الإجازات'!$B$5:$B$104)))-5+1))</f>
        <v/>
      </c>
      <c r="KC6" s="62">
        <f>IF(SUMPRODUCT(('حجز الإجازات'!$B$5:$B$104='الموظفون'!$B$4)*('حجز الإجازات'!$D$5:$D$104&lt;=KC$3)*(('حجز الإجازات'!$E$5:$E$104)&gt;=KC$3)*('حجز الإجازات'!$G$5:$G$104="معتمد")*ROW('حجز الإجازات'!$B$5:$B$104))=0,"",INDEX('حجز الإجازات'!$C$5:$C$104,(SUMPRODUCT(('حجز الإجازات'!$B$5:$B$104='الموظفون'!$B$4)*('حجز الإجازات'!$D$5:$D$104&lt;=KC$3)*(('حجز الإجازات'!$E$5:$E$104)&gt;=KC$3)*('حجز الإجازات'!$G$5:$G$104="معتمد")*ROW('حجز الإجازات'!$B$5:$B$104)))-5+1))</f>
        <v/>
      </c>
      <c r="KD6" s="62">
        <f>IF(SUMPRODUCT(('حجز الإجازات'!$B$5:$B$104='الموظفون'!$B$4)*('حجز الإجازات'!$D$5:$D$104&lt;=KD$3)*(('حجز الإجازات'!$E$5:$E$104)&gt;=KD$3)*('حجز الإجازات'!$G$5:$G$104="معتمد")*ROW('حجز الإجازات'!$B$5:$B$104))=0,"",INDEX('حجز الإجازات'!$C$5:$C$104,(SUMPRODUCT(('حجز الإجازات'!$B$5:$B$104='الموظفون'!$B$4)*('حجز الإجازات'!$D$5:$D$104&lt;=KD$3)*(('حجز الإجازات'!$E$5:$E$104)&gt;=KD$3)*('حجز الإجازات'!$G$5:$G$104="معتمد")*ROW('حجز الإجازات'!$B$5:$B$104)))-5+1))</f>
        <v/>
      </c>
      <c r="KE6" s="62">
        <f>IF(SUMPRODUCT(('حجز الإجازات'!$B$5:$B$104='الموظفون'!$B$4)*('حجز الإجازات'!$D$5:$D$104&lt;=KE$3)*(('حجز الإجازات'!$E$5:$E$104)&gt;=KE$3)*('حجز الإجازات'!$G$5:$G$104="معتمد")*ROW('حجز الإجازات'!$B$5:$B$104))=0,"",INDEX('حجز الإجازات'!$C$5:$C$104,(SUMPRODUCT(('حجز الإجازات'!$B$5:$B$104='الموظفون'!$B$4)*('حجز الإجازات'!$D$5:$D$104&lt;=KE$3)*(('حجز الإجازات'!$E$5:$E$104)&gt;=KE$3)*('حجز الإجازات'!$G$5:$G$104="معتمد")*ROW('حجز الإجازات'!$B$5:$B$104)))-5+1))</f>
        <v/>
      </c>
      <c r="KF6" s="62">
        <f>IF(SUMPRODUCT(('حجز الإجازات'!$B$5:$B$104='الموظفون'!$B$4)*('حجز الإجازات'!$D$5:$D$104&lt;=KF$3)*(('حجز الإجازات'!$E$5:$E$104)&gt;=KF$3)*('حجز الإجازات'!$G$5:$G$104="معتمد")*ROW('حجز الإجازات'!$B$5:$B$104))=0,"",INDEX('حجز الإجازات'!$C$5:$C$104,(SUMPRODUCT(('حجز الإجازات'!$B$5:$B$104='الموظفون'!$B$4)*('حجز الإجازات'!$D$5:$D$104&lt;=KF$3)*(('حجز الإجازات'!$E$5:$E$104)&gt;=KF$3)*('حجز الإجازات'!$G$5:$G$104="معتمد")*ROW('حجز الإجازات'!$B$5:$B$104)))-5+1))</f>
        <v/>
      </c>
      <c r="KG6" s="62">
        <f>IF(SUMPRODUCT(('حجز الإجازات'!$B$5:$B$104='الموظفون'!$B$4)*('حجز الإجازات'!$D$5:$D$104&lt;=KG$3)*(('حجز الإجازات'!$E$5:$E$104)&gt;=KG$3)*('حجز الإجازات'!$G$5:$G$104="معتمد")*ROW('حجز الإجازات'!$B$5:$B$104))=0,"",INDEX('حجز الإجازات'!$C$5:$C$104,(SUMPRODUCT(('حجز الإجازات'!$B$5:$B$104='الموظفون'!$B$4)*('حجز الإجازات'!$D$5:$D$104&lt;=KG$3)*(('حجز الإجازات'!$E$5:$E$104)&gt;=KG$3)*('حجز الإجازات'!$G$5:$G$104="معتمد")*ROW('حجز الإجازات'!$B$5:$B$104)))-5+1))</f>
        <v/>
      </c>
      <c r="KH6" s="62">
        <f>IF(SUMPRODUCT(('حجز الإجازات'!$B$5:$B$104='الموظفون'!$B$4)*('حجز الإجازات'!$D$5:$D$104&lt;=KH$3)*(('حجز الإجازات'!$E$5:$E$104)&gt;=KH$3)*('حجز الإجازات'!$G$5:$G$104="معتمد")*ROW('حجز الإجازات'!$B$5:$B$104))=0,"",INDEX('حجز الإجازات'!$C$5:$C$104,(SUMPRODUCT(('حجز الإجازات'!$B$5:$B$104='الموظفون'!$B$4)*('حجز الإجازات'!$D$5:$D$104&lt;=KH$3)*(('حجز الإجازات'!$E$5:$E$104)&gt;=KH$3)*('حجز الإجازات'!$G$5:$G$104="معتمد")*ROW('حجز الإجازات'!$B$5:$B$104)))-5+1))</f>
        <v/>
      </c>
      <c r="KI6" s="62">
        <f>IF(SUMPRODUCT(('حجز الإجازات'!$B$5:$B$104='الموظفون'!$B$4)*('حجز الإجازات'!$D$5:$D$104&lt;=KI$3)*(('حجز الإجازات'!$E$5:$E$104)&gt;=KI$3)*('حجز الإجازات'!$G$5:$G$104="معتمد")*ROW('حجز الإجازات'!$B$5:$B$104))=0,"",INDEX('حجز الإجازات'!$C$5:$C$104,(SUMPRODUCT(('حجز الإجازات'!$B$5:$B$104='الموظفون'!$B$4)*('حجز الإجازات'!$D$5:$D$104&lt;=KI$3)*(('حجز الإجازات'!$E$5:$E$104)&gt;=KI$3)*('حجز الإجازات'!$G$5:$G$104="معتمد")*ROW('حجز الإجازات'!$B$5:$B$104)))-5+1))</f>
        <v/>
      </c>
      <c r="KJ6" s="62">
        <f>IF(SUMPRODUCT(('حجز الإجازات'!$B$5:$B$104='الموظفون'!$B$4)*('حجز الإجازات'!$D$5:$D$104&lt;=KJ$3)*(('حجز الإجازات'!$E$5:$E$104)&gt;=KJ$3)*('حجز الإجازات'!$G$5:$G$104="معتمد")*ROW('حجز الإجازات'!$B$5:$B$104))=0,"",INDEX('حجز الإجازات'!$C$5:$C$104,(SUMPRODUCT(('حجز الإجازات'!$B$5:$B$104='الموظفون'!$B$4)*('حجز الإجازات'!$D$5:$D$104&lt;=KJ$3)*(('حجز الإجازات'!$E$5:$E$104)&gt;=KJ$3)*('حجز الإجازات'!$G$5:$G$104="معتمد")*ROW('حجز الإجازات'!$B$5:$B$104)))-5+1))</f>
        <v/>
      </c>
      <c r="KK6" s="62">
        <f>IF(SUMPRODUCT(('حجز الإجازات'!$B$5:$B$104='الموظفون'!$B$4)*('حجز الإجازات'!$D$5:$D$104&lt;=KK$3)*(('حجز الإجازات'!$E$5:$E$104)&gt;=KK$3)*('حجز الإجازات'!$G$5:$G$104="معتمد")*ROW('حجز الإجازات'!$B$5:$B$104))=0,"",INDEX('حجز الإجازات'!$C$5:$C$104,(SUMPRODUCT(('حجز الإجازات'!$B$5:$B$104='الموظفون'!$B$4)*('حجز الإجازات'!$D$5:$D$104&lt;=KK$3)*(('حجز الإجازات'!$E$5:$E$104)&gt;=KK$3)*('حجز الإجازات'!$G$5:$G$104="معتمد")*ROW('حجز الإجازات'!$B$5:$B$104)))-5+1))</f>
        <v/>
      </c>
      <c r="KL6" s="62">
        <f>IF(SUMPRODUCT(('حجز الإجازات'!$B$5:$B$104='الموظفون'!$B$4)*('حجز الإجازات'!$D$5:$D$104&lt;=KL$3)*(('حجز الإجازات'!$E$5:$E$104)&gt;=KL$3)*('حجز الإجازات'!$G$5:$G$104="معتمد")*ROW('حجز الإجازات'!$B$5:$B$104))=0,"",INDEX('حجز الإجازات'!$C$5:$C$104,(SUMPRODUCT(('حجز الإجازات'!$B$5:$B$104='الموظفون'!$B$4)*('حجز الإجازات'!$D$5:$D$104&lt;=KL$3)*(('حجز الإجازات'!$E$5:$E$104)&gt;=KL$3)*('حجز الإجازات'!$G$5:$G$104="معتمد")*ROW('حجز الإجازات'!$B$5:$B$104)))-5+1))</f>
        <v/>
      </c>
      <c r="KM6" s="62">
        <f>IF(SUMPRODUCT(('حجز الإجازات'!$B$5:$B$104='الموظفون'!$B$4)*('حجز الإجازات'!$D$5:$D$104&lt;=KM$3)*(('حجز الإجازات'!$E$5:$E$104)&gt;=KM$3)*('حجز الإجازات'!$G$5:$G$104="معتمد")*ROW('حجز الإجازات'!$B$5:$B$104))=0,"",INDEX('حجز الإجازات'!$C$5:$C$104,(SUMPRODUCT(('حجز الإجازات'!$B$5:$B$104='الموظفون'!$B$4)*('حجز الإجازات'!$D$5:$D$104&lt;=KM$3)*(('حجز الإجازات'!$E$5:$E$104)&gt;=KM$3)*('حجز الإجازات'!$G$5:$G$104="معتمد")*ROW('حجز الإجازات'!$B$5:$B$104)))-5+1))</f>
        <v/>
      </c>
      <c r="KN6" s="62">
        <f>IF(SUMPRODUCT(('حجز الإجازات'!$B$5:$B$104='الموظفون'!$B$4)*('حجز الإجازات'!$D$5:$D$104&lt;=KN$3)*(('حجز الإجازات'!$E$5:$E$104)&gt;=KN$3)*('حجز الإجازات'!$G$5:$G$104="معتمد")*ROW('حجز الإجازات'!$B$5:$B$104))=0,"",INDEX('حجز الإجازات'!$C$5:$C$104,(SUMPRODUCT(('حجز الإجازات'!$B$5:$B$104='الموظفون'!$B$4)*('حجز الإجازات'!$D$5:$D$104&lt;=KN$3)*(('حجز الإجازات'!$E$5:$E$104)&gt;=KN$3)*('حجز الإجازات'!$G$5:$G$104="معتمد")*ROW('حجز الإجازات'!$B$5:$B$104)))-5+1))</f>
        <v/>
      </c>
      <c r="KO6" s="62">
        <f>IF(SUMPRODUCT(('حجز الإجازات'!$B$5:$B$104='الموظفون'!$B$4)*('حجز الإجازات'!$D$5:$D$104&lt;=KO$3)*(('حجز الإجازات'!$E$5:$E$104)&gt;=KO$3)*('حجز الإجازات'!$G$5:$G$104="معتمد")*ROW('حجز الإجازات'!$B$5:$B$104))=0,"",INDEX('حجز الإجازات'!$C$5:$C$104,(SUMPRODUCT(('حجز الإجازات'!$B$5:$B$104='الموظفون'!$B$4)*('حجز الإجازات'!$D$5:$D$104&lt;=KO$3)*(('حجز الإجازات'!$E$5:$E$104)&gt;=KO$3)*('حجز الإجازات'!$G$5:$G$104="معتمد")*ROW('حجز الإجازات'!$B$5:$B$104)))-5+1))</f>
        <v/>
      </c>
      <c r="KP6" s="62">
        <f>IF(SUMPRODUCT(('حجز الإجازات'!$B$5:$B$104='الموظفون'!$B$4)*('حجز الإجازات'!$D$5:$D$104&lt;=KP$3)*(('حجز الإجازات'!$E$5:$E$104)&gt;=KP$3)*('حجز الإجازات'!$G$5:$G$104="معتمد")*ROW('حجز الإجازات'!$B$5:$B$104))=0,"",INDEX('حجز الإجازات'!$C$5:$C$104,(SUMPRODUCT(('حجز الإجازات'!$B$5:$B$104='الموظفون'!$B$4)*('حجز الإجازات'!$D$5:$D$104&lt;=KP$3)*(('حجز الإجازات'!$E$5:$E$104)&gt;=KP$3)*('حجز الإجازات'!$G$5:$G$104="معتمد")*ROW('حجز الإجازات'!$B$5:$B$104)))-5+1))</f>
        <v/>
      </c>
      <c r="KQ6" s="62">
        <f>IF(SUMPRODUCT(('حجز الإجازات'!$B$5:$B$104='الموظفون'!$B$4)*('حجز الإجازات'!$D$5:$D$104&lt;=KQ$3)*(('حجز الإجازات'!$E$5:$E$104)&gt;=KQ$3)*('حجز الإجازات'!$G$5:$G$104="معتمد")*ROW('حجز الإجازات'!$B$5:$B$104))=0,"",INDEX('حجز الإجازات'!$C$5:$C$104,(SUMPRODUCT(('حجز الإجازات'!$B$5:$B$104='الموظفون'!$B$4)*('حجز الإجازات'!$D$5:$D$104&lt;=KQ$3)*(('حجز الإجازات'!$E$5:$E$104)&gt;=KQ$3)*('حجز الإجازات'!$G$5:$G$104="معتمد")*ROW('حجز الإجازات'!$B$5:$B$104)))-5+1))</f>
        <v/>
      </c>
      <c r="KR6" s="62">
        <f>IF(SUMPRODUCT(('حجز الإجازات'!$B$5:$B$104='الموظفون'!$B$4)*('حجز الإجازات'!$D$5:$D$104&lt;=KR$3)*(('حجز الإجازات'!$E$5:$E$104)&gt;=KR$3)*('حجز الإجازات'!$G$5:$G$104="معتمد")*ROW('حجز الإجازات'!$B$5:$B$104))=0,"",INDEX('حجز الإجازات'!$C$5:$C$104,(SUMPRODUCT(('حجز الإجازات'!$B$5:$B$104='الموظفون'!$B$4)*('حجز الإجازات'!$D$5:$D$104&lt;=KR$3)*(('حجز الإجازات'!$E$5:$E$104)&gt;=KR$3)*('حجز الإجازات'!$G$5:$G$104="معتمد")*ROW('حجز الإجازات'!$B$5:$B$104)))-5+1))</f>
        <v/>
      </c>
      <c r="KS6" s="62">
        <f>IF(SUMPRODUCT(('حجز الإجازات'!$B$5:$B$104='الموظفون'!$B$4)*('حجز الإجازات'!$D$5:$D$104&lt;=KS$3)*(('حجز الإجازات'!$E$5:$E$104)&gt;=KS$3)*('حجز الإجازات'!$G$5:$G$104="معتمد")*ROW('حجز الإجازات'!$B$5:$B$104))=0,"",INDEX('حجز الإجازات'!$C$5:$C$104,(SUMPRODUCT(('حجز الإجازات'!$B$5:$B$104='الموظفون'!$B$4)*('حجز الإجازات'!$D$5:$D$104&lt;=KS$3)*(('حجز الإجازات'!$E$5:$E$104)&gt;=KS$3)*('حجز الإجازات'!$G$5:$G$104="معتمد")*ROW('حجز الإجازات'!$B$5:$B$104)))-5+1))</f>
        <v/>
      </c>
      <c r="KT6" s="62">
        <f>IF(SUMPRODUCT(('حجز الإجازات'!$B$5:$B$104='الموظفون'!$B$4)*('حجز الإجازات'!$D$5:$D$104&lt;=KT$3)*(('حجز الإجازات'!$E$5:$E$104)&gt;=KT$3)*('حجز الإجازات'!$G$5:$G$104="معتمد")*ROW('حجز الإجازات'!$B$5:$B$104))=0,"",INDEX('حجز الإجازات'!$C$5:$C$104,(SUMPRODUCT(('حجز الإجازات'!$B$5:$B$104='الموظفون'!$B$4)*('حجز الإجازات'!$D$5:$D$104&lt;=KT$3)*(('حجز الإجازات'!$E$5:$E$104)&gt;=KT$3)*('حجز الإجازات'!$G$5:$G$104="معتمد")*ROW('حجز الإجازات'!$B$5:$B$104)))-5+1))</f>
        <v/>
      </c>
      <c r="KU6" s="62">
        <f>IF(SUMPRODUCT(('حجز الإجازات'!$B$5:$B$104='الموظفون'!$B$4)*('حجز الإجازات'!$D$5:$D$104&lt;=KU$3)*(('حجز الإجازات'!$E$5:$E$104)&gt;=KU$3)*('حجز الإجازات'!$G$5:$G$104="معتمد")*ROW('حجز الإجازات'!$B$5:$B$104))=0,"",INDEX('حجز الإجازات'!$C$5:$C$104,(SUMPRODUCT(('حجز الإجازات'!$B$5:$B$104='الموظفون'!$B$4)*('حجز الإجازات'!$D$5:$D$104&lt;=KU$3)*(('حجز الإجازات'!$E$5:$E$104)&gt;=KU$3)*('حجز الإجازات'!$G$5:$G$104="معتمد")*ROW('حجز الإجازات'!$B$5:$B$104)))-5+1))</f>
        <v/>
      </c>
      <c r="KV6" s="62">
        <f>IF(SUMPRODUCT(('حجز الإجازات'!$B$5:$B$104='الموظفون'!$B$4)*('حجز الإجازات'!$D$5:$D$104&lt;=KV$3)*(('حجز الإجازات'!$E$5:$E$104)&gt;=KV$3)*('حجز الإجازات'!$G$5:$G$104="معتمد")*ROW('حجز الإجازات'!$B$5:$B$104))=0,"",INDEX('حجز الإجازات'!$C$5:$C$104,(SUMPRODUCT(('حجز الإجازات'!$B$5:$B$104='الموظفون'!$B$4)*('حجز الإجازات'!$D$5:$D$104&lt;=KV$3)*(('حجز الإجازات'!$E$5:$E$104)&gt;=KV$3)*('حجز الإجازات'!$G$5:$G$104="معتمد")*ROW('حجز الإجازات'!$B$5:$B$104)))-5+1))</f>
        <v/>
      </c>
      <c r="KW6" s="62">
        <f>IF(SUMPRODUCT(('حجز الإجازات'!$B$5:$B$104='الموظفون'!$B$4)*('حجز الإجازات'!$D$5:$D$104&lt;=KW$3)*(('حجز الإجازات'!$E$5:$E$104)&gt;=KW$3)*('حجز الإجازات'!$G$5:$G$104="معتمد")*ROW('حجز الإجازات'!$B$5:$B$104))=0,"",INDEX('حجز الإجازات'!$C$5:$C$104,(SUMPRODUCT(('حجز الإجازات'!$B$5:$B$104='الموظفون'!$B$4)*('حجز الإجازات'!$D$5:$D$104&lt;=KW$3)*(('حجز الإجازات'!$E$5:$E$104)&gt;=KW$3)*('حجز الإجازات'!$G$5:$G$104="معتمد")*ROW('حجز الإجازات'!$B$5:$B$104)))-5+1))</f>
        <v/>
      </c>
      <c r="KX6" s="62">
        <f>IF(SUMPRODUCT(('حجز الإجازات'!$B$5:$B$104='الموظفون'!$B$4)*('حجز الإجازات'!$D$5:$D$104&lt;=KX$3)*(('حجز الإجازات'!$E$5:$E$104)&gt;=KX$3)*('حجز الإجازات'!$G$5:$G$104="معتمد")*ROW('حجز الإجازات'!$B$5:$B$104))=0,"",INDEX('حجز الإجازات'!$C$5:$C$104,(SUMPRODUCT(('حجز الإجازات'!$B$5:$B$104='الموظفون'!$B$4)*('حجز الإجازات'!$D$5:$D$104&lt;=KX$3)*(('حجز الإجازات'!$E$5:$E$104)&gt;=KX$3)*('حجز الإجازات'!$G$5:$G$104="معتمد")*ROW('حجز الإجازات'!$B$5:$B$104)))-5+1))</f>
        <v/>
      </c>
      <c r="KY6" s="62">
        <f>IF(SUMPRODUCT(('حجز الإجازات'!$B$5:$B$104='الموظفون'!$B$4)*('حجز الإجازات'!$D$5:$D$104&lt;=KY$3)*(('حجز الإجازات'!$E$5:$E$104)&gt;=KY$3)*('حجز الإجازات'!$G$5:$G$104="معتمد")*ROW('حجز الإجازات'!$B$5:$B$104))=0,"",INDEX('حجز الإجازات'!$C$5:$C$104,(SUMPRODUCT(('حجز الإجازات'!$B$5:$B$104='الموظفون'!$B$4)*('حجز الإجازات'!$D$5:$D$104&lt;=KY$3)*(('حجز الإجازات'!$E$5:$E$104)&gt;=KY$3)*('حجز الإجازات'!$G$5:$G$104="معتمد")*ROW('حجز الإجازات'!$B$5:$B$104)))-5+1))</f>
        <v/>
      </c>
      <c r="KZ6" s="62">
        <f>IF(SUMPRODUCT(('حجز الإجازات'!$B$5:$B$104='الموظفون'!$B$4)*('حجز الإجازات'!$D$5:$D$104&lt;=KZ$3)*(('حجز الإجازات'!$E$5:$E$104)&gt;=KZ$3)*('حجز الإجازات'!$G$5:$G$104="معتمد")*ROW('حجز الإجازات'!$B$5:$B$104))=0,"",INDEX('حجز الإجازات'!$C$5:$C$104,(SUMPRODUCT(('حجز الإجازات'!$B$5:$B$104='الموظفون'!$B$4)*('حجز الإجازات'!$D$5:$D$104&lt;=KZ$3)*(('حجز الإجازات'!$E$5:$E$104)&gt;=KZ$3)*('حجز الإجازات'!$G$5:$G$104="معتمد")*ROW('حجز الإجازات'!$B$5:$B$104)))-5+1))</f>
        <v/>
      </c>
      <c r="LA6" s="62">
        <f>IF(SUMPRODUCT(('حجز الإجازات'!$B$5:$B$104='الموظفون'!$B$4)*('حجز الإجازات'!$D$5:$D$104&lt;=LA$3)*(('حجز الإجازات'!$E$5:$E$104)&gt;=LA$3)*('حجز الإجازات'!$G$5:$G$104="معتمد")*ROW('حجز الإجازات'!$B$5:$B$104))=0,"",INDEX('حجز الإجازات'!$C$5:$C$104,(SUMPRODUCT(('حجز الإجازات'!$B$5:$B$104='الموظفون'!$B$4)*('حجز الإجازات'!$D$5:$D$104&lt;=LA$3)*(('حجز الإجازات'!$E$5:$E$104)&gt;=LA$3)*('حجز الإجازات'!$G$5:$G$104="معتمد")*ROW('حجز الإجازات'!$B$5:$B$104)))-5+1))</f>
        <v/>
      </c>
      <c r="LB6" s="62">
        <f>IF(SUMPRODUCT(('حجز الإجازات'!$B$5:$B$104='الموظفون'!$B$4)*('حجز الإجازات'!$D$5:$D$104&lt;=LB$3)*(('حجز الإجازات'!$E$5:$E$104)&gt;=LB$3)*('حجز الإجازات'!$G$5:$G$104="معتمد")*ROW('حجز الإجازات'!$B$5:$B$104))=0,"",INDEX('حجز الإجازات'!$C$5:$C$104,(SUMPRODUCT(('حجز الإجازات'!$B$5:$B$104='الموظفون'!$B$4)*('حجز الإجازات'!$D$5:$D$104&lt;=LB$3)*(('حجز الإجازات'!$E$5:$E$104)&gt;=LB$3)*('حجز الإجازات'!$G$5:$G$104="معتمد")*ROW('حجز الإجازات'!$B$5:$B$104)))-5+1))</f>
        <v/>
      </c>
      <c r="LC6" s="62">
        <f>IF(SUMPRODUCT(('حجز الإجازات'!$B$5:$B$104='الموظفون'!$B$4)*('حجز الإجازات'!$D$5:$D$104&lt;=LC$3)*(('حجز الإجازات'!$E$5:$E$104)&gt;=LC$3)*('حجز الإجازات'!$G$5:$G$104="معتمد")*ROW('حجز الإجازات'!$B$5:$B$104))=0,"",INDEX('حجز الإجازات'!$C$5:$C$104,(SUMPRODUCT(('حجز الإجازات'!$B$5:$B$104='الموظفون'!$B$4)*('حجز الإجازات'!$D$5:$D$104&lt;=LC$3)*(('حجز الإجازات'!$E$5:$E$104)&gt;=LC$3)*('حجز الإجازات'!$G$5:$G$104="معتمد")*ROW('حجز الإجازات'!$B$5:$B$104)))-5+1))</f>
        <v/>
      </c>
      <c r="LD6" s="62">
        <f>IF(SUMPRODUCT(('حجز الإجازات'!$B$5:$B$104='الموظفون'!$B$4)*('حجز الإجازات'!$D$5:$D$104&lt;=LD$3)*(('حجز الإجازات'!$E$5:$E$104)&gt;=LD$3)*('حجز الإجازات'!$G$5:$G$104="معتمد")*ROW('حجز الإجازات'!$B$5:$B$104))=0,"",INDEX('حجز الإجازات'!$C$5:$C$104,(SUMPRODUCT(('حجز الإجازات'!$B$5:$B$104='الموظفون'!$B$4)*('حجز الإجازات'!$D$5:$D$104&lt;=LD$3)*(('حجز الإجازات'!$E$5:$E$104)&gt;=LD$3)*('حجز الإجازات'!$G$5:$G$104="معتمد")*ROW('حجز الإجازات'!$B$5:$B$104)))-5+1))</f>
        <v/>
      </c>
      <c r="LE6" s="62">
        <f>IF(SUMPRODUCT(('حجز الإجازات'!$B$5:$B$104='الموظفون'!$B$4)*('حجز الإجازات'!$D$5:$D$104&lt;=LE$3)*(('حجز الإجازات'!$E$5:$E$104)&gt;=LE$3)*('حجز الإجازات'!$G$5:$G$104="معتمد")*ROW('حجز الإجازات'!$B$5:$B$104))=0,"",INDEX('حجز الإجازات'!$C$5:$C$104,(SUMPRODUCT(('حجز الإجازات'!$B$5:$B$104='الموظفون'!$B$4)*('حجز الإجازات'!$D$5:$D$104&lt;=LE$3)*(('حجز الإجازات'!$E$5:$E$104)&gt;=LE$3)*('حجز الإجازات'!$G$5:$G$104="معتمد")*ROW('حجز الإجازات'!$B$5:$B$104)))-5+1))</f>
        <v/>
      </c>
      <c r="LF6" s="62">
        <f>IF(SUMPRODUCT(('حجز الإجازات'!$B$5:$B$104='الموظفون'!$B$4)*('حجز الإجازات'!$D$5:$D$104&lt;=LF$3)*(('حجز الإجازات'!$E$5:$E$104)&gt;=LF$3)*('حجز الإجازات'!$G$5:$G$104="معتمد")*ROW('حجز الإجازات'!$B$5:$B$104))=0,"",INDEX('حجز الإجازات'!$C$5:$C$104,(SUMPRODUCT(('حجز الإجازات'!$B$5:$B$104='الموظفون'!$B$4)*('حجز الإجازات'!$D$5:$D$104&lt;=LF$3)*(('حجز الإجازات'!$E$5:$E$104)&gt;=LF$3)*('حجز الإجازات'!$G$5:$G$104="معتمد")*ROW('حجز الإجازات'!$B$5:$B$104)))-5+1))</f>
        <v/>
      </c>
      <c r="LG6" s="62">
        <f>IF(SUMPRODUCT(('حجز الإجازات'!$B$5:$B$104='الموظفون'!$B$4)*('حجز الإجازات'!$D$5:$D$104&lt;=LG$3)*(('حجز الإجازات'!$E$5:$E$104)&gt;=LG$3)*('حجز الإجازات'!$G$5:$G$104="معتمد")*ROW('حجز الإجازات'!$B$5:$B$104))=0,"",INDEX('حجز الإجازات'!$C$5:$C$104,(SUMPRODUCT(('حجز الإجازات'!$B$5:$B$104='الموظفون'!$B$4)*('حجز الإجازات'!$D$5:$D$104&lt;=LG$3)*(('حجز الإجازات'!$E$5:$E$104)&gt;=LG$3)*('حجز الإجازات'!$G$5:$G$104="معتمد")*ROW('حجز الإجازات'!$B$5:$B$104)))-5+1))</f>
        <v/>
      </c>
      <c r="LH6" s="62">
        <f>IF(SUMPRODUCT(('حجز الإجازات'!$B$5:$B$104='الموظفون'!$B$4)*('حجز الإجازات'!$D$5:$D$104&lt;=LH$3)*(('حجز الإجازات'!$E$5:$E$104)&gt;=LH$3)*('حجز الإجازات'!$G$5:$G$104="معتمد")*ROW('حجز الإجازات'!$B$5:$B$104))=0,"",INDEX('حجز الإجازات'!$C$5:$C$104,(SUMPRODUCT(('حجز الإجازات'!$B$5:$B$104='الموظفون'!$B$4)*('حجز الإجازات'!$D$5:$D$104&lt;=LH$3)*(('حجز الإجازات'!$E$5:$E$104)&gt;=LH$3)*('حجز الإجازات'!$G$5:$G$104="معتمد")*ROW('حجز الإجازات'!$B$5:$B$104)))-5+1))</f>
        <v/>
      </c>
      <c r="LI6" s="62">
        <f>IF(SUMPRODUCT(('حجز الإجازات'!$B$5:$B$104='الموظفون'!$B$4)*('حجز الإجازات'!$D$5:$D$104&lt;=LI$3)*(('حجز الإجازات'!$E$5:$E$104)&gt;=LI$3)*('حجز الإجازات'!$G$5:$G$104="معتمد")*ROW('حجز الإجازات'!$B$5:$B$104))=0,"",INDEX('حجز الإجازات'!$C$5:$C$104,(SUMPRODUCT(('حجز الإجازات'!$B$5:$B$104='الموظفون'!$B$4)*('حجز الإجازات'!$D$5:$D$104&lt;=LI$3)*(('حجز الإجازات'!$E$5:$E$104)&gt;=LI$3)*('حجز الإجازات'!$G$5:$G$104="معتمد")*ROW('حجز الإجازات'!$B$5:$B$104)))-5+1))</f>
        <v/>
      </c>
      <c r="LJ6" s="62">
        <f>IF(SUMPRODUCT(('حجز الإجازات'!$B$5:$B$104='الموظفون'!$B$4)*('حجز الإجازات'!$D$5:$D$104&lt;=LJ$3)*(('حجز الإجازات'!$E$5:$E$104)&gt;=LJ$3)*('حجز الإجازات'!$G$5:$G$104="معتمد")*ROW('حجز الإجازات'!$B$5:$B$104))=0,"",INDEX('حجز الإجازات'!$C$5:$C$104,(SUMPRODUCT(('حجز الإجازات'!$B$5:$B$104='الموظفون'!$B$4)*('حجز الإجازات'!$D$5:$D$104&lt;=LJ$3)*(('حجز الإجازات'!$E$5:$E$104)&gt;=LJ$3)*('حجز الإجازات'!$G$5:$G$104="معتمد")*ROW('حجز الإجازات'!$B$5:$B$104)))-5+1))</f>
        <v/>
      </c>
      <c r="LK6" s="62">
        <f>IF(SUMPRODUCT(('حجز الإجازات'!$B$5:$B$104='الموظفون'!$B$4)*('حجز الإجازات'!$D$5:$D$104&lt;=LK$3)*(('حجز الإجازات'!$E$5:$E$104)&gt;=LK$3)*('حجز الإجازات'!$G$5:$G$104="معتمد")*ROW('حجز الإجازات'!$B$5:$B$104))=0,"",INDEX('حجز الإجازات'!$C$5:$C$104,(SUMPRODUCT(('حجز الإجازات'!$B$5:$B$104='الموظفون'!$B$4)*('حجز الإجازات'!$D$5:$D$104&lt;=LK$3)*(('حجز الإجازات'!$E$5:$E$104)&gt;=LK$3)*('حجز الإجازات'!$G$5:$G$104="معتمد")*ROW('حجز الإجازات'!$B$5:$B$104)))-5+1))</f>
        <v/>
      </c>
      <c r="LL6" s="62">
        <f>IF(SUMPRODUCT(('حجز الإجازات'!$B$5:$B$104='الموظفون'!$B$4)*('حجز الإجازات'!$D$5:$D$104&lt;=LL$3)*(('حجز الإجازات'!$E$5:$E$104)&gt;=LL$3)*('حجز الإجازات'!$G$5:$G$104="معتمد")*ROW('حجز الإجازات'!$B$5:$B$104))=0,"",INDEX('حجز الإجازات'!$C$5:$C$104,(SUMPRODUCT(('حجز الإجازات'!$B$5:$B$104='الموظفون'!$B$4)*('حجز الإجازات'!$D$5:$D$104&lt;=LL$3)*(('حجز الإجازات'!$E$5:$E$104)&gt;=LL$3)*('حجز الإجازات'!$G$5:$G$104="معتمد")*ROW('حجز الإجازات'!$B$5:$B$104)))-5+1))</f>
        <v/>
      </c>
      <c r="LM6" s="62">
        <f>IF(SUMPRODUCT(('حجز الإجازات'!$B$5:$B$104='الموظفون'!$B$4)*('حجز الإجازات'!$D$5:$D$104&lt;=LM$3)*(('حجز الإجازات'!$E$5:$E$104)&gt;=LM$3)*('حجز الإجازات'!$G$5:$G$104="معتمد")*ROW('حجز الإجازات'!$B$5:$B$104))=0,"",INDEX('حجز الإجازات'!$C$5:$C$104,(SUMPRODUCT(('حجز الإجازات'!$B$5:$B$104='الموظفون'!$B$4)*('حجز الإجازات'!$D$5:$D$104&lt;=LM$3)*(('حجز الإجازات'!$E$5:$E$104)&gt;=LM$3)*('حجز الإجازات'!$G$5:$G$104="معتمد")*ROW('حجز الإجازات'!$B$5:$B$104)))-5+1))</f>
        <v/>
      </c>
      <c r="LN6" s="62">
        <f>IF(SUMPRODUCT(('حجز الإجازات'!$B$5:$B$104='الموظفون'!$B$4)*('حجز الإجازات'!$D$5:$D$104&lt;=LN$3)*(('حجز الإجازات'!$E$5:$E$104)&gt;=LN$3)*('حجز الإجازات'!$G$5:$G$104="معتمد")*ROW('حجز الإجازات'!$B$5:$B$104))=0,"",INDEX('حجز الإجازات'!$C$5:$C$104,(SUMPRODUCT(('حجز الإجازات'!$B$5:$B$104='الموظفون'!$B$4)*('حجز الإجازات'!$D$5:$D$104&lt;=LN$3)*(('حجز الإجازات'!$E$5:$E$104)&gt;=LN$3)*('حجز الإجازات'!$G$5:$G$104="معتمد")*ROW('حجز الإجازات'!$B$5:$B$104)))-5+1))</f>
        <v/>
      </c>
      <c r="LO6" s="62">
        <f>IF(SUMPRODUCT(('حجز الإجازات'!$B$5:$B$104='الموظفون'!$B$4)*('حجز الإجازات'!$D$5:$D$104&lt;=LO$3)*(('حجز الإجازات'!$E$5:$E$104)&gt;=LO$3)*('حجز الإجازات'!$G$5:$G$104="معتمد")*ROW('حجز الإجازات'!$B$5:$B$104))=0,"",INDEX('حجز الإجازات'!$C$5:$C$104,(SUMPRODUCT(('حجز الإجازات'!$B$5:$B$104='الموظفون'!$B$4)*('حجز الإجازات'!$D$5:$D$104&lt;=LO$3)*(('حجز الإجازات'!$E$5:$E$104)&gt;=LO$3)*('حجز الإجازات'!$G$5:$G$104="معتمد")*ROW('حجز الإجازات'!$B$5:$B$104)))-5+1))</f>
        <v/>
      </c>
      <c r="LP6" s="62">
        <f>IF(SUMPRODUCT(('حجز الإجازات'!$B$5:$B$104='الموظفون'!$B$4)*('حجز الإجازات'!$D$5:$D$104&lt;=LP$3)*(('حجز الإجازات'!$E$5:$E$104)&gt;=LP$3)*('حجز الإجازات'!$G$5:$G$104="معتمد")*ROW('حجز الإجازات'!$B$5:$B$104))=0,"",INDEX('حجز الإجازات'!$C$5:$C$104,(SUMPRODUCT(('حجز الإجازات'!$B$5:$B$104='الموظفون'!$B$4)*('حجز الإجازات'!$D$5:$D$104&lt;=LP$3)*(('حجز الإجازات'!$E$5:$E$104)&gt;=LP$3)*('حجز الإجازات'!$G$5:$G$104="معتمد")*ROW('حجز الإجازات'!$B$5:$B$104)))-5+1))</f>
        <v/>
      </c>
      <c r="LQ6" s="62">
        <f>IF(SUMPRODUCT(('حجز الإجازات'!$B$5:$B$104='الموظفون'!$B$4)*('حجز الإجازات'!$D$5:$D$104&lt;=LQ$3)*(('حجز الإجازات'!$E$5:$E$104)&gt;=LQ$3)*('حجز الإجازات'!$G$5:$G$104="معتمد")*ROW('حجز الإجازات'!$B$5:$B$104))=0,"",INDEX('حجز الإجازات'!$C$5:$C$104,(SUMPRODUCT(('حجز الإجازات'!$B$5:$B$104='الموظفون'!$B$4)*('حجز الإجازات'!$D$5:$D$104&lt;=LQ$3)*(('حجز الإجازات'!$E$5:$E$104)&gt;=LQ$3)*('حجز الإجازات'!$G$5:$G$104="معتمد")*ROW('حجز الإجازات'!$B$5:$B$104)))-5+1))</f>
        <v/>
      </c>
      <c r="LR6" s="62">
        <f>IF(SUMPRODUCT(('حجز الإجازات'!$B$5:$B$104='الموظفون'!$B$4)*('حجز الإجازات'!$D$5:$D$104&lt;=LR$3)*(('حجز الإجازات'!$E$5:$E$104)&gt;=LR$3)*('حجز الإجازات'!$G$5:$G$104="معتمد")*ROW('حجز الإجازات'!$B$5:$B$104))=0,"",INDEX('حجز الإجازات'!$C$5:$C$104,(SUMPRODUCT(('حجز الإجازات'!$B$5:$B$104='الموظفون'!$B$4)*('حجز الإجازات'!$D$5:$D$104&lt;=LR$3)*(('حجز الإجازات'!$E$5:$E$104)&gt;=LR$3)*('حجز الإجازات'!$G$5:$G$104="معتمد")*ROW('حجز الإجازات'!$B$5:$B$104)))-5+1))</f>
        <v/>
      </c>
      <c r="LS6" s="62">
        <f>IF(SUMPRODUCT(('حجز الإجازات'!$B$5:$B$104='الموظفون'!$B$4)*('حجز الإجازات'!$D$5:$D$104&lt;=LS$3)*(('حجز الإجازات'!$E$5:$E$104)&gt;=LS$3)*('حجز الإجازات'!$G$5:$G$104="معتمد")*ROW('حجز الإجازات'!$B$5:$B$104))=0,"",INDEX('حجز الإجازات'!$C$5:$C$104,(SUMPRODUCT(('حجز الإجازات'!$B$5:$B$104='الموظفون'!$B$4)*('حجز الإجازات'!$D$5:$D$104&lt;=LS$3)*(('حجز الإجازات'!$E$5:$E$104)&gt;=LS$3)*('حجز الإجازات'!$G$5:$G$104="معتمد")*ROW('حجز الإجازات'!$B$5:$B$104)))-5+1))</f>
        <v/>
      </c>
      <c r="LT6" s="62">
        <f>IF(SUMPRODUCT(('حجز الإجازات'!$B$5:$B$104='الموظفون'!$B$4)*('حجز الإجازات'!$D$5:$D$104&lt;=LT$3)*(('حجز الإجازات'!$E$5:$E$104)&gt;=LT$3)*('حجز الإجازات'!$G$5:$G$104="معتمد")*ROW('حجز الإجازات'!$B$5:$B$104))=0,"",INDEX('حجز الإجازات'!$C$5:$C$104,(SUMPRODUCT(('حجز الإجازات'!$B$5:$B$104='الموظفون'!$B$4)*('حجز الإجازات'!$D$5:$D$104&lt;=LT$3)*(('حجز الإجازات'!$E$5:$E$104)&gt;=LT$3)*('حجز الإجازات'!$G$5:$G$104="معتمد")*ROW('حجز الإجازات'!$B$5:$B$104)))-5+1))</f>
        <v/>
      </c>
      <c r="LU6" s="62">
        <f>IF(SUMPRODUCT(('حجز الإجازات'!$B$5:$B$104='الموظفون'!$B$4)*('حجز الإجازات'!$D$5:$D$104&lt;=LU$3)*(('حجز الإجازات'!$E$5:$E$104)&gt;=LU$3)*('حجز الإجازات'!$G$5:$G$104="معتمد")*ROW('حجز الإجازات'!$B$5:$B$104))=0,"",INDEX('حجز الإجازات'!$C$5:$C$104,(SUMPRODUCT(('حجز الإجازات'!$B$5:$B$104='الموظفون'!$B$4)*('حجز الإجازات'!$D$5:$D$104&lt;=LU$3)*(('حجز الإجازات'!$E$5:$E$104)&gt;=LU$3)*('حجز الإجازات'!$G$5:$G$104="معتمد")*ROW('حجز الإجازات'!$B$5:$B$104)))-5+1))</f>
        <v/>
      </c>
      <c r="LV6" s="62">
        <f>IF(SUMPRODUCT(('حجز الإجازات'!$B$5:$B$104='الموظفون'!$B$4)*('حجز الإجازات'!$D$5:$D$104&lt;=LV$3)*(('حجز الإجازات'!$E$5:$E$104)&gt;=LV$3)*('حجز الإجازات'!$G$5:$G$104="معتمد")*ROW('حجز الإجازات'!$B$5:$B$104))=0,"",INDEX('حجز الإجازات'!$C$5:$C$104,(SUMPRODUCT(('حجز الإجازات'!$B$5:$B$104='الموظفون'!$B$4)*('حجز الإجازات'!$D$5:$D$104&lt;=LV$3)*(('حجز الإجازات'!$E$5:$E$104)&gt;=LV$3)*('حجز الإجازات'!$G$5:$G$104="معتمد")*ROW('حجز الإجازات'!$B$5:$B$104)))-5+1))</f>
        <v/>
      </c>
      <c r="LW6" s="62">
        <f>IF(SUMPRODUCT(('حجز الإجازات'!$B$5:$B$104='الموظفون'!$B$4)*('حجز الإجازات'!$D$5:$D$104&lt;=LW$3)*(('حجز الإجازات'!$E$5:$E$104)&gt;=LW$3)*('حجز الإجازات'!$G$5:$G$104="معتمد")*ROW('حجز الإجازات'!$B$5:$B$104))=0,"",INDEX('حجز الإجازات'!$C$5:$C$104,(SUMPRODUCT(('حجز الإجازات'!$B$5:$B$104='الموظفون'!$B$4)*('حجز الإجازات'!$D$5:$D$104&lt;=LW$3)*(('حجز الإجازات'!$E$5:$E$104)&gt;=LW$3)*('حجز الإجازات'!$G$5:$G$104="معتمد")*ROW('حجز الإجازات'!$B$5:$B$104)))-5+1))</f>
        <v/>
      </c>
      <c r="LX6" s="62">
        <f>IF(SUMPRODUCT(('حجز الإجازات'!$B$5:$B$104='الموظفون'!$B$4)*('حجز الإجازات'!$D$5:$D$104&lt;=LX$3)*(('حجز الإجازات'!$E$5:$E$104)&gt;=LX$3)*('حجز الإجازات'!$G$5:$G$104="معتمد")*ROW('حجز الإجازات'!$B$5:$B$104))=0,"",INDEX('حجز الإجازات'!$C$5:$C$104,(SUMPRODUCT(('حجز الإجازات'!$B$5:$B$104='الموظفون'!$B$4)*('حجز الإجازات'!$D$5:$D$104&lt;=LX$3)*(('حجز الإجازات'!$E$5:$E$104)&gt;=LX$3)*('حجز الإجازات'!$G$5:$G$104="معتمد")*ROW('حجز الإجازات'!$B$5:$B$104)))-5+1))</f>
        <v/>
      </c>
      <c r="LY6" s="62">
        <f>IF(SUMPRODUCT(('حجز الإجازات'!$B$5:$B$104='الموظفون'!$B$4)*('حجز الإجازات'!$D$5:$D$104&lt;=LY$3)*(('حجز الإجازات'!$E$5:$E$104)&gt;=LY$3)*('حجز الإجازات'!$G$5:$G$104="معتمد")*ROW('حجز الإجازات'!$B$5:$B$104))=0,"",INDEX('حجز الإجازات'!$C$5:$C$104,(SUMPRODUCT(('حجز الإجازات'!$B$5:$B$104='الموظفون'!$B$4)*('حجز الإجازات'!$D$5:$D$104&lt;=LY$3)*(('حجز الإجازات'!$E$5:$E$104)&gt;=LY$3)*('حجز الإجازات'!$G$5:$G$104="معتمد")*ROW('حجز الإجازات'!$B$5:$B$104)))-5+1))</f>
        <v/>
      </c>
      <c r="LZ6" s="62">
        <f>IF(SUMPRODUCT(('حجز الإجازات'!$B$5:$B$104='الموظفون'!$B$4)*('حجز الإجازات'!$D$5:$D$104&lt;=LZ$3)*(('حجز الإجازات'!$E$5:$E$104)&gt;=LZ$3)*('حجز الإجازات'!$G$5:$G$104="معتمد")*ROW('حجز الإجازات'!$B$5:$B$104))=0,"",INDEX('حجز الإجازات'!$C$5:$C$104,(SUMPRODUCT(('حجز الإجازات'!$B$5:$B$104='الموظفون'!$B$4)*('حجز الإجازات'!$D$5:$D$104&lt;=LZ$3)*(('حجز الإجازات'!$E$5:$E$104)&gt;=LZ$3)*('حجز الإجازات'!$G$5:$G$104="معتمد")*ROW('حجز الإجازات'!$B$5:$B$104)))-5+1))</f>
        <v/>
      </c>
      <c r="MA6" s="62">
        <f>IF(SUMPRODUCT(('حجز الإجازات'!$B$5:$B$104='الموظفون'!$B$4)*('حجز الإجازات'!$D$5:$D$104&lt;=MA$3)*(('حجز الإجازات'!$E$5:$E$104)&gt;=MA$3)*('حجز الإجازات'!$G$5:$G$104="معتمد")*ROW('حجز الإجازات'!$B$5:$B$104))=0,"",INDEX('حجز الإجازات'!$C$5:$C$104,(SUMPRODUCT(('حجز الإجازات'!$B$5:$B$104='الموظفون'!$B$4)*('حجز الإجازات'!$D$5:$D$104&lt;=MA$3)*(('حجز الإجازات'!$E$5:$E$104)&gt;=MA$3)*('حجز الإجازات'!$G$5:$G$104="معتمد")*ROW('حجز الإجازات'!$B$5:$B$104)))-5+1))</f>
        <v/>
      </c>
      <c r="MB6" s="62">
        <f>IF(SUMPRODUCT(('حجز الإجازات'!$B$5:$B$104='الموظفون'!$B$4)*('حجز الإجازات'!$D$5:$D$104&lt;=MB$3)*(('حجز الإجازات'!$E$5:$E$104)&gt;=MB$3)*('حجز الإجازات'!$G$5:$G$104="معتمد")*ROW('حجز الإجازات'!$B$5:$B$104))=0,"",INDEX('حجز الإجازات'!$C$5:$C$104,(SUMPRODUCT(('حجز الإجازات'!$B$5:$B$104='الموظفون'!$B$4)*('حجز الإجازات'!$D$5:$D$104&lt;=MB$3)*(('حجز الإجازات'!$E$5:$E$104)&gt;=MB$3)*('حجز الإجازات'!$G$5:$G$104="معتمد")*ROW('حجز الإجازات'!$B$5:$B$104)))-5+1))</f>
        <v/>
      </c>
      <c r="MC6" s="62">
        <f>IF(SUMPRODUCT(('حجز الإجازات'!$B$5:$B$104='الموظفون'!$B$4)*('حجز الإجازات'!$D$5:$D$104&lt;=MC$3)*(('حجز الإجازات'!$E$5:$E$104)&gt;=MC$3)*('حجز الإجازات'!$G$5:$G$104="معتمد")*ROW('حجز الإجازات'!$B$5:$B$104))=0,"",INDEX('حجز الإجازات'!$C$5:$C$104,(SUMPRODUCT(('حجز الإجازات'!$B$5:$B$104='الموظفون'!$B$4)*('حجز الإجازات'!$D$5:$D$104&lt;=MC$3)*(('حجز الإجازات'!$E$5:$E$104)&gt;=MC$3)*('حجز الإجازات'!$G$5:$G$104="معتمد")*ROW('حجز الإجازات'!$B$5:$B$104)))-5+1))</f>
        <v/>
      </c>
      <c r="MD6" s="62">
        <f>IF(SUMPRODUCT(('حجز الإجازات'!$B$5:$B$104='الموظفون'!$B$4)*('حجز الإجازات'!$D$5:$D$104&lt;=MD$3)*(('حجز الإجازات'!$E$5:$E$104)&gt;=MD$3)*('حجز الإجازات'!$G$5:$G$104="معتمد")*ROW('حجز الإجازات'!$B$5:$B$104))=0,"",INDEX('حجز الإجازات'!$C$5:$C$104,(SUMPRODUCT(('حجز الإجازات'!$B$5:$B$104='الموظفون'!$B$4)*('حجز الإجازات'!$D$5:$D$104&lt;=MD$3)*(('حجز الإجازات'!$E$5:$E$104)&gt;=MD$3)*('حجز الإجازات'!$G$5:$G$104="معتمد")*ROW('حجز الإجازات'!$B$5:$B$104)))-5+1))</f>
        <v/>
      </c>
      <c r="ME6" s="62">
        <f>IF(SUMPRODUCT(('حجز الإجازات'!$B$5:$B$104='الموظفون'!$B$4)*('حجز الإجازات'!$D$5:$D$104&lt;=ME$3)*(('حجز الإجازات'!$E$5:$E$104)&gt;=ME$3)*('حجز الإجازات'!$G$5:$G$104="معتمد")*ROW('حجز الإجازات'!$B$5:$B$104))=0,"",INDEX('حجز الإجازات'!$C$5:$C$104,(SUMPRODUCT(('حجز الإجازات'!$B$5:$B$104='الموظفون'!$B$4)*('حجز الإجازات'!$D$5:$D$104&lt;=ME$3)*(('حجز الإجازات'!$E$5:$E$104)&gt;=ME$3)*('حجز الإجازات'!$G$5:$G$104="معتمد")*ROW('حجز الإجازات'!$B$5:$B$104)))-5+1))</f>
        <v/>
      </c>
      <c r="MF6" s="62">
        <f>IF(SUMPRODUCT(('حجز الإجازات'!$B$5:$B$104='الموظفون'!$B$4)*('حجز الإجازات'!$D$5:$D$104&lt;=MF$3)*(('حجز الإجازات'!$E$5:$E$104)&gt;=MF$3)*('حجز الإجازات'!$G$5:$G$104="معتمد")*ROW('حجز الإجازات'!$B$5:$B$104))=0,"",INDEX('حجز الإجازات'!$C$5:$C$104,(SUMPRODUCT(('حجز الإجازات'!$B$5:$B$104='الموظفون'!$B$4)*('حجز الإجازات'!$D$5:$D$104&lt;=MF$3)*(('حجز الإجازات'!$E$5:$E$104)&gt;=MF$3)*('حجز الإجازات'!$G$5:$G$104="معتمد")*ROW('حجز الإجازات'!$B$5:$B$104)))-5+1))</f>
        <v/>
      </c>
      <c r="MG6" s="62">
        <f>IF(SUMPRODUCT(('حجز الإجازات'!$B$5:$B$104='الموظفون'!$B$4)*('حجز الإجازات'!$D$5:$D$104&lt;=MG$3)*(('حجز الإجازات'!$E$5:$E$104)&gt;=MG$3)*('حجز الإجازات'!$G$5:$G$104="معتمد")*ROW('حجز الإجازات'!$B$5:$B$104))=0,"",INDEX('حجز الإجازات'!$C$5:$C$104,(SUMPRODUCT(('حجز الإجازات'!$B$5:$B$104='الموظفون'!$B$4)*('حجز الإجازات'!$D$5:$D$104&lt;=MG$3)*(('حجز الإجازات'!$E$5:$E$104)&gt;=MG$3)*('حجز الإجازات'!$G$5:$G$104="معتمد")*ROW('حجز الإجازات'!$B$5:$B$104)))-5+1))</f>
        <v/>
      </c>
      <c r="MH6" s="62">
        <f>IF(SUMPRODUCT(('حجز الإجازات'!$B$5:$B$104='الموظفون'!$B$4)*('حجز الإجازات'!$D$5:$D$104&lt;=MH$3)*(('حجز الإجازات'!$E$5:$E$104)&gt;=MH$3)*('حجز الإجازات'!$G$5:$G$104="معتمد")*ROW('حجز الإجازات'!$B$5:$B$104))=0,"",INDEX('حجز الإجازات'!$C$5:$C$104,(SUMPRODUCT(('حجز الإجازات'!$B$5:$B$104='الموظفون'!$B$4)*('حجز الإجازات'!$D$5:$D$104&lt;=MH$3)*(('حجز الإجازات'!$E$5:$E$104)&gt;=MH$3)*('حجز الإجازات'!$G$5:$G$104="معتمد")*ROW('حجز الإجازات'!$B$5:$B$104)))-5+1))</f>
        <v/>
      </c>
      <c r="MI6" s="62">
        <f>IF(SUMPRODUCT(('حجز الإجازات'!$B$5:$B$104='الموظفون'!$B$4)*('حجز الإجازات'!$D$5:$D$104&lt;=MI$3)*(('حجز الإجازات'!$E$5:$E$104)&gt;=MI$3)*('حجز الإجازات'!$G$5:$G$104="معتمد")*ROW('حجز الإجازات'!$B$5:$B$104))=0,"",INDEX('حجز الإجازات'!$C$5:$C$104,(SUMPRODUCT(('حجز الإجازات'!$B$5:$B$104='الموظفون'!$B$4)*('حجز الإجازات'!$D$5:$D$104&lt;=MI$3)*(('حجز الإجازات'!$E$5:$E$104)&gt;=MI$3)*('حجز الإجازات'!$G$5:$G$104="معتمد")*ROW('حجز الإجازات'!$B$5:$B$104)))-5+1))</f>
        <v/>
      </c>
      <c r="MJ6" s="62">
        <f>IF(SUMPRODUCT(('حجز الإجازات'!$B$5:$B$104='الموظفون'!$B$4)*('حجز الإجازات'!$D$5:$D$104&lt;=MJ$3)*(('حجز الإجازات'!$E$5:$E$104)&gt;=MJ$3)*('حجز الإجازات'!$G$5:$G$104="معتمد")*ROW('حجز الإجازات'!$B$5:$B$104))=0,"",INDEX('حجز الإجازات'!$C$5:$C$104,(SUMPRODUCT(('حجز الإجازات'!$B$5:$B$104='الموظفون'!$B$4)*('حجز الإجازات'!$D$5:$D$104&lt;=MJ$3)*(('حجز الإجازات'!$E$5:$E$104)&gt;=MJ$3)*('حجز الإجازات'!$G$5:$G$104="معتمد")*ROW('حجز الإجازات'!$B$5:$B$104)))-5+1))</f>
        <v/>
      </c>
      <c r="MK6" s="62">
        <f>IF(SUMPRODUCT(('حجز الإجازات'!$B$5:$B$104='الموظفون'!$B$4)*('حجز الإجازات'!$D$5:$D$104&lt;=MK$3)*(('حجز الإجازات'!$E$5:$E$104)&gt;=MK$3)*('حجز الإجازات'!$G$5:$G$104="معتمد")*ROW('حجز الإجازات'!$B$5:$B$104))=0,"",INDEX('حجز الإجازات'!$C$5:$C$104,(SUMPRODUCT(('حجز الإجازات'!$B$5:$B$104='الموظفون'!$B$4)*('حجز الإجازات'!$D$5:$D$104&lt;=MK$3)*(('حجز الإجازات'!$E$5:$E$104)&gt;=MK$3)*('حجز الإجازات'!$G$5:$G$104="معتمد")*ROW('حجز الإجازات'!$B$5:$B$104)))-5+1))</f>
        <v/>
      </c>
      <c r="ML6" s="62">
        <f>IF(SUMPRODUCT(('حجز الإجازات'!$B$5:$B$104='الموظفون'!$B$4)*('حجز الإجازات'!$D$5:$D$104&lt;=ML$3)*(('حجز الإجازات'!$E$5:$E$104)&gt;=ML$3)*('حجز الإجازات'!$G$5:$G$104="معتمد")*ROW('حجز الإجازات'!$B$5:$B$104))=0,"",INDEX('حجز الإجازات'!$C$5:$C$104,(SUMPRODUCT(('حجز الإجازات'!$B$5:$B$104='الموظفون'!$B$4)*('حجز الإجازات'!$D$5:$D$104&lt;=ML$3)*(('حجز الإجازات'!$E$5:$E$104)&gt;=ML$3)*('حجز الإجازات'!$G$5:$G$104="معتمد")*ROW('حجز الإجازات'!$B$5:$B$104)))-5+1))</f>
        <v/>
      </c>
      <c r="MM6" s="62">
        <f>IF(SUMPRODUCT(('حجز الإجازات'!$B$5:$B$104='الموظفون'!$B$4)*('حجز الإجازات'!$D$5:$D$104&lt;=MM$3)*(('حجز الإجازات'!$E$5:$E$104)&gt;=MM$3)*('حجز الإجازات'!$G$5:$G$104="معتمد")*ROW('حجز الإجازات'!$B$5:$B$104))=0,"",INDEX('حجز الإجازات'!$C$5:$C$104,(SUMPRODUCT(('حجز الإجازات'!$B$5:$B$104='الموظفون'!$B$4)*('حجز الإجازات'!$D$5:$D$104&lt;=MM$3)*(('حجز الإجازات'!$E$5:$E$104)&gt;=MM$3)*('حجز الإجازات'!$G$5:$G$104="معتمد")*ROW('حجز الإجازات'!$B$5:$B$104)))-5+1))</f>
        <v/>
      </c>
      <c r="MN6" s="62">
        <f>IF(SUMPRODUCT(('حجز الإجازات'!$B$5:$B$104='الموظفون'!$B$4)*('حجز الإجازات'!$D$5:$D$104&lt;=MN$3)*(('حجز الإجازات'!$E$5:$E$104)&gt;=MN$3)*('حجز الإجازات'!$G$5:$G$104="معتمد")*ROW('حجز الإجازات'!$B$5:$B$104))=0,"",INDEX('حجز الإجازات'!$C$5:$C$104,(SUMPRODUCT(('حجز الإجازات'!$B$5:$B$104='الموظفون'!$B$4)*('حجز الإجازات'!$D$5:$D$104&lt;=MN$3)*(('حجز الإجازات'!$E$5:$E$104)&gt;=MN$3)*('حجز الإجازات'!$G$5:$G$104="معتمد")*ROW('حجز الإجازات'!$B$5:$B$104)))-5+1))</f>
        <v/>
      </c>
      <c r="MO6" s="62">
        <f>IF(SUMPRODUCT(('حجز الإجازات'!$B$5:$B$104='الموظفون'!$B$4)*('حجز الإجازات'!$D$5:$D$104&lt;=MO$3)*(('حجز الإجازات'!$E$5:$E$104)&gt;=MO$3)*('حجز الإجازات'!$G$5:$G$104="معتمد")*ROW('حجز الإجازات'!$B$5:$B$104))=0,"",INDEX('حجز الإجازات'!$C$5:$C$104,(SUMPRODUCT(('حجز الإجازات'!$B$5:$B$104='الموظفون'!$B$4)*('حجز الإجازات'!$D$5:$D$104&lt;=MO$3)*(('حجز الإجازات'!$E$5:$E$104)&gt;=MO$3)*('حجز الإجازات'!$G$5:$G$104="معتمد")*ROW('حجز الإجازات'!$B$5:$B$104)))-5+1))</f>
        <v/>
      </c>
      <c r="MP6" s="62">
        <f>IF(SUMPRODUCT(('حجز الإجازات'!$B$5:$B$104='الموظفون'!$B$4)*('حجز الإجازات'!$D$5:$D$104&lt;=MP$3)*(('حجز الإجازات'!$E$5:$E$104)&gt;=MP$3)*('حجز الإجازات'!$G$5:$G$104="معتمد")*ROW('حجز الإجازات'!$B$5:$B$104))=0,"",INDEX('حجز الإجازات'!$C$5:$C$104,(SUMPRODUCT(('حجز الإجازات'!$B$5:$B$104='الموظفون'!$B$4)*('حجز الإجازات'!$D$5:$D$104&lt;=MP$3)*(('حجز الإجازات'!$E$5:$E$104)&gt;=MP$3)*('حجز الإجازات'!$G$5:$G$104="معتمد")*ROW('حجز الإجازات'!$B$5:$B$104)))-5+1))</f>
        <v/>
      </c>
      <c r="MQ6" s="62">
        <f>IF(SUMPRODUCT(('حجز الإجازات'!$B$5:$B$104='الموظفون'!$B$4)*('حجز الإجازات'!$D$5:$D$104&lt;=MQ$3)*(('حجز الإجازات'!$E$5:$E$104)&gt;=MQ$3)*('حجز الإجازات'!$G$5:$G$104="معتمد")*ROW('حجز الإجازات'!$B$5:$B$104))=0,"",INDEX('حجز الإجازات'!$C$5:$C$104,(SUMPRODUCT(('حجز الإجازات'!$B$5:$B$104='الموظفون'!$B$4)*('حجز الإجازات'!$D$5:$D$104&lt;=MQ$3)*(('حجز الإجازات'!$E$5:$E$104)&gt;=MQ$3)*('حجز الإجازات'!$G$5:$G$104="معتمد")*ROW('حجز الإجازات'!$B$5:$B$104)))-5+1))</f>
        <v/>
      </c>
      <c r="MR6" s="62">
        <f>IF(SUMPRODUCT(('حجز الإجازات'!$B$5:$B$104='الموظفون'!$B$4)*('حجز الإجازات'!$D$5:$D$104&lt;=MR$3)*(('حجز الإجازات'!$E$5:$E$104)&gt;=MR$3)*('حجز الإجازات'!$G$5:$G$104="معتمد")*ROW('حجز الإجازات'!$B$5:$B$104))=0,"",INDEX('حجز الإجازات'!$C$5:$C$104,(SUMPRODUCT(('حجز الإجازات'!$B$5:$B$104='الموظفون'!$B$4)*('حجز الإجازات'!$D$5:$D$104&lt;=MR$3)*(('حجز الإجازات'!$E$5:$E$104)&gt;=MR$3)*('حجز الإجازات'!$G$5:$G$104="معتمد")*ROW('حجز الإجازات'!$B$5:$B$104)))-5+1))</f>
        <v/>
      </c>
      <c r="MS6" s="62">
        <f>IF(SUMPRODUCT(('حجز الإجازات'!$B$5:$B$104='الموظفون'!$B$4)*('حجز الإجازات'!$D$5:$D$104&lt;=MS$3)*(('حجز الإجازات'!$E$5:$E$104)&gt;=MS$3)*('حجز الإجازات'!$G$5:$G$104="معتمد")*ROW('حجز الإجازات'!$B$5:$B$104))=0,"",INDEX('حجز الإجازات'!$C$5:$C$104,(SUMPRODUCT(('حجز الإجازات'!$B$5:$B$104='الموظفون'!$B$4)*('حجز الإجازات'!$D$5:$D$104&lt;=MS$3)*(('حجز الإجازات'!$E$5:$E$104)&gt;=MS$3)*('حجز الإجازات'!$G$5:$G$104="معتمد")*ROW('حجز الإجازات'!$B$5:$B$104)))-5+1))</f>
        <v/>
      </c>
      <c r="MT6" s="62">
        <f>IF(SUMPRODUCT(('حجز الإجازات'!$B$5:$B$104='الموظفون'!$B$4)*('حجز الإجازات'!$D$5:$D$104&lt;=MT$3)*(('حجز الإجازات'!$E$5:$E$104)&gt;=MT$3)*('حجز الإجازات'!$G$5:$G$104="معتمد")*ROW('حجز الإجازات'!$B$5:$B$104))=0,"",INDEX('حجز الإجازات'!$C$5:$C$104,(SUMPRODUCT(('حجز الإجازات'!$B$5:$B$104='الموظفون'!$B$4)*('حجز الإجازات'!$D$5:$D$104&lt;=MT$3)*(('حجز الإجازات'!$E$5:$E$104)&gt;=MT$3)*('حجز الإجازات'!$G$5:$G$104="معتمد")*ROW('حجز الإجازات'!$B$5:$B$104)))-5+1))</f>
        <v/>
      </c>
      <c r="MU6" s="62">
        <f>IF(SUMPRODUCT(('حجز الإجازات'!$B$5:$B$104='الموظفون'!$B$4)*('حجز الإجازات'!$D$5:$D$104&lt;=MU$3)*(('حجز الإجازات'!$E$5:$E$104)&gt;=MU$3)*('حجز الإجازات'!$G$5:$G$104="معتمد")*ROW('حجز الإجازات'!$B$5:$B$104))=0,"",INDEX('حجز الإجازات'!$C$5:$C$104,(SUMPRODUCT(('حجز الإجازات'!$B$5:$B$104='الموظفون'!$B$4)*('حجز الإجازات'!$D$5:$D$104&lt;=MU$3)*(('حجز الإجازات'!$E$5:$E$104)&gt;=MU$3)*('حجز الإجازات'!$G$5:$G$104="معتمد")*ROW('حجز الإجازات'!$B$5:$B$104)))-5+1))</f>
        <v/>
      </c>
      <c r="MV6" s="62">
        <f>IF(SUMPRODUCT(('حجز الإجازات'!$B$5:$B$104='الموظفون'!$B$4)*('حجز الإجازات'!$D$5:$D$104&lt;=MV$3)*(('حجز الإجازات'!$E$5:$E$104)&gt;=MV$3)*('حجز الإجازات'!$G$5:$G$104="معتمد")*ROW('حجز الإجازات'!$B$5:$B$104))=0,"",INDEX('حجز الإجازات'!$C$5:$C$104,(SUMPRODUCT(('حجز الإجازات'!$B$5:$B$104='الموظفون'!$B$4)*('حجز الإجازات'!$D$5:$D$104&lt;=MV$3)*(('حجز الإجازات'!$E$5:$E$104)&gt;=MV$3)*('حجز الإجازات'!$G$5:$G$104="معتمد")*ROW('حجز الإجازات'!$B$5:$B$104)))-5+1))</f>
        <v/>
      </c>
      <c r="MW6" s="62">
        <f>IF(SUMPRODUCT(('حجز الإجازات'!$B$5:$B$104='الموظفون'!$B$4)*('حجز الإجازات'!$D$5:$D$104&lt;=MW$3)*(('حجز الإجازات'!$E$5:$E$104)&gt;=MW$3)*('حجز الإجازات'!$G$5:$G$104="معتمد")*ROW('حجز الإجازات'!$B$5:$B$104))=0,"",INDEX('حجز الإجازات'!$C$5:$C$104,(SUMPRODUCT(('حجز الإجازات'!$B$5:$B$104='الموظفون'!$B$4)*('حجز الإجازات'!$D$5:$D$104&lt;=MW$3)*(('حجز الإجازات'!$E$5:$E$104)&gt;=MW$3)*('حجز الإجازات'!$G$5:$G$104="معتمد")*ROW('حجز الإجازات'!$B$5:$B$104)))-5+1))</f>
        <v/>
      </c>
      <c r="MX6" s="62">
        <f>IF(SUMPRODUCT(('حجز الإجازات'!$B$5:$B$104='الموظفون'!$B$4)*('حجز الإجازات'!$D$5:$D$104&lt;=MX$3)*(('حجز الإجازات'!$E$5:$E$104)&gt;=MX$3)*('حجز الإجازات'!$G$5:$G$104="معتمد")*ROW('حجز الإجازات'!$B$5:$B$104))=0,"",INDEX('حجز الإجازات'!$C$5:$C$104,(SUMPRODUCT(('حجز الإجازات'!$B$5:$B$104='الموظفون'!$B$4)*('حجز الإجازات'!$D$5:$D$104&lt;=MX$3)*(('حجز الإجازات'!$E$5:$E$104)&gt;=MX$3)*('حجز الإجازات'!$G$5:$G$104="معتمد")*ROW('حجز الإجازات'!$B$5:$B$104)))-5+1))</f>
        <v/>
      </c>
      <c r="MY6" s="62">
        <f>IF(SUMPRODUCT(('حجز الإجازات'!$B$5:$B$104='الموظفون'!$B$4)*('حجز الإجازات'!$D$5:$D$104&lt;=MY$3)*(('حجز الإجازات'!$E$5:$E$104)&gt;=MY$3)*('حجز الإجازات'!$G$5:$G$104="معتمد")*ROW('حجز الإجازات'!$B$5:$B$104))=0,"",INDEX('حجز الإجازات'!$C$5:$C$104,(SUMPRODUCT(('حجز الإجازات'!$B$5:$B$104='الموظفون'!$B$4)*('حجز الإجازات'!$D$5:$D$104&lt;=MY$3)*(('حجز الإجازات'!$E$5:$E$104)&gt;=MY$3)*('حجز الإجازات'!$G$5:$G$104="معتمد")*ROW('حجز الإجازات'!$B$5:$B$104)))-5+1))</f>
        <v/>
      </c>
      <c r="MZ6" s="62">
        <f>IF(SUMPRODUCT(('حجز الإجازات'!$B$5:$B$104='الموظفون'!$B$4)*('حجز الإجازات'!$D$5:$D$104&lt;=MZ$3)*(('حجز الإجازات'!$E$5:$E$104)&gt;=MZ$3)*('حجز الإجازات'!$G$5:$G$104="معتمد")*ROW('حجز الإجازات'!$B$5:$B$104))=0,"",INDEX('حجز الإجازات'!$C$5:$C$104,(SUMPRODUCT(('حجز الإجازات'!$B$5:$B$104='الموظفون'!$B$4)*('حجز الإجازات'!$D$5:$D$104&lt;=MZ$3)*(('حجز الإجازات'!$E$5:$E$104)&gt;=MZ$3)*('حجز الإجازات'!$G$5:$G$104="معتمد")*ROW('حجز الإجازات'!$B$5:$B$104)))-5+1))</f>
        <v/>
      </c>
      <c r="NA6" s="62">
        <f>IF(SUMPRODUCT(('حجز الإجازات'!$B$5:$B$104='الموظفون'!$B$4)*('حجز الإجازات'!$D$5:$D$104&lt;=NA$3)*(('حجز الإجازات'!$E$5:$E$104)&gt;=NA$3)*('حجز الإجازات'!$G$5:$G$104="معتمد")*ROW('حجز الإجازات'!$B$5:$B$104))=0,"",INDEX('حجز الإجازات'!$C$5:$C$104,(SUMPRODUCT(('حجز الإجازات'!$B$5:$B$104='الموظفون'!$B$4)*('حجز الإجازات'!$D$5:$D$104&lt;=NA$3)*(('حجز الإجازات'!$E$5:$E$104)&gt;=NA$3)*('حجز الإجازات'!$G$5:$G$104="معتمد")*ROW('حجز الإجازات'!$B$5:$B$104)))-5+1))</f>
        <v/>
      </c>
      <c r="NB6" s="62">
        <f>IF(SUMPRODUCT(('حجز الإجازات'!$B$5:$B$104='الموظفون'!$B$4)*('حجز الإجازات'!$D$5:$D$104&lt;=NB$3)*(('حجز الإجازات'!$E$5:$E$104)&gt;=NB$3)*('حجز الإجازات'!$G$5:$G$104="معتمد")*ROW('حجز الإجازات'!$B$5:$B$104))=0,"",INDEX('حجز الإجازات'!$C$5:$C$104,(SUMPRODUCT(('حجز الإجازات'!$B$5:$B$104='الموظفون'!$B$4)*('حجز الإجازات'!$D$5:$D$104&lt;=NB$3)*(('حجز الإجازات'!$E$5:$E$104)&gt;=NB$3)*('حجز الإجازات'!$G$5:$G$104="معتمد")*ROW('حجز الإجازات'!$B$5:$B$104)))-5+1))</f>
        <v/>
      </c>
      <c r="NC6" s="62">
        <f>IF(SUMPRODUCT(('حجز الإجازات'!$B$5:$B$104='الموظفون'!$B$4)*('حجز الإجازات'!$D$5:$D$104&lt;=NC$3)*(('حجز الإجازات'!$E$5:$E$104)&gt;=NC$3)*('حجز الإجازات'!$G$5:$G$104="معتمد")*ROW('حجز الإجازات'!$B$5:$B$104))=0,"",INDEX('حجز الإجازات'!$C$5:$C$104,(SUMPRODUCT(('حجز الإجازات'!$B$5:$B$104='الموظفون'!$B$4)*('حجز الإجازات'!$D$5:$D$104&lt;=NC$3)*(('حجز الإجازات'!$E$5:$E$104)&gt;=NC$3)*('حجز الإجازات'!$G$5:$G$104="معتمد")*ROW('حجز الإجازات'!$B$5:$B$104)))-5+1))</f>
        <v/>
      </c>
      <c r="ND6" s="62">
        <f>IF(SUMPRODUCT(('حجز الإجازات'!$B$5:$B$104='الموظفون'!$B$4)*('حجز الإجازات'!$D$5:$D$104&lt;=ND$3)*(('حجز الإجازات'!$E$5:$E$104)&gt;=ND$3)*('حجز الإجازات'!$G$5:$G$104="معتمد")*ROW('حجز الإجازات'!$B$5:$B$104))=0,"",INDEX('حجز الإجازات'!$C$5:$C$104,(SUMPRODUCT(('حجز الإجازات'!$B$5:$B$104='الموظفون'!$B$4)*('حجز الإجازات'!$D$5:$D$104&lt;=ND$3)*(('حجز الإجازات'!$E$5:$E$104)&gt;=ND$3)*('حجز الإجازات'!$G$5:$G$104="معتمد")*ROW('حجز الإجازات'!$B$5:$B$104)))-5+1))</f>
        <v/>
      </c>
      <c r="NE6" s="74">
        <f>SUMPRODUCT(--(D6:ND6&lt;&gt;""))</f>
        <v/>
      </c>
    </row>
    <row r="7">
      <c r="A7" s="16" t="n">
        <v>4</v>
      </c>
      <c r="B7" s="22">
        <f>'الموظفون'!B5</f>
        <v/>
      </c>
      <c r="C7" s="16">
        <f>'الموظفون'!C5</f>
        <v/>
      </c>
      <c r="D7" s="62">
        <f>IF(SUMPRODUCT(('حجز الإجازات'!$B$5:$B$104='الموظفون'!$B$5)*('حجز الإجازات'!$D$5:$D$104&lt;=D$3)*(('حجز الإجازات'!$E$5:$E$104)&gt;=D$3)*('حجز الإجازات'!$G$5:$G$104="معتمد")*ROW('حجز الإجازات'!$B$5:$B$104))=0,"",INDEX('حجز الإجازات'!$C$5:$C$104,(SUMPRODUCT(('حجز الإجازات'!$B$5:$B$104='الموظفون'!$B$5)*('حجز الإجازات'!$D$5:$D$104&lt;=D$3)*(('حجز الإجازات'!$E$5:$E$104)&gt;=D$3)*('حجز الإجازات'!$G$5:$G$104="معتمد")*ROW('حجز الإجازات'!$B$5:$B$104)))-5+1))</f>
        <v/>
      </c>
      <c r="E7" s="62">
        <f>IF(SUMPRODUCT(('حجز الإجازات'!$B$5:$B$104='الموظفون'!$B$5)*('حجز الإجازات'!$D$5:$D$104&lt;=E$3)*(('حجز الإجازات'!$E$5:$E$104)&gt;=E$3)*('حجز الإجازات'!$G$5:$G$104="معتمد")*ROW('حجز الإجازات'!$B$5:$B$104))=0,"",INDEX('حجز الإجازات'!$C$5:$C$104,(SUMPRODUCT(('حجز الإجازات'!$B$5:$B$104='الموظفون'!$B$5)*('حجز الإجازات'!$D$5:$D$104&lt;=E$3)*(('حجز الإجازات'!$E$5:$E$104)&gt;=E$3)*('حجز الإجازات'!$G$5:$G$104="معتمد")*ROW('حجز الإجازات'!$B$5:$B$104)))-5+1))</f>
        <v/>
      </c>
      <c r="F7" s="62">
        <f>IF(SUMPRODUCT(('حجز الإجازات'!$B$5:$B$104='الموظفون'!$B$5)*('حجز الإجازات'!$D$5:$D$104&lt;=F$3)*(('حجز الإجازات'!$E$5:$E$104)&gt;=F$3)*('حجز الإجازات'!$G$5:$G$104="معتمد")*ROW('حجز الإجازات'!$B$5:$B$104))=0,"",INDEX('حجز الإجازات'!$C$5:$C$104,(SUMPRODUCT(('حجز الإجازات'!$B$5:$B$104='الموظفون'!$B$5)*('حجز الإجازات'!$D$5:$D$104&lt;=F$3)*(('حجز الإجازات'!$E$5:$E$104)&gt;=F$3)*('حجز الإجازات'!$G$5:$G$104="معتمد")*ROW('حجز الإجازات'!$B$5:$B$104)))-5+1))</f>
        <v/>
      </c>
      <c r="G7" s="62">
        <f>IF(SUMPRODUCT(('حجز الإجازات'!$B$5:$B$104='الموظفون'!$B$5)*('حجز الإجازات'!$D$5:$D$104&lt;=G$3)*(('حجز الإجازات'!$E$5:$E$104)&gt;=G$3)*('حجز الإجازات'!$G$5:$G$104="معتمد")*ROW('حجز الإجازات'!$B$5:$B$104))=0,"",INDEX('حجز الإجازات'!$C$5:$C$104,(SUMPRODUCT(('حجز الإجازات'!$B$5:$B$104='الموظفون'!$B$5)*('حجز الإجازات'!$D$5:$D$104&lt;=G$3)*(('حجز الإجازات'!$E$5:$E$104)&gt;=G$3)*('حجز الإجازات'!$G$5:$G$104="معتمد")*ROW('حجز الإجازات'!$B$5:$B$104)))-5+1))</f>
        <v/>
      </c>
      <c r="H7" s="62">
        <f>IF(SUMPRODUCT(('حجز الإجازات'!$B$5:$B$104='الموظفون'!$B$5)*('حجز الإجازات'!$D$5:$D$104&lt;=H$3)*(('حجز الإجازات'!$E$5:$E$104)&gt;=H$3)*('حجز الإجازات'!$G$5:$G$104="معتمد")*ROW('حجز الإجازات'!$B$5:$B$104))=0,"",INDEX('حجز الإجازات'!$C$5:$C$104,(SUMPRODUCT(('حجز الإجازات'!$B$5:$B$104='الموظفون'!$B$5)*('حجز الإجازات'!$D$5:$D$104&lt;=H$3)*(('حجز الإجازات'!$E$5:$E$104)&gt;=H$3)*('حجز الإجازات'!$G$5:$G$104="معتمد")*ROW('حجز الإجازات'!$B$5:$B$104)))-5+1))</f>
        <v/>
      </c>
      <c r="I7" s="62">
        <f>IF(SUMPRODUCT(('حجز الإجازات'!$B$5:$B$104='الموظفون'!$B$5)*('حجز الإجازات'!$D$5:$D$104&lt;=I$3)*(('حجز الإجازات'!$E$5:$E$104)&gt;=I$3)*('حجز الإجازات'!$G$5:$G$104="معتمد")*ROW('حجز الإجازات'!$B$5:$B$104))=0,"",INDEX('حجز الإجازات'!$C$5:$C$104,(SUMPRODUCT(('حجز الإجازات'!$B$5:$B$104='الموظفون'!$B$5)*('حجز الإجازات'!$D$5:$D$104&lt;=I$3)*(('حجز الإجازات'!$E$5:$E$104)&gt;=I$3)*('حجز الإجازات'!$G$5:$G$104="معتمد")*ROW('حجز الإجازات'!$B$5:$B$104)))-5+1))</f>
        <v/>
      </c>
      <c r="J7" s="62">
        <f>IF(SUMPRODUCT(('حجز الإجازات'!$B$5:$B$104='الموظفون'!$B$5)*('حجز الإجازات'!$D$5:$D$104&lt;=J$3)*(('حجز الإجازات'!$E$5:$E$104)&gt;=J$3)*('حجز الإجازات'!$G$5:$G$104="معتمد")*ROW('حجز الإجازات'!$B$5:$B$104))=0,"",INDEX('حجز الإجازات'!$C$5:$C$104,(SUMPRODUCT(('حجز الإجازات'!$B$5:$B$104='الموظفون'!$B$5)*('حجز الإجازات'!$D$5:$D$104&lt;=J$3)*(('حجز الإجازات'!$E$5:$E$104)&gt;=J$3)*('حجز الإجازات'!$G$5:$G$104="معتمد")*ROW('حجز الإجازات'!$B$5:$B$104)))-5+1))</f>
        <v/>
      </c>
      <c r="K7" s="62">
        <f>IF(SUMPRODUCT(('حجز الإجازات'!$B$5:$B$104='الموظفون'!$B$5)*('حجز الإجازات'!$D$5:$D$104&lt;=K$3)*(('حجز الإجازات'!$E$5:$E$104)&gt;=K$3)*('حجز الإجازات'!$G$5:$G$104="معتمد")*ROW('حجز الإجازات'!$B$5:$B$104))=0,"",INDEX('حجز الإجازات'!$C$5:$C$104,(SUMPRODUCT(('حجز الإجازات'!$B$5:$B$104='الموظفون'!$B$5)*('حجز الإجازات'!$D$5:$D$104&lt;=K$3)*(('حجز الإجازات'!$E$5:$E$104)&gt;=K$3)*('حجز الإجازات'!$G$5:$G$104="معتمد")*ROW('حجز الإجازات'!$B$5:$B$104)))-5+1))</f>
        <v/>
      </c>
      <c r="L7" s="62">
        <f>IF(SUMPRODUCT(('حجز الإجازات'!$B$5:$B$104='الموظفون'!$B$5)*('حجز الإجازات'!$D$5:$D$104&lt;=L$3)*(('حجز الإجازات'!$E$5:$E$104)&gt;=L$3)*('حجز الإجازات'!$G$5:$G$104="معتمد")*ROW('حجز الإجازات'!$B$5:$B$104))=0,"",INDEX('حجز الإجازات'!$C$5:$C$104,(SUMPRODUCT(('حجز الإجازات'!$B$5:$B$104='الموظفون'!$B$5)*('حجز الإجازات'!$D$5:$D$104&lt;=L$3)*(('حجز الإجازات'!$E$5:$E$104)&gt;=L$3)*('حجز الإجازات'!$G$5:$G$104="معتمد")*ROW('حجز الإجازات'!$B$5:$B$104)))-5+1))</f>
        <v/>
      </c>
      <c r="M7" s="62">
        <f>IF(SUMPRODUCT(('حجز الإجازات'!$B$5:$B$104='الموظفون'!$B$5)*('حجز الإجازات'!$D$5:$D$104&lt;=M$3)*(('حجز الإجازات'!$E$5:$E$104)&gt;=M$3)*('حجز الإجازات'!$G$5:$G$104="معتمد")*ROW('حجز الإجازات'!$B$5:$B$104))=0,"",INDEX('حجز الإجازات'!$C$5:$C$104,(SUMPRODUCT(('حجز الإجازات'!$B$5:$B$104='الموظفون'!$B$5)*('حجز الإجازات'!$D$5:$D$104&lt;=M$3)*(('حجز الإجازات'!$E$5:$E$104)&gt;=M$3)*('حجز الإجازات'!$G$5:$G$104="معتمد")*ROW('حجز الإجازات'!$B$5:$B$104)))-5+1))</f>
        <v/>
      </c>
      <c r="N7" s="62">
        <f>IF(SUMPRODUCT(('حجز الإجازات'!$B$5:$B$104='الموظفون'!$B$5)*('حجز الإجازات'!$D$5:$D$104&lt;=N$3)*(('حجز الإجازات'!$E$5:$E$104)&gt;=N$3)*('حجز الإجازات'!$G$5:$G$104="معتمد")*ROW('حجز الإجازات'!$B$5:$B$104))=0,"",INDEX('حجز الإجازات'!$C$5:$C$104,(SUMPRODUCT(('حجز الإجازات'!$B$5:$B$104='الموظفون'!$B$5)*('حجز الإجازات'!$D$5:$D$104&lt;=N$3)*(('حجز الإجازات'!$E$5:$E$104)&gt;=N$3)*('حجز الإجازات'!$G$5:$G$104="معتمد")*ROW('حجز الإجازات'!$B$5:$B$104)))-5+1))</f>
        <v/>
      </c>
      <c r="O7" s="62">
        <f>IF(SUMPRODUCT(('حجز الإجازات'!$B$5:$B$104='الموظفون'!$B$5)*('حجز الإجازات'!$D$5:$D$104&lt;=O$3)*(('حجز الإجازات'!$E$5:$E$104)&gt;=O$3)*('حجز الإجازات'!$G$5:$G$104="معتمد")*ROW('حجز الإجازات'!$B$5:$B$104))=0,"",INDEX('حجز الإجازات'!$C$5:$C$104,(SUMPRODUCT(('حجز الإجازات'!$B$5:$B$104='الموظفون'!$B$5)*('حجز الإجازات'!$D$5:$D$104&lt;=O$3)*(('حجز الإجازات'!$E$5:$E$104)&gt;=O$3)*('حجز الإجازات'!$G$5:$G$104="معتمد")*ROW('حجز الإجازات'!$B$5:$B$104)))-5+1))</f>
        <v/>
      </c>
      <c r="P7" s="62">
        <f>IF(SUMPRODUCT(('حجز الإجازات'!$B$5:$B$104='الموظفون'!$B$5)*('حجز الإجازات'!$D$5:$D$104&lt;=P$3)*(('حجز الإجازات'!$E$5:$E$104)&gt;=P$3)*('حجز الإجازات'!$G$5:$G$104="معتمد")*ROW('حجز الإجازات'!$B$5:$B$104))=0,"",INDEX('حجز الإجازات'!$C$5:$C$104,(SUMPRODUCT(('حجز الإجازات'!$B$5:$B$104='الموظفون'!$B$5)*('حجز الإجازات'!$D$5:$D$104&lt;=P$3)*(('حجز الإجازات'!$E$5:$E$104)&gt;=P$3)*('حجز الإجازات'!$G$5:$G$104="معتمد")*ROW('حجز الإجازات'!$B$5:$B$104)))-5+1))</f>
        <v/>
      </c>
      <c r="Q7" s="62">
        <f>IF(SUMPRODUCT(('حجز الإجازات'!$B$5:$B$104='الموظفون'!$B$5)*('حجز الإجازات'!$D$5:$D$104&lt;=Q$3)*(('حجز الإجازات'!$E$5:$E$104)&gt;=Q$3)*('حجز الإجازات'!$G$5:$G$104="معتمد")*ROW('حجز الإجازات'!$B$5:$B$104))=0,"",INDEX('حجز الإجازات'!$C$5:$C$104,(SUMPRODUCT(('حجز الإجازات'!$B$5:$B$104='الموظفون'!$B$5)*('حجز الإجازات'!$D$5:$D$104&lt;=Q$3)*(('حجز الإجازات'!$E$5:$E$104)&gt;=Q$3)*('حجز الإجازات'!$G$5:$G$104="معتمد")*ROW('حجز الإجازات'!$B$5:$B$104)))-5+1))</f>
        <v/>
      </c>
      <c r="R7" s="62">
        <f>IF(SUMPRODUCT(('حجز الإجازات'!$B$5:$B$104='الموظفون'!$B$5)*('حجز الإجازات'!$D$5:$D$104&lt;=R$3)*(('حجز الإجازات'!$E$5:$E$104)&gt;=R$3)*('حجز الإجازات'!$G$5:$G$104="معتمد")*ROW('حجز الإجازات'!$B$5:$B$104))=0,"",INDEX('حجز الإجازات'!$C$5:$C$104,(SUMPRODUCT(('حجز الإجازات'!$B$5:$B$104='الموظفون'!$B$5)*('حجز الإجازات'!$D$5:$D$104&lt;=R$3)*(('حجز الإجازات'!$E$5:$E$104)&gt;=R$3)*('حجز الإجازات'!$G$5:$G$104="معتمد")*ROW('حجز الإجازات'!$B$5:$B$104)))-5+1))</f>
        <v/>
      </c>
      <c r="S7" s="62">
        <f>IF(SUMPRODUCT(('حجز الإجازات'!$B$5:$B$104='الموظفون'!$B$5)*('حجز الإجازات'!$D$5:$D$104&lt;=S$3)*(('حجز الإجازات'!$E$5:$E$104)&gt;=S$3)*('حجز الإجازات'!$G$5:$G$104="معتمد")*ROW('حجز الإجازات'!$B$5:$B$104))=0,"",INDEX('حجز الإجازات'!$C$5:$C$104,(SUMPRODUCT(('حجز الإجازات'!$B$5:$B$104='الموظفون'!$B$5)*('حجز الإجازات'!$D$5:$D$104&lt;=S$3)*(('حجز الإجازات'!$E$5:$E$104)&gt;=S$3)*('حجز الإجازات'!$G$5:$G$104="معتمد")*ROW('حجز الإجازات'!$B$5:$B$104)))-5+1))</f>
        <v/>
      </c>
      <c r="T7" s="62">
        <f>IF(SUMPRODUCT(('حجز الإجازات'!$B$5:$B$104='الموظفون'!$B$5)*('حجز الإجازات'!$D$5:$D$104&lt;=T$3)*(('حجز الإجازات'!$E$5:$E$104)&gt;=T$3)*('حجز الإجازات'!$G$5:$G$104="معتمد")*ROW('حجز الإجازات'!$B$5:$B$104))=0,"",INDEX('حجز الإجازات'!$C$5:$C$104,(SUMPRODUCT(('حجز الإجازات'!$B$5:$B$104='الموظفون'!$B$5)*('حجز الإجازات'!$D$5:$D$104&lt;=T$3)*(('حجز الإجازات'!$E$5:$E$104)&gt;=T$3)*('حجز الإجازات'!$G$5:$G$104="معتمد")*ROW('حجز الإجازات'!$B$5:$B$104)))-5+1))</f>
        <v/>
      </c>
      <c r="U7" s="62">
        <f>IF(SUMPRODUCT(('حجز الإجازات'!$B$5:$B$104='الموظفون'!$B$5)*('حجز الإجازات'!$D$5:$D$104&lt;=U$3)*(('حجز الإجازات'!$E$5:$E$104)&gt;=U$3)*('حجز الإجازات'!$G$5:$G$104="معتمد")*ROW('حجز الإجازات'!$B$5:$B$104))=0,"",INDEX('حجز الإجازات'!$C$5:$C$104,(SUMPRODUCT(('حجز الإجازات'!$B$5:$B$104='الموظفون'!$B$5)*('حجز الإجازات'!$D$5:$D$104&lt;=U$3)*(('حجز الإجازات'!$E$5:$E$104)&gt;=U$3)*('حجز الإجازات'!$G$5:$G$104="معتمد")*ROW('حجز الإجازات'!$B$5:$B$104)))-5+1))</f>
        <v/>
      </c>
      <c r="V7" s="62">
        <f>IF(SUMPRODUCT(('حجز الإجازات'!$B$5:$B$104='الموظفون'!$B$5)*('حجز الإجازات'!$D$5:$D$104&lt;=V$3)*(('حجز الإجازات'!$E$5:$E$104)&gt;=V$3)*('حجز الإجازات'!$G$5:$G$104="معتمد")*ROW('حجز الإجازات'!$B$5:$B$104))=0,"",INDEX('حجز الإجازات'!$C$5:$C$104,(SUMPRODUCT(('حجز الإجازات'!$B$5:$B$104='الموظفون'!$B$5)*('حجز الإجازات'!$D$5:$D$104&lt;=V$3)*(('حجز الإجازات'!$E$5:$E$104)&gt;=V$3)*('حجز الإجازات'!$G$5:$G$104="معتمد")*ROW('حجز الإجازات'!$B$5:$B$104)))-5+1))</f>
        <v/>
      </c>
      <c r="W7" s="62">
        <f>IF(SUMPRODUCT(('حجز الإجازات'!$B$5:$B$104='الموظفون'!$B$5)*('حجز الإجازات'!$D$5:$D$104&lt;=W$3)*(('حجز الإجازات'!$E$5:$E$104)&gt;=W$3)*('حجز الإجازات'!$G$5:$G$104="معتمد")*ROW('حجز الإجازات'!$B$5:$B$104))=0,"",INDEX('حجز الإجازات'!$C$5:$C$104,(SUMPRODUCT(('حجز الإجازات'!$B$5:$B$104='الموظفون'!$B$5)*('حجز الإجازات'!$D$5:$D$104&lt;=W$3)*(('حجز الإجازات'!$E$5:$E$104)&gt;=W$3)*('حجز الإجازات'!$G$5:$G$104="معتمد")*ROW('حجز الإجازات'!$B$5:$B$104)))-5+1))</f>
        <v/>
      </c>
      <c r="X7" s="62">
        <f>IF(SUMPRODUCT(('حجز الإجازات'!$B$5:$B$104='الموظفون'!$B$5)*('حجز الإجازات'!$D$5:$D$104&lt;=X$3)*(('حجز الإجازات'!$E$5:$E$104)&gt;=X$3)*('حجز الإجازات'!$G$5:$G$104="معتمد")*ROW('حجز الإجازات'!$B$5:$B$104))=0,"",INDEX('حجز الإجازات'!$C$5:$C$104,(SUMPRODUCT(('حجز الإجازات'!$B$5:$B$104='الموظفون'!$B$5)*('حجز الإجازات'!$D$5:$D$104&lt;=X$3)*(('حجز الإجازات'!$E$5:$E$104)&gt;=X$3)*('حجز الإجازات'!$G$5:$G$104="معتمد")*ROW('حجز الإجازات'!$B$5:$B$104)))-5+1))</f>
        <v/>
      </c>
      <c r="Y7" s="62">
        <f>IF(SUMPRODUCT(('حجز الإجازات'!$B$5:$B$104='الموظفون'!$B$5)*('حجز الإجازات'!$D$5:$D$104&lt;=Y$3)*(('حجز الإجازات'!$E$5:$E$104)&gt;=Y$3)*('حجز الإجازات'!$G$5:$G$104="معتمد")*ROW('حجز الإجازات'!$B$5:$B$104))=0,"",INDEX('حجز الإجازات'!$C$5:$C$104,(SUMPRODUCT(('حجز الإجازات'!$B$5:$B$104='الموظفون'!$B$5)*('حجز الإجازات'!$D$5:$D$104&lt;=Y$3)*(('حجز الإجازات'!$E$5:$E$104)&gt;=Y$3)*('حجز الإجازات'!$G$5:$G$104="معتمد")*ROW('حجز الإجازات'!$B$5:$B$104)))-5+1))</f>
        <v/>
      </c>
      <c r="Z7" s="62">
        <f>IF(SUMPRODUCT(('حجز الإجازات'!$B$5:$B$104='الموظفون'!$B$5)*('حجز الإجازات'!$D$5:$D$104&lt;=Z$3)*(('حجز الإجازات'!$E$5:$E$104)&gt;=Z$3)*('حجز الإجازات'!$G$5:$G$104="معتمد")*ROW('حجز الإجازات'!$B$5:$B$104))=0,"",INDEX('حجز الإجازات'!$C$5:$C$104,(SUMPRODUCT(('حجز الإجازات'!$B$5:$B$104='الموظفون'!$B$5)*('حجز الإجازات'!$D$5:$D$104&lt;=Z$3)*(('حجز الإجازات'!$E$5:$E$104)&gt;=Z$3)*('حجز الإجازات'!$G$5:$G$104="معتمد")*ROW('حجز الإجازات'!$B$5:$B$104)))-5+1))</f>
        <v/>
      </c>
      <c r="AA7" s="62">
        <f>IF(SUMPRODUCT(('حجز الإجازات'!$B$5:$B$104='الموظفون'!$B$5)*('حجز الإجازات'!$D$5:$D$104&lt;=AA$3)*(('حجز الإجازات'!$E$5:$E$104)&gt;=AA$3)*('حجز الإجازات'!$G$5:$G$104="معتمد")*ROW('حجز الإجازات'!$B$5:$B$104))=0,"",INDEX('حجز الإجازات'!$C$5:$C$104,(SUMPRODUCT(('حجز الإجازات'!$B$5:$B$104='الموظفون'!$B$5)*('حجز الإجازات'!$D$5:$D$104&lt;=AA$3)*(('حجز الإجازات'!$E$5:$E$104)&gt;=AA$3)*('حجز الإجازات'!$G$5:$G$104="معتمد")*ROW('حجز الإجازات'!$B$5:$B$104)))-5+1))</f>
        <v/>
      </c>
      <c r="AB7" s="62">
        <f>IF(SUMPRODUCT(('حجز الإجازات'!$B$5:$B$104='الموظفون'!$B$5)*('حجز الإجازات'!$D$5:$D$104&lt;=AB$3)*(('حجز الإجازات'!$E$5:$E$104)&gt;=AB$3)*('حجز الإجازات'!$G$5:$G$104="معتمد")*ROW('حجز الإجازات'!$B$5:$B$104))=0,"",INDEX('حجز الإجازات'!$C$5:$C$104,(SUMPRODUCT(('حجز الإجازات'!$B$5:$B$104='الموظفون'!$B$5)*('حجز الإجازات'!$D$5:$D$104&lt;=AB$3)*(('حجز الإجازات'!$E$5:$E$104)&gt;=AB$3)*('حجز الإجازات'!$G$5:$G$104="معتمد")*ROW('حجز الإجازات'!$B$5:$B$104)))-5+1))</f>
        <v/>
      </c>
      <c r="AC7" s="62">
        <f>IF(SUMPRODUCT(('حجز الإجازات'!$B$5:$B$104='الموظفون'!$B$5)*('حجز الإجازات'!$D$5:$D$104&lt;=AC$3)*(('حجز الإجازات'!$E$5:$E$104)&gt;=AC$3)*('حجز الإجازات'!$G$5:$G$104="معتمد")*ROW('حجز الإجازات'!$B$5:$B$104))=0,"",INDEX('حجز الإجازات'!$C$5:$C$104,(SUMPRODUCT(('حجز الإجازات'!$B$5:$B$104='الموظفون'!$B$5)*('حجز الإجازات'!$D$5:$D$104&lt;=AC$3)*(('حجز الإجازات'!$E$5:$E$104)&gt;=AC$3)*('حجز الإجازات'!$G$5:$G$104="معتمد")*ROW('حجز الإجازات'!$B$5:$B$104)))-5+1))</f>
        <v/>
      </c>
      <c r="AD7" s="62">
        <f>IF(SUMPRODUCT(('حجز الإجازات'!$B$5:$B$104='الموظفون'!$B$5)*('حجز الإجازات'!$D$5:$D$104&lt;=AD$3)*(('حجز الإجازات'!$E$5:$E$104)&gt;=AD$3)*('حجز الإجازات'!$G$5:$G$104="معتمد")*ROW('حجز الإجازات'!$B$5:$B$104))=0,"",INDEX('حجز الإجازات'!$C$5:$C$104,(SUMPRODUCT(('حجز الإجازات'!$B$5:$B$104='الموظفون'!$B$5)*('حجز الإجازات'!$D$5:$D$104&lt;=AD$3)*(('حجز الإجازات'!$E$5:$E$104)&gt;=AD$3)*('حجز الإجازات'!$G$5:$G$104="معتمد")*ROW('حجز الإجازات'!$B$5:$B$104)))-5+1))</f>
        <v/>
      </c>
      <c r="AE7" s="62">
        <f>IF(SUMPRODUCT(('حجز الإجازات'!$B$5:$B$104='الموظفون'!$B$5)*('حجز الإجازات'!$D$5:$D$104&lt;=AE$3)*(('حجز الإجازات'!$E$5:$E$104)&gt;=AE$3)*('حجز الإجازات'!$G$5:$G$104="معتمد")*ROW('حجز الإجازات'!$B$5:$B$104))=0,"",INDEX('حجز الإجازات'!$C$5:$C$104,(SUMPRODUCT(('حجز الإجازات'!$B$5:$B$104='الموظفون'!$B$5)*('حجز الإجازات'!$D$5:$D$104&lt;=AE$3)*(('حجز الإجازات'!$E$5:$E$104)&gt;=AE$3)*('حجز الإجازات'!$G$5:$G$104="معتمد")*ROW('حجز الإجازات'!$B$5:$B$104)))-5+1))</f>
        <v/>
      </c>
      <c r="AF7" s="62">
        <f>IF(SUMPRODUCT(('حجز الإجازات'!$B$5:$B$104='الموظفون'!$B$5)*('حجز الإجازات'!$D$5:$D$104&lt;=AF$3)*(('حجز الإجازات'!$E$5:$E$104)&gt;=AF$3)*('حجز الإجازات'!$G$5:$G$104="معتمد")*ROW('حجز الإجازات'!$B$5:$B$104))=0,"",INDEX('حجز الإجازات'!$C$5:$C$104,(SUMPRODUCT(('حجز الإجازات'!$B$5:$B$104='الموظفون'!$B$5)*('حجز الإجازات'!$D$5:$D$104&lt;=AF$3)*(('حجز الإجازات'!$E$5:$E$104)&gt;=AF$3)*('حجز الإجازات'!$G$5:$G$104="معتمد")*ROW('حجز الإجازات'!$B$5:$B$104)))-5+1))</f>
        <v/>
      </c>
      <c r="AG7" s="62">
        <f>IF(SUMPRODUCT(('حجز الإجازات'!$B$5:$B$104='الموظفون'!$B$5)*('حجز الإجازات'!$D$5:$D$104&lt;=AG$3)*(('حجز الإجازات'!$E$5:$E$104)&gt;=AG$3)*('حجز الإجازات'!$G$5:$G$104="معتمد")*ROW('حجز الإجازات'!$B$5:$B$104))=0,"",INDEX('حجز الإجازات'!$C$5:$C$104,(SUMPRODUCT(('حجز الإجازات'!$B$5:$B$104='الموظفون'!$B$5)*('حجز الإجازات'!$D$5:$D$104&lt;=AG$3)*(('حجز الإجازات'!$E$5:$E$104)&gt;=AG$3)*('حجز الإجازات'!$G$5:$G$104="معتمد")*ROW('حجز الإجازات'!$B$5:$B$104)))-5+1))</f>
        <v/>
      </c>
      <c r="AH7" s="62">
        <f>IF(SUMPRODUCT(('حجز الإجازات'!$B$5:$B$104='الموظفون'!$B$5)*('حجز الإجازات'!$D$5:$D$104&lt;=AH$3)*(('حجز الإجازات'!$E$5:$E$104)&gt;=AH$3)*('حجز الإجازات'!$G$5:$G$104="معتمد")*ROW('حجز الإجازات'!$B$5:$B$104))=0,"",INDEX('حجز الإجازات'!$C$5:$C$104,(SUMPRODUCT(('حجز الإجازات'!$B$5:$B$104='الموظفون'!$B$5)*('حجز الإجازات'!$D$5:$D$104&lt;=AH$3)*(('حجز الإجازات'!$E$5:$E$104)&gt;=AH$3)*('حجز الإجازات'!$G$5:$G$104="معتمد")*ROW('حجز الإجازات'!$B$5:$B$104)))-5+1))</f>
        <v/>
      </c>
      <c r="AI7" s="62">
        <f>IF(SUMPRODUCT(('حجز الإجازات'!$B$5:$B$104='الموظفون'!$B$5)*('حجز الإجازات'!$D$5:$D$104&lt;=AI$3)*(('حجز الإجازات'!$E$5:$E$104)&gt;=AI$3)*('حجز الإجازات'!$G$5:$G$104="معتمد")*ROW('حجز الإجازات'!$B$5:$B$104))=0,"",INDEX('حجز الإجازات'!$C$5:$C$104,(SUMPRODUCT(('حجز الإجازات'!$B$5:$B$104='الموظفون'!$B$5)*('حجز الإجازات'!$D$5:$D$104&lt;=AI$3)*(('حجز الإجازات'!$E$5:$E$104)&gt;=AI$3)*('حجز الإجازات'!$G$5:$G$104="معتمد")*ROW('حجز الإجازات'!$B$5:$B$104)))-5+1))</f>
        <v/>
      </c>
      <c r="AJ7" s="62">
        <f>IF(SUMPRODUCT(('حجز الإجازات'!$B$5:$B$104='الموظفون'!$B$5)*('حجز الإجازات'!$D$5:$D$104&lt;=AJ$3)*(('حجز الإجازات'!$E$5:$E$104)&gt;=AJ$3)*('حجز الإجازات'!$G$5:$G$104="معتمد")*ROW('حجز الإجازات'!$B$5:$B$104))=0,"",INDEX('حجز الإجازات'!$C$5:$C$104,(SUMPRODUCT(('حجز الإجازات'!$B$5:$B$104='الموظفون'!$B$5)*('حجز الإجازات'!$D$5:$D$104&lt;=AJ$3)*(('حجز الإجازات'!$E$5:$E$104)&gt;=AJ$3)*('حجز الإجازات'!$G$5:$G$104="معتمد")*ROW('حجز الإجازات'!$B$5:$B$104)))-5+1))</f>
        <v/>
      </c>
      <c r="AK7" s="62">
        <f>IF(SUMPRODUCT(('حجز الإجازات'!$B$5:$B$104='الموظفون'!$B$5)*('حجز الإجازات'!$D$5:$D$104&lt;=AK$3)*(('حجز الإجازات'!$E$5:$E$104)&gt;=AK$3)*('حجز الإجازات'!$G$5:$G$104="معتمد")*ROW('حجز الإجازات'!$B$5:$B$104))=0,"",INDEX('حجز الإجازات'!$C$5:$C$104,(SUMPRODUCT(('حجز الإجازات'!$B$5:$B$104='الموظفون'!$B$5)*('حجز الإجازات'!$D$5:$D$104&lt;=AK$3)*(('حجز الإجازات'!$E$5:$E$104)&gt;=AK$3)*('حجز الإجازات'!$G$5:$G$104="معتمد")*ROW('حجز الإجازات'!$B$5:$B$104)))-5+1))</f>
        <v/>
      </c>
      <c r="AL7" s="62">
        <f>IF(SUMPRODUCT(('حجز الإجازات'!$B$5:$B$104='الموظفون'!$B$5)*('حجز الإجازات'!$D$5:$D$104&lt;=AL$3)*(('حجز الإجازات'!$E$5:$E$104)&gt;=AL$3)*('حجز الإجازات'!$G$5:$G$104="معتمد")*ROW('حجز الإجازات'!$B$5:$B$104))=0,"",INDEX('حجز الإجازات'!$C$5:$C$104,(SUMPRODUCT(('حجز الإجازات'!$B$5:$B$104='الموظفون'!$B$5)*('حجز الإجازات'!$D$5:$D$104&lt;=AL$3)*(('حجز الإجازات'!$E$5:$E$104)&gt;=AL$3)*('حجز الإجازات'!$G$5:$G$104="معتمد")*ROW('حجز الإجازات'!$B$5:$B$104)))-5+1))</f>
        <v/>
      </c>
      <c r="AM7" s="62">
        <f>IF(SUMPRODUCT(('حجز الإجازات'!$B$5:$B$104='الموظفون'!$B$5)*('حجز الإجازات'!$D$5:$D$104&lt;=AM$3)*(('حجز الإجازات'!$E$5:$E$104)&gt;=AM$3)*('حجز الإجازات'!$G$5:$G$104="معتمد")*ROW('حجز الإجازات'!$B$5:$B$104))=0,"",INDEX('حجز الإجازات'!$C$5:$C$104,(SUMPRODUCT(('حجز الإجازات'!$B$5:$B$104='الموظفون'!$B$5)*('حجز الإجازات'!$D$5:$D$104&lt;=AM$3)*(('حجز الإجازات'!$E$5:$E$104)&gt;=AM$3)*('حجز الإجازات'!$G$5:$G$104="معتمد")*ROW('حجز الإجازات'!$B$5:$B$104)))-5+1))</f>
        <v/>
      </c>
      <c r="AN7" s="62">
        <f>IF(SUMPRODUCT(('حجز الإجازات'!$B$5:$B$104='الموظفون'!$B$5)*('حجز الإجازات'!$D$5:$D$104&lt;=AN$3)*(('حجز الإجازات'!$E$5:$E$104)&gt;=AN$3)*('حجز الإجازات'!$G$5:$G$104="معتمد")*ROW('حجز الإجازات'!$B$5:$B$104))=0,"",INDEX('حجز الإجازات'!$C$5:$C$104,(SUMPRODUCT(('حجز الإجازات'!$B$5:$B$104='الموظفون'!$B$5)*('حجز الإجازات'!$D$5:$D$104&lt;=AN$3)*(('حجز الإجازات'!$E$5:$E$104)&gt;=AN$3)*('حجز الإجازات'!$G$5:$G$104="معتمد")*ROW('حجز الإجازات'!$B$5:$B$104)))-5+1))</f>
        <v/>
      </c>
      <c r="AO7" s="62">
        <f>IF(SUMPRODUCT(('حجز الإجازات'!$B$5:$B$104='الموظفون'!$B$5)*('حجز الإجازات'!$D$5:$D$104&lt;=AO$3)*(('حجز الإجازات'!$E$5:$E$104)&gt;=AO$3)*('حجز الإجازات'!$G$5:$G$104="معتمد")*ROW('حجز الإجازات'!$B$5:$B$104))=0,"",INDEX('حجز الإجازات'!$C$5:$C$104,(SUMPRODUCT(('حجز الإجازات'!$B$5:$B$104='الموظفون'!$B$5)*('حجز الإجازات'!$D$5:$D$104&lt;=AO$3)*(('حجز الإجازات'!$E$5:$E$104)&gt;=AO$3)*('حجز الإجازات'!$G$5:$G$104="معتمد")*ROW('حجز الإجازات'!$B$5:$B$104)))-5+1))</f>
        <v/>
      </c>
      <c r="AP7" s="62">
        <f>IF(SUMPRODUCT(('حجز الإجازات'!$B$5:$B$104='الموظفون'!$B$5)*('حجز الإجازات'!$D$5:$D$104&lt;=AP$3)*(('حجز الإجازات'!$E$5:$E$104)&gt;=AP$3)*('حجز الإجازات'!$G$5:$G$104="معتمد")*ROW('حجز الإجازات'!$B$5:$B$104))=0,"",INDEX('حجز الإجازات'!$C$5:$C$104,(SUMPRODUCT(('حجز الإجازات'!$B$5:$B$104='الموظفون'!$B$5)*('حجز الإجازات'!$D$5:$D$104&lt;=AP$3)*(('حجز الإجازات'!$E$5:$E$104)&gt;=AP$3)*('حجز الإجازات'!$G$5:$G$104="معتمد")*ROW('حجز الإجازات'!$B$5:$B$104)))-5+1))</f>
        <v/>
      </c>
      <c r="AQ7" s="62">
        <f>IF(SUMPRODUCT(('حجز الإجازات'!$B$5:$B$104='الموظفون'!$B$5)*('حجز الإجازات'!$D$5:$D$104&lt;=AQ$3)*(('حجز الإجازات'!$E$5:$E$104)&gt;=AQ$3)*('حجز الإجازات'!$G$5:$G$104="معتمد")*ROW('حجز الإجازات'!$B$5:$B$104))=0,"",INDEX('حجز الإجازات'!$C$5:$C$104,(SUMPRODUCT(('حجز الإجازات'!$B$5:$B$104='الموظفون'!$B$5)*('حجز الإجازات'!$D$5:$D$104&lt;=AQ$3)*(('حجز الإجازات'!$E$5:$E$104)&gt;=AQ$3)*('حجز الإجازات'!$G$5:$G$104="معتمد")*ROW('حجز الإجازات'!$B$5:$B$104)))-5+1))</f>
        <v/>
      </c>
      <c r="AR7" s="62">
        <f>IF(SUMPRODUCT(('حجز الإجازات'!$B$5:$B$104='الموظفون'!$B$5)*('حجز الإجازات'!$D$5:$D$104&lt;=AR$3)*(('حجز الإجازات'!$E$5:$E$104)&gt;=AR$3)*('حجز الإجازات'!$G$5:$G$104="معتمد")*ROW('حجز الإجازات'!$B$5:$B$104))=0,"",INDEX('حجز الإجازات'!$C$5:$C$104,(SUMPRODUCT(('حجز الإجازات'!$B$5:$B$104='الموظفون'!$B$5)*('حجز الإجازات'!$D$5:$D$104&lt;=AR$3)*(('حجز الإجازات'!$E$5:$E$104)&gt;=AR$3)*('حجز الإجازات'!$G$5:$G$104="معتمد")*ROW('حجز الإجازات'!$B$5:$B$104)))-5+1))</f>
        <v/>
      </c>
      <c r="AS7" s="62">
        <f>IF(SUMPRODUCT(('حجز الإجازات'!$B$5:$B$104='الموظفون'!$B$5)*('حجز الإجازات'!$D$5:$D$104&lt;=AS$3)*(('حجز الإجازات'!$E$5:$E$104)&gt;=AS$3)*('حجز الإجازات'!$G$5:$G$104="معتمد")*ROW('حجز الإجازات'!$B$5:$B$104))=0,"",INDEX('حجز الإجازات'!$C$5:$C$104,(SUMPRODUCT(('حجز الإجازات'!$B$5:$B$104='الموظفون'!$B$5)*('حجز الإجازات'!$D$5:$D$104&lt;=AS$3)*(('حجز الإجازات'!$E$5:$E$104)&gt;=AS$3)*('حجز الإجازات'!$G$5:$G$104="معتمد")*ROW('حجز الإجازات'!$B$5:$B$104)))-5+1))</f>
        <v/>
      </c>
      <c r="AT7" s="62">
        <f>IF(SUMPRODUCT(('حجز الإجازات'!$B$5:$B$104='الموظفون'!$B$5)*('حجز الإجازات'!$D$5:$D$104&lt;=AT$3)*(('حجز الإجازات'!$E$5:$E$104)&gt;=AT$3)*('حجز الإجازات'!$G$5:$G$104="معتمد")*ROW('حجز الإجازات'!$B$5:$B$104))=0,"",INDEX('حجز الإجازات'!$C$5:$C$104,(SUMPRODUCT(('حجز الإجازات'!$B$5:$B$104='الموظفون'!$B$5)*('حجز الإجازات'!$D$5:$D$104&lt;=AT$3)*(('حجز الإجازات'!$E$5:$E$104)&gt;=AT$3)*('حجز الإجازات'!$G$5:$G$104="معتمد")*ROW('حجز الإجازات'!$B$5:$B$104)))-5+1))</f>
        <v/>
      </c>
      <c r="AU7" s="62">
        <f>IF(SUMPRODUCT(('حجز الإجازات'!$B$5:$B$104='الموظفون'!$B$5)*('حجز الإجازات'!$D$5:$D$104&lt;=AU$3)*(('حجز الإجازات'!$E$5:$E$104)&gt;=AU$3)*('حجز الإجازات'!$G$5:$G$104="معتمد")*ROW('حجز الإجازات'!$B$5:$B$104))=0,"",INDEX('حجز الإجازات'!$C$5:$C$104,(SUMPRODUCT(('حجز الإجازات'!$B$5:$B$104='الموظفون'!$B$5)*('حجز الإجازات'!$D$5:$D$104&lt;=AU$3)*(('حجز الإجازات'!$E$5:$E$104)&gt;=AU$3)*('حجز الإجازات'!$G$5:$G$104="معتمد")*ROW('حجز الإجازات'!$B$5:$B$104)))-5+1))</f>
        <v/>
      </c>
      <c r="AV7" s="62">
        <f>IF(SUMPRODUCT(('حجز الإجازات'!$B$5:$B$104='الموظفون'!$B$5)*('حجز الإجازات'!$D$5:$D$104&lt;=AV$3)*(('حجز الإجازات'!$E$5:$E$104)&gt;=AV$3)*('حجز الإجازات'!$G$5:$G$104="معتمد")*ROW('حجز الإجازات'!$B$5:$B$104))=0,"",INDEX('حجز الإجازات'!$C$5:$C$104,(SUMPRODUCT(('حجز الإجازات'!$B$5:$B$104='الموظفون'!$B$5)*('حجز الإجازات'!$D$5:$D$104&lt;=AV$3)*(('حجز الإجازات'!$E$5:$E$104)&gt;=AV$3)*('حجز الإجازات'!$G$5:$G$104="معتمد")*ROW('حجز الإجازات'!$B$5:$B$104)))-5+1))</f>
        <v/>
      </c>
      <c r="AW7" s="62">
        <f>IF(SUMPRODUCT(('حجز الإجازات'!$B$5:$B$104='الموظفون'!$B$5)*('حجز الإجازات'!$D$5:$D$104&lt;=AW$3)*(('حجز الإجازات'!$E$5:$E$104)&gt;=AW$3)*('حجز الإجازات'!$G$5:$G$104="معتمد")*ROW('حجز الإجازات'!$B$5:$B$104))=0,"",INDEX('حجز الإجازات'!$C$5:$C$104,(SUMPRODUCT(('حجز الإجازات'!$B$5:$B$104='الموظفون'!$B$5)*('حجز الإجازات'!$D$5:$D$104&lt;=AW$3)*(('حجز الإجازات'!$E$5:$E$104)&gt;=AW$3)*('حجز الإجازات'!$G$5:$G$104="معتمد")*ROW('حجز الإجازات'!$B$5:$B$104)))-5+1))</f>
        <v/>
      </c>
      <c r="AX7" s="62">
        <f>IF(SUMPRODUCT(('حجز الإجازات'!$B$5:$B$104='الموظفون'!$B$5)*('حجز الإجازات'!$D$5:$D$104&lt;=AX$3)*(('حجز الإجازات'!$E$5:$E$104)&gt;=AX$3)*('حجز الإجازات'!$G$5:$G$104="معتمد")*ROW('حجز الإجازات'!$B$5:$B$104))=0,"",INDEX('حجز الإجازات'!$C$5:$C$104,(SUMPRODUCT(('حجز الإجازات'!$B$5:$B$104='الموظفون'!$B$5)*('حجز الإجازات'!$D$5:$D$104&lt;=AX$3)*(('حجز الإجازات'!$E$5:$E$104)&gt;=AX$3)*('حجز الإجازات'!$G$5:$G$104="معتمد")*ROW('حجز الإجازات'!$B$5:$B$104)))-5+1))</f>
        <v/>
      </c>
      <c r="AY7" s="62">
        <f>IF(SUMPRODUCT(('حجز الإجازات'!$B$5:$B$104='الموظفون'!$B$5)*('حجز الإجازات'!$D$5:$D$104&lt;=AY$3)*(('حجز الإجازات'!$E$5:$E$104)&gt;=AY$3)*('حجز الإجازات'!$G$5:$G$104="معتمد")*ROW('حجز الإجازات'!$B$5:$B$104))=0,"",INDEX('حجز الإجازات'!$C$5:$C$104,(SUMPRODUCT(('حجز الإجازات'!$B$5:$B$104='الموظفون'!$B$5)*('حجز الإجازات'!$D$5:$D$104&lt;=AY$3)*(('حجز الإجازات'!$E$5:$E$104)&gt;=AY$3)*('حجز الإجازات'!$G$5:$G$104="معتمد")*ROW('حجز الإجازات'!$B$5:$B$104)))-5+1))</f>
        <v/>
      </c>
      <c r="AZ7" s="62">
        <f>IF(SUMPRODUCT(('حجز الإجازات'!$B$5:$B$104='الموظفون'!$B$5)*('حجز الإجازات'!$D$5:$D$104&lt;=AZ$3)*(('حجز الإجازات'!$E$5:$E$104)&gt;=AZ$3)*('حجز الإجازات'!$G$5:$G$104="معتمد")*ROW('حجز الإجازات'!$B$5:$B$104))=0,"",INDEX('حجز الإجازات'!$C$5:$C$104,(SUMPRODUCT(('حجز الإجازات'!$B$5:$B$104='الموظفون'!$B$5)*('حجز الإجازات'!$D$5:$D$104&lt;=AZ$3)*(('حجز الإجازات'!$E$5:$E$104)&gt;=AZ$3)*('حجز الإجازات'!$G$5:$G$104="معتمد")*ROW('حجز الإجازات'!$B$5:$B$104)))-5+1))</f>
        <v/>
      </c>
      <c r="BA7" s="62">
        <f>IF(SUMPRODUCT(('حجز الإجازات'!$B$5:$B$104='الموظفون'!$B$5)*('حجز الإجازات'!$D$5:$D$104&lt;=BA$3)*(('حجز الإجازات'!$E$5:$E$104)&gt;=BA$3)*('حجز الإجازات'!$G$5:$G$104="معتمد")*ROW('حجز الإجازات'!$B$5:$B$104))=0,"",INDEX('حجز الإجازات'!$C$5:$C$104,(SUMPRODUCT(('حجز الإجازات'!$B$5:$B$104='الموظفون'!$B$5)*('حجز الإجازات'!$D$5:$D$104&lt;=BA$3)*(('حجز الإجازات'!$E$5:$E$104)&gt;=BA$3)*('حجز الإجازات'!$G$5:$G$104="معتمد")*ROW('حجز الإجازات'!$B$5:$B$104)))-5+1))</f>
        <v/>
      </c>
      <c r="BB7" s="62">
        <f>IF(SUMPRODUCT(('حجز الإجازات'!$B$5:$B$104='الموظفون'!$B$5)*('حجز الإجازات'!$D$5:$D$104&lt;=BB$3)*(('حجز الإجازات'!$E$5:$E$104)&gt;=BB$3)*('حجز الإجازات'!$G$5:$G$104="معتمد")*ROW('حجز الإجازات'!$B$5:$B$104))=0,"",INDEX('حجز الإجازات'!$C$5:$C$104,(SUMPRODUCT(('حجز الإجازات'!$B$5:$B$104='الموظفون'!$B$5)*('حجز الإجازات'!$D$5:$D$104&lt;=BB$3)*(('حجز الإجازات'!$E$5:$E$104)&gt;=BB$3)*('حجز الإجازات'!$G$5:$G$104="معتمد")*ROW('حجز الإجازات'!$B$5:$B$104)))-5+1))</f>
        <v/>
      </c>
      <c r="BC7" s="62">
        <f>IF(SUMPRODUCT(('حجز الإجازات'!$B$5:$B$104='الموظفون'!$B$5)*('حجز الإجازات'!$D$5:$D$104&lt;=BC$3)*(('حجز الإجازات'!$E$5:$E$104)&gt;=BC$3)*('حجز الإجازات'!$G$5:$G$104="معتمد")*ROW('حجز الإجازات'!$B$5:$B$104))=0,"",INDEX('حجز الإجازات'!$C$5:$C$104,(SUMPRODUCT(('حجز الإجازات'!$B$5:$B$104='الموظفون'!$B$5)*('حجز الإجازات'!$D$5:$D$104&lt;=BC$3)*(('حجز الإجازات'!$E$5:$E$104)&gt;=BC$3)*('حجز الإجازات'!$G$5:$G$104="معتمد")*ROW('حجز الإجازات'!$B$5:$B$104)))-5+1))</f>
        <v/>
      </c>
      <c r="BD7" s="62">
        <f>IF(SUMPRODUCT(('حجز الإجازات'!$B$5:$B$104='الموظفون'!$B$5)*('حجز الإجازات'!$D$5:$D$104&lt;=BD$3)*(('حجز الإجازات'!$E$5:$E$104)&gt;=BD$3)*('حجز الإجازات'!$G$5:$G$104="معتمد")*ROW('حجز الإجازات'!$B$5:$B$104))=0,"",INDEX('حجز الإجازات'!$C$5:$C$104,(SUMPRODUCT(('حجز الإجازات'!$B$5:$B$104='الموظفون'!$B$5)*('حجز الإجازات'!$D$5:$D$104&lt;=BD$3)*(('حجز الإجازات'!$E$5:$E$104)&gt;=BD$3)*('حجز الإجازات'!$G$5:$G$104="معتمد")*ROW('حجز الإجازات'!$B$5:$B$104)))-5+1))</f>
        <v/>
      </c>
      <c r="BE7" s="62">
        <f>IF(SUMPRODUCT(('حجز الإجازات'!$B$5:$B$104='الموظفون'!$B$5)*('حجز الإجازات'!$D$5:$D$104&lt;=BE$3)*(('حجز الإجازات'!$E$5:$E$104)&gt;=BE$3)*('حجز الإجازات'!$G$5:$G$104="معتمد")*ROW('حجز الإجازات'!$B$5:$B$104))=0,"",INDEX('حجز الإجازات'!$C$5:$C$104,(SUMPRODUCT(('حجز الإجازات'!$B$5:$B$104='الموظفون'!$B$5)*('حجز الإجازات'!$D$5:$D$104&lt;=BE$3)*(('حجز الإجازات'!$E$5:$E$104)&gt;=BE$3)*('حجز الإجازات'!$G$5:$G$104="معتمد")*ROW('حجز الإجازات'!$B$5:$B$104)))-5+1))</f>
        <v/>
      </c>
      <c r="BF7" s="62">
        <f>IF(SUMPRODUCT(('حجز الإجازات'!$B$5:$B$104='الموظفون'!$B$5)*('حجز الإجازات'!$D$5:$D$104&lt;=BF$3)*(('حجز الإجازات'!$E$5:$E$104)&gt;=BF$3)*('حجز الإجازات'!$G$5:$G$104="معتمد")*ROW('حجز الإجازات'!$B$5:$B$104))=0,"",INDEX('حجز الإجازات'!$C$5:$C$104,(SUMPRODUCT(('حجز الإجازات'!$B$5:$B$104='الموظفون'!$B$5)*('حجز الإجازات'!$D$5:$D$104&lt;=BF$3)*(('حجز الإجازات'!$E$5:$E$104)&gt;=BF$3)*('حجز الإجازات'!$G$5:$G$104="معتمد")*ROW('حجز الإجازات'!$B$5:$B$104)))-5+1))</f>
        <v/>
      </c>
      <c r="BG7" s="62">
        <f>IF(SUMPRODUCT(('حجز الإجازات'!$B$5:$B$104='الموظفون'!$B$5)*('حجز الإجازات'!$D$5:$D$104&lt;=BG$3)*(('حجز الإجازات'!$E$5:$E$104)&gt;=BG$3)*('حجز الإجازات'!$G$5:$G$104="معتمد")*ROW('حجز الإجازات'!$B$5:$B$104))=0,"",INDEX('حجز الإجازات'!$C$5:$C$104,(SUMPRODUCT(('حجز الإجازات'!$B$5:$B$104='الموظفون'!$B$5)*('حجز الإجازات'!$D$5:$D$104&lt;=BG$3)*(('حجز الإجازات'!$E$5:$E$104)&gt;=BG$3)*('حجز الإجازات'!$G$5:$G$104="معتمد")*ROW('حجز الإجازات'!$B$5:$B$104)))-5+1))</f>
        <v/>
      </c>
      <c r="BH7" s="62">
        <f>IF(SUMPRODUCT(('حجز الإجازات'!$B$5:$B$104='الموظفون'!$B$5)*('حجز الإجازات'!$D$5:$D$104&lt;=BH$3)*(('حجز الإجازات'!$E$5:$E$104)&gt;=BH$3)*('حجز الإجازات'!$G$5:$G$104="معتمد")*ROW('حجز الإجازات'!$B$5:$B$104))=0,"",INDEX('حجز الإجازات'!$C$5:$C$104,(SUMPRODUCT(('حجز الإجازات'!$B$5:$B$104='الموظفون'!$B$5)*('حجز الإجازات'!$D$5:$D$104&lt;=BH$3)*(('حجز الإجازات'!$E$5:$E$104)&gt;=BH$3)*('حجز الإجازات'!$G$5:$G$104="معتمد")*ROW('حجز الإجازات'!$B$5:$B$104)))-5+1))</f>
        <v/>
      </c>
      <c r="BI7" s="62">
        <f>IF(SUMPRODUCT(('حجز الإجازات'!$B$5:$B$104='الموظفون'!$B$5)*('حجز الإجازات'!$D$5:$D$104&lt;=BI$3)*(('حجز الإجازات'!$E$5:$E$104)&gt;=BI$3)*('حجز الإجازات'!$G$5:$G$104="معتمد")*ROW('حجز الإجازات'!$B$5:$B$104))=0,"",INDEX('حجز الإجازات'!$C$5:$C$104,(SUMPRODUCT(('حجز الإجازات'!$B$5:$B$104='الموظفون'!$B$5)*('حجز الإجازات'!$D$5:$D$104&lt;=BI$3)*(('حجز الإجازات'!$E$5:$E$104)&gt;=BI$3)*('حجز الإجازات'!$G$5:$G$104="معتمد")*ROW('حجز الإجازات'!$B$5:$B$104)))-5+1))</f>
        <v/>
      </c>
      <c r="BJ7" s="62">
        <f>IF(SUMPRODUCT(('حجز الإجازات'!$B$5:$B$104='الموظفون'!$B$5)*('حجز الإجازات'!$D$5:$D$104&lt;=BJ$3)*(('حجز الإجازات'!$E$5:$E$104)&gt;=BJ$3)*('حجز الإجازات'!$G$5:$G$104="معتمد")*ROW('حجز الإجازات'!$B$5:$B$104))=0,"",INDEX('حجز الإجازات'!$C$5:$C$104,(SUMPRODUCT(('حجز الإجازات'!$B$5:$B$104='الموظفون'!$B$5)*('حجز الإجازات'!$D$5:$D$104&lt;=BJ$3)*(('حجز الإجازات'!$E$5:$E$104)&gt;=BJ$3)*('حجز الإجازات'!$G$5:$G$104="معتمد")*ROW('حجز الإجازات'!$B$5:$B$104)))-5+1))</f>
        <v/>
      </c>
      <c r="BK7" s="62">
        <f>IF(SUMPRODUCT(('حجز الإجازات'!$B$5:$B$104='الموظفون'!$B$5)*('حجز الإجازات'!$D$5:$D$104&lt;=BK$3)*(('حجز الإجازات'!$E$5:$E$104)&gt;=BK$3)*('حجز الإجازات'!$G$5:$G$104="معتمد")*ROW('حجز الإجازات'!$B$5:$B$104))=0,"",INDEX('حجز الإجازات'!$C$5:$C$104,(SUMPRODUCT(('حجز الإجازات'!$B$5:$B$104='الموظفون'!$B$5)*('حجز الإجازات'!$D$5:$D$104&lt;=BK$3)*(('حجز الإجازات'!$E$5:$E$104)&gt;=BK$3)*('حجز الإجازات'!$G$5:$G$104="معتمد")*ROW('حجز الإجازات'!$B$5:$B$104)))-5+1))</f>
        <v/>
      </c>
      <c r="BL7" s="62">
        <f>IF(SUMPRODUCT(('حجز الإجازات'!$B$5:$B$104='الموظفون'!$B$5)*('حجز الإجازات'!$D$5:$D$104&lt;=BL$3)*(('حجز الإجازات'!$E$5:$E$104)&gt;=BL$3)*('حجز الإجازات'!$G$5:$G$104="معتمد")*ROW('حجز الإجازات'!$B$5:$B$104))=0,"",INDEX('حجز الإجازات'!$C$5:$C$104,(SUMPRODUCT(('حجز الإجازات'!$B$5:$B$104='الموظفون'!$B$5)*('حجز الإجازات'!$D$5:$D$104&lt;=BL$3)*(('حجز الإجازات'!$E$5:$E$104)&gt;=BL$3)*('حجز الإجازات'!$G$5:$G$104="معتمد")*ROW('حجز الإجازات'!$B$5:$B$104)))-5+1))</f>
        <v/>
      </c>
      <c r="BM7" s="62">
        <f>IF(SUMPRODUCT(('حجز الإجازات'!$B$5:$B$104='الموظفون'!$B$5)*('حجز الإجازات'!$D$5:$D$104&lt;=BM$3)*(('حجز الإجازات'!$E$5:$E$104)&gt;=BM$3)*('حجز الإجازات'!$G$5:$G$104="معتمد")*ROW('حجز الإجازات'!$B$5:$B$104))=0,"",INDEX('حجز الإجازات'!$C$5:$C$104,(SUMPRODUCT(('حجز الإجازات'!$B$5:$B$104='الموظفون'!$B$5)*('حجز الإجازات'!$D$5:$D$104&lt;=BM$3)*(('حجز الإجازات'!$E$5:$E$104)&gt;=BM$3)*('حجز الإجازات'!$G$5:$G$104="معتمد")*ROW('حجز الإجازات'!$B$5:$B$104)))-5+1))</f>
        <v/>
      </c>
      <c r="BN7" s="62">
        <f>IF(SUMPRODUCT(('حجز الإجازات'!$B$5:$B$104='الموظفون'!$B$5)*('حجز الإجازات'!$D$5:$D$104&lt;=BN$3)*(('حجز الإجازات'!$E$5:$E$104)&gt;=BN$3)*('حجز الإجازات'!$G$5:$G$104="معتمد")*ROW('حجز الإجازات'!$B$5:$B$104))=0,"",INDEX('حجز الإجازات'!$C$5:$C$104,(SUMPRODUCT(('حجز الإجازات'!$B$5:$B$104='الموظفون'!$B$5)*('حجز الإجازات'!$D$5:$D$104&lt;=BN$3)*(('حجز الإجازات'!$E$5:$E$104)&gt;=BN$3)*('حجز الإجازات'!$G$5:$G$104="معتمد")*ROW('حجز الإجازات'!$B$5:$B$104)))-5+1))</f>
        <v/>
      </c>
      <c r="BO7" s="62">
        <f>IF(SUMPRODUCT(('حجز الإجازات'!$B$5:$B$104='الموظفون'!$B$5)*('حجز الإجازات'!$D$5:$D$104&lt;=BO$3)*(('حجز الإجازات'!$E$5:$E$104)&gt;=BO$3)*('حجز الإجازات'!$G$5:$G$104="معتمد")*ROW('حجز الإجازات'!$B$5:$B$104))=0,"",INDEX('حجز الإجازات'!$C$5:$C$104,(SUMPRODUCT(('حجز الإجازات'!$B$5:$B$104='الموظفون'!$B$5)*('حجز الإجازات'!$D$5:$D$104&lt;=BO$3)*(('حجز الإجازات'!$E$5:$E$104)&gt;=BO$3)*('حجز الإجازات'!$G$5:$G$104="معتمد")*ROW('حجز الإجازات'!$B$5:$B$104)))-5+1))</f>
        <v/>
      </c>
      <c r="BP7" s="62">
        <f>IF(SUMPRODUCT(('حجز الإجازات'!$B$5:$B$104='الموظفون'!$B$5)*('حجز الإجازات'!$D$5:$D$104&lt;=BP$3)*(('حجز الإجازات'!$E$5:$E$104)&gt;=BP$3)*('حجز الإجازات'!$G$5:$G$104="معتمد")*ROW('حجز الإجازات'!$B$5:$B$104))=0,"",INDEX('حجز الإجازات'!$C$5:$C$104,(SUMPRODUCT(('حجز الإجازات'!$B$5:$B$104='الموظفون'!$B$5)*('حجز الإجازات'!$D$5:$D$104&lt;=BP$3)*(('حجز الإجازات'!$E$5:$E$104)&gt;=BP$3)*('حجز الإجازات'!$G$5:$G$104="معتمد")*ROW('حجز الإجازات'!$B$5:$B$104)))-5+1))</f>
        <v/>
      </c>
      <c r="BQ7" s="62">
        <f>IF(SUMPRODUCT(('حجز الإجازات'!$B$5:$B$104='الموظفون'!$B$5)*('حجز الإجازات'!$D$5:$D$104&lt;=BQ$3)*(('حجز الإجازات'!$E$5:$E$104)&gt;=BQ$3)*('حجز الإجازات'!$G$5:$G$104="معتمد")*ROW('حجز الإجازات'!$B$5:$B$104))=0,"",INDEX('حجز الإجازات'!$C$5:$C$104,(SUMPRODUCT(('حجز الإجازات'!$B$5:$B$104='الموظفون'!$B$5)*('حجز الإجازات'!$D$5:$D$104&lt;=BQ$3)*(('حجز الإجازات'!$E$5:$E$104)&gt;=BQ$3)*('حجز الإجازات'!$G$5:$G$104="معتمد")*ROW('حجز الإجازات'!$B$5:$B$104)))-5+1))</f>
        <v/>
      </c>
      <c r="BR7" s="62">
        <f>IF(SUMPRODUCT(('حجز الإجازات'!$B$5:$B$104='الموظفون'!$B$5)*('حجز الإجازات'!$D$5:$D$104&lt;=BR$3)*(('حجز الإجازات'!$E$5:$E$104)&gt;=BR$3)*('حجز الإجازات'!$G$5:$G$104="معتمد")*ROW('حجز الإجازات'!$B$5:$B$104))=0,"",INDEX('حجز الإجازات'!$C$5:$C$104,(SUMPRODUCT(('حجز الإجازات'!$B$5:$B$104='الموظفون'!$B$5)*('حجز الإجازات'!$D$5:$D$104&lt;=BR$3)*(('حجز الإجازات'!$E$5:$E$104)&gt;=BR$3)*('حجز الإجازات'!$G$5:$G$104="معتمد")*ROW('حجز الإجازات'!$B$5:$B$104)))-5+1))</f>
        <v/>
      </c>
      <c r="BS7" s="62">
        <f>IF(SUMPRODUCT(('حجز الإجازات'!$B$5:$B$104='الموظفون'!$B$5)*('حجز الإجازات'!$D$5:$D$104&lt;=BS$3)*(('حجز الإجازات'!$E$5:$E$104)&gt;=BS$3)*('حجز الإجازات'!$G$5:$G$104="معتمد")*ROW('حجز الإجازات'!$B$5:$B$104))=0,"",INDEX('حجز الإجازات'!$C$5:$C$104,(SUMPRODUCT(('حجز الإجازات'!$B$5:$B$104='الموظفون'!$B$5)*('حجز الإجازات'!$D$5:$D$104&lt;=BS$3)*(('حجز الإجازات'!$E$5:$E$104)&gt;=BS$3)*('حجز الإجازات'!$G$5:$G$104="معتمد")*ROW('حجز الإجازات'!$B$5:$B$104)))-5+1))</f>
        <v/>
      </c>
      <c r="BT7" s="62">
        <f>IF(SUMPRODUCT(('حجز الإجازات'!$B$5:$B$104='الموظفون'!$B$5)*('حجز الإجازات'!$D$5:$D$104&lt;=BT$3)*(('حجز الإجازات'!$E$5:$E$104)&gt;=BT$3)*('حجز الإجازات'!$G$5:$G$104="معتمد")*ROW('حجز الإجازات'!$B$5:$B$104))=0,"",INDEX('حجز الإجازات'!$C$5:$C$104,(SUMPRODUCT(('حجز الإجازات'!$B$5:$B$104='الموظفون'!$B$5)*('حجز الإجازات'!$D$5:$D$104&lt;=BT$3)*(('حجز الإجازات'!$E$5:$E$104)&gt;=BT$3)*('حجز الإجازات'!$G$5:$G$104="معتمد")*ROW('حجز الإجازات'!$B$5:$B$104)))-5+1))</f>
        <v/>
      </c>
      <c r="BU7" s="62">
        <f>IF(SUMPRODUCT(('حجز الإجازات'!$B$5:$B$104='الموظفون'!$B$5)*('حجز الإجازات'!$D$5:$D$104&lt;=BU$3)*(('حجز الإجازات'!$E$5:$E$104)&gt;=BU$3)*('حجز الإجازات'!$G$5:$G$104="معتمد")*ROW('حجز الإجازات'!$B$5:$B$104))=0,"",INDEX('حجز الإجازات'!$C$5:$C$104,(SUMPRODUCT(('حجز الإجازات'!$B$5:$B$104='الموظفون'!$B$5)*('حجز الإجازات'!$D$5:$D$104&lt;=BU$3)*(('حجز الإجازات'!$E$5:$E$104)&gt;=BU$3)*('حجز الإجازات'!$G$5:$G$104="معتمد")*ROW('حجز الإجازات'!$B$5:$B$104)))-5+1))</f>
        <v/>
      </c>
      <c r="BV7" s="62">
        <f>IF(SUMPRODUCT(('حجز الإجازات'!$B$5:$B$104='الموظفون'!$B$5)*('حجز الإجازات'!$D$5:$D$104&lt;=BV$3)*(('حجز الإجازات'!$E$5:$E$104)&gt;=BV$3)*('حجز الإجازات'!$G$5:$G$104="معتمد")*ROW('حجز الإجازات'!$B$5:$B$104))=0,"",INDEX('حجز الإجازات'!$C$5:$C$104,(SUMPRODUCT(('حجز الإجازات'!$B$5:$B$104='الموظفون'!$B$5)*('حجز الإجازات'!$D$5:$D$104&lt;=BV$3)*(('حجز الإجازات'!$E$5:$E$104)&gt;=BV$3)*('حجز الإجازات'!$G$5:$G$104="معتمد")*ROW('حجز الإجازات'!$B$5:$B$104)))-5+1))</f>
        <v/>
      </c>
      <c r="BW7" s="62">
        <f>IF(SUMPRODUCT(('حجز الإجازات'!$B$5:$B$104='الموظفون'!$B$5)*('حجز الإجازات'!$D$5:$D$104&lt;=BW$3)*(('حجز الإجازات'!$E$5:$E$104)&gt;=BW$3)*('حجز الإجازات'!$G$5:$G$104="معتمد")*ROW('حجز الإجازات'!$B$5:$B$104))=0,"",INDEX('حجز الإجازات'!$C$5:$C$104,(SUMPRODUCT(('حجز الإجازات'!$B$5:$B$104='الموظفون'!$B$5)*('حجز الإجازات'!$D$5:$D$104&lt;=BW$3)*(('حجز الإجازات'!$E$5:$E$104)&gt;=BW$3)*('حجز الإجازات'!$G$5:$G$104="معتمد")*ROW('حجز الإجازات'!$B$5:$B$104)))-5+1))</f>
        <v/>
      </c>
      <c r="BX7" s="62">
        <f>IF(SUMPRODUCT(('حجز الإجازات'!$B$5:$B$104='الموظفون'!$B$5)*('حجز الإجازات'!$D$5:$D$104&lt;=BX$3)*(('حجز الإجازات'!$E$5:$E$104)&gt;=BX$3)*('حجز الإجازات'!$G$5:$G$104="معتمد")*ROW('حجز الإجازات'!$B$5:$B$104))=0,"",INDEX('حجز الإجازات'!$C$5:$C$104,(SUMPRODUCT(('حجز الإجازات'!$B$5:$B$104='الموظفون'!$B$5)*('حجز الإجازات'!$D$5:$D$104&lt;=BX$3)*(('حجز الإجازات'!$E$5:$E$104)&gt;=BX$3)*('حجز الإجازات'!$G$5:$G$104="معتمد")*ROW('حجز الإجازات'!$B$5:$B$104)))-5+1))</f>
        <v/>
      </c>
      <c r="BY7" s="62">
        <f>IF(SUMPRODUCT(('حجز الإجازات'!$B$5:$B$104='الموظفون'!$B$5)*('حجز الإجازات'!$D$5:$D$104&lt;=BY$3)*(('حجز الإجازات'!$E$5:$E$104)&gt;=BY$3)*('حجز الإجازات'!$G$5:$G$104="معتمد")*ROW('حجز الإجازات'!$B$5:$B$104))=0,"",INDEX('حجز الإجازات'!$C$5:$C$104,(SUMPRODUCT(('حجز الإجازات'!$B$5:$B$104='الموظفون'!$B$5)*('حجز الإجازات'!$D$5:$D$104&lt;=BY$3)*(('حجز الإجازات'!$E$5:$E$104)&gt;=BY$3)*('حجز الإجازات'!$G$5:$G$104="معتمد")*ROW('حجز الإجازات'!$B$5:$B$104)))-5+1))</f>
        <v/>
      </c>
      <c r="BZ7" s="62">
        <f>IF(SUMPRODUCT(('حجز الإجازات'!$B$5:$B$104='الموظفون'!$B$5)*('حجز الإجازات'!$D$5:$D$104&lt;=BZ$3)*(('حجز الإجازات'!$E$5:$E$104)&gt;=BZ$3)*('حجز الإجازات'!$G$5:$G$104="معتمد")*ROW('حجز الإجازات'!$B$5:$B$104))=0,"",INDEX('حجز الإجازات'!$C$5:$C$104,(SUMPRODUCT(('حجز الإجازات'!$B$5:$B$104='الموظفون'!$B$5)*('حجز الإجازات'!$D$5:$D$104&lt;=BZ$3)*(('حجز الإجازات'!$E$5:$E$104)&gt;=BZ$3)*('حجز الإجازات'!$G$5:$G$104="معتمد")*ROW('حجز الإجازات'!$B$5:$B$104)))-5+1))</f>
        <v/>
      </c>
      <c r="CA7" s="62">
        <f>IF(SUMPRODUCT(('حجز الإجازات'!$B$5:$B$104='الموظفون'!$B$5)*('حجز الإجازات'!$D$5:$D$104&lt;=CA$3)*(('حجز الإجازات'!$E$5:$E$104)&gt;=CA$3)*('حجز الإجازات'!$G$5:$G$104="معتمد")*ROW('حجز الإجازات'!$B$5:$B$104))=0,"",INDEX('حجز الإجازات'!$C$5:$C$104,(SUMPRODUCT(('حجز الإجازات'!$B$5:$B$104='الموظفون'!$B$5)*('حجز الإجازات'!$D$5:$D$104&lt;=CA$3)*(('حجز الإجازات'!$E$5:$E$104)&gt;=CA$3)*('حجز الإجازات'!$G$5:$G$104="معتمد")*ROW('حجز الإجازات'!$B$5:$B$104)))-5+1))</f>
        <v/>
      </c>
      <c r="CB7" s="62">
        <f>IF(SUMPRODUCT(('حجز الإجازات'!$B$5:$B$104='الموظفون'!$B$5)*('حجز الإجازات'!$D$5:$D$104&lt;=CB$3)*(('حجز الإجازات'!$E$5:$E$104)&gt;=CB$3)*('حجز الإجازات'!$G$5:$G$104="معتمد")*ROW('حجز الإجازات'!$B$5:$B$104))=0,"",INDEX('حجز الإجازات'!$C$5:$C$104,(SUMPRODUCT(('حجز الإجازات'!$B$5:$B$104='الموظفون'!$B$5)*('حجز الإجازات'!$D$5:$D$104&lt;=CB$3)*(('حجز الإجازات'!$E$5:$E$104)&gt;=CB$3)*('حجز الإجازات'!$G$5:$G$104="معتمد")*ROW('حجز الإجازات'!$B$5:$B$104)))-5+1))</f>
        <v/>
      </c>
      <c r="CC7" s="62">
        <f>IF(SUMPRODUCT(('حجز الإجازات'!$B$5:$B$104='الموظفون'!$B$5)*('حجز الإجازات'!$D$5:$D$104&lt;=CC$3)*(('حجز الإجازات'!$E$5:$E$104)&gt;=CC$3)*('حجز الإجازات'!$G$5:$G$104="معتمد")*ROW('حجز الإجازات'!$B$5:$B$104))=0,"",INDEX('حجز الإجازات'!$C$5:$C$104,(SUMPRODUCT(('حجز الإجازات'!$B$5:$B$104='الموظفون'!$B$5)*('حجز الإجازات'!$D$5:$D$104&lt;=CC$3)*(('حجز الإجازات'!$E$5:$E$104)&gt;=CC$3)*('حجز الإجازات'!$G$5:$G$104="معتمد")*ROW('حجز الإجازات'!$B$5:$B$104)))-5+1))</f>
        <v/>
      </c>
      <c r="CD7" s="62">
        <f>IF(SUMPRODUCT(('حجز الإجازات'!$B$5:$B$104='الموظفون'!$B$5)*('حجز الإجازات'!$D$5:$D$104&lt;=CD$3)*(('حجز الإجازات'!$E$5:$E$104)&gt;=CD$3)*('حجز الإجازات'!$G$5:$G$104="معتمد")*ROW('حجز الإجازات'!$B$5:$B$104))=0,"",INDEX('حجز الإجازات'!$C$5:$C$104,(SUMPRODUCT(('حجز الإجازات'!$B$5:$B$104='الموظفون'!$B$5)*('حجز الإجازات'!$D$5:$D$104&lt;=CD$3)*(('حجز الإجازات'!$E$5:$E$104)&gt;=CD$3)*('حجز الإجازات'!$G$5:$G$104="معتمد")*ROW('حجز الإجازات'!$B$5:$B$104)))-5+1))</f>
        <v/>
      </c>
      <c r="CE7" s="62">
        <f>IF(SUMPRODUCT(('حجز الإجازات'!$B$5:$B$104='الموظفون'!$B$5)*('حجز الإجازات'!$D$5:$D$104&lt;=CE$3)*(('حجز الإجازات'!$E$5:$E$104)&gt;=CE$3)*('حجز الإجازات'!$G$5:$G$104="معتمد")*ROW('حجز الإجازات'!$B$5:$B$104))=0,"",INDEX('حجز الإجازات'!$C$5:$C$104,(SUMPRODUCT(('حجز الإجازات'!$B$5:$B$104='الموظفون'!$B$5)*('حجز الإجازات'!$D$5:$D$104&lt;=CE$3)*(('حجز الإجازات'!$E$5:$E$104)&gt;=CE$3)*('حجز الإجازات'!$G$5:$G$104="معتمد")*ROW('حجز الإجازات'!$B$5:$B$104)))-5+1))</f>
        <v/>
      </c>
      <c r="CF7" s="62">
        <f>IF(SUMPRODUCT(('حجز الإجازات'!$B$5:$B$104='الموظفون'!$B$5)*('حجز الإجازات'!$D$5:$D$104&lt;=CF$3)*(('حجز الإجازات'!$E$5:$E$104)&gt;=CF$3)*('حجز الإجازات'!$G$5:$G$104="معتمد")*ROW('حجز الإجازات'!$B$5:$B$104))=0,"",INDEX('حجز الإجازات'!$C$5:$C$104,(SUMPRODUCT(('حجز الإجازات'!$B$5:$B$104='الموظفون'!$B$5)*('حجز الإجازات'!$D$5:$D$104&lt;=CF$3)*(('حجز الإجازات'!$E$5:$E$104)&gt;=CF$3)*('حجز الإجازات'!$G$5:$G$104="معتمد")*ROW('حجز الإجازات'!$B$5:$B$104)))-5+1))</f>
        <v/>
      </c>
      <c r="CG7" s="62">
        <f>IF(SUMPRODUCT(('حجز الإجازات'!$B$5:$B$104='الموظفون'!$B$5)*('حجز الإجازات'!$D$5:$D$104&lt;=CG$3)*(('حجز الإجازات'!$E$5:$E$104)&gt;=CG$3)*('حجز الإجازات'!$G$5:$G$104="معتمد")*ROW('حجز الإجازات'!$B$5:$B$104))=0,"",INDEX('حجز الإجازات'!$C$5:$C$104,(SUMPRODUCT(('حجز الإجازات'!$B$5:$B$104='الموظفون'!$B$5)*('حجز الإجازات'!$D$5:$D$104&lt;=CG$3)*(('حجز الإجازات'!$E$5:$E$104)&gt;=CG$3)*('حجز الإجازات'!$G$5:$G$104="معتمد")*ROW('حجز الإجازات'!$B$5:$B$104)))-5+1))</f>
        <v/>
      </c>
      <c r="CH7" s="62">
        <f>IF(SUMPRODUCT(('حجز الإجازات'!$B$5:$B$104='الموظفون'!$B$5)*('حجز الإجازات'!$D$5:$D$104&lt;=CH$3)*(('حجز الإجازات'!$E$5:$E$104)&gt;=CH$3)*('حجز الإجازات'!$G$5:$G$104="معتمد")*ROW('حجز الإجازات'!$B$5:$B$104))=0,"",INDEX('حجز الإجازات'!$C$5:$C$104,(SUMPRODUCT(('حجز الإجازات'!$B$5:$B$104='الموظفون'!$B$5)*('حجز الإجازات'!$D$5:$D$104&lt;=CH$3)*(('حجز الإجازات'!$E$5:$E$104)&gt;=CH$3)*('حجز الإجازات'!$G$5:$G$104="معتمد")*ROW('حجز الإجازات'!$B$5:$B$104)))-5+1))</f>
        <v/>
      </c>
      <c r="CI7" s="62">
        <f>IF(SUMPRODUCT(('حجز الإجازات'!$B$5:$B$104='الموظفون'!$B$5)*('حجز الإجازات'!$D$5:$D$104&lt;=CI$3)*(('حجز الإجازات'!$E$5:$E$104)&gt;=CI$3)*('حجز الإجازات'!$G$5:$G$104="معتمد")*ROW('حجز الإجازات'!$B$5:$B$104))=0,"",INDEX('حجز الإجازات'!$C$5:$C$104,(SUMPRODUCT(('حجز الإجازات'!$B$5:$B$104='الموظفون'!$B$5)*('حجز الإجازات'!$D$5:$D$104&lt;=CI$3)*(('حجز الإجازات'!$E$5:$E$104)&gt;=CI$3)*('حجز الإجازات'!$G$5:$G$104="معتمد")*ROW('حجز الإجازات'!$B$5:$B$104)))-5+1))</f>
        <v/>
      </c>
      <c r="CJ7" s="62">
        <f>IF(SUMPRODUCT(('حجز الإجازات'!$B$5:$B$104='الموظفون'!$B$5)*('حجز الإجازات'!$D$5:$D$104&lt;=CJ$3)*(('حجز الإجازات'!$E$5:$E$104)&gt;=CJ$3)*('حجز الإجازات'!$G$5:$G$104="معتمد")*ROW('حجز الإجازات'!$B$5:$B$104))=0,"",INDEX('حجز الإجازات'!$C$5:$C$104,(SUMPRODUCT(('حجز الإجازات'!$B$5:$B$104='الموظفون'!$B$5)*('حجز الإجازات'!$D$5:$D$104&lt;=CJ$3)*(('حجز الإجازات'!$E$5:$E$104)&gt;=CJ$3)*('حجز الإجازات'!$G$5:$G$104="معتمد")*ROW('حجز الإجازات'!$B$5:$B$104)))-5+1))</f>
        <v/>
      </c>
      <c r="CK7" s="62">
        <f>IF(SUMPRODUCT(('حجز الإجازات'!$B$5:$B$104='الموظفون'!$B$5)*('حجز الإجازات'!$D$5:$D$104&lt;=CK$3)*(('حجز الإجازات'!$E$5:$E$104)&gt;=CK$3)*('حجز الإجازات'!$G$5:$G$104="معتمد")*ROW('حجز الإجازات'!$B$5:$B$104))=0,"",INDEX('حجز الإجازات'!$C$5:$C$104,(SUMPRODUCT(('حجز الإجازات'!$B$5:$B$104='الموظفون'!$B$5)*('حجز الإجازات'!$D$5:$D$104&lt;=CK$3)*(('حجز الإجازات'!$E$5:$E$104)&gt;=CK$3)*('حجز الإجازات'!$G$5:$G$104="معتمد")*ROW('حجز الإجازات'!$B$5:$B$104)))-5+1))</f>
        <v/>
      </c>
      <c r="CL7" s="62">
        <f>IF(SUMPRODUCT(('حجز الإجازات'!$B$5:$B$104='الموظفون'!$B$5)*('حجز الإجازات'!$D$5:$D$104&lt;=CL$3)*(('حجز الإجازات'!$E$5:$E$104)&gt;=CL$3)*('حجز الإجازات'!$G$5:$G$104="معتمد")*ROW('حجز الإجازات'!$B$5:$B$104))=0,"",INDEX('حجز الإجازات'!$C$5:$C$104,(SUMPRODUCT(('حجز الإجازات'!$B$5:$B$104='الموظفون'!$B$5)*('حجز الإجازات'!$D$5:$D$104&lt;=CL$3)*(('حجز الإجازات'!$E$5:$E$104)&gt;=CL$3)*('حجز الإجازات'!$G$5:$G$104="معتمد")*ROW('حجز الإجازات'!$B$5:$B$104)))-5+1))</f>
        <v/>
      </c>
      <c r="CM7" s="62">
        <f>IF(SUMPRODUCT(('حجز الإجازات'!$B$5:$B$104='الموظفون'!$B$5)*('حجز الإجازات'!$D$5:$D$104&lt;=CM$3)*(('حجز الإجازات'!$E$5:$E$104)&gt;=CM$3)*('حجز الإجازات'!$G$5:$G$104="معتمد")*ROW('حجز الإجازات'!$B$5:$B$104))=0,"",INDEX('حجز الإجازات'!$C$5:$C$104,(SUMPRODUCT(('حجز الإجازات'!$B$5:$B$104='الموظفون'!$B$5)*('حجز الإجازات'!$D$5:$D$104&lt;=CM$3)*(('حجز الإجازات'!$E$5:$E$104)&gt;=CM$3)*('حجز الإجازات'!$G$5:$G$104="معتمد")*ROW('حجز الإجازات'!$B$5:$B$104)))-5+1))</f>
        <v/>
      </c>
      <c r="CN7" s="62">
        <f>IF(SUMPRODUCT(('حجز الإجازات'!$B$5:$B$104='الموظفون'!$B$5)*('حجز الإجازات'!$D$5:$D$104&lt;=CN$3)*(('حجز الإجازات'!$E$5:$E$104)&gt;=CN$3)*('حجز الإجازات'!$G$5:$G$104="معتمد")*ROW('حجز الإجازات'!$B$5:$B$104))=0,"",INDEX('حجز الإجازات'!$C$5:$C$104,(SUMPRODUCT(('حجز الإجازات'!$B$5:$B$104='الموظفون'!$B$5)*('حجز الإجازات'!$D$5:$D$104&lt;=CN$3)*(('حجز الإجازات'!$E$5:$E$104)&gt;=CN$3)*('حجز الإجازات'!$G$5:$G$104="معتمد")*ROW('حجز الإجازات'!$B$5:$B$104)))-5+1))</f>
        <v/>
      </c>
      <c r="CO7" s="62">
        <f>IF(SUMPRODUCT(('حجز الإجازات'!$B$5:$B$104='الموظفون'!$B$5)*('حجز الإجازات'!$D$5:$D$104&lt;=CO$3)*(('حجز الإجازات'!$E$5:$E$104)&gt;=CO$3)*('حجز الإجازات'!$G$5:$G$104="معتمد")*ROW('حجز الإجازات'!$B$5:$B$104))=0,"",INDEX('حجز الإجازات'!$C$5:$C$104,(SUMPRODUCT(('حجز الإجازات'!$B$5:$B$104='الموظفون'!$B$5)*('حجز الإجازات'!$D$5:$D$104&lt;=CO$3)*(('حجز الإجازات'!$E$5:$E$104)&gt;=CO$3)*('حجز الإجازات'!$G$5:$G$104="معتمد")*ROW('حجز الإجازات'!$B$5:$B$104)))-5+1))</f>
        <v/>
      </c>
      <c r="CP7" s="62">
        <f>IF(SUMPRODUCT(('حجز الإجازات'!$B$5:$B$104='الموظفون'!$B$5)*('حجز الإجازات'!$D$5:$D$104&lt;=CP$3)*(('حجز الإجازات'!$E$5:$E$104)&gt;=CP$3)*('حجز الإجازات'!$G$5:$G$104="معتمد")*ROW('حجز الإجازات'!$B$5:$B$104))=0,"",INDEX('حجز الإجازات'!$C$5:$C$104,(SUMPRODUCT(('حجز الإجازات'!$B$5:$B$104='الموظفون'!$B$5)*('حجز الإجازات'!$D$5:$D$104&lt;=CP$3)*(('حجز الإجازات'!$E$5:$E$104)&gt;=CP$3)*('حجز الإجازات'!$G$5:$G$104="معتمد")*ROW('حجز الإجازات'!$B$5:$B$104)))-5+1))</f>
        <v/>
      </c>
      <c r="CQ7" s="62">
        <f>IF(SUMPRODUCT(('حجز الإجازات'!$B$5:$B$104='الموظفون'!$B$5)*('حجز الإجازات'!$D$5:$D$104&lt;=CQ$3)*(('حجز الإجازات'!$E$5:$E$104)&gt;=CQ$3)*('حجز الإجازات'!$G$5:$G$104="معتمد")*ROW('حجز الإجازات'!$B$5:$B$104))=0,"",INDEX('حجز الإجازات'!$C$5:$C$104,(SUMPRODUCT(('حجز الإجازات'!$B$5:$B$104='الموظفون'!$B$5)*('حجز الإجازات'!$D$5:$D$104&lt;=CQ$3)*(('حجز الإجازات'!$E$5:$E$104)&gt;=CQ$3)*('حجز الإجازات'!$G$5:$G$104="معتمد")*ROW('حجز الإجازات'!$B$5:$B$104)))-5+1))</f>
        <v/>
      </c>
      <c r="CR7" s="62">
        <f>IF(SUMPRODUCT(('حجز الإجازات'!$B$5:$B$104='الموظفون'!$B$5)*('حجز الإجازات'!$D$5:$D$104&lt;=CR$3)*(('حجز الإجازات'!$E$5:$E$104)&gt;=CR$3)*('حجز الإجازات'!$G$5:$G$104="معتمد")*ROW('حجز الإجازات'!$B$5:$B$104))=0,"",INDEX('حجز الإجازات'!$C$5:$C$104,(SUMPRODUCT(('حجز الإجازات'!$B$5:$B$104='الموظفون'!$B$5)*('حجز الإجازات'!$D$5:$D$104&lt;=CR$3)*(('حجز الإجازات'!$E$5:$E$104)&gt;=CR$3)*('حجز الإجازات'!$G$5:$G$104="معتمد")*ROW('حجز الإجازات'!$B$5:$B$104)))-5+1))</f>
        <v/>
      </c>
      <c r="CS7" s="62">
        <f>IF(SUMPRODUCT(('حجز الإجازات'!$B$5:$B$104='الموظفون'!$B$5)*('حجز الإجازات'!$D$5:$D$104&lt;=CS$3)*(('حجز الإجازات'!$E$5:$E$104)&gt;=CS$3)*('حجز الإجازات'!$G$5:$G$104="معتمد")*ROW('حجز الإجازات'!$B$5:$B$104))=0,"",INDEX('حجز الإجازات'!$C$5:$C$104,(SUMPRODUCT(('حجز الإجازات'!$B$5:$B$104='الموظفون'!$B$5)*('حجز الإجازات'!$D$5:$D$104&lt;=CS$3)*(('حجز الإجازات'!$E$5:$E$104)&gt;=CS$3)*('حجز الإجازات'!$G$5:$G$104="معتمد")*ROW('حجز الإجازات'!$B$5:$B$104)))-5+1))</f>
        <v/>
      </c>
      <c r="CT7" s="62">
        <f>IF(SUMPRODUCT(('حجز الإجازات'!$B$5:$B$104='الموظفون'!$B$5)*('حجز الإجازات'!$D$5:$D$104&lt;=CT$3)*(('حجز الإجازات'!$E$5:$E$104)&gt;=CT$3)*('حجز الإجازات'!$G$5:$G$104="معتمد")*ROW('حجز الإجازات'!$B$5:$B$104))=0,"",INDEX('حجز الإجازات'!$C$5:$C$104,(SUMPRODUCT(('حجز الإجازات'!$B$5:$B$104='الموظفون'!$B$5)*('حجز الإجازات'!$D$5:$D$104&lt;=CT$3)*(('حجز الإجازات'!$E$5:$E$104)&gt;=CT$3)*('حجز الإجازات'!$G$5:$G$104="معتمد")*ROW('حجز الإجازات'!$B$5:$B$104)))-5+1))</f>
        <v/>
      </c>
      <c r="CU7" s="62">
        <f>IF(SUMPRODUCT(('حجز الإجازات'!$B$5:$B$104='الموظفون'!$B$5)*('حجز الإجازات'!$D$5:$D$104&lt;=CU$3)*(('حجز الإجازات'!$E$5:$E$104)&gt;=CU$3)*('حجز الإجازات'!$G$5:$G$104="معتمد")*ROW('حجز الإجازات'!$B$5:$B$104))=0,"",INDEX('حجز الإجازات'!$C$5:$C$104,(SUMPRODUCT(('حجز الإجازات'!$B$5:$B$104='الموظفون'!$B$5)*('حجز الإجازات'!$D$5:$D$104&lt;=CU$3)*(('حجز الإجازات'!$E$5:$E$104)&gt;=CU$3)*('حجز الإجازات'!$G$5:$G$104="معتمد")*ROW('حجز الإجازات'!$B$5:$B$104)))-5+1))</f>
        <v/>
      </c>
      <c r="CV7" s="62">
        <f>IF(SUMPRODUCT(('حجز الإجازات'!$B$5:$B$104='الموظفون'!$B$5)*('حجز الإجازات'!$D$5:$D$104&lt;=CV$3)*(('حجز الإجازات'!$E$5:$E$104)&gt;=CV$3)*('حجز الإجازات'!$G$5:$G$104="معتمد")*ROW('حجز الإجازات'!$B$5:$B$104))=0,"",INDEX('حجز الإجازات'!$C$5:$C$104,(SUMPRODUCT(('حجز الإجازات'!$B$5:$B$104='الموظفون'!$B$5)*('حجز الإجازات'!$D$5:$D$104&lt;=CV$3)*(('حجز الإجازات'!$E$5:$E$104)&gt;=CV$3)*('حجز الإجازات'!$G$5:$G$104="معتمد")*ROW('حجز الإجازات'!$B$5:$B$104)))-5+1))</f>
        <v/>
      </c>
      <c r="CW7" s="62">
        <f>IF(SUMPRODUCT(('حجز الإجازات'!$B$5:$B$104='الموظفون'!$B$5)*('حجز الإجازات'!$D$5:$D$104&lt;=CW$3)*(('حجز الإجازات'!$E$5:$E$104)&gt;=CW$3)*('حجز الإجازات'!$G$5:$G$104="معتمد")*ROW('حجز الإجازات'!$B$5:$B$104))=0,"",INDEX('حجز الإجازات'!$C$5:$C$104,(SUMPRODUCT(('حجز الإجازات'!$B$5:$B$104='الموظفون'!$B$5)*('حجز الإجازات'!$D$5:$D$104&lt;=CW$3)*(('حجز الإجازات'!$E$5:$E$104)&gt;=CW$3)*('حجز الإجازات'!$G$5:$G$104="معتمد")*ROW('حجز الإجازات'!$B$5:$B$104)))-5+1))</f>
        <v/>
      </c>
      <c r="CX7" s="62">
        <f>IF(SUMPRODUCT(('حجز الإجازات'!$B$5:$B$104='الموظفون'!$B$5)*('حجز الإجازات'!$D$5:$D$104&lt;=CX$3)*(('حجز الإجازات'!$E$5:$E$104)&gt;=CX$3)*('حجز الإجازات'!$G$5:$G$104="معتمد")*ROW('حجز الإجازات'!$B$5:$B$104))=0,"",INDEX('حجز الإجازات'!$C$5:$C$104,(SUMPRODUCT(('حجز الإجازات'!$B$5:$B$104='الموظفون'!$B$5)*('حجز الإجازات'!$D$5:$D$104&lt;=CX$3)*(('حجز الإجازات'!$E$5:$E$104)&gt;=CX$3)*('حجز الإجازات'!$G$5:$G$104="معتمد")*ROW('حجز الإجازات'!$B$5:$B$104)))-5+1))</f>
        <v/>
      </c>
      <c r="CY7" s="62">
        <f>IF(SUMPRODUCT(('حجز الإجازات'!$B$5:$B$104='الموظفون'!$B$5)*('حجز الإجازات'!$D$5:$D$104&lt;=CY$3)*(('حجز الإجازات'!$E$5:$E$104)&gt;=CY$3)*('حجز الإجازات'!$G$5:$G$104="معتمد")*ROW('حجز الإجازات'!$B$5:$B$104))=0,"",INDEX('حجز الإجازات'!$C$5:$C$104,(SUMPRODUCT(('حجز الإجازات'!$B$5:$B$104='الموظفون'!$B$5)*('حجز الإجازات'!$D$5:$D$104&lt;=CY$3)*(('حجز الإجازات'!$E$5:$E$104)&gt;=CY$3)*('حجز الإجازات'!$G$5:$G$104="معتمد")*ROW('حجز الإجازات'!$B$5:$B$104)))-5+1))</f>
        <v/>
      </c>
      <c r="CZ7" s="62">
        <f>IF(SUMPRODUCT(('حجز الإجازات'!$B$5:$B$104='الموظفون'!$B$5)*('حجز الإجازات'!$D$5:$D$104&lt;=CZ$3)*(('حجز الإجازات'!$E$5:$E$104)&gt;=CZ$3)*('حجز الإجازات'!$G$5:$G$104="معتمد")*ROW('حجز الإجازات'!$B$5:$B$104))=0,"",INDEX('حجز الإجازات'!$C$5:$C$104,(SUMPRODUCT(('حجز الإجازات'!$B$5:$B$104='الموظفون'!$B$5)*('حجز الإجازات'!$D$5:$D$104&lt;=CZ$3)*(('حجز الإجازات'!$E$5:$E$104)&gt;=CZ$3)*('حجز الإجازات'!$G$5:$G$104="معتمد")*ROW('حجز الإجازات'!$B$5:$B$104)))-5+1))</f>
        <v/>
      </c>
      <c r="DA7" s="62">
        <f>IF(SUMPRODUCT(('حجز الإجازات'!$B$5:$B$104='الموظفون'!$B$5)*('حجز الإجازات'!$D$5:$D$104&lt;=DA$3)*(('حجز الإجازات'!$E$5:$E$104)&gt;=DA$3)*('حجز الإجازات'!$G$5:$G$104="معتمد")*ROW('حجز الإجازات'!$B$5:$B$104))=0,"",INDEX('حجز الإجازات'!$C$5:$C$104,(SUMPRODUCT(('حجز الإجازات'!$B$5:$B$104='الموظفون'!$B$5)*('حجز الإجازات'!$D$5:$D$104&lt;=DA$3)*(('حجز الإجازات'!$E$5:$E$104)&gt;=DA$3)*('حجز الإجازات'!$G$5:$G$104="معتمد")*ROW('حجز الإجازات'!$B$5:$B$104)))-5+1))</f>
        <v/>
      </c>
      <c r="DB7" s="62">
        <f>IF(SUMPRODUCT(('حجز الإجازات'!$B$5:$B$104='الموظفون'!$B$5)*('حجز الإجازات'!$D$5:$D$104&lt;=DB$3)*(('حجز الإجازات'!$E$5:$E$104)&gt;=DB$3)*('حجز الإجازات'!$G$5:$G$104="معتمد")*ROW('حجز الإجازات'!$B$5:$B$104))=0,"",INDEX('حجز الإجازات'!$C$5:$C$104,(SUMPRODUCT(('حجز الإجازات'!$B$5:$B$104='الموظفون'!$B$5)*('حجز الإجازات'!$D$5:$D$104&lt;=DB$3)*(('حجز الإجازات'!$E$5:$E$104)&gt;=DB$3)*('حجز الإجازات'!$G$5:$G$104="معتمد")*ROW('حجز الإجازات'!$B$5:$B$104)))-5+1))</f>
        <v/>
      </c>
      <c r="DC7" s="62">
        <f>IF(SUMPRODUCT(('حجز الإجازات'!$B$5:$B$104='الموظفون'!$B$5)*('حجز الإجازات'!$D$5:$D$104&lt;=DC$3)*(('حجز الإجازات'!$E$5:$E$104)&gt;=DC$3)*('حجز الإجازات'!$G$5:$G$104="معتمد")*ROW('حجز الإجازات'!$B$5:$B$104))=0,"",INDEX('حجز الإجازات'!$C$5:$C$104,(SUMPRODUCT(('حجز الإجازات'!$B$5:$B$104='الموظفون'!$B$5)*('حجز الإجازات'!$D$5:$D$104&lt;=DC$3)*(('حجز الإجازات'!$E$5:$E$104)&gt;=DC$3)*('حجز الإجازات'!$G$5:$G$104="معتمد")*ROW('حجز الإجازات'!$B$5:$B$104)))-5+1))</f>
        <v/>
      </c>
      <c r="DD7" s="62">
        <f>IF(SUMPRODUCT(('حجز الإجازات'!$B$5:$B$104='الموظفون'!$B$5)*('حجز الإجازات'!$D$5:$D$104&lt;=DD$3)*(('حجز الإجازات'!$E$5:$E$104)&gt;=DD$3)*('حجز الإجازات'!$G$5:$G$104="معتمد")*ROW('حجز الإجازات'!$B$5:$B$104))=0,"",INDEX('حجز الإجازات'!$C$5:$C$104,(SUMPRODUCT(('حجز الإجازات'!$B$5:$B$104='الموظفون'!$B$5)*('حجز الإجازات'!$D$5:$D$104&lt;=DD$3)*(('حجز الإجازات'!$E$5:$E$104)&gt;=DD$3)*('حجز الإجازات'!$G$5:$G$104="معتمد")*ROW('حجز الإجازات'!$B$5:$B$104)))-5+1))</f>
        <v/>
      </c>
      <c r="DE7" s="62">
        <f>IF(SUMPRODUCT(('حجز الإجازات'!$B$5:$B$104='الموظفون'!$B$5)*('حجز الإجازات'!$D$5:$D$104&lt;=DE$3)*(('حجز الإجازات'!$E$5:$E$104)&gt;=DE$3)*('حجز الإجازات'!$G$5:$G$104="معتمد")*ROW('حجز الإجازات'!$B$5:$B$104))=0,"",INDEX('حجز الإجازات'!$C$5:$C$104,(SUMPRODUCT(('حجز الإجازات'!$B$5:$B$104='الموظفون'!$B$5)*('حجز الإجازات'!$D$5:$D$104&lt;=DE$3)*(('حجز الإجازات'!$E$5:$E$104)&gt;=DE$3)*('حجز الإجازات'!$G$5:$G$104="معتمد")*ROW('حجز الإجازات'!$B$5:$B$104)))-5+1))</f>
        <v/>
      </c>
      <c r="DF7" s="62">
        <f>IF(SUMPRODUCT(('حجز الإجازات'!$B$5:$B$104='الموظفون'!$B$5)*('حجز الإجازات'!$D$5:$D$104&lt;=DF$3)*(('حجز الإجازات'!$E$5:$E$104)&gt;=DF$3)*('حجز الإجازات'!$G$5:$G$104="معتمد")*ROW('حجز الإجازات'!$B$5:$B$104))=0,"",INDEX('حجز الإجازات'!$C$5:$C$104,(SUMPRODUCT(('حجز الإجازات'!$B$5:$B$104='الموظفون'!$B$5)*('حجز الإجازات'!$D$5:$D$104&lt;=DF$3)*(('حجز الإجازات'!$E$5:$E$104)&gt;=DF$3)*('حجز الإجازات'!$G$5:$G$104="معتمد")*ROW('حجز الإجازات'!$B$5:$B$104)))-5+1))</f>
        <v/>
      </c>
      <c r="DG7" s="62">
        <f>IF(SUMPRODUCT(('حجز الإجازات'!$B$5:$B$104='الموظفون'!$B$5)*('حجز الإجازات'!$D$5:$D$104&lt;=DG$3)*(('حجز الإجازات'!$E$5:$E$104)&gt;=DG$3)*('حجز الإجازات'!$G$5:$G$104="معتمد")*ROW('حجز الإجازات'!$B$5:$B$104))=0,"",INDEX('حجز الإجازات'!$C$5:$C$104,(SUMPRODUCT(('حجز الإجازات'!$B$5:$B$104='الموظفون'!$B$5)*('حجز الإجازات'!$D$5:$D$104&lt;=DG$3)*(('حجز الإجازات'!$E$5:$E$104)&gt;=DG$3)*('حجز الإجازات'!$G$5:$G$104="معتمد")*ROW('حجز الإجازات'!$B$5:$B$104)))-5+1))</f>
        <v/>
      </c>
      <c r="DH7" s="62">
        <f>IF(SUMPRODUCT(('حجز الإجازات'!$B$5:$B$104='الموظفون'!$B$5)*('حجز الإجازات'!$D$5:$D$104&lt;=DH$3)*(('حجز الإجازات'!$E$5:$E$104)&gt;=DH$3)*('حجز الإجازات'!$G$5:$G$104="معتمد")*ROW('حجز الإجازات'!$B$5:$B$104))=0,"",INDEX('حجز الإجازات'!$C$5:$C$104,(SUMPRODUCT(('حجز الإجازات'!$B$5:$B$104='الموظفون'!$B$5)*('حجز الإجازات'!$D$5:$D$104&lt;=DH$3)*(('حجز الإجازات'!$E$5:$E$104)&gt;=DH$3)*('حجز الإجازات'!$G$5:$G$104="معتمد")*ROW('حجز الإجازات'!$B$5:$B$104)))-5+1))</f>
        <v/>
      </c>
      <c r="DI7" s="62">
        <f>IF(SUMPRODUCT(('حجز الإجازات'!$B$5:$B$104='الموظفون'!$B$5)*('حجز الإجازات'!$D$5:$D$104&lt;=DI$3)*(('حجز الإجازات'!$E$5:$E$104)&gt;=DI$3)*('حجز الإجازات'!$G$5:$G$104="معتمد")*ROW('حجز الإجازات'!$B$5:$B$104))=0,"",INDEX('حجز الإجازات'!$C$5:$C$104,(SUMPRODUCT(('حجز الإجازات'!$B$5:$B$104='الموظفون'!$B$5)*('حجز الإجازات'!$D$5:$D$104&lt;=DI$3)*(('حجز الإجازات'!$E$5:$E$104)&gt;=DI$3)*('حجز الإجازات'!$G$5:$G$104="معتمد")*ROW('حجز الإجازات'!$B$5:$B$104)))-5+1))</f>
        <v/>
      </c>
      <c r="DJ7" s="62">
        <f>IF(SUMPRODUCT(('حجز الإجازات'!$B$5:$B$104='الموظفون'!$B$5)*('حجز الإجازات'!$D$5:$D$104&lt;=DJ$3)*(('حجز الإجازات'!$E$5:$E$104)&gt;=DJ$3)*('حجز الإجازات'!$G$5:$G$104="معتمد")*ROW('حجز الإجازات'!$B$5:$B$104))=0,"",INDEX('حجز الإجازات'!$C$5:$C$104,(SUMPRODUCT(('حجز الإجازات'!$B$5:$B$104='الموظفون'!$B$5)*('حجز الإجازات'!$D$5:$D$104&lt;=DJ$3)*(('حجز الإجازات'!$E$5:$E$104)&gt;=DJ$3)*('حجز الإجازات'!$G$5:$G$104="معتمد")*ROW('حجز الإجازات'!$B$5:$B$104)))-5+1))</f>
        <v/>
      </c>
      <c r="DK7" s="62">
        <f>IF(SUMPRODUCT(('حجز الإجازات'!$B$5:$B$104='الموظفون'!$B$5)*('حجز الإجازات'!$D$5:$D$104&lt;=DK$3)*(('حجز الإجازات'!$E$5:$E$104)&gt;=DK$3)*('حجز الإجازات'!$G$5:$G$104="معتمد")*ROW('حجز الإجازات'!$B$5:$B$104))=0,"",INDEX('حجز الإجازات'!$C$5:$C$104,(SUMPRODUCT(('حجز الإجازات'!$B$5:$B$104='الموظفون'!$B$5)*('حجز الإجازات'!$D$5:$D$104&lt;=DK$3)*(('حجز الإجازات'!$E$5:$E$104)&gt;=DK$3)*('حجز الإجازات'!$G$5:$G$104="معتمد")*ROW('حجز الإجازات'!$B$5:$B$104)))-5+1))</f>
        <v/>
      </c>
      <c r="DL7" s="62">
        <f>IF(SUMPRODUCT(('حجز الإجازات'!$B$5:$B$104='الموظفون'!$B$5)*('حجز الإجازات'!$D$5:$D$104&lt;=DL$3)*(('حجز الإجازات'!$E$5:$E$104)&gt;=DL$3)*('حجز الإجازات'!$G$5:$G$104="معتمد")*ROW('حجز الإجازات'!$B$5:$B$104))=0,"",INDEX('حجز الإجازات'!$C$5:$C$104,(SUMPRODUCT(('حجز الإجازات'!$B$5:$B$104='الموظفون'!$B$5)*('حجز الإجازات'!$D$5:$D$104&lt;=DL$3)*(('حجز الإجازات'!$E$5:$E$104)&gt;=DL$3)*('حجز الإجازات'!$G$5:$G$104="معتمد")*ROW('حجز الإجازات'!$B$5:$B$104)))-5+1))</f>
        <v/>
      </c>
      <c r="DM7" s="62">
        <f>IF(SUMPRODUCT(('حجز الإجازات'!$B$5:$B$104='الموظفون'!$B$5)*('حجز الإجازات'!$D$5:$D$104&lt;=DM$3)*(('حجز الإجازات'!$E$5:$E$104)&gt;=DM$3)*('حجز الإجازات'!$G$5:$G$104="معتمد")*ROW('حجز الإجازات'!$B$5:$B$104))=0,"",INDEX('حجز الإجازات'!$C$5:$C$104,(SUMPRODUCT(('حجز الإجازات'!$B$5:$B$104='الموظفون'!$B$5)*('حجز الإجازات'!$D$5:$D$104&lt;=DM$3)*(('حجز الإجازات'!$E$5:$E$104)&gt;=DM$3)*('حجز الإجازات'!$G$5:$G$104="معتمد")*ROW('حجز الإجازات'!$B$5:$B$104)))-5+1))</f>
        <v/>
      </c>
      <c r="DN7" s="62">
        <f>IF(SUMPRODUCT(('حجز الإجازات'!$B$5:$B$104='الموظفون'!$B$5)*('حجز الإجازات'!$D$5:$D$104&lt;=DN$3)*(('حجز الإجازات'!$E$5:$E$104)&gt;=DN$3)*('حجز الإجازات'!$G$5:$G$104="معتمد")*ROW('حجز الإجازات'!$B$5:$B$104))=0,"",INDEX('حجز الإجازات'!$C$5:$C$104,(SUMPRODUCT(('حجز الإجازات'!$B$5:$B$104='الموظفون'!$B$5)*('حجز الإجازات'!$D$5:$D$104&lt;=DN$3)*(('حجز الإجازات'!$E$5:$E$104)&gt;=DN$3)*('حجز الإجازات'!$G$5:$G$104="معتمد")*ROW('حجز الإجازات'!$B$5:$B$104)))-5+1))</f>
        <v/>
      </c>
      <c r="DO7" s="62">
        <f>IF(SUMPRODUCT(('حجز الإجازات'!$B$5:$B$104='الموظفون'!$B$5)*('حجز الإجازات'!$D$5:$D$104&lt;=DO$3)*(('حجز الإجازات'!$E$5:$E$104)&gt;=DO$3)*('حجز الإجازات'!$G$5:$G$104="معتمد")*ROW('حجز الإجازات'!$B$5:$B$104))=0,"",INDEX('حجز الإجازات'!$C$5:$C$104,(SUMPRODUCT(('حجز الإجازات'!$B$5:$B$104='الموظفون'!$B$5)*('حجز الإجازات'!$D$5:$D$104&lt;=DO$3)*(('حجز الإجازات'!$E$5:$E$104)&gt;=DO$3)*('حجز الإجازات'!$G$5:$G$104="معتمد")*ROW('حجز الإجازات'!$B$5:$B$104)))-5+1))</f>
        <v/>
      </c>
      <c r="DP7" s="62">
        <f>IF(SUMPRODUCT(('حجز الإجازات'!$B$5:$B$104='الموظفون'!$B$5)*('حجز الإجازات'!$D$5:$D$104&lt;=DP$3)*(('حجز الإجازات'!$E$5:$E$104)&gt;=DP$3)*('حجز الإجازات'!$G$5:$G$104="معتمد")*ROW('حجز الإجازات'!$B$5:$B$104))=0,"",INDEX('حجز الإجازات'!$C$5:$C$104,(SUMPRODUCT(('حجز الإجازات'!$B$5:$B$104='الموظفون'!$B$5)*('حجز الإجازات'!$D$5:$D$104&lt;=DP$3)*(('حجز الإجازات'!$E$5:$E$104)&gt;=DP$3)*('حجز الإجازات'!$G$5:$G$104="معتمد")*ROW('حجز الإجازات'!$B$5:$B$104)))-5+1))</f>
        <v/>
      </c>
      <c r="DQ7" s="62">
        <f>IF(SUMPRODUCT(('حجز الإجازات'!$B$5:$B$104='الموظفون'!$B$5)*('حجز الإجازات'!$D$5:$D$104&lt;=DQ$3)*(('حجز الإجازات'!$E$5:$E$104)&gt;=DQ$3)*('حجز الإجازات'!$G$5:$G$104="معتمد")*ROW('حجز الإجازات'!$B$5:$B$104))=0,"",INDEX('حجز الإجازات'!$C$5:$C$104,(SUMPRODUCT(('حجز الإجازات'!$B$5:$B$104='الموظفون'!$B$5)*('حجز الإجازات'!$D$5:$D$104&lt;=DQ$3)*(('حجز الإجازات'!$E$5:$E$104)&gt;=DQ$3)*('حجز الإجازات'!$G$5:$G$104="معتمد")*ROW('حجز الإجازات'!$B$5:$B$104)))-5+1))</f>
        <v/>
      </c>
      <c r="DR7" s="62">
        <f>IF(SUMPRODUCT(('حجز الإجازات'!$B$5:$B$104='الموظفون'!$B$5)*('حجز الإجازات'!$D$5:$D$104&lt;=DR$3)*(('حجز الإجازات'!$E$5:$E$104)&gt;=DR$3)*('حجز الإجازات'!$G$5:$G$104="معتمد")*ROW('حجز الإجازات'!$B$5:$B$104))=0,"",INDEX('حجز الإجازات'!$C$5:$C$104,(SUMPRODUCT(('حجز الإجازات'!$B$5:$B$104='الموظفون'!$B$5)*('حجز الإجازات'!$D$5:$D$104&lt;=DR$3)*(('حجز الإجازات'!$E$5:$E$104)&gt;=DR$3)*('حجز الإجازات'!$G$5:$G$104="معتمد")*ROW('حجز الإجازات'!$B$5:$B$104)))-5+1))</f>
        <v/>
      </c>
      <c r="DS7" s="62">
        <f>IF(SUMPRODUCT(('حجز الإجازات'!$B$5:$B$104='الموظفون'!$B$5)*('حجز الإجازات'!$D$5:$D$104&lt;=DS$3)*(('حجز الإجازات'!$E$5:$E$104)&gt;=DS$3)*('حجز الإجازات'!$G$5:$G$104="معتمد")*ROW('حجز الإجازات'!$B$5:$B$104))=0,"",INDEX('حجز الإجازات'!$C$5:$C$104,(SUMPRODUCT(('حجز الإجازات'!$B$5:$B$104='الموظفون'!$B$5)*('حجز الإجازات'!$D$5:$D$104&lt;=DS$3)*(('حجز الإجازات'!$E$5:$E$104)&gt;=DS$3)*('حجز الإجازات'!$G$5:$G$104="معتمد")*ROW('حجز الإجازات'!$B$5:$B$104)))-5+1))</f>
        <v/>
      </c>
      <c r="DT7" s="62">
        <f>IF(SUMPRODUCT(('حجز الإجازات'!$B$5:$B$104='الموظفون'!$B$5)*('حجز الإجازات'!$D$5:$D$104&lt;=DT$3)*(('حجز الإجازات'!$E$5:$E$104)&gt;=DT$3)*('حجز الإجازات'!$G$5:$G$104="معتمد")*ROW('حجز الإجازات'!$B$5:$B$104))=0,"",INDEX('حجز الإجازات'!$C$5:$C$104,(SUMPRODUCT(('حجز الإجازات'!$B$5:$B$104='الموظفون'!$B$5)*('حجز الإجازات'!$D$5:$D$104&lt;=DT$3)*(('حجز الإجازات'!$E$5:$E$104)&gt;=DT$3)*('حجز الإجازات'!$G$5:$G$104="معتمد")*ROW('حجز الإجازات'!$B$5:$B$104)))-5+1))</f>
        <v/>
      </c>
      <c r="DU7" s="62">
        <f>IF(SUMPRODUCT(('حجز الإجازات'!$B$5:$B$104='الموظفون'!$B$5)*('حجز الإجازات'!$D$5:$D$104&lt;=DU$3)*(('حجز الإجازات'!$E$5:$E$104)&gt;=DU$3)*('حجز الإجازات'!$G$5:$G$104="معتمد")*ROW('حجز الإجازات'!$B$5:$B$104))=0,"",INDEX('حجز الإجازات'!$C$5:$C$104,(SUMPRODUCT(('حجز الإجازات'!$B$5:$B$104='الموظفون'!$B$5)*('حجز الإجازات'!$D$5:$D$104&lt;=DU$3)*(('حجز الإجازات'!$E$5:$E$104)&gt;=DU$3)*('حجز الإجازات'!$G$5:$G$104="معتمد")*ROW('حجز الإجازات'!$B$5:$B$104)))-5+1))</f>
        <v/>
      </c>
      <c r="DV7" s="62">
        <f>IF(SUMPRODUCT(('حجز الإجازات'!$B$5:$B$104='الموظفون'!$B$5)*('حجز الإجازات'!$D$5:$D$104&lt;=DV$3)*(('حجز الإجازات'!$E$5:$E$104)&gt;=DV$3)*('حجز الإجازات'!$G$5:$G$104="معتمد")*ROW('حجز الإجازات'!$B$5:$B$104))=0,"",INDEX('حجز الإجازات'!$C$5:$C$104,(SUMPRODUCT(('حجز الإجازات'!$B$5:$B$104='الموظفون'!$B$5)*('حجز الإجازات'!$D$5:$D$104&lt;=DV$3)*(('حجز الإجازات'!$E$5:$E$104)&gt;=DV$3)*('حجز الإجازات'!$G$5:$G$104="معتمد")*ROW('حجز الإجازات'!$B$5:$B$104)))-5+1))</f>
        <v/>
      </c>
      <c r="DW7" s="62">
        <f>IF(SUMPRODUCT(('حجز الإجازات'!$B$5:$B$104='الموظفون'!$B$5)*('حجز الإجازات'!$D$5:$D$104&lt;=DW$3)*(('حجز الإجازات'!$E$5:$E$104)&gt;=DW$3)*('حجز الإجازات'!$G$5:$G$104="معتمد")*ROW('حجز الإجازات'!$B$5:$B$104))=0,"",INDEX('حجز الإجازات'!$C$5:$C$104,(SUMPRODUCT(('حجز الإجازات'!$B$5:$B$104='الموظفون'!$B$5)*('حجز الإجازات'!$D$5:$D$104&lt;=DW$3)*(('حجز الإجازات'!$E$5:$E$104)&gt;=DW$3)*('حجز الإجازات'!$G$5:$G$104="معتمد")*ROW('حجز الإجازات'!$B$5:$B$104)))-5+1))</f>
        <v/>
      </c>
      <c r="DX7" s="62">
        <f>IF(SUMPRODUCT(('حجز الإجازات'!$B$5:$B$104='الموظفون'!$B$5)*('حجز الإجازات'!$D$5:$D$104&lt;=DX$3)*(('حجز الإجازات'!$E$5:$E$104)&gt;=DX$3)*('حجز الإجازات'!$G$5:$G$104="معتمد")*ROW('حجز الإجازات'!$B$5:$B$104))=0,"",INDEX('حجز الإجازات'!$C$5:$C$104,(SUMPRODUCT(('حجز الإجازات'!$B$5:$B$104='الموظفون'!$B$5)*('حجز الإجازات'!$D$5:$D$104&lt;=DX$3)*(('حجز الإجازات'!$E$5:$E$104)&gt;=DX$3)*('حجز الإجازات'!$G$5:$G$104="معتمد")*ROW('حجز الإجازات'!$B$5:$B$104)))-5+1))</f>
        <v/>
      </c>
      <c r="DY7" s="62">
        <f>IF(SUMPRODUCT(('حجز الإجازات'!$B$5:$B$104='الموظفون'!$B$5)*('حجز الإجازات'!$D$5:$D$104&lt;=DY$3)*(('حجز الإجازات'!$E$5:$E$104)&gt;=DY$3)*('حجز الإجازات'!$G$5:$G$104="معتمد")*ROW('حجز الإجازات'!$B$5:$B$104))=0,"",INDEX('حجز الإجازات'!$C$5:$C$104,(SUMPRODUCT(('حجز الإجازات'!$B$5:$B$104='الموظفون'!$B$5)*('حجز الإجازات'!$D$5:$D$104&lt;=DY$3)*(('حجز الإجازات'!$E$5:$E$104)&gt;=DY$3)*('حجز الإجازات'!$G$5:$G$104="معتمد")*ROW('حجز الإجازات'!$B$5:$B$104)))-5+1))</f>
        <v/>
      </c>
      <c r="DZ7" s="62">
        <f>IF(SUMPRODUCT(('حجز الإجازات'!$B$5:$B$104='الموظفون'!$B$5)*('حجز الإجازات'!$D$5:$D$104&lt;=DZ$3)*(('حجز الإجازات'!$E$5:$E$104)&gt;=DZ$3)*('حجز الإجازات'!$G$5:$G$104="معتمد")*ROW('حجز الإجازات'!$B$5:$B$104))=0,"",INDEX('حجز الإجازات'!$C$5:$C$104,(SUMPRODUCT(('حجز الإجازات'!$B$5:$B$104='الموظفون'!$B$5)*('حجز الإجازات'!$D$5:$D$104&lt;=DZ$3)*(('حجز الإجازات'!$E$5:$E$104)&gt;=DZ$3)*('حجز الإجازات'!$G$5:$G$104="معتمد")*ROW('حجز الإجازات'!$B$5:$B$104)))-5+1))</f>
        <v/>
      </c>
      <c r="EA7" s="62">
        <f>IF(SUMPRODUCT(('حجز الإجازات'!$B$5:$B$104='الموظفون'!$B$5)*('حجز الإجازات'!$D$5:$D$104&lt;=EA$3)*(('حجز الإجازات'!$E$5:$E$104)&gt;=EA$3)*('حجز الإجازات'!$G$5:$G$104="معتمد")*ROW('حجز الإجازات'!$B$5:$B$104))=0,"",INDEX('حجز الإجازات'!$C$5:$C$104,(SUMPRODUCT(('حجز الإجازات'!$B$5:$B$104='الموظفون'!$B$5)*('حجز الإجازات'!$D$5:$D$104&lt;=EA$3)*(('حجز الإجازات'!$E$5:$E$104)&gt;=EA$3)*('حجز الإجازات'!$G$5:$G$104="معتمد")*ROW('حجز الإجازات'!$B$5:$B$104)))-5+1))</f>
        <v/>
      </c>
      <c r="EB7" s="62">
        <f>IF(SUMPRODUCT(('حجز الإجازات'!$B$5:$B$104='الموظفون'!$B$5)*('حجز الإجازات'!$D$5:$D$104&lt;=EB$3)*(('حجز الإجازات'!$E$5:$E$104)&gt;=EB$3)*('حجز الإجازات'!$G$5:$G$104="معتمد")*ROW('حجز الإجازات'!$B$5:$B$104))=0,"",INDEX('حجز الإجازات'!$C$5:$C$104,(SUMPRODUCT(('حجز الإجازات'!$B$5:$B$104='الموظفون'!$B$5)*('حجز الإجازات'!$D$5:$D$104&lt;=EB$3)*(('حجز الإجازات'!$E$5:$E$104)&gt;=EB$3)*('حجز الإجازات'!$G$5:$G$104="معتمد")*ROW('حجز الإجازات'!$B$5:$B$104)))-5+1))</f>
        <v/>
      </c>
      <c r="EC7" s="62">
        <f>IF(SUMPRODUCT(('حجز الإجازات'!$B$5:$B$104='الموظفون'!$B$5)*('حجز الإجازات'!$D$5:$D$104&lt;=EC$3)*(('حجز الإجازات'!$E$5:$E$104)&gt;=EC$3)*('حجز الإجازات'!$G$5:$G$104="معتمد")*ROW('حجز الإجازات'!$B$5:$B$104))=0,"",INDEX('حجز الإجازات'!$C$5:$C$104,(SUMPRODUCT(('حجز الإجازات'!$B$5:$B$104='الموظفون'!$B$5)*('حجز الإجازات'!$D$5:$D$104&lt;=EC$3)*(('حجز الإجازات'!$E$5:$E$104)&gt;=EC$3)*('حجز الإجازات'!$G$5:$G$104="معتمد")*ROW('حجز الإجازات'!$B$5:$B$104)))-5+1))</f>
        <v/>
      </c>
      <c r="ED7" s="62">
        <f>IF(SUMPRODUCT(('حجز الإجازات'!$B$5:$B$104='الموظفون'!$B$5)*('حجز الإجازات'!$D$5:$D$104&lt;=ED$3)*(('حجز الإجازات'!$E$5:$E$104)&gt;=ED$3)*('حجز الإجازات'!$G$5:$G$104="معتمد")*ROW('حجز الإجازات'!$B$5:$B$104))=0,"",INDEX('حجز الإجازات'!$C$5:$C$104,(SUMPRODUCT(('حجز الإجازات'!$B$5:$B$104='الموظفون'!$B$5)*('حجز الإجازات'!$D$5:$D$104&lt;=ED$3)*(('حجز الإجازات'!$E$5:$E$104)&gt;=ED$3)*('حجز الإجازات'!$G$5:$G$104="معتمد")*ROW('حجز الإجازات'!$B$5:$B$104)))-5+1))</f>
        <v/>
      </c>
      <c r="EE7" s="62">
        <f>IF(SUMPRODUCT(('حجز الإجازات'!$B$5:$B$104='الموظفون'!$B$5)*('حجز الإجازات'!$D$5:$D$104&lt;=EE$3)*(('حجز الإجازات'!$E$5:$E$104)&gt;=EE$3)*('حجز الإجازات'!$G$5:$G$104="معتمد")*ROW('حجز الإجازات'!$B$5:$B$104))=0,"",INDEX('حجز الإجازات'!$C$5:$C$104,(SUMPRODUCT(('حجز الإجازات'!$B$5:$B$104='الموظفون'!$B$5)*('حجز الإجازات'!$D$5:$D$104&lt;=EE$3)*(('حجز الإجازات'!$E$5:$E$104)&gt;=EE$3)*('حجز الإجازات'!$G$5:$G$104="معتمد")*ROW('حجز الإجازات'!$B$5:$B$104)))-5+1))</f>
        <v/>
      </c>
      <c r="EF7" s="62">
        <f>IF(SUMPRODUCT(('حجز الإجازات'!$B$5:$B$104='الموظفون'!$B$5)*('حجز الإجازات'!$D$5:$D$104&lt;=EF$3)*(('حجز الإجازات'!$E$5:$E$104)&gt;=EF$3)*('حجز الإجازات'!$G$5:$G$104="معتمد")*ROW('حجز الإجازات'!$B$5:$B$104))=0,"",INDEX('حجز الإجازات'!$C$5:$C$104,(SUMPRODUCT(('حجز الإجازات'!$B$5:$B$104='الموظفون'!$B$5)*('حجز الإجازات'!$D$5:$D$104&lt;=EF$3)*(('حجز الإجازات'!$E$5:$E$104)&gt;=EF$3)*('حجز الإجازات'!$G$5:$G$104="معتمد")*ROW('حجز الإجازات'!$B$5:$B$104)))-5+1))</f>
        <v/>
      </c>
      <c r="EG7" s="62">
        <f>IF(SUMPRODUCT(('حجز الإجازات'!$B$5:$B$104='الموظفون'!$B$5)*('حجز الإجازات'!$D$5:$D$104&lt;=EG$3)*(('حجز الإجازات'!$E$5:$E$104)&gt;=EG$3)*('حجز الإجازات'!$G$5:$G$104="معتمد")*ROW('حجز الإجازات'!$B$5:$B$104))=0,"",INDEX('حجز الإجازات'!$C$5:$C$104,(SUMPRODUCT(('حجز الإجازات'!$B$5:$B$104='الموظفون'!$B$5)*('حجز الإجازات'!$D$5:$D$104&lt;=EG$3)*(('حجز الإجازات'!$E$5:$E$104)&gt;=EG$3)*('حجز الإجازات'!$G$5:$G$104="معتمد")*ROW('حجز الإجازات'!$B$5:$B$104)))-5+1))</f>
        <v/>
      </c>
      <c r="EH7" s="62">
        <f>IF(SUMPRODUCT(('حجز الإجازات'!$B$5:$B$104='الموظفون'!$B$5)*('حجز الإجازات'!$D$5:$D$104&lt;=EH$3)*(('حجز الإجازات'!$E$5:$E$104)&gt;=EH$3)*('حجز الإجازات'!$G$5:$G$104="معتمد")*ROW('حجز الإجازات'!$B$5:$B$104))=0,"",INDEX('حجز الإجازات'!$C$5:$C$104,(SUMPRODUCT(('حجز الإجازات'!$B$5:$B$104='الموظفون'!$B$5)*('حجز الإجازات'!$D$5:$D$104&lt;=EH$3)*(('حجز الإجازات'!$E$5:$E$104)&gt;=EH$3)*('حجز الإجازات'!$G$5:$G$104="معتمد")*ROW('حجز الإجازات'!$B$5:$B$104)))-5+1))</f>
        <v/>
      </c>
      <c r="EI7" s="62">
        <f>IF(SUMPRODUCT(('حجز الإجازات'!$B$5:$B$104='الموظفون'!$B$5)*('حجز الإجازات'!$D$5:$D$104&lt;=EI$3)*(('حجز الإجازات'!$E$5:$E$104)&gt;=EI$3)*('حجز الإجازات'!$G$5:$G$104="معتمد")*ROW('حجز الإجازات'!$B$5:$B$104))=0,"",INDEX('حجز الإجازات'!$C$5:$C$104,(SUMPRODUCT(('حجز الإجازات'!$B$5:$B$104='الموظفون'!$B$5)*('حجز الإجازات'!$D$5:$D$104&lt;=EI$3)*(('حجز الإجازات'!$E$5:$E$104)&gt;=EI$3)*('حجز الإجازات'!$G$5:$G$104="معتمد")*ROW('حجز الإجازات'!$B$5:$B$104)))-5+1))</f>
        <v/>
      </c>
      <c r="EJ7" s="62">
        <f>IF(SUMPRODUCT(('حجز الإجازات'!$B$5:$B$104='الموظفون'!$B$5)*('حجز الإجازات'!$D$5:$D$104&lt;=EJ$3)*(('حجز الإجازات'!$E$5:$E$104)&gt;=EJ$3)*('حجز الإجازات'!$G$5:$G$104="معتمد")*ROW('حجز الإجازات'!$B$5:$B$104))=0,"",INDEX('حجز الإجازات'!$C$5:$C$104,(SUMPRODUCT(('حجز الإجازات'!$B$5:$B$104='الموظفون'!$B$5)*('حجز الإجازات'!$D$5:$D$104&lt;=EJ$3)*(('حجز الإجازات'!$E$5:$E$104)&gt;=EJ$3)*('حجز الإجازات'!$G$5:$G$104="معتمد")*ROW('حجز الإجازات'!$B$5:$B$104)))-5+1))</f>
        <v/>
      </c>
      <c r="EK7" s="62">
        <f>IF(SUMPRODUCT(('حجز الإجازات'!$B$5:$B$104='الموظفون'!$B$5)*('حجز الإجازات'!$D$5:$D$104&lt;=EK$3)*(('حجز الإجازات'!$E$5:$E$104)&gt;=EK$3)*('حجز الإجازات'!$G$5:$G$104="معتمد")*ROW('حجز الإجازات'!$B$5:$B$104))=0,"",INDEX('حجز الإجازات'!$C$5:$C$104,(SUMPRODUCT(('حجز الإجازات'!$B$5:$B$104='الموظفون'!$B$5)*('حجز الإجازات'!$D$5:$D$104&lt;=EK$3)*(('حجز الإجازات'!$E$5:$E$104)&gt;=EK$3)*('حجز الإجازات'!$G$5:$G$104="معتمد")*ROW('حجز الإجازات'!$B$5:$B$104)))-5+1))</f>
        <v/>
      </c>
      <c r="EL7" s="62">
        <f>IF(SUMPRODUCT(('حجز الإجازات'!$B$5:$B$104='الموظفون'!$B$5)*('حجز الإجازات'!$D$5:$D$104&lt;=EL$3)*(('حجز الإجازات'!$E$5:$E$104)&gt;=EL$3)*('حجز الإجازات'!$G$5:$G$104="معتمد")*ROW('حجز الإجازات'!$B$5:$B$104))=0,"",INDEX('حجز الإجازات'!$C$5:$C$104,(SUMPRODUCT(('حجز الإجازات'!$B$5:$B$104='الموظفون'!$B$5)*('حجز الإجازات'!$D$5:$D$104&lt;=EL$3)*(('حجز الإجازات'!$E$5:$E$104)&gt;=EL$3)*('حجز الإجازات'!$G$5:$G$104="معتمد")*ROW('حجز الإجازات'!$B$5:$B$104)))-5+1))</f>
        <v/>
      </c>
      <c r="EM7" s="62">
        <f>IF(SUMPRODUCT(('حجز الإجازات'!$B$5:$B$104='الموظفون'!$B$5)*('حجز الإجازات'!$D$5:$D$104&lt;=EM$3)*(('حجز الإجازات'!$E$5:$E$104)&gt;=EM$3)*('حجز الإجازات'!$G$5:$G$104="معتمد")*ROW('حجز الإجازات'!$B$5:$B$104))=0,"",INDEX('حجز الإجازات'!$C$5:$C$104,(SUMPRODUCT(('حجز الإجازات'!$B$5:$B$104='الموظفون'!$B$5)*('حجز الإجازات'!$D$5:$D$104&lt;=EM$3)*(('حجز الإجازات'!$E$5:$E$104)&gt;=EM$3)*('حجز الإجازات'!$G$5:$G$104="معتمد")*ROW('حجز الإجازات'!$B$5:$B$104)))-5+1))</f>
        <v/>
      </c>
      <c r="EN7" s="62">
        <f>IF(SUMPRODUCT(('حجز الإجازات'!$B$5:$B$104='الموظفون'!$B$5)*('حجز الإجازات'!$D$5:$D$104&lt;=EN$3)*(('حجز الإجازات'!$E$5:$E$104)&gt;=EN$3)*('حجز الإجازات'!$G$5:$G$104="معتمد")*ROW('حجز الإجازات'!$B$5:$B$104))=0,"",INDEX('حجز الإجازات'!$C$5:$C$104,(SUMPRODUCT(('حجز الإجازات'!$B$5:$B$104='الموظفون'!$B$5)*('حجز الإجازات'!$D$5:$D$104&lt;=EN$3)*(('حجز الإجازات'!$E$5:$E$104)&gt;=EN$3)*('حجز الإجازات'!$G$5:$G$104="معتمد")*ROW('حجز الإجازات'!$B$5:$B$104)))-5+1))</f>
        <v/>
      </c>
      <c r="EO7" s="62">
        <f>IF(SUMPRODUCT(('حجز الإجازات'!$B$5:$B$104='الموظفون'!$B$5)*('حجز الإجازات'!$D$5:$D$104&lt;=EO$3)*(('حجز الإجازات'!$E$5:$E$104)&gt;=EO$3)*('حجز الإجازات'!$G$5:$G$104="معتمد")*ROW('حجز الإجازات'!$B$5:$B$104))=0,"",INDEX('حجز الإجازات'!$C$5:$C$104,(SUMPRODUCT(('حجز الإجازات'!$B$5:$B$104='الموظفون'!$B$5)*('حجز الإجازات'!$D$5:$D$104&lt;=EO$3)*(('حجز الإجازات'!$E$5:$E$104)&gt;=EO$3)*('حجز الإجازات'!$G$5:$G$104="معتمد")*ROW('حجز الإجازات'!$B$5:$B$104)))-5+1))</f>
        <v/>
      </c>
      <c r="EP7" s="62">
        <f>IF(SUMPRODUCT(('حجز الإجازات'!$B$5:$B$104='الموظفون'!$B$5)*('حجز الإجازات'!$D$5:$D$104&lt;=EP$3)*(('حجز الإجازات'!$E$5:$E$104)&gt;=EP$3)*('حجز الإجازات'!$G$5:$G$104="معتمد")*ROW('حجز الإجازات'!$B$5:$B$104))=0,"",INDEX('حجز الإجازات'!$C$5:$C$104,(SUMPRODUCT(('حجز الإجازات'!$B$5:$B$104='الموظفون'!$B$5)*('حجز الإجازات'!$D$5:$D$104&lt;=EP$3)*(('حجز الإجازات'!$E$5:$E$104)&gt;=EP$3)*('حجز الإجازات'!$G$5:$G$104="معتمد")*ROW('حجز الإجازات'!$B$5:$B$104)))-5+1))</f>
        <v/>
      </c>
      <c r="EQ7" s="62">
        <f>IF(SUMPRODUCT(('حجز الإجازات'!$B$5:$B$104='الموظفون'!$B$5)*('حجز الإجازات'!$D$5:$D$104&lt;=EQ$3)*(('حجز الإجازات'!$E$5:$E$104)&gt;=EQ$3)*('حجز الإجازات'!$G$5:$G$104="معتمد")*ROW('حجز الإجازات'!$B$5:$B$104))=0,"",INDEX('حجز الإجازات'!$C$5:$C$104,(SUMPRODUCT(('حجز الإجازات'!$B$5:$B$104='الموظفون'!$B$5)*('حجز الإجازات'!$D$5:$D$104&lt;=EQ$3)*(('حجز الإجازات'!$E$5:$E$104)&gt;=EQ$3)*('حجز الإجازات'!$G$5:$G$104="معتمد")*ROW('حجز الإجازات'!$B$5:$B$104)))-5+1))</f>
        <v/>
      </c>
      <c r="ER7" s="62">
        <f>IF(SUMPRODUCT(('حجز الإجازات'!$B$5:$B$104='الموظفون'!$B$5)*('حجز الإجازات'!$D$5:$D$104&lt;=ER$3)*(('حجز الإجازات'!$E$5:$E$104)&gt;=ER$3)*('حجز الإجازات'!$G$5:$G$104="معتمد")*ROW('حجز الإجازات'!$B$5:$B$104))=0,"",INDEX('حجز الإجازات'!$C$5:$C$104,(SUMPRODUCT(('حجز الإجازات'!$B$5:$B$104='الموظفون'!$B$5)*('حجز الإجازات'!$D$5:$D$104&lt;=ER$3)*(('حجز الإجازات'!$E$5:$E$104)&gt;=ER$3)*('حجز الإجازات'!$G$5:$G$104="معتمد")*ROW('حجز الإجازات'!$B$5:$B$104)))-5+1))</f>
        <v/>
      </c>
      <c r="ES7" s="62">
        <f>IF(SUMPRODUCT(('حجز الإجازات'!$B$5:$B$104='الموظفون'!$B$5)*('حجز الإجازات'!$D$5:$D$104&lt;=ES$3)*(('حجز الإجازات'!$E$5:$E$104)&gt;=ES$3)*('حجز الإجازات'!$G$5:$G$104="معتمد")*ROW('حجز الإجازات'!$B$5:$B$104))=0,"",INDEX('حجز الإجازات'!$C$5:$C$104,(SUMPRODUCT(('حجز الإجازات'!$B$5:$B$104='الموظفون'!$B$5)*('حجز الإجازات'!$D$5:$D$104&lt;=ES$3)*(('حجز الإجازات'!$E$5:$E$104)&gt;=ES$3)*('حجز الإجازات'!$G$5:$G$104="معتمد")*ROW('حجز الإجازات'!$B$5:$B$104)))-5+1))</f>
        <v/>
      </c>
      <c r="ET7" s="62">
        <f>IF(SUMPRODUCT(('حجز الإجازات'!$B$5:$B$104='الموظفون'!$B$5)*('حجز الإجازات'!$D$5:$D$104&lt;=ET$3)*(('حجز الإجازات'!$E$5:$E$104)&gt;=ET$3)*('حجز الإجازات'!$G$5:$G$104="معتمد")*ROW('حجز الإجازات'!$B$5:$B$104))=0,"",INDEX('حجز الإجازات'!$C$5:$C$104,(SUMPRODUCT(('حجز الإجازات'!$B$5:$B$104='الموظفون'!$B$5)*('حجز الإجازات'!$D$5:$D$104&lt;=ET$3)*(('حجز الإجازات'!$E$5:$E$104)&gt;=ET$3)*('حجز الإجازات'!$G$5:$G$104="معتمد")*ROW('حجز الإجازات'!$B$5:$B$104)))-5+1))</f>
        <v/>
      </c>
      <c r="EU7" s="62">
        <f>IF(SUMPRODUCT(('حجز الإجازات'!$B$5:$B$104='الموظفون'!$B$5)*('حجز الإجازات'!$D$5:$D$104&lt;=EU$3)*(('حجز الإجازات'!$E$5:$E$104)&gt;=EU$3)*('حجز الإجازات'!$G$5:$G$104="معتمد")*ROW('حجز الإجازات'!$B$5:$B$104))=0,"",INDEX('حجز الإجازات'!$C$5:$C$104,(SUMPRODUCT(('حجز الإجازات'!$B$5:$B$104='الموظفون'!$B$5)*('حجز الإجازات'!$D$5:$D$104&lt;=EU$3)*(('حجز الإجازات'!$E$5:$E$104)&gt;=EU$3)*('حجز الإجازات'!$G$5:$G$104="معتمد")*ROW('حجز الإجازات'!$B$5:$B$104)))-5+1))</f>
        <v/>
      </c>
      <c r="EV7" s="62">
        <f>IF(SUMPRODUCT(('حجز الإجازات'!$B$5:$B$104='الموظفون'!$B$5)*('حجز الإجازات'!$D$5:$D$104&lt;=EV$3)*(('حجز الإجازات'!$E$5:$E$104)&gt;=EV$3)*('حجز الإجازات'!$G$5:$G$104="معتمد")*ROW('حجز الإجازات'!$B$5:$B$104))=0,"",INDEX('حجز الإجازات'!$C$5:$C$104,(SUMPRODUCT(('حجز الإجازات'!$B$5:$B$104='الموظفون'!$B$5)*('حجز الإجازات'!$D$5:$D$104&lt;=EV$3)*(('حجز الإجازات'!$E$5:$E$104)&gt;=EV$3)*('حجز الإجازات'!$G$5:$G$104="معتمد")*ROW('حجز الإجازات'!$B$5:$B$104)))-5+1))</f>
        <v/>
      </c>
      <c r="EW7" s="62">
        <f>IF(SUMPRODUCT(('حجز الإجازات'!$B$5:$B$104='الموظفون'!$B$5)*('حجز الإجازات'!$D$5:$D$104&lt;=EW$3)*(('حجز الإجازات'!$E$5:$E$104)&gt;=EW$3)*('حجز الإجازات'!$G$5:$G$104="معتمد")*ROW('حجز الإجازات'!$B$5:$B$104))=0,"",INDEX('حجز الإجازات'!$C$5:$C$104,(SUMPRODUCT(('حجز الإجازات'!$B$5:$B$104='الموظفون'!$B$5)*('حجز الإجازات'!$D$5:$D$104&lt;=EW$3)*(('حجز الإجازات'!$E$5:$E$104)&gt;=EW$3)*('حجز الإجازات'!$G$5:$G$104="معتمد")*ROW('حجز الإجازات'!$B$5:$B$104)))-5+1))</f>
        <v/>
      </c>
      <c r="EX7" s="62">
        <f>IF(SUMPRODUCT(('حجز الإجازات'!$B$5:$B$104='الموظفون'!$B$5)*('حجز الإجازات'!$D$5:$D$104&lt;=EX$3)*(('حجز الإجازات'!$E$5:$E$104)&gt;=EX$3)*('حجز الإجازات'!$G$5:$G$104="معتمد")*ROW('حجز الإجازات'!$B$5:$B$104))=0,"",INDEX('حجز الإجازات'!$C$5:$C$104,(SUMPRODUCT(('حجز الإجازات'!$B$5:$B$104='الموظفون'!$B$5)*('حجز الإجازات'!$D$5:$D$104&lt;=EX$3)*(('حجز الإجازات'!$E$5:$E$104)&gt;=EX$3)*('حجز الإجازات'!$G$5:$G$104="معتمد")*ROW('حجز الإجازات'!$B$5:$B$104)))-5+1))</f>
        <v/>
      </c>
      <c r="EY7" s="62">
        <f>IF(SUMPRODUCT(('حجز الإجازات'!$B$5:$B$104='الموظفون'!$B$5)*('حجز الإجازات'!$D$5:$D$104&lt;=EY$3)*(('حجز الإجازات'!$E$5:$E$104)&gt;=EY$3)*('حجز الإجازات'!$G$5:$G$104="معتمد")*ROW('حجز الإجازات'!$B$5:$B$104))=0,"",INDEX('حجز الإجازات'!$C$5:$C$104,(SUMPRODUCT(('حجز الإجازات'!$B$5:$B$104='الموظفون'!$B$5)*('حجز الإجازات'!$D$5:$D$104&lt;=EY$3)*(('حجز الإجازات'!$E$5:$E$104)&gt;=EY$3)*('حجز الإجازات'!$G$5:$G$104="معتمد")*ROW('حجز الإجازات'!$B$5:$B$104)))-5+1))</f>
        <v/>
      </c>
      <c r="EZ7" s="62">
        <f>IF(SUMPRODUCT(('حجز الإجازات'!$B$5:$B$104='الموظفون'!$B$5)*('حجز الإجازات'!$D$5:$D$104&lt;=EZ$3)*(('حجز الإجازات'!$E$5:$E$104)&gt;=EZ$3)*('حجز الإجازات'!$G$5:$G$104="معتمد")*ROW('حجز الإجازات'!$B$5:$B$104))=0,"",INDEX('حجز الإجازات'!$C$5:$C$104,(SUMPRODUCT(('حجز الإجازات'!$B$5:$B$104='الموظفون'!$B$5)*('حجز الإجازات'!$D$5:$D$104&lt;=EZ$3)*(('حجز الإجازات'!$E$5:$E$104)&gt;=EZ$3)*('حجز الإجازات'!$G$5:$G$104="معتمد")*ROW('حجز الإجازات'!$B$5:$B$104)))-5+1))</f>
        <v/>
      </c>
      <c r="FA7" s="62">
        <f>IF(SUMPRODUCT(('حجز الإجازات'!$B$5:$B$104='الموظفون'!$B$5)*('حجز الإجازات'!$D$5:$D$104&lt;=FA$3)*(('حجز الإجازات'!$E$5:$E$104)&gt;=FA$3)*('حجز الإجازات'!$G$5:$G$104="معتمد")*ROW('حجز الإجازات'!$B$5:$B$104))=0,"",INDEX('حجز الإجازات'!$C$5:$C$104,(SUMPRODUCT(('حجز الإجازات'!$B$5:$B$104='الموظفون'!$B$5)*('حجز الإجازات'!$D$5:$D$104&lt;=FA$3)*(('حجز الإجازات'!$E$5:$E$104)&gt;=FA$3)*('حجز الإجازات'!$G$5:$G$104="معتمد")*ROW('حجز الإجازات'!$B$5:$B$104)))-5+1))</f>
        <v/>
      </c>
      <c r="FB7" s="62">
        <f>IF(SUMPRODUCT(('حجز الإجازات'!$B$5:$B$104='الموظفون'!$B$5)*('حجز الإجازات'!$D$5:$D$104&lt;=FB$3)*(('حجز الإجازات'!$E$5:$E$104)&gt;=FB$3)*('حجز الإجازات'!$G$5:$G$104="معتمد")*ROW('حجز الإجازات'!$B$5:$B$104))=0,"",INDEX('حجز الإجازات'!$C$5:$C$104,(SUMPRODUCT(('حجز الإجازات'!$B$5:$B$104='الموظفون'!$B$5)*('حجز الإجازات'!$D$5:$D$104&lt;=FB$3)*(('حجز الإجازات'!$E$5:$E$104)&gt;=FB$3)*('حجز الإجازات'!$G$5:$G$104="معتمد")*ROW('حجز الإجازات'!$B$5:$B$104)))-5+1))</f>
        <v/>
      </c>
      <c r="FC7" s="62">
        <f>IF(SUMPRODUCT(('حجز الإجازات'!$B$5:$B$104='الموظفون'!$B$5)*('حجز الإجازات'!$D$5:$D$104&lt;=FC$3)*(('حجز الإجازات'!$E$5:$E$104)&gt;=FC$3)*('حجز الإجازات'!$G$5:$G$104="معتمد")*ROW('حجز الإجازات'!$B$5:$B$104))=0,"",INDEX('حجز الإجازات'!$C$5:$C$104,(SUMPRODUCT(('حجز الإجازات'!$B$5:$B$104='الموظفون'!$B$5)*('حجز الإجازات'!$D$5:$D$104&lt;=FC$3)*(('حجز الإجازات'!$E$5:$E$104)&gt;=FC$3)*('حجز الإجازات'!$G$5:$G$104="معتمد")*ROW('حجز الإجازات'!$B$5:$B$104)))-5+1))</f>
        <v/>
      </c>
      <c r="FD7" s="62">
        <f>IF(SUMPRODUCT(('حجز الإجازات'!$B$5:$B$104='الموظفون'!$B$5)*('حجز الإجازات'!$D$5:$D$104&lt;=FD$3)*(('حجز الإجازات'!$E$5:$E$104)&gt;=FD$3)*('حجز الإجازات'!$G$5:$G$104="معتمد")*ROW('حجز الإجازات'!$B$5:$B$104))=0,"",INDEX('حجز الإجازات'!$C$5:$C$104,(SUMPRODUCT(('حجز الإجازات'!$B$5:$B$104='الموظفون'!$B$5)*('حجز الإجازات'!$D$5:$D$104&lt;=FD$3)*(('حجز الإجازات'!$E$5:$E$104)&gt;=FD$3)*('حجز الإجازات'!$G$5:$G$104="معتمد")*ROW('حجز الإجازات'!$B$5:$B$104)))-5+1))</f>
        <v/>
      </c>
      <c r="FE7" s="62">
        <f>IF(SUMPRODUCT(('حجز الإجازات'!$B$5:$B$104='الموظفون'!$B$5)*('حجز الإجازات'!$D$5:$D$104&lt;=FE$3)*(('حجز الإجازات'!$E$5:$E$104)&gt;=FE$3)*('حجز الإجازات'!$G$5:$G$104="معتمد")*ROW('حجز الإجازات'!$B$5:$B$104))=0,"",INDEX('حجز الإجازات'!$C$5:$C$104,(SUMPRODUCT(('حجز الإجازات'!$B$5:$B$104='الموظفون'!$B$5)*('حجز الإجازات'!$D$5:$D$104&lt;=FE$3)*(('حجز الإجازات'!$E$5:$E$104)&gt;=FE$3)*('حجز الإجازات'!$G$5:$G$104="معتمد")*ROW('حجز الإجازات'!$B$5:$B$104)))-5+1))</f>
        <v/>
      </c>
      <c r="FF7" s="62">
        <f>IF(SUMPRODUCT(('حجز الإجازات'!$B$5:$B$104='الموظفون'!$B$5)*('حجز الإجازات'!$D$5:$D$104&lt;=FF$3)*(('حجز الإجازات'!$E$5:$E$104)&gt;=FF$3)*('حجز الإجازات'!$G$5:$G$104="معتمد")*ROW('حجز الإجازات'!$B$5:$B$104))=0,"",INDEX('حجز الإجازات'!$C$5:$C$104,(SUMPRODUCT(('حجز الإجازات'!$B$5:$B$104='الموظفون'!$B$5)*('حجز الإجازات'!$D$5:$D$104&lt;=FF$3)*(('حجز الإجازات'!$E$5:$E$104)&gt;=FF$3)*('حجز الإجازات'!$G$5:$G$104="معتمد")*ROW('حجز الإجازات'!$B$5:$B$104)))-5+1))</f>
        <v/>
      </c>
      <c r="FG7" s="62">
        <f>IF(SUMPRODUCT(('حجز الإجازات'!$B$5:$B$104='الموظفون'!$B$5)*('حجز الإجازات'!$D$5:$D$104&lt;=FG$3)*(('حجز الإجازات'!$E$5:$E$104)&gt;=FG$3)*('حجز الإجازات'!$G$5:$G$104="معتمد")*ROW('حجز الإجازات'!$B$5:$B$104))=0,"",INDEX('حجز الإجازات'!$C$5:$C$104,(SUMPRODUCT(('حجز الإجازات'!$B$5:$B$104='الموظفون'!$B$5)*('حجز الإجازات'!$D$5:$D$104&lt;=FG$3)*(('حجز الإجازات'!$E$5:$E$104)&gt;=FG$3)*('حجز الإجازات'!$G$5:$G$104="معتمد")*ROW('حجز الإجازات'!$B$5:$B$104)))-5+1))</f>
        <v/>
      </c>
      <c r="FH7" s="62">
        <f>IF(SUMPRODUCT(('حجز الإجازات'!$B$5:$B$104='الموظفون'!$B$5)*('حجز الإجازات'!$D$5:$D$104&lt;=FH$3)*(('حجز الإجازات'!$E$5:$E$104)&gt;=FH$3)*('حجز الإجازات'!$G$5:$G$104="معتمد")*ROW('حجز الإجازات'!$B$5:$B$104))=0,"",INDEX('حجز الإجازات'!$C$5:$C$104,(SUMPRODUCT(('حجز الإجازات'!$B$5:$B$104='الموظفون'!$B$5)*('حجز الإجازات'!$D$5:$D$104&lt;=FH$3)*(('حجز الإجازات'!$E$5:$E$104)&gt;=FH$3)*('حجز الإجازات'!$G$5:$G$104="معتمد")*ROW('حجز الإجازات'!$B$5:$B$104)))-5+1))</f>
        <v/>
      </c>
      <c r="FI7" s="62">
        <f>IF(SUMPRODUCT(('حجز الإجازات'!$B$5:$B$104='الموظفون'!$B$5)*('حجز الإجازات'!$D$5:$D$104&lt;=FI$3)*(('حجز الإجازات'!$E$5:$E$104)&gt;=FI$3)*('حجز الإجازات'!$G$5:$G$104="معتمد")*ROW('حجز الإجازات'!$B$5:$B$104))=0,"",INDEX('حجز الإجازات'!$C$5:$C$104,(SUMPRODUCT(('حجز الإجازات'!$B$5:$B$104='الموظفون'!$B$5)*('حجز الإجازات'!$D$5:$D$104&lt;=FI$3)*(('حجز الإجازات'!$E$5:$E$104)&gt;=FI$3)*('حجز الإجازات'!$G$5:$G$104="معتمد")*ROW('حجز الإجازات'!$B$5:$B$104)))-5+1))</f>
        <v/>
      </c>
      <c r="FJ7" s="62">
        <f>IF(SUMPRODUCT(('حجز الإجازات'!$B$5:$B$104='الموظفون'!$B$5)*('حجز الإجازات'!$D$5:$D$104&lt;=FJ$3)*(('حجز الإجازات'!$E$5:$E$104)&gt;=FJ$3)*('حجز الإجازات'!$G$5:$G$104="معتمد")*ROW('حجز الإجازات'!$B$5:$B$104))=0,"",INDEX('حجز الإجازات'!$C$5:$C$104,(SUMPRODUCT(('حجز الإجازات'!$B$5:$B$104='الموظفون'!$B$5)*('حجز الإجازات'!$D$5:$D$104&lt;=FJ$3)*(('حجز الإجازات'!$E$5:$E$104)&gt;=FJ$3)*('حجز الإجازات'!$G$5:$G$104="معتمد")*ROW('حجز الإجازات'!$B$5:$B$104)))-5+1))</f>
        <v/>
      </c>
      <c r="FK7" s="62">
        <f>IF(SUMPRODUCT(('حجز الإجازات'!$B$5:$B$104='الموظفون'!$B$5)*('حجز الإجازات'!$D$5:$D$104&lt;=FK$3)*(('حجز الإجازات'!$E$5:$E$104)&gt;=FK$3)*('حجز الإجازات'!$G$5:$G$104="معتمد")*ROW('حجز الإجازات'!$B$5:$B$104))=0,"",INDEX('حجز الإجازات'!$C$5:$C$104,(SUMPRODUCT(('حجز الإجازات'!$B$5:$B$104='الموظفون'!$B$5)*('حجز الإجازات'!$D$5:$D$104&lt;=FK$3)*(('حجز الإجازات'!$E$5:$E$104)&gt;=FK$3)*('حجز الإجازات'!$G$5:$G$104="معتمد")*ROW('حجز الإجازات'!$B$5:$B$104)))-5+1))</f>
        <v/>
      </c>
      <c r="FL7" s="62">
        <f>IF(SUMPRODUCT(('حجز الإجازات'!$B$5:$B$104='الموظفون'!$B$5)*('حجز الإجازات'!$D$5:$D$104&lt;=FL$3)*(('حجز الإجازات'!$E$5:$E$104)&gt;=FL$3)*('حجز الإجازات'!$G$5:$G$104="معتمد")*ROW('حجز الإجازات'!$B$5:$B$104))=0,"",INDEX('حجز الإجازات'!$C$5:$C$104,(SUMPRODUCT(('حجز الإجازات'!$B$5:$B$104='الموظفون'!$B$5)*('حجز الإجازات'!$D$5:$D$104&lt;=FL$3)*(('حجز الإجازات'!$E$5:$E$104)&gt;=FL$3)*('حجز الإجازات'!$G$5:$G$104="معتمد")*ROW('حجز الإجازات'!$B$5:$B$104)))-5+1))</f>
        <v/>
      </c>
      <c r="FM7" s="62">
        <f>IF(SUMPRODUCT(('حجز الإجازات'!$B$5:$B$104='الموظفون'!$B$5)*('حجز الإجازات'!$D$5:$D$104&lt;=FM$3)*(('حجز الإجازات'!$E$5:$E$104)&gt;=FM$3)*('حجز الإجازات'!$G$5:$G$104="معتمد")*ROW('حجز الإجازات'!$B$5:$B$104))=0,"",INDEX('حجز الإجازات'!$C$5:$C$104,(SUMPRODUCT(('حجز الإجازات'!$B$5:$B$104='الموظفون'!$B$5)*('حجز الإجازات'!$D$5:$D$104&lt;=FM$3)*(('حجز الإجازات'!$E$5:$E$104)&gt;=FM$3)*('حجز الإجازات'!$G$5:$G$104="معتمد")*ROW('حجز الإجازات'!$B$5:$B$104)))-5+1))</f>
        <v/>
      </c>
      <c r="FN7" s="62">
        <f>IF(SUMPRODUCT(('حجز الإجازات'!$B$5:$B$104='الموظفون'!$B$5)*('حجز الإجازات'!$D$5:$D$104&lt;=FN$3)*(('حجز الإجازات'!$E$5:$E$104)&gt;=FN$3)*('حجز الإجازات'!$G$5:$G$104="معتمد")*ROW('حجز الإجازات'!$B$5:$B$104))=0,"",INDEX('حجز الإجازات'!$C$5:$C$104,(SUMPRODUCT(('حجز الإجازات'!$B$5:$B$104='الموظفون'!$B$5)*('حجز الإجازات'!$D$5:$D$104&lt;=FN$3)*(('حجز الإجازات'!$E$5:$E$104)&gt;=FN$3)*('حجز الإجازات'!$G$5:$G$104="معتمد")*ROW('حجز الإجازات'!$B$5:$B$104)))-5+1))</f>
        <v/>
      </c>
      <c r="FO7" s="62">
        <f>IF(SUMPRODUCT(('حجز الإجازات'!$B$5:$B$104='الموظفون'!$B$5)*('حجز الإجازات'!$D$5:$D$104&lt;=FO$3)*(('حجز الإجازات'!$E$5:$E$104)&gt;=FO$3)*('حجز الإجازات'!$G$5:$G$104="معتمد")*ROW('حجز الإجازات'!$B$5:$B$104))=0,"",INDEX('حجز الإجازات'!$C$5:$C$104,(SUMPRODUCT(('حجز الإجازات'!$B$5:$B$104='الموظفون'!$B$5)*('حجز الإجازات'!$D$5:$D$104&lt;=FO$3)*(('حجز الإجازات'!$E$5:$E$104)&gt;=FO$3)*('حجز الإجازات'!$G$5:$G$104="معتمد")*ROW('حجز الإجازات'!$B$5:$B$104)))-5+1))</f>
        <v/>
      </c>
      <c r="FP7" s="62">
        <f>IF(SUMPRODUCT(('حجز الإجازات'!$B$5:$B$104='الموظفون'!$B$5)*('حجز الإجازات'!$D$5:$D$104&lt;=FP$3)*(('حجز الإجازات'!$E$5:$E$104)&gt;=FP$3)*('حجز الإجازات'!$G$5:$G$104="معتمد")*ROW('حجز الإجازات'!$B$5:$B$104))=0,"",INDEX('حجز الإجازات'!$C$5:$C$104,(SUMPRODUCT(('حجز الإجازات'!$B$5:$B$104='الموظفون'!$B$5)*('حجز الإجازات'!$D$5:$D$104&lt;=FP$3)*(('حجز الإجازات'!$E$5:$E$104)&gt;=FP$3)*('حجز الإجازات'!$G$5:$G$104="معتمد")*ROW('حجز الإجازات'!$B$5:$B$104)))-5+1))</f>
        <v/>
      </c>
      <c r="FQ7" s="62">
        <f>IF(SUMPRODUCT(('حجز الإجازات'!$B$5:$B$104='الموظفون'!$B$5)*('حجز الإجازات'!$D$5:$D$104&lt;=FQ$3)*(('حجز الإجازات'!$E$5:$E$104)&gt;=FQ$3)*('حجز الإجازات'!$G$5:$G$104="معتمد")*ROW('حجز الإجازات'!$B$5:$B$104))=0,"",INDEX('حجز الإجازات'!$C$5:$C$104,(SUMPRODUCT(('حجز الإجازات'!$B$5:$B$104='الموظفون'!$B$5)*('حجز الإجازات'!$D$5:$D$104&lt;=FQ$3)*(('حجز الإجازات'!$E$5:$E$104)&gt;=FQ$3)*('حجز الإجازات'!$G$5:$G$104="معتمد")*ROW('حجز الإجازات'!$B$5:$B$104)))-5+1))</f>
        <v/>
      </c>
      <c r="FR7" s="62">
        <f>IF(SUMPRODUCT(('حجز الإجازات'!$B$5:$B$104='الموظفون'!$B$5)*('حجز الإجازات'!$D$5:$D$104&lt;=FR$3)*(('حجز الإجازات'!$E$5:$E$104)&gt;=FR$3)*('حجز الإجازات'!$G$5:$G$104="معتمد")*ROW('حجز الإجازات'!$B$5:$B$104))=0,"",INDEX('حجز الإجازات'!$C$5:$C$104,(SUMPRODUCT(('حجز الإجازات'!$B$5:$B$104='الموظفون'!$B$5)*('حجز الإجازات'!$D$5:$D$104&lt;=FR$3)*(('حجز الإجازات'!$E$5:$E$104)&gt;=FR$3)*('حجز الإجازات'!$G$5:$G$104="معتمد")*ROW('حجز الإجازات'!$B$5:$B$104)))-5+1))</f>
        <v/>
      </c>
      <c r="FS7" s="62">
        <f>IF(SUMPRODUCT(('حجز الإجازات'!$B$5:$B$104='الموظفون'!$B$5)*('حجز الإجازات'!$D$5:$D$104&lt;=FS$3)*(('حجز الإجازات'!$E$5:$E$104)&gt;=FS$3)*('حجز الإجازات'!$G$5:$G$104="معتمد")*ROW('حجز الإجازات'!$B$5:$B$104))=0,"",INDEX('حجز الإجازات'!$C$5:$C$104,(SUMPRODUCT(('حجز الإجازات'!$B$5:$B$104='الموظفون'!$B$5)*('حجز الإجازات'!$D$5:$D$104&lt;=FS$3)*(('حجز الإجازات'!$E$5:$E$104)&gt;=FS$3)*('حجز الإجازات'!$G$5:$G$104="معتمد")*ROW('حجز الإجازات'!$B$5:$B$104)))-5+1))</f>
        <v/>
      </c>
      <c r="FT7" s="62">
        <f>IF(SUMPRODUCT(('حجز الإجازات'!$B$5:$B$104='الموظفون'!$B$5)*('حجز الإجازات'!$D$5:$D$104&lt;=FT$3)*(('حجز الإجازات'!$E$5:$E$104)&gt;=FT$3)*('حجز الإجازات'!$G$5:$G$104="معتمد")*ROW('حجز الإجازات'!$B$5:$B$104))=0,"",INDEX('حجز الإجازات'!$C$5:$C$104,(SUMPRODUCT(('حجز الإجازات'!$B$5:$B$104='الموظفون'!$B$5)*('حجز الإجازات'!$D$5:$D$104&lt;=FT$3)*(('حجز الإجازات'!$E$5:$E$104)&gt;=FT$3)*('حجز الإجازات'!$G$5:$G$104="معتمد")*ROW('حجز الإجازات'!$B$5:$B$104)))-5+1))</f>
        <v/>
      </c>
      <c r="FU7" s="62">
        <f>IF(SUMPRODUCT(('حجز الإجازات'!$B$5:$B$104='الموظفون'!$B$5)*('حجز الإجازات'!$D$5:$D$104&lt;=FU$3)*(('حجز الإجازات'!$E$5:$E$104)&gt;=FU$3)*('حجز الإجازات'!$G$5:$G$104="معتمد")*ROW('حجز الإجازات'!$B$5:$B$104))=0,"",INDEX('حجز الإجازات'!$C$5:$C$104,(SUMPRODUCT(('حجز الإجازات'!$B$5:$B$104='الموظفون'!$B$5)*('حجز الإجازات'!$D$5:$D$104&lt;=FU$3)*(('حجز الإجازات'!$E$5:$E$104)&gt;=FU$3)*('حجز الإجازات'!$G$5:$G$104="معتمد")*ROW('حجز الإجازات'!$B$5:$B$104)))-5+1))</f>
        <v/>
      </c>
      <c r="FV7" s="62">
        <f>IF(SUMPRODUCT(('حجز الإجازات'!$B$5:$B$104='الموظفون'!$B$5)*('حجز الإجازات'!$D$5:$D$104&lt;=FV$3)*(('حجز الإجازات'!$E$5:$E$104)&gt;=FV$3)*('حجز الإجازات'!$G$5:$G$104="معتمد")*ROW('حجز الإجازات'!$B$5:$B$104))=0,"",INDEX('حجز الإجازات'!$C$5:$C$104,(SUMPRODUCT(('حجز الإجازات'!$B$5:$B$104='الموظفون'!$B$5)*('حجز الإجازات'!$D$5:$D$104&lt;=FV$3)*(('حجز الإجازات'!$E$5:$E$104)&gt;=FV$3)*('حجز الإجازات'!$G$5:$G$104="معتمد")*ROW('حجز الإجازات'!$B$5:$B$104)))-5+1))</f>
        <v/>
      </c>
      <c r="FW7" s="62">
        <f>IF(SUMPRODUCT(('حجز الإجازات'!$B$5:$B$104='الموظفون'!$B$5)*('حجز الإجازات'!$D$5:$D$104&lt;=FW$3)*(('حجز الإجازات'!$E$5:$E$104)&gt;=FW$3)*('حجز الإجازات'!$G$5:$G$104="معتمد")*ROW('حجز الإجازات'!$B$5:$B$104))=0,"",INDEX('حجز الإجازات'!$C$5:$C$104,(SUMPRODUCT(('حجز الإجازات'!$B$5:$B$104='الموظفون'!$B$5)*('حجز الإجازات'!$D$5:$D$104&lt;=FW$3)*(('حجز الإجازات'!$E$5:$E$104)&gt;=FW$3)*('حجز الإجازات'!$G$5:$G$104="معتمد")*ROW('حجز الإجازات'!$B$5:$B$104)))-5+1))</f>
        <v/>
      </c>
      <c r="FX7" s="62">
        <f>IF(SUMPRODUCT(('حجز الإجازات'!$B$5:$B$104='الموظفون'!$B$5)*('حجز الإجازات'!$D$5:$D$104&lt;=FX$3)*(('حجز الإجازات'!$E$5:$E$104)&gt;=FX$3)*('حجز الإجازات'!$G$5:$G$104="معتمد")*ROW('حجز الإجازات'!$B$5:$B$104))=0,"",INDEX('حجز الإجازات'!$C$5:$C$104,(SUMPRODUCT(('حجز الإجازات'!$B$5:$B$104='الموظفون'!$B$5)*('حجز الإجازات'!$D$5:$D$104&lt;=FX$3)*(('حجز الإجازات'!$E$5:$E$104)&gt;=FX$3)*('حجز الإجازات'!$G$5:$G$104="معتمد")*ROW('حجز الإجازات'!$B$5:$B$104)))-5+1))</f>
        <v/>
      </c>
      <c r="FY7" s="62">
        <f>IF(SUMPRODUCT(('حجز الإجازات'!$B$5:$B$104='الموظفون'!$B$5)*('حجز الإجازات'!$D$5:$D$104&lt;=FY$3)*(('حجز الإجازات'!$E$5:$E$104)&gt;=FY$3)*('حجز الإجازات'!$G$5:$G$104="معتمد")*ROW('حجز الإجازات'!$B$5:$B$104))=0,"",INDEX('حجز الإجازات'!$C$5:$C$104,(SUMPRODUCT(('حجز الإجازات'!$B$5:$B$104='الموظفون'!$B$5)*('حجز الإجازات'!$D$5:$D$104&lt;=FY$3)*(('حجز الإجازات'!$E$5:$E$104)&gt;=FY$3)*('حجز الإجازات'!$G$5:$G$104="معتمد")*ROW('حجز الإجازات'!$B$5:$B$104)))-5+1))</f>
        <v/>
      </c>
      <c r="FZ7" s="62">
        <f>IF(SUMPRODUCT(('حجز الإجازات'!$B$5:$B$104='الموظفون'!$B$5)*('حجز الإجازات'!$D$5:$D$104&lt;=FZ$3)*(('حجز الإجازات'!$E$5:$E$104)&gt;=FZ$3)*('حجز الإجازات'!$G$5:$G$104="معتمد")*ROW('حجز الإجازات'!$B$5:$B$104))=0,"",INDEX('حجز الإجازات'!$C$5:$C$104,(SUMPRODUCT(('حجز الإجازات'!$B$5:$B$104='الموظفون'!$B$5)*('حجز الإجازات'!$D$5:$D$104&lt;=FZ$3)*(('حجز الإجازات'!$E$5:$E$104)&gt;=FZ$3)*('حجز الإجازات'!$G$5:$G$104="معتمد")*ROW('حجز الإجازات'!$B$5:$B$104)))-5+1))</f>
        <v/>
      </c>
      <c r="GA7" s="62">
        <f>IF(SUMPRODUCT(('حجز الإجازات'!$B$5:$B$104='الموظفون'!$B$5)*('حجز الإجازات'!$D$5:$D$104&lt;=GA$3)*(('حجز الإجازات'!$E$5:$E$104)&gt;=GA$3)*('حجز الإجازات'!$G$5:$G$104="معتمد")*ROW('حجز الإجازات'!$B$5:$B$104))=0,"",INDEX('حجز الإجازات'!$C$5:$C$104,(SUMPRODUCT(('حجز الإجازات'!$B$5:$B$104='الموظفون'!$B$5)*('حجز الإجازات'!$D$5:$D$104&lt;=GA$3)*(('حجز الإجازات'!$E$5:$E$104)&gt;=GA$3)*('حجز الإجازات'!$G$5:$G$104="معتمد")*ROW('حجز الإجازات'!$B$5:$B$104)))-5+1))</f>
        <v/>
      </c>
      <c r="GB7" s="62">
        <f>IF(SUMPRODUCT(('حجز الإجازات'!$B$5:$B$104='الموظفون'!$B$5)*('حجز الإجازات'!$D$5:$D$104&lt;=GB$3)*(('حجز الإجازات'!$E$5:$E$104)&gt;=GB$3)*('حجز الإجازات'!$G$5:$G$104="معتمد")*ROW('حجز الإجازات'!$B$5:$B$104))=0,"",INDEX('حجز الإجازات'!$C$5:$C$104,(SUMPRODUCT(('حجز الإجازات'!$B$5:$B$104='الموظفون'!$B$5)*('حجز الإجازات'!$D$5:$D$104&lt;=GB$3)*(('حجز الإجازات'!$E$5:$E$104)&gt;=GB$3)*('حجز الإجازات'!$G$5:$G$104="معتمد")*ROW('حجز الإجازات'!$B$5:$B$104)))-5+1))</f>
        <v/>
      </c>
      <c r="GC7" s="62">
        <f>IF(SUMPRODUCT(('حجز الإجازات'!$B$5:$B$104='الموظفون'!$B$5)*('حجز الإجازات'!$D$5:$D$104&lt;=GC$3)*(('حجز الإجازات'!$E$5:$E$104)&gt;=GC$3)*('حجز الإجازات'!$G$5:$G$104="معتمد")*ROW('حجز الإجازات'!$B$5:$B$104))=0,"",INDEX('حجز الإجازات'!$C$5:$C$104,(SUMPRODUCT(('حجز الإجازات'!$B$5:$B$104='الموظفون'!$B$5)*('حجز الإجازات'!$D$5:$D$104&lt;=GC$3)*(('حجز الإجازات'!$E$5:$E$104)&gt;=GC$3)*('حجز الإجازات'!$G$5:$G$104="معتمد")*ROW('حجز الإجازات'!$B$5:$B$104)))-5+1))</f>
        <v/>
      </c>
      <c r="GD7" s="62">
        <f>IF(SUMPRODUCT(('حجز الإجازات'!$B$5:$B$104='الموظفون'!$B$5)*('حجز الإجازات'!$D$5:$D$104&lt;=GD$3)*(('حجز الإجازات'!$E$5:$E$104)&gt;=GD$3)*('حجز الإجازات'!$G$5:$G$104="معتمد")*ROW('حجز الإجازات'!$B$5:$B$104))=0,"",INDEX('حجز الإجازات'!$C$5:$C$104,(SUMPRODUCT(('حجز الإجازات'!$B$5:$B$104='الموظفون'!$B$5)*('حجز الإجازات'!$D$5:$D$104&lt;=GD$3)*(('حجز الإجازات'!$E$5:$E$104)&gt;=GD$3)*('حجز الإجازات'!$G$5:$G$104="معتمد")*ROW('حجز الإجازات'!$B$5:$B$104)))-5+1))</f>
        <v/>
      </c>
      <c r="GE7" s="62">
        <f>IF(SUMPRODUCT(('حجز الإجازات'!$B$5:$B$104='الموظفون'!$B$5)*('حجز الإجازات'!$D$5:$D$104&lt;=GE$3)*(('حجز الإجازات'!$E$5:$E$104)&gt;=GE$3)*('حجز الإجازات'!$G$5:$G$104="معتمد")*ROW('حجز الإجازات'!$B$5:$B$104))=0,"",INDEX('حجز الإجازات'!$C$5:$C$104,(SUMPRODUCT(('حجز الإجازات'!$B$5:$B$104='الموظفون'!$B$5)*('حجز الإجازات'!$D$5:$D$104&lt;=GE$3)*(('حجز الإجازات'!$E$5:$E$104)&gt;=GE$3)*('حجز الإجازات'!$G$5:$G$104="معتمد")*ROW('حجز الإجازات'!$B$5:$B$104)))-5+1))</f>
        <v/>
      </c>
      <c r="GF7" s="62">
        <f>IF(SUMPRODUCT(('حجز الإجازات'!$B$5:$B$104='الموظفون'!$B$5)*('حجز الإجازات'!$D$5:$D$104&lt;=GF$3)*(('حجز الإجازات'!$E$5:$E$104)&gt;=GF$3)*('حجز الإجازات'!$G$5:$G$104="معتمد")*ROW('حجز الإجازات'!$B$5:$B$104))=0,"",INDEX('حجز الإجازات'!$C$5:$C$104,(SUMPRODUCT(('حجز الإجازات'!$B$5:$B$104='الموظفون'!$B$5)*('حجز الإجازات'!$D$5:$D$104&lt;=GF$3)*(('حجز الإجازات'!$E$5:$E$104)&gt;=GF$3)*('حجز الإجازات'!$G$5:$G$104="معتمد")*ROW('حجز الإجازات'!$B$5:$B$104)))-5+1))</f>
        <v/>
      </c>
      <c r="GG7" s="62">
        <f>IF(SUMPRODUCT(('حجز الإجازات'!$B$5:$B$104='الموظفون'!$B$5)*('حجز الإجازات'!$D$5:$D$104&lt;=GG$3)*(('حجز الإجازات'!$E$5:$E$104)&gt;=GG$3)*('حجز الإجازات'!$G$5:$G$104="معتمد")*ROW('حجز الإجازات'!$B$5:$B$104))=0,"",INDEX('حجز الإجازات'!$C$5:$C$104,(SUMPRODUCT(('حجز الإجازات'!$B$5:$B$104='الموظفون'!$B$5)*('حجز الإجازات'!$D$5:$D$104&lt;=GG$3)*(('حجز الإجازات'!$E$5:$E$104)&gt;=GG$3)*('حجز الإجازات'!$G$5:$G$104="معتمد")*ROW('حجز الإجازات'!$B$5:$B$104)))-5+1))</f>
        <v/>
      </c>
      <c r="GH7" s="62">
        <f>IF(SUMPRODUCT(('حجز الإجازات'!$B$5:$B$104='الموظفون'!$B$5)*('حجز الإجازات'!$D$5:$D$104&lt;=GH$3)*(('حجز الإجازات'!$E$5:$E$104)&gt;=GH$3)*('حجز الإجازات'!$G$5:$G$104="معتمد")*ROW('حجز الإجازات'!$B$5:$B$104))=0,"",INDEX('حجز الإجازات'!$C$5:$C$104,(SUMPRODUCT(('حجز الإجازات'!$B$5:$B$104='الموظفون'!$B$5)*('حجز الإجازات'!$D$5:$D$104&lt;=GH$3)*(('حجز الإجازات'!$E$5:$E$104)&gt;=GH$3)*('حجز الإجازات'!$G$5:$G$104="معتمد")*ROW('حجز الإجازات'!$B$5:$B$104)))-5+1))</f>
        <v/>
      </c>
      <c r="GI7" s="62">
        <f>IF(SUMPRODUCT(('حجز الإجازات'!$B$5:$B$104='الموظفون'!$B$5)*('حجز الإجازات'!$D$5:$D$104&lt;=GI$3)*(('حجز الإجازات'!$E$5:$E$104)&gt;=GI$3)*('حجز الإجازات'!$G$5:$G$104="معتمد")*ROW('حجز الإجازات'!$B$5:$B$104))=0,"",INDEX('حجز الإجازات'!$C$5:$C$104,(SUMPRODUCT(('حجز الإجازات'!$B$5:$B$104='الموظفون'!$B$5)*('حجز الإجازات'!$D$5:$D$104&lt;=GI$3)*(('حجز الإجازات'!$E$5:$E$104)&gt;=GI$3)*('حجز الإجازات'!$G$5:$G$104="معتمد")*ROW('حجز الإجازات'!$B$5:$B$104)))-5+1))</f>
        <v/>
      </c>
      <c r="GJ7" s="62">
        <f>IF(SUMPRODUCT(('حجز الإجازات'!$B$5:$B$104='الموظفون'!$B$5)*('حجز الإجازات'!$D$5:$D$104&lt;=GJ$3)*(('حجز الإجازات'!$E$5:$E$104)&gt;=GJ$3)*('حجز الإجازات'!$G$5:$G$104="معتمد")*ROW('حجز الإجازات'!$B$5:$B$104))=0,"",INDEX('حجز الإجازات'!$C$5:$C$104,(SUMPRODUCT(('حجز الإجازات'!$B$5:$B$104='الموظفون'!$B$5)*('حجز الإجازات'!$D$5:$D$104&lt;=GJ$3)*(('حجز الإجازات'!$E$5:$E$104)&gt;=GJ$3)*('حجز الإجازات'!$G$5:$G$104="معتمد")*ROW('حجز الإجازات'!$B$5:$B$104)))-5+1))</f>
        <v/>
      </c>
      <c r="GK7" s="62">
        <f>IF(SUMPRODUCT(('حجز الإجازات'!$B$5:$B$104='الموظفون'!$B$5)*('حجز الإجازات'!$D$5:$D$104&lt;=GK$3)*(('حجز الإجازات'!$E$5:$E$104)&gt;=GK$3)*('حجز الإجازات'!$G$5:$G$104="معتمد")*ROW('حجز الإجازات'!$B$5:$B$104))=0,"",INDEX('حجز الإجازات'!$C$5:$C$104,(SUMPRODUCT(('حجز الإجازات'!$B$5:$B$104='الموظفون'!$B$5)*('حجز الإجازات'!$D$5:$D$104&lt;=GK$3)*(('حجز الإجازات'!$E$5:$E$104)&gt;=GK$3)*('حجز الإجازات'!$G$5:$G$104="معتمد")*ROW('حجز الإجازات'!$B$5:$B$104)))-5+1))</f>
        <v/>
      </c>
      <c r="GL7" s="62">
        <f>IF(SUMPRODUCT(('حجز الإجازات'!$B$5:$B$104='الموظفون'!$B$5)*('حجز الإجازات'!$D$5:$D$104&lt;=GL$3)*(('حجز الإجازات'!$E$5:$E$104)&gt;=GL$3)*('حجز الإجازات'!$G$5:$G$104="معتمد")*ROW('حجز الإجازات'!$B$5:$B$104))=0,"",INDEX('حجز الإجازات'!$C$5:$C$104,(SUMPRODUCT(('حجز الإجازات'!$B$5:$B$104='الموظفون'!$B$5)*('حجز الإجازات'!$D$5:$D$104&lt;=GL$3)*(('حجز الإجازات'!$E$5:$E$104)&gt;=GL$3)*('حجز الإجازات'!$G$5:$G$104="معتمد")*ROW('حجز الإجازات'!$B$5:$B$104)))-5+1))</f>
        <v/>
      </c>
      <c r="GM7" s="62">
        <f>IF(SUMPRODUCT(('حجز الإجازات'!$B$5:$B$104='الموظفون'!$B$5)*('حجز الإجازات'!$D$5:$D$104&lt;=GM$3)*(('حجز الإجازات'!$E$5:$E$104)&gt;=GM$3)*('حجز الإجازات'!$G$5:$G$104="معتمد")*ROW('حجز الإجازات'!$B$5:$B$104))=0,"",INDEX('حجز الإجازات'!$C$5:$C$104,(SUMPRODUCT(('حجز الإجازات'!$B$5:$B$104='الموظفون'!$B$5)*('حجز الإجازات'!$D$5:$D$104&lt;=GM$3)*(('حجز الإجازات'!$E$5:$E$104)&gt;=GM$3)*('حجز الإجازات'!$G$5:$G$104="معتمد")*ROW('حجز الإجازات'!$B$5:$B$104)))-5+1))</f>
        <v/>
      </c>
      <c r="GN7" s="62">
        <f>IF(SUMPRODUCT(('حجز الإجازات'!$B$5:$B$104='الموظفون'!$B$5)*('حجز الإجازات'!$D$5:$D$104&lt;=GN$3)*(('حجز الإجازات'!$E$5:$E$104)&gt;=GN$3)*('حجز الإجازات'!$G$5:$G$104="معتمد")*ROW('حجز الإجازات'!$B$5:$B$104))=0,"",INDEX('حجز الإجازات'!$C$5:$C$104,(SUMPRODUCT(('حجز الإجازات'!$B$5:$B$104='الموظفون'!$B$5)*('حجز الإجازات'!$D$5:$D$104&lt;=GN$3)*(('حجز الإجازات'!$E$5:$E$104)&gt;=GN$3)*('حجز الإجازات'!$G$5:$G$104="معتمد")*ROW('حجز الإجازات'!$B$5:$B$104)))-5+1))</f>
        <v/>
      </c>
      <c r="GO7" s="62">
        <f>IF(SUMPRODUCT(('حجز الإجازات'!$B$5:$B$104='الموظفون'!$B$5)*('حجز الإجازات'!$D$5:$D$104&lt;=GO$3)*(('حجز الإجازات'!$E$5:$E$104)&gt;=GO$3)*('حجز الإجازات'!$G$5:$G$104="معتمد")*ROW('حجز الإجازات'!$B$5:$B$104))=0,"",INDEX('حجز الإجازات'!$C$5:$C$104,(SUMPRODUCT(('حجز الإجازات'!$B$5:$B$104='الموظفون'!$B$5)*('حجز الإجازات'!$D$5:$D$104&lt;=GO$3)*(('حجز الإجازات'!$E$5:$E$104)&gt;=GO$3)*('حجز الإجازات'!$G$5:$G$104="معتمد")*ROW('حجز الإجازات'!$B$5:$B$104)))-5+1))</f>
        <v/>
      </c>
      <c r="GP7" s="62">
        <f>IF(SUMPRODUCT(('حجز الإجازات'!$B$5:$B$104='الموظفون'!$B$5)*('حجز الإجازات'!$D$5:$D$104&lt;=GP$3)*(('حجز الإجازات'!$E$5:$E$104)&gt;=GP$3)*('حجز الإجازات'!$G$5:$G$104="معتمد")*ROW('حجز الإجازات'!$B$5:$B$104))=0,"",INDEX('حجز الإجازات'!$C$5:$C$104,(SUMPRODUCT(('حجز الإجازات'!$B$5:$B$104='الموظفون'!$B$5)*('حجز الإجازات'!$D$5:$D$104&lt;=GP$3)*(('حجز الإجازات'!$E$5:$E$104)&gt;=GP$3)*('حجز الإجازات'!$G$5:$G$104="معتمد")*ROW('حجز الإجازات'!$B$5:$B$104)))-5+1))</f>
        <v/>
      </c>
      <c r="GQ7" s="62">
        <f>IF(SUMPRODUCT(('حجز الإجازات'!$B$5:$B$104='الموظفون'!$B$5)*('حجز الإجازات'!$D$5:$D$104&lt;=GQ$3)*(('حجز الإجازات'!$E$5:$E$104)&gt;=GQ$3)*('حجز الإجازات'!$G$5:$G$104="معتمد")*ROW('حجز الإجازات'!$B$5:$B$104))=0,"",INDEX('حجز الإجازات'!$C$5:$C$104,(SUMPRODUCT(('حجز الإجازات'!$B$5:$B$104='الموظفون'!$B$5)*('حجز الإجازات'!$D$5:$D$104&lt;=GQ$3)*(('حجز الإجازات'!$E$5:$E$104)&gt;=GQ$3)*('حجز الإجازات'!$G$5:$G$104="معتمد")*ROW('حجز الإجازات'!$B$5:$B$104)))-5+1))</f>
        <v/>
      </c>
      <c r="GR7" s="62">
        <f>IF(SUMPRODUCT(('حجز الإجازات'!$B$5:$B$104='الموظفون'!$B$5)*('حجز الإجازات'!$D$5:$D$104&lt;=GR$3)*(('حجز الإجازات'!$E$5:$E$104)&gt;=GR$3)*('حجز الإجازات'!$G$5:$G$104="معتمد")*ROW('حجز الإجازات'!$B$5:$B$104))=0,"",INDEX('حجز الإجازات'!$C$5:$C$104,(SUMPRODUCT(('حجز الإجازات'!$B$5:$B$104='الموظفون'!$B$5)*('حجز الإجازات'!$D$5:$D$104&lt;=GR$3)*(('حجز الإجازات'!$E$5:$E$104)&gt;=GR$3)*('حجز الإجازات'!$G$5:$G$104="معتمد")*ROW('حجز الإجازات'!$B$5:$B$104)))-5+1))</f>
        <v/>
      </c>
      <c r="GS7" s="62">
        <f>IF(SUMPRODUCT(('حجز الإجازات'!$B$5:$B$104='الموظفون'!$B$5)*('حجز الإجازات'!$D$5:$D$104&lt;=GS$3)*(('حجز الإجازات'!$E$5:$E$104)&gt;=GS$3)*('حجز الإجازات'!$G$5:$G$104="معتمد")*ROW('حجز الإجازات'!$B$5:$B$104))=0,"",INDEX('حجز الإجازات'!$C$5:$C$104,(SUMPRODUCT(('حجز الإجازات'!$B$5:$B$104='الموظفون'!$B$5)*('حجز الإجازات'!$D$5:$D$104&lt;=GS$3)*(('حجز الإجازات'!$E$5:$E$104)&gt;=GS$3)*('حجز الإجازات'!$G$5:$G$104="معتمد")*ROW('حجز الإجازات'!$B$5:$B$104)))-5+1))</f>
        <v/>
      </c>
      <c r="GT7" s="62">
        <f>IF(SUMPRODUCT(('حجز الإجازات'!$B$5:$B$104='الموظفون'!$B$5)*('حجز الإجازات'!$D$5:$D$104&lt;=GT$3)*(('حجز الإجازات'!$E$5:$E$104)&gt;=GT$3)*('حجز الإجازات'!$G$5:$G$104="معتمد")*ROW('حجز الإجازات'!$B$5:$B$104))=0,"",INDEX('حجز الإجازات'!$C$5:$C$104,(SUMPRODUCT(('حجز الإجازات'!$B$5:$B$104='الموظفون'!$B$5)*('حجز الإجازات'!$D$5:$D$104&lt;=GT$3)*(('حجز الإجازات'!$E$5:$E$104)&gt;=GT$3)*('حجز الإجازات'!$G$5:$G$104="معتمد")*ROW('حجز الإجازات'!$B$5:$B$104)))-5+1))</f>
        <v/>
      </c>
      <c r="GU7" s="62">
        <f>IF(SUMPRODUCT(('حجز الإجازات'!$B$5:$B$104='الموظفون'!$B$5)*('حجز الإجازات'!$D$5:$D$104&lt;=GU$3)*(('حجز الإجازات'!$E$5:$E$104)&gt;=GU$3)*('حجز الإجازات'!$G$5:$G$104="معتمد")*ROW('حجز الإجازات'!$B$5:$B$104))=0,"",INDEX('حجز الإجازات'!$C$5:$C$104,(SUMPRODUCT(('حجز الإجازات'!$B$5:$B$104='الموظفون'!$B$5)*('حجز الإجازات'!$D$5:$D$104&lt;=GU$3)*(('حجز الإجازات'!$E$5:$E$104)&gt;=GU$3)*('حجز الإجازات'!$G$5:$G$104="معتمد")*ROW('حجز الإجازات'!$B$5:$B$104)))-5+1))</f>
        <v/>
      </c>
      <c r="GV7" s="62">
        <f>IF(SUMPRODUCT(('حجز الإجازات'!$B$5:$B$104='الموظفون'!$B$5)*('حجز الإجازات'!$D$5:$D$104&lt;=GV$3)*(('حجز الإجازات'!$E$5:$E$104)&gt;=GV$3)*('حجز الإجازات'!$G$5:$G$104="معتمد")*ROW('حجز الإجازات'!$B$5:$B$104))=0,"",INDEX('حجز الإجازات'!$C$5:$C$104,(SUMPRODUCT(('حجز الإجازات'!$B$5:$B$104='الموظفون'!$B$5)*('حجز الإجازات'!$D$5:$D$104&lt;=GV$3)*(('حجز الإجازات'!$E$5:$E$104)&gt;=GV$3)*('حجز الإجازات'!$G$5:$G$104="معتمد")*ROW('حجز الإجازات'!$B$5:$B$104)))-5+1))</f>
        <v/>
      </c>
      <c r="GW7" s="62">
        <f>IF(SUMPRODUCT(('حجز الإجازات'!$B$5:$B$104='الموظفون'!$B$5)*('حجز الإجازات'!$D$5:$D$104&lt;=GW$3)*(('حجز الإجازات'!$E$5:$E$104)&gt;=GW$3)*('حجز الإجازات'!$G$5:$G$104="معتمد")*ROW('حجز الإجازات'!$B$5:$B$104))=0,"",INDEX('حجز الإجازات'!$C$5:$C$104,(SUMPRODUCT(('حجز الإجازات'!$B$5:$B$104='الموظفون'!$B$5)*('حجز الإجازات'!$D$5:$D$104&lt;=GW$3)*(('حجز الإجازات'!$E$5:$E$104)&gt;=GW$3)*('حجز الإجازات'!$G$5:$G$104="معتمد")*ROW('حجز الإجازات'!$B$5:$B$104)))-5+1))</f>
        <v/>
      </c>
      <c r="GX7" s="62">
        <f>IF(SUMPRODUCT(('حجز الإجازات'!$B$5:$B$104='الموظفون'!$B$5)*('حجز الإجازات'!$D$5:$D$104&lt;=GX$3)*(('حجز الإجازات'!$E$5:$E$104)&gt;=GX$3)*('حجز الإجازات'!$G$5:$G$104="معتمد")*ROW('حجز الإجازات'!$B$5:$B$104))=0,"",INDEX('حجز الإجازات'!$C$5:$C$104,(SUMPRODUCT(('حجز الإجازات'!$B$5:$B$104='الموظفون'!$B$5)*('حجز الإجازات'!$D$5:$D$104&lt;=GX$3)*(('حجز الإجازات'!$E$5:$E$104)&gt;=GX$3)*('حجز الإجازات'!$G$5:$G$104="معتمد")*ROW('حجز الإجازات'!$B$5:$B$104)))-5+1))</f>
        <v/>
      </c>
      <c r="GY7" s="62">
        <f>IF(SUMPRODUCT(('حجز الإجازات'!$B$5:$B$104='الموظفون'!$B$5)*('حجز الإجازات'!$D$5:$D$104&lt;=GY$3)*(('حجز الإجازات'!$E$5:$E$104)&gt;=GY$3)*('حجز الإجازات'!$G$5:$G$104="معتمد")*ROW('حجز الإجازات'!$B$5:$B$104))=0,"",INDEX('حجز الإجازات'!$C$5:$C$104,(SUMPRODUCT(('حجز الإجازات'!$B$5:$B$104='الموظفون'!$B$5)*('حجز الإجازات'!$D$5:$D$104&lt;=GY$3)*(('حجز الإجازات'!$E$5:$E$104)&gt;=GY$3)*('حجز الإجازات'!$G$5:$G$104="معتمد")*ROW('حجز الإجازات'!$B$5:$B$104)))-5+1))</f>
        <v/>
      </c>
      <c r="GZ7" s="62">
        <f>IF(SUMPRODUCT(('حجز الإجازات'!$B$5:$B$104='الموظفون'!$B$5)*('حجز الإجازات'!$D$5:$D$104&lt;=GZ$3)*(('حجز الإجازات'!$E$5:$E$104)&gt;=GZ$3)*('حجز الإجازات'!$G$5:$G$104="معتمد")*ROW('حجز الإجازات'!$B$5:$B$104))=0,"",INDEX('حجز الإجازات'!$C$5:$C$104,(SUMPRODUCT(('حجز الإجازات'!$B$5:$B$104='الموظفون'!$B$5)*('حجز الإجازات'!$D$5:$D$104&lt;=GZ$3)*(('حجز الإجازات'!$E$5:$E$104)&gt;=GZ$3)*('حجز الإجازات'!$G$5:$G$104="معتمد")*ROW('حجز الإجازات'!$B$5:$B$104)))-5+1))</f>
        <v/>
      </c>
      <c r="HA7" s="62">
        <f>IF(SUMPRODUCT(('حجز الإجازات'!$B$5:$B$104='الموظفون'!$B$5)*('حجز الإجازات'!$D$5:$D$104&lt;=HA$3)*(('حجز الإجازات'!$E$5:$E$104)&gt;=HA$3)*('حجز الإجازات'!$G$5:$G$104="معتمد")*ROW('حجز الإجازات'!$B$5:$B$104))=0,"",INDEX('حجز الإجازات'!$C$5:$C$104,(SUMPRODUCT(('حجز الإجازات'!$B$5:$B$104='الموظفون'!$B$5)*('حجز الإجازات'!$D$5:$D$104&lt;=HA$3)*(('حجز الإجازات'!$E$5:$E$104)&gt;=HA$3)*('حجز الإجازات'!$G$5:$G$104="معتمد")*ROW('حجز الإجازات'!$B$5:$B$104)))-5+1))</f>
        <v/>
      </c>
      <c r="HB7" s="62">
        <f>IF(SUMPRODUCT(('حجز الإجازات'!$B$5:$B$104='الموظفون'!$B$5)*('حجز الإجازات'!$D$5:$D$104&lt;=HB$3)*(('حجز الإجازات'!$E$5:$E$104)&gt;=HB$3)*('حجز الإجازات'!$G$5:$G$104="معتمد")*ROW('حجز الإجازات'!$B$5:$B$104))=0,"",INDEX('حجز الإجازات'!$C$5:$C$104,(SUMPRODUCT(('حجز الإجازات'!$B$5:$B$104='الموظفون'!$B$5)*('حجز الإجازات'!$D$5:$D$104&lt;=HB$3)*(('حجز الإجازات'!$E$5:$E$104)&gt;=HB$3)*('حجز الإجازات'!$G$5:$G$104="معتمد")*ROW('حجز الإجازات'!$B$5:$B$104)))-5+1))</f>
        <v/>
      </c>
      <c r="HC7" s="62">
        <f>IF(SUMPRODUCT(('حجز الإجازات'!$B$5:$B$104='الموظفون'!$B$5)*('حجز الإجازات'!$D$5:$D$104&lt;=HC$3)*(('حجز الإجازات'!$E$5:$E$104)&gt;=HC$3)*('حجز الإجازات'!$G$5:$G$104="معتمد")*ROW('حجز الإجازات'!$B$5:$B$104))=0,"",INDEX('حجز الإجازات'!$C$5:$C$104,(SUMPRODUCT(('حجز الإجازات'!$B$5:$B$104='الموظفون'!$B$5)*('حجز الإجازات'!$D$5:$D$104&lt;=HC$3)*(('حجز الإجازات'!$E$5:$E$104)&gt;=HC$3)*('حجز الإجازات'!$G$5:$G$104="معتمد")*ROW('حجز الإجازات'!$B$5:$B$104)))-5+1))</f>
        <v/>
      </c>
      <c r="HD7" s="62">
        <f>IF(SUMPRODUCT(('حجز الإجازات'!$B$5:$B$104='الموظفون'!$B$5)*('حجز الإجازات'!$D$5:$D$104&lt;=HD$3)*(('حجز الإجازات'!$E$5:$E$104)&gt;=HD$3)*('حجز الإجازات'!$G$5:$G$104="معتمد")*ROW('حجز الإجازات'!$B$5:$B$104))=0,"",INDEX('حجز الإجازات'!$C$5:$C$104,(SUMPRODUCT(('حجز الإجازات'!$B$5:$B$104='الموظفون'!$B$5)*('حجز الإجازات'!$D$5:$D$104&lt;=HD$3)*(('حجز الإجازات'!$E$5:$E$104)&gt;=HD$3)*('حجز الإجازات'!$G$5:$G$104="معتمد")*ROW('حجز الإجازات'!$B$5:$B$104)))-5+1))</f>
        <v/>
      </c>
      <c r="HE7" s="62">
        <f>IF(SUMPRODUCT(('حجز الإجازات'!$B$5:$B$104='الموظفون'!$B$5)*('حجز الإجازات'!$D$5:$D$104&lt;=HE$3)*(('حجز الإجازات'!$E$5:$E$104)&gt;=HE$3)*('حجز الإجازات'!$G$5:$G$104="معتمد")*ROW('حجز الإجازات'!$B$5:$B$104))=0,"",INDEX('حجز الإجازات'!$C$5:$C$104,(SUMPRODUCT(('حجز الإجازات'!$B$5:$B$104='الموظفون'!$B$5)*('حجز الإجازات'!$D$5:$D$104&lt;=HE$3)*(('حجز الإجازات'!$E$5:$E$104)&gt;=HE$3)*('حجز الإجازات'!$G$5:$G$104="معتمد")*ROW('حجز الإجازات'!$B$5:$B$104)))-5+1))</f>
        <v/>
      </c>
      <c r="HF7" s="62">
        <f>IF(SUMPRODUCT(('حجز الإجازات'!$B$5:$B$104='الموظفون'!$B$5)*('حجز الإجازات'!$D$5:$D$104&lt;=HF$3)*(('حجز الإجازات'!$E$5:$E$104)&gt;=HF$3)*('حجز الإجازات'!$G$5:$G$104="معتمد")*ROW('حجز الإجازات'!$B$5:$B$104))=0,"",INDEX('حجز الإجازات'!$C$5:$C$104,(SUMPRODUCT(('حجز الإجازات'!$B$5:$B$104='الموظفون'!$B$5)*('حجز الإجازات'!$D$5:$D$104&lt;=HF$3)*(('حجز الإجازات'!$E$5:$E$104)&gt;=HF$3)*('حجز الإجازات'!$G$5:$G$104="معتمد")*ROW('حجز الإجازات'!$B$5:$B$104)))-5+1))</f>
        <v/>
      </c>
      <c r="HG7" s="62">
        <f>IF(SUMPRODUCT(('حجز الإجازات'!$B$5:$B$104='الموظفون'!$B$5)*('حجز الإجازات'!$D$5:$D$104&lt;=HG$3)*(('حجز الإجازات'!$E$5:$E$104)&gt;=HG$3)*('حجز الإجازات'!$G$5:$G$104="معتمد")*ROW('حجز الإجازات'!$B$5:$B$104))=0,"",INDEX('حجز الإجازات'!$C$5:$C$104,(SUMPRODUCT(('حجز الإجازات'!$B$5:$B$104='الموظفون'!$B$5)*('حجز الإجازات'!$D$5:$D$104&lt;=HG$3)*(('حجز الإجازات'!$E$5:$E$104)&gt;=HG$3)*('حجز الإجازات'!$G$5:$G$104="معتمد")*ROW('حجز الإجازات'!$B$5:$B$104)))-5+1))</f>
        <v/>
      </c>
      <c r="HH7" s="62">
        <f>IF(SUMPRODUCT(('حجز الإجازات'!$B$5:$B$104='الموظفون'!$B$5)*('حجز الإجازات'!$D$5:$D$104&lt;=HH$3)*(('حجز الإجازات'!$E$5:$E$104)&gt;=HH$3)*('حجز الإجازات'!$G$5:$G$104="معتمد")*ROW('حجز الإجازات'!$B$5:$B$104))=0,"",INDEX('حجز الإجازات'!$C$5:$C$104,(SUMPRODUCT(('حجز الإجازات'!$B$5:$B$104='الموظفون'!$B$5)*('حجز الإجازات'!$D$5:$D$104&lt;=HH$3)*(('حجز الإجازات'!$E$5:$E$104)&gt;=HH$3)*('حجز الإجازات'!$G$5:$G$104="معتمد")*ROW('حجز الإجازات'!$B$5:$B$104)))-5+1))</f>
        <v/>
      </c>
      <c r="HI7" s="62">
        <f>IF(SUMPRODUCT(('حجز الإجازات'!$B$5:$B$104='الموظفون'!$B$5)*('حجز الإجازات'!$D$5:$D$104&lt;=HI$3)*(('حجز الإجازات'!$E$5:$E$104)&gt;=HI$3)*('حجز الإجازات'!$G$5:$G$104="معتمد")*ROW('حجز الإجازات'!$B$5:$B$104))=0,"",INDEX('حجز الإجازات'!$C$5:$C$104,(SUMPRODUCT(('حجز الإجازات'!$B$5:$B$104='الموظفون'!$B$5)*('حجز الإجازات'!$D$5:$D$104&lt;=HI$3)*(('حجز الإجازات'!$E$5:$E$104)&gt;=HI$3)*('حجز الإجازات'!$G$5:$G$104="معتمد")*ROW('حجز الإجازات'!$B$5:$B$104)))-5+1))</f>
        <v/>
      </c>
      <c r="HJ7" s="62">
        <f>IF(SUMPRODUCT(('حجز الإجازات'!$B$5:$B$104='الموظفون'!$B$5)*('حجز الإجازات'!$D$5:$D$104&lt;=HJ$3)*(('حجز الإجازات'!$E$5:$E$104)&gt;=HJ$3)*('حجز الإجازات'!$G$5:$G$104="معتمد")*ROW('حجز الإجازات'!$B$5:$B$104))=0,"",INDEX('حجز الإجازات'!$C$5:$C$104,(SUMPRODUCT(('حجز الإجازات'!$B$5:$B$104='الموظفون'!$B$5)*('حجز الإجازات'!$D$5:$D$104&lt;=HJ$3)*(('حجز الإجازات'!$E$5:$E$104)&gt;=HJ$3)*('حجز الإجازات'!$G$5:$G$104="معتمد")*ROW('حجز الإجازات'!$B$5:$B$104)))-5+1))</f>
        <v/>
      </c>
      <c r="HK7" s="62">
        <f>IF(SUMPRODUCT(('حجز الإجازات'!$B$5:$B$104='الموظفون'!$B$5)*('حجز الإجازات'!$D$5:$D$104&lt;=HK$3)*(('حجز الإجازات'!$E$5:$E$104)&gt;=HK$3)*('حجز الإجازات'!$G$5:$G$104="معتمد")*ROW('حجز الإجازات'!$B$5:$B$104))=0,"",INDEX('حجز الإجازات'!$C$5:$C$104,(SUMPRODUCT(('حجز الإجازات'!$B$5:$B$104='الموظفون'!$B$5)*('حجز الإجازات'!$D$5:$D$104&lt;=HK$3)*(('حجز الإجازات'!$E$5:$E$104)&gt;=HK$3)*('حجز الإجازات'!$G$5:$G$104="معتمد")*ROW('حجز الإجازات'!$B$5:$B$104)))-5+1))</f>
        <v/>
      </c>
      <c r="HL7" s="62">
        <f>IF(SUMPRODUCT(('حجز الإجازات'!$B$5:$B$104='الموظفون'!$B$5)*('حجز الإجازات'!$D$5:$D$104&lt;=HL$3)*(('حجز الإجازات'!$E$5:$E$104)&gt;=HL$3)*('حجز الإجازات'!$G$5:$G$104="معتمد")*ROW('حجز الإجازات'!$B$5:$B$104))=0,"",INDEX('حجز الإجازات'!$C$5:$C$104,(SUMPRODUCT(('حجز الإجازات'!$B$5:$B$104='الموظفون'!$B$5)*('حجز الإجازات'!$D$5:$D$104&lt;=HL$3)*(('حجز الإجازات'!$E$5:$E$104)&gt;=HL$3)*('حجز الإجازات'!$G$5:$G$104="معتمد")*ROW('حجز الإجازات'!$B$5:$B$104)))-5+1))</f>
        <v/>
      </c>
      <c r="HM7" s="62">
        <f>IF(SUMPRODUCT(('حجز الإجازات'!$B$5:$B$104='الموظفون'!$B$5)*('حجز الإجازات'!$D$5:$D$104&lt;=HM$3)*(('حجز الإجازات'!$E$5:$E$104)&gt;=HM$3)*('حجز الإجازات'!$G$5:$G$104="معتمد")*ROW('حجز الإجازات'!$B$5:$B$104))=0,"",INDEX('حجز الإجازات'!$C$5:$C$104,(SUMPRODUCT(('حجز الإجازات'!$B$5:$B$104='الموظفون'!$B$5)*('حجز الإجازات'!$D$5:$D$104&lt;=HM$3)*(('حجز الإجازات'!$E$5:$E$104)&gt;=HM$3)*('حجز الإجازات'!$G$5:$G$104="معتمد")*ROW('حجز الإجازات'!$B$5:$B$104)))-5+1))</f>
        <v/>
      </c>
      <c r="HN7" s="62">
        <f>IF(SUMPRODUCT(('حجز الإجازات'!$B$5:$B$104='الموظفون'!$B$5)*('حجز الإجازات'!$D$5:$D$104&lt;=HN$3)*(('حجز الإجازات'!$E$5:$E$104)&gt;=HN$3)*('حجز الإجازات'!$G$5:$G$104="معتمد")*ROW('حجز الإجازات'!$B$5:$B$104))=0,"",INDEX('حجز الإجازات'!$C$5:$C$104,(SUMPRODUCT(('حجز الإجازات'!$B$5:$B$104='الموظفون'!$B$5)*('حجز الإجازات'!$D$5:$D$104&lt;=HN$3)*(('حجز الإجازات'!$E$5:$E$104)&gt;=HN$3)*('حجز الإجازات'!$G$5:$G$104="معتمد")*ROW('حجز الإجازات'!$B$5:$B$104)))-5+1))</f>
        <v/>
      </c>
      <c r="HO7" s="62">
        <f>IF(SUMPRODUCT(('حجز الإجازات'!$B$5:$B$104='الموظفون'!$B$5)*('حجز الإجازات'!$D$5:$D$104&lt;=HO$3)*(('حجز الإجازات'!$E$5:$E$104)&gt;=HO$3)*('حجز الإجازات'!$G$5:$G$104="معتمد")*ROW('حجز الإجازات'!$B$5:$B$104))=0,"",INDEX('حجز الإجازات'!$C$5:$C$104,(SUMPRODUCT(('حجز الإجازات'!$B$5:$B$104='الموظفون'!$B$5)*('حجز الإجازات'!$D$5:$D$104&lt;=HO$3)*(('حجز الإجازات'!$E$5:$E$104)&gt;=HO$3)*('حجز الإجازات'!$G$5:$G$104="معتمد")*ROW('حجز الإجازات'!$B$5:$B$104)))-5+1))</f>
        <v/>
      </c>
      <c r="HP7" s="62">
        <f>IF(SUMPRODUCT(('حجز الإجازات'!$B$5:$B$104='الموظفون'!$B$5)*('حجز الإجازات'!$D$5:$D$104&lt;=HP$3)*(('حجز الإجازات'!$E$5:$E$104)&gt;=HP$3)*('حجز الإجازات'!$G$5:$G$104="معتمد")*ROW('حجز الإجازات'!$B$5:$B$104))=0,"",INDEX('حجز الإجازات'!$C$5:$C$104,(SUMPRODUCT(('حجز الإجازات'!$B$5:$B$104='الموظفون'!$B$5)*('حجز الإجازات'!$D$5:$D$104&lt;=HP$3)*(('حجز الإجازات'!$E$5:$E$104)&gt;=HP$3)*('حجز الإجازات'!$G$5:$G$104="معتمد")*ROW('حجز الإجازات'!$B$5:$B$104)))-5+1))</f>
        <v/>
      </c>
      <c r="HQ7" s="62">
        <f>IF(SUMPRODUCT(('حجز الإجازات'!$B$5:$B$104='الموظفون'!$B$5)*('حجز الإجازات'!$D$5:$D$104&lt;=HQ$3)*(('حجز الإجازات'!$E$5:$E$104)&gt;=HQ$3)*('حجز الإجازات'!$G$5:$G$104="معتمد")*ROW('حجز الإجازات'!$B$5:$B$104))=0,"",INDEX('حجز الإجازات'!$C$5:$C$104,(SUMPRODUCT(('حجز الإجازات'!$B$5:$B$104='الموظفون'!$B$5)*('حجز الإجازات'!$D$5:$D$104&lt;=HQ$3)*(('حجز الإجازات'!$E$5:$E$104)&gt;=HQ$3)*('حجز الإجازات'!$G$5:$G$104="معتمد")*ROW('حجز الإجازات'!$B$5:$B$104)))-5+1))</f>
        <v/>
      </c>
      <c r="HR7" s="62">
        <f>IF(SUMPRODUCT(('حجز الإجازات'!$B$5:$B$104='الموظفون'!$B$5)*('حجز الإجازات'!$D$5:$D$104&lt;=HR$3)*(('حجز الإجازات'!$E$5:$E$104)&gt;=HR$3)*('حجز الإجازات'!$G$5:$G$104="معتمد")*ROW('حجز الإجازات'!$B$5:$B$104))=0,"",INDEX('حجز الإجازات'!$C$5:$C$104,(SUMPRODUCT(('حجز الإجازات'!$B$5:$B$104='الموظفون'!$B$5)*('حجز الإجازات'!$D$5:$D$104&lt;=HR$3)*(('حجز الإجازات'!$E$5:$E$104)&gt;=HR$3)*('حجز الإجازات'!$G$5:$G$104="معتمد")*ROW('حجز الإجازات'!$B$5:$B$104)))-5+1))</f>
        <v/>
      </c>
      <c r="HS7" s="62">
        <f>IF(SUMPRODUCT(('حجز الإجازات'!$B$5:$B$104='الموظفون'!$B$5)*('حجز الإجازات'!$D$5:$D$104&lt;=HS$3)*(('حجز الإجازات'!$E$5:$E$104)&gt;=HS$3)*('حجز الإجازات'!$G$5:$G$104="معتمد")*ROW('حجز الإجازات'!$B$5:$B$104))=0,"",INDEX('حجز الإجازات'!$C$5:$C$104,(SUMPRODUCT(('حجز الإجازات'!$B$5:$B$104='الموظفون'!$B$5)*('حجز الإجازات'!$D$5:$D$104&lt;=HS$3)*(('حجز الإجازات'!$E$5:$E$104)&gt;=HS$3)*('حجز الإجازات'!$G$5:$G$104="معتمد")*ROW('حجز الإجازات'!$B$5:$B$104)))-5+1))</f>
        <v/>
      </c>
      <c r="HT7" s="62">
        <f>IF(SUMPRODUCT(('حجز الإجازات'!$B$5:$B$104='الموظفون'!$B$5)*('حجز الإجازات'!$D$5:$D$104&lt;=HT$3)*(('حجز الإجازات'!$E$5:$E$104)&gt;=HT$3)*('حجز الإجازات'!$G$5:$G$104="معتمد")*ROW('حجز الإجازات'!$B$5:$B$104))=0,"",INDEX('حجز الإجازات'!$C$5:$C$104,(SUMPRODUCT(('حجز الإجازات'!$B$5:$B$104='الموظفون'!$B$5)*('حجز الإجازات'!$D$5:$D$104&lt;=HT$3)*(('حجز الإجازات'!$E$5:$E$104)&gt;=HT$3)*('حجز الإجازات'!$G$5:$G$104="معتمد")*ROW('حجز الإجازات'!$B$5:$B$104)))-5+1))</f>
        <v/>
      </c>
      <c r="HU7" s="62">
        <f>IF(SUMPRODUCT(('حجز الإجازات'!$B$5:$B$104='الموظفون'!$B$5)*('حجز الإجازات'!$D$5:$D$104&lt;=HU$3)*(('حجز الإجازات'!$E$5:$E$104)&gt;=HU$3)*('حجز الإجازات'!$G$5:$G$104="معتمد")*ROW('حجز الإجازات'!$B$5:$B$104))=0,"",INDEX('حجز الإجازات'!$C$5:$C$104,(SUMPRODUCT(('حجز الإجازات'!$B$5:$B$104='الموظفون'!$B$5)*('حجز الإجازات'!$D$5:$D$104&lt;=HU$3)*(('حجز الإجازات'!$E$5:$E$104)&gt;=HU$3)*('حجز الإجازات'!$G$5:$G$104="معتمد")*ROW('حجز الإجازات'!$B$5:$B$104)))-5+1))</f>
        <v/>
      </c>
      <c r="HV7" s="62">
        <f>IF(SUMPRODUCT(('حجز الإجازات'!$B$5:$B$104='الموظفون'!$B$5)*('حجز الإجازات'!$D$5:$D$104&lt;=HV$3)*(('حجز الإجازات'!$E$5:$E$104)&gt;=HV$3)*('حجز الإجازات'!$G$5:$G$104="معتمد")*ROW('حجز الإجازات'!$B$5:$B$104))=0,"",INDEX('حجز الإجازات'!$C$5:$C$104,(SUMPRODUCT(('حجز الإجازات'!$B$5:$B$104='الموظفون'!$B$5)*('حجز الإجازات'!$D$5:$D$104&lt;=HV$3)*(('حجز الإجازات'!$E$5:$E$104)&gt;=HV$3)*('حجز الإجازات'!$G$5:$G$104="معتمد")*ROW('حجز الإجازات'!$B$5:$B$104)))-5+1))</f>
        <v/>
      </c>
      <c r="HW7" s="62">
        <f>IF(SUMPRODUCT(('حجز الإجازات'!$B$5:$B$104='الموظفون'!$B$5)*('حجز الإجازات'!$D$5:$D$104&lt;=HW$3)*(('حجز الإجازات'!$E$5:$E$104)&gt;=HW$3)*('حجز الإجازات'!$G$5:$G$104="معتمد")*ROW('حجز الإجازات'!$B$5:$B$104))=0,"",INDEX('حجز الإجازات'!$C$5:$C$104,(SUMPRODUCT(('حجز الإجازات'!$B$5:$B$104='الموظفون'!$B$5)*('حجز الإجازات'!$D$5:$D$104&lt;=HW$3)*(('حجز الإجازات'!$E$5:$E$104)&gt;=HW$3)*('حجز الإجازات'!$G$5:$G$104="معتمد")*ROW('حجز الإجازات'!$B$5:$B$104)))-5+1))</f>
        <v/>
      </c>
      <c r="HX7" s="62">
        <f>IF(SUMPRODUCT(('حجز الإجازات'!$B$5:$B$104='الموظفون'!$B$5)*('حجز الإجازات'!$D$5:$D$104&lt;=HX$3)*(('حجز الإجازات'!$E$5:$E$104)&gt;=HX$3)*('حجز الإجازات'!$G$5:$G$104="معتمد")*ROW('حجز الإجازات'!$B$5:$B$104))=0,"",INDEX('حجز الإجازات'!$C$5:$C$104,(SUMPRODUCT(('حجز الإجازات'!$B$5:$B$104='الموظفون'!$B$5)*('حجز الإجازات'!$D$5:$D$104&lt;=HX$3)*(('حجز الإجازات'!$E$5:$E$104)&gt;=HX$3)*('حجز الإجازات'!$G$5:$G$104="معتمد")*ROW('حجز الإجازات'!$B$5:$B$104)))-5+1))</f>
        <v/>
      </c>
      <c r="HY7" s="62">
        <f>IF(SUMPRODUCT(('حجز الإجازات'!$B$5:$B$104='الموظفون'!$B$5)*('حجز الإجازات'!$D$5:$D$104&lt;=HY$3)*(('حجز الإجازات'!$E$5:$E$104)&gt;=HY$3)*('حجز الإجازات'!$G$5:$G$104="معتمد")*ROW('حجز الإجازات'!$B$5:$B$104))=0,"",INDEX('حجز الإجازات'!$C$5:$C$104,(SUMPRODUCT(('حجز الإجازات'!$B$5:$B$104='الموظفون'!$B$5)*('حجز الإجازات'!$D$5:$D$104&lt;=HY$3)*(('حجز الإجازات'!$E$5:$E$104)&gt;=HY$3)*('حجز الإجازات'!$G$5:$G$104="معتمد")*ROW('حجز الإجازات'!$B$5:$B$104)))-5+1))</f>
        <v/>
      </c>
      <c r="HZ7" s="62">
        <f>IF(SUMPRODUCT(('حجز الإجازات'!$B$5:$B$104='الموظفون'!$B$5)*('حجز الإجازات'!$D$5:$D$104&lt;=HZ$3)*(('حجز الإجازات'!$E$5:$E$104)&gt;=HZ$3)*('حجز الإجازات'!$G$5:$G$104="معتمد")*ROW('حجز الإجازات'!$B$5:$B$104))=0,"",INDEX('حجز الإجازات'!$C$5:$C$104,(SUMPRODUCT(('حجز الإجازات'!$B$5:$B$104='الموظفون'!$B$5)*('حجز الإجازات'!$D$5:$D$104&lt;=HZ$3)*(('حجز الإجازات'!$E$5:$E$104)&gt;=HZ$3)*('حجز الإجازات'!$G$5:$G$104="معتمد")*ROW('حجز الإجازات'!$B$5:$B$104)))-5+1))</f>
        <v/>
      </c>
      <c r="IA7" s="62">
        <f>IF(SUMPRODUCT(('حجز الإجازات'!$B$5:$B$104='الموظفون'!$B$5)*('حجز الإجازات'!$D$5:$D$104&lt;=IA$3)*(('حجز الإجازات'!$E$5:$E$104)&gt;=IA$3)*('حجز الإجازات'!$G$5:$G$104="معتمد")*ROW('حجز الإجازات'!$B$5:$B$104))=0,"",INDEX('حجز الإجازات'!$C$5:$C$104,(SUMPRODUCT(('حجز الإجازات'!$B$5:$B$104='الموظفون'!$B$5)*('حجز الإجازات'!$D$5:$D$104&lt;=IA$3)*(('حجز الإجازات'!$E$5:$E$104)&gt;=IA$3)*('حجز الإجازات'!$G$5:$G$104="معتمد")*ROW('حجز الإجازات'!$B$5:$B$104)))-5+1))</f>
        <v/>
      </c>
      <c r="IB7" s="62">
        <f>IF(SUMPRODUCT(('حجز الإجازات'!$B$5:$B$104='الموظفون'!$B$5)*('حجز الإجازات'!$D$5:$D$104&lt;=IB$3)*(('حجز الإجازات'!$E$5:$E$104)&gt;=IB$3)*('حجز الإجازات'!$G$5:$G$104="معتمد")*ROW('حجز الإجازات'!$B$5:$B$104))=0,"",INDEX('حجز الإجازات'!$C$5:$C$104,(SUMPRODUCT(('حجز الإجازات'!$B$5:$B$104='الموظفون'!$B$5)*('حجز الإجازات'!$D$5:$D$104&lt;=IB$3)*(('حجز الإجازات'!$E$5:$E$104)&gt;=IB$3)*('حجز الإجازات'!$G$5:$G$104="معتمد")*ROW('حجز الإجازات'!$B$5:$B$104)))-5+1))</f>
        <v/>
      </c>
      <c r="IC7" s="62">
        <f>IF(SUMPRODUCT(('حجز الإجازات'!$B$5:$B$104='الموظفون'!$B$5)*('حجز الإجازات'!$D$5:$D$104&lt;=IC$3)*(('حجز الإجازات'!$E$5:$E$104)&gt;=IC$3)*('حجز الإجازات'!$G$5:$G$104="معتمد")*ROW('حجز الإجازات'!$B$5:$B$104))=0,"",INDEX('حجز الإجازات'!$C$5:$C$104,(SUMPRODUCT(('حجز الإجازات'!$B$5:$B$104='الموظفون'!$B$5)*('حجز الإجازات'!$D$5:$D$104&lt;=IC$3)*(('حجز الإجازات'!$E$5:$E$104)&gt;=IC$3)*('حجز الإجازات'!$G$5:$G$104="معتمد")*ROW('حجز الإجازات'!$B$5:$B$104)))-5+1))</f>
        <v/>
      </c>
      <c r="ID7" s="62">
        <f>IF(SUMPRODUCT(('حجز الإجازات'!$B$5:$B$104='الموظفون'!$B$5)*('حجز الإجازات'!$D$5:$D$104&lt;=ID$3)*(('حجز الإجازات'!$E$5:$E$104)&gt;=ID$3)*('حجز الإجازات'!$G$5:$G$104="معتمد")*ROW('حجز الإجازات'!$B$5:$B$104))=0,"",INDEX('حجز الإجازات'!$C$5:$C$104,(SUMPRODUCT(('حجز الإجازات'!$B$5:$B$104='الموظفون'!$B$5)*('حجز الإجازات'!$D$5:$D$104&lt;=ID$3)*(('حجز الإجازات'!$E$5:$E$104)&gt;=ID$3)*('حجز الإجازات'!$G$5:$G$104="معتمد")*ROW('حجز الإجازات'!$B$5:$B$104)))-5+1))</f>
        <v/>
      </c>
      <c r="IE7" s="62">
        <f>IF(SUMPRODUCT(('حجز الإجازات'!$B$5:$B$104='الموظفون'!$B$5)*('حجز الإجازات'!$D$5:$D$104&lt;=IE$3)*(('حجز الإجازات'!$E$5:$E$104)&gt;=IE$3)*('حجز الإجازات'!$G$5:$G$104="معتمد")*ROW('حجز الإجازات'!$B$5:$B$104))=0,"",INDEX('حجز الإجازات'!$C$5:$C$104,(SUMPRODUCT(('حجز الإجازات'!$B$5:$B$104='الموظفون'!$B$5)*('حجز الإجازات'!$D$5:$D$104&lt;=IE$3)*(('حجز الإجازات'!$E$5:$E$104)&gt;=IE$3)*('حجز الإجازات'!$G$5:$G$104="معتمد")*ROW('حجز الإجازات'!$B$5:$B$104)))-5+1))</f>
        <v/>
      </c>
      <c r="IF7" s="62">
        <f>IF(SUMPRODUCT(('حجز الإجازات'!$B$5:$B$104='الموظفون'!$B$5)*('حجز الإجازات'!$D$5:$D$104&lt;=IF$3)*(('حجز الإجازات'!$E$5:$E$104)&gt;=IF$3)*('حجز الإجازات'!$G$5:$G$104="معتمد")*ROW('حجز الإجازات'!$B$5:$B$104))=0,"",INDEX('حجز الإجازات'!$C$5:$C$104,(SUMPRODUCT(('حجز الإجازات'!$B$5:$B$104='الموظفون'!$B$5)*('حجز الإجازات'!$D$5:$D$104&lt;=IF$3)*(('حجز الإجازات'!$E$5:$E$104)&gt;=IF$3)*('حجز الإجازات'!$G$5:$G$104="معتمد")*ROW('حجز الإجازات'!$B$5:$B$104)))-5+1))</f>
        <v/>
      </c>
      <c r="IG7" s="62">
        <f>IF(SUMPRODUCT(('حجز الإجازات'!$B$5:$B$104='الموظفون'!$B$5)*('حجز الإجازات'!$D$5:$D$104&lt;=IG$3)*(('حجز الإجازات'!$E$5:$E$104)&gt;=IG$3)*('حجز الإجازات'!$G$5:$G$104="معتمد")*ROW('حجز الإجازات'!$B$5:$B$104))=0,"",INDEX('حجز الإجازات'!$C$5:$C$104,(SUMPRODUCT(('حجز الإجازات'!$B$5:$B$104='الموظفون'!$B$5)*('حجز الإجازات'!$D$5:$D$104&lt;=IG$3)*(('حجز الإجازات'!$E$5:$E$104)&gt;=IG$3)*('حجز الإجازات'!$G$5:$G$104="معتمد")*ROW('حجز الإجازات'!$B$5:$B$104)))-5+1))</f>
        <v/>
      </c>
      <c r="IH7" s="62">
        <f>IF(SUMPRODUCT(('حجز الإجازات'!$B$5:$B$104='الموظفون'!$B$5)*('حجز الإجازات'!$D$5:$D$104&lt;=IH$3)*(('حجز الإجازات'!$E$5:$E$104)&gt;=IH$3)*('حجز الإجازات'!$G$5:$G$104="معتمد")*ROW('حجز الإجازات'!$B$5:$B$104))=0,"",INDEX('حجز الإجازات'!$C$5:$C$104,(SUMPRODUCT(('حجز الإجازات'!$B$5:$B$104='الموظفون'!$B$5)*('حجز الإجازات'!$D$5:$D$104&lt;=IH$3)*(('حجز الإجازات'!$E$5:$E$104)&gt;=IH$3)*('حجز الإجازات'!$G$5:$G$104="معتمد")*ROW('حجز الإجازات'!$B$5:$B$104)))-5+1))</f>
        <v/>
      </c>
      <c r="II7" s="62">
        <f>IF(SUMPRODUCT(('حجز الإجازات'!$B$5:$B$104='الموظفون'!$B$5)*('حجز الإجازات'!$D$5:$D$104&lt;=II$3)*(('حجز الإجازات'!$E$5:$E$104)&gt;=II$3)*('حجز الإجازات'!$G$5:$G$104="معتمد")*ROW('حجز الإجازات'!$B$5:$B$104))=0,"",INDEX('حجز الإجازات'!$C$5:$C$104,(SUMPRODUCT(('حجز الإجازات'!$B$5:$B$104='الموظفون'!$B$5)*('حجز الإجازات'!$D$5:$D$104&lt;=II$3)*(('حجز الإجازات'!$E$5:$E$104)&gt;=II$3)*('حجز الإجازات'!$G$5:$G$104="معتمد")*ROW('حجز الإجازات'!$B$5:$B$104)))-5+1))</f>
        <v/>
      </c>
      <c r="IJ7" s="62">
        <f>IF(SUMPRODUCT(('حجز الإجازات'!$B$5:$B$104='الموظفون'!$B$5)*('حجز الإجازات'!$D$5:$D$104&lt;=IJ$3)*(('حجز الإجازات'!$E$5:$E$104)&gt;=IJ$3)*('حجز الإجازات'!$G$5:$G$104="معتمد")*ROW('حجز الإجازات'!$B$5:$B$104))=0,"",INDEX('حجز الإجازات'!$C$5:$C$104,(SUMPRODUCT(('حجز الإجازات'!$B$5:$B$104='الموظفون'!$B$5)*('حجز الإجازات'!$D$5:$D$104&lt;=IJ$3)*(('حجز الإجازات'!$E$5:$E$104)&gt;=IJ$3)*('حجز الإجازات'!$G$5:$G$104="معتمد")*ROW('حجز الإجازات'!$B$5:$B$104)))-5+1))</f>
        <v/>
      </c>
      <c r="IK7" s="62">
        <f>IF(SUMPRODUCT(('حجز الإجازات'!$B$5:$B$104='الموظفون'!$B$5)*('حجز الإجازات'!$D$5:$D$104&lt;=IK$3)*(('حجز الإجازات'!$E$5:$E$104)&gt;=IK$3)*('حجز الإجازات'!$G$5:$G$104="معتمد")*ROW('حجز الإجازات'!$B$5:$B$104))=0,"",INDEX('حجز الإجازات'!$C$5:$C$104,(SUMPRODUCT(('حجز الإجازات'!$B$5:$B$104='الموظفون'!$B$5)*('حجز الإجازات'!$D$5:$D$104&lt;=IK$3)*(('حجز الإجازات'!$E$5:$E$104)&gt;=IK$3)*('حجز الإجازات'!$G$5:$G$104="معتمد")*ROW('حجز الإجازات'!$B$5:$B$104)))-5+1))</f>
        <v/>
      </c>
      <c r="IL7" s="62">
        <f>IF(SUMPRODUCT(('حجز الإجازات'!$B$5:$B$104='الموظفون'!$B$5)*('حجز الإجازات'!$D$5:$D$104&lt;=IL$3)*(('حجز الإجازات'!$E$5:$E$104)&gt;=IL$3)*('حجز الإجازات'!$G$5:$G$104="معتمد")*ROW('حجز الإجازات'!$B$5:$B$104))=0,"",INDEX('حجز الإجازات'!$C$5:$C$104,(SUMPRODUCT(('حجز الإجازات'!$B$5:$B$104='الموظفون'!$B$5)*('حجز الإجازات'!$D$5:$D$104&lt;=IL$3)*(('حجز الإجازات'!$E$5:$E$104)&gt;=IL$3)*('حجز الإجازات'!$G$5:$G$104="معتمد")*ROW('حجز الإجازات'!$B$5:$B$104)))-5+1))</f>
        <v/>
      </c>
      <c r="IM7" s="62">
        <f>IF(SUMPRODUCT(('حجز الإجازات'!$B$5:$B$104='الموظفون'!$B$5)*('حجز الإجازات'!$D$5:$D$104&lt;=IM$3)*(('حجز الإجازات'!$E$5:$E$104)&gt;=IM$3)*('حجز الإجازات'!$G$5:$G$104="معتمد")*ROW('حجز الإجازات'!$B$5:$B$104))=0,"",INDEX('حجز الإجازات'!$C$5:$C$104,(SUMPRODUCT(('حجز الإجازات'!$B$5:$B$104='الموظفون'!$B$5)*('حجز الإجازات'!$D$5:$D$104&lt;=IM$3)*(('حجز الإجازات'!$E$5:$E$104)&gt;=IM$3)*('حجز الإجازات'!$G$5:$G$104="معتمد")*ROW('حجز الإجازات'!$B$5:$B$104)))-5+1))</f>
        <v/>
      </c>
      <c r="IN7" s="62">
        <f>IF(SUMPRODUCT(('حجز الإجازات'!$B$5:$B$104='الموظفون'!$B$5)*('حجز الإجازات'!$D$5:$D$104&lt;=IN$3)*(('حجز الإجازات'!$E$5:$E$104)&gt;=IN$3)*('حجز الإجازات'!$G$5:$G$104="معتمد")*ROW('حجز الإجازات'!$B$5:$B$104))=0,"",INDEX('حجز الإجازات'!$C$5:$C$104,(SUMPRODUCT(('حجز الإجازات'!$B$5:$B$104='الموظفون'!$B$5)*('حجز الإجازات'!$D$5:$D$104&lt;=IN$3)*(('حجز الإجازات'!$E$5:$E$104)&gt;=IN$3)*('حجز الإجازات'!$G$5:$G$104="معتمد")*ROW('حجز الإجازات'!$B$5:$B$104)))-5+1))</f>
        <v/>
      </c>
      <c r="IO7" s="62">
        <f>IF(SUMPRODUCT(('حجز الإجازات'!$B$5:$B$104='الموظفون'!$B$5)*('حجز الإجازات'!$D$5:$D$104&lt;=IO$3)*(('حجز الإجازات'!$E$5:$E$104)&gt;=IO$3)*('حجز الإجازات'!$G$5:$G$104="معتمد")*ROW('حجز الإجازات'!$B$5:$B$104))=0,"",INDEX('حجز الإجازات'!$C$5:$C$104,(SUMPRODUCT(('حجز الإجازات'!$B$5:$B$104='الموظفون'!$B$5)*('حجز الإجازات'!$D$5:$D$104&lt;=IO$3)*(('حجز الإجازات'!$E$5:$E$104)&gt;=IO$3)*('حجز الإجازات'!$G$5:$G$104="معتمد")*ROW('حجز الإجازات'!$B$5:$B$104)))-5+1))</f>
        <v/>
      </c>
      <c r="IP7" s="62">
        <f>IF(SUMPRODUCT(('حجز الإجازات'!$B$5:$B$104='الموظفون'!$B$5)*('حجز الإجازات'!$D$5:$D$104&lt;=IP$3)*(('حجز الإجازات'!$E$5:$E$104)&gt;=IP$3)*('حجز الإجازات'!$G$5:$G$104="معتمد")*ROW('حجز الإجازات'!$B$5:$B$104))=0,"",INDEX('حجز الإجازات'!$C$5:$C$104,(SUMPRODUCT(('حجز الإجازات'!$B$5:$B$104='الموظفون'!$B$5)*('حجز الإجازات'!$D$5:$D$104&lt;=IP$3)*(('حجز الإجازات'!$E$5:$E$104)&gt;=IP$3)*('حجز الإجازات'!$G$5:$G$104="معتمد")*ROW('حجز الإجازات'!$B$5:$B$104)))-5+1))</f>
        <v/>
      </c>
      <c r="IQ7" s="62">
        <f>IF(SUMPRODUCT(('حجز الإجازات'!$B$5:$B$104='الموظفون'!$B$5)*('حجز الإجازات'!$D$5:$D$104&lt;=IQ$3)*(('حجز الإجازات'!$E$5:$E$104)&gt;=IQ$3)*('حجز الإجازات'!$G$5:$G$104="معتمد")*ROW('حجز الإجازات'!$B$5:$B$104))=0,"",INDEX('حجز الإجازات'!$C$5:$C$104,(SUMPRODUCT(('حجز الإجازات'!$B$5:$B$104='الموظفون'!$B$5)*('حجز الإجازات'!$D$5:$D$104&lt;=IQ$3)*(('حجز الإجازات'!$E$5:$E$104)&gt;=IQ$3)*('حجز الإجازات'!$G$5:$G$104="معتمد")*ROW('حجز الإجازات'!$B$5:$B$104)))-5+1))</f>
        <v/>
      </c>
      <c r="IR7" s="62">
        <f>IF(SUMPRODUCT(('حجز الإجازات'!$B$5:$B$104='الموظفون'!$B$5)*('حجز الإجازات'!$D$5:$D$104&lt;=IR$3)*(('حجز الإجازات'!$E$5:$E$104)&gt;=IR$3)*('حجز الإجازات'!$G$5:$G$104="معتمد")*ROW('حجز الإجازات'!$B$5:$B$104))=0,"",INDEX('حجز الإجازات'!$C$5:$C$104,(SUMPRODUCT(('حجز الإجازات'!$B$5:$B$104='الموظفون'!$B$5)*('حجز الإجازات'!$D$5:$D$104&lt;=IR$3)*(('حجز الإجازات'!$E$5:$E$104)&gt;=IR$3)*('حجز الإجازات'!$G$5:$G$104="معتمد")*ROW('حجز الإجازات'!$B$5:$B$104)))-5+1))</f>
        <v/>
      </c>
      <c r="IS7" s="62">
        <f>IF(SUMPRODUCT(('حجز الإجازات'!$B$5:$B$104='الموظفون'!$B$5)*('حجز الإجازات'!$D$5:$D$104&lt;=IS$3)*(('حجز الإجازات'!$E$5:$E$104)&gt;=IS$3)*('حجز الإجازات'!$G$5:$G$104="معتمد")*ROW('حجز الإجازات'!$B$5:$B$104))=0,"",INDEX('حجز الإجازات'!$C$5:$C$104,(SUMPRODUCT(('حجز الإجازات'!$B$5:$B$104='الموظفون'!$B$5)*('حجز الإجازات'!$D$5:$D$104&lt;=IS$3)*(('حجز الإجازات'!$E$5:$E$104)&gt;=IS$3)*('حجز الإجازات'!$G$5:$G$104="معتمد")*ROW('حجز الإجازات'!$B$5:$B$104)))-5+1))</f>
        <v/>
      </c>
      <c r="IT7" s="62">
        <f>IF(SUMPRODUCT(('حجز الإجازات'!$B$5:$B$104='الموظفون'!$B$5)*('حجز الإجازات'!$D$5:$D$104&lt;=IT$3)*(('حجز الإجازات'!$E$5:$E$104)&gt;=IT$3)*('حجز الإجازات'!$G$5:$G$104="معتمد")*ROW('حجز الإجازات'!$B$5:$B$104))=0,"",INDEX('حجز الإجازات'!$C$5:$C$104,(SUMPRODUCT(('حجز الإجازات'!$B$5:$B$104='الموظفون'!$B$5)*('حجز الإجازات'!$D$5:$D$104&lt;=IT$3)*(('حجز الإجازات'!$E$5:$E$104)&gt;=IT$3)*('حجز الإجازات'!$G$5:$G$104="معتمد")*ROW('حجز الإجازات'!$B$5:$B$104)))-5+1))</f>
        <v/>
      </c>
      <c r="IU7" s="62">
        <f>IF(SUMPRODUCT(('حجز الإجازات'!$B$5:$B$104='الموظفون'!$B$5)*('حجز الإجازات'!$D$5:$D$104&lt;=IU$3)*(('حجز الإجازات'!$E$5:$E$104)&gt;=IU$3)*('حجز الإجازات'!$G$5:$G$104="معتمد")*ROW('حجز الإجازات'!$B$5:$B$104))=0,"",INDEX('حجز الإجازات'!$C$5:$C$104,(SUMPRODUCT(('حجز الإجازات'!$B$5:$B$104='الموظفون'!$B$5)*('حجز الإجازات'!$D$5:$D$104&lt;=IU$3)*(('حجز الإجازات'!$E$5:$E$104)&gt;=IU$3)*('حجز الإجازات'!$G$5:$G$104="معتمد")*ROW('حجز الإجازات'!$B$5:$B$104)))-5+1))</f>
        <v/>
      </c>
      <c r="IV7" s="62">
        <f>IF(SUMPRODUCT(('حجز الإجازات'!$B$5:$B$104='الموظفون'!$B$5)*('حجز الإجازات'!$D$5:$D$104&lt;=IV$3)*(('حجز الإجازات'!$E$5:$E$104)&gt;=IV$3)*('حجز الإجازات'!$G$5:$G$104="معتمد")*ROW('حجز الإجازات'!$B$5:$B$104))=0,"",INDEX('حجز الإجازات'!$C$5:$C$104,(SUMPRODUCT(('حجز الإجازات'!$B$5:$B$104='الموظفون'!$B$5)*('حجز الإجازات'!$D$5:$D$104&lt;=IV$3)*(('حجز الإجازات'!$E$5:$E$104)&gt;=IV$3)*('حجز الإجازات'!$G$5:$G$104="معتمد")*ROW('حجز الإجازات'!$B$5:$B$104)))-5+1))</f>
        <v/>
      </c>
      <c r="IW7" s="62">
        <f>IF(SUMPRODUCT(('حجز الإجازات'!$B$5:$B$104='الموظفون'!$B$5)*('حجز الإجازات'!$D$5:$D$104&lt;=IW$3)*(('حجز الإجازات'!$E$5:$E$104)&gt;=IW$3)*('حجز الإجازات'!$G$5:$G$104="معتمد")*ROW('حجز الإجازات'!$B$5:$B$104))=0,"",INDEX('حجز الإجازات'!$C$5:$C$104,(SUMPRODUCT(('حجز الإجازات'!$B$5:$B$104='الموظفون'!$B$5)*('حجز الإجازات'!$D$5:$D$104&lt;=IW$3)*(('حجز الإجازات'!$E$5:$E$104)&gt;=IW$3)*('حجز الإجازات'!$G$5:$G$104="معتمد")*ROW('حجز الإجازات'!$B$5:$B$104)))-5+1))</f>
        <v/>
      </c>
      <c r="IX7" s="62">
        <f>IF(SUMPRODUCT(('حجز الإجازات'!$B$5:$B$104='الموظفون'!$B$5)*('حجز الإجازات'!$D$5:$D$104&lt;=IX$3)*(('حجز الإجازات'!$E$5:$E$104)&gt;=IX$3)*('حجز الإجازات'!$G$5:$G$104="معتمد")*ROW('حجز الإجازات'!$B$5:$B$104))=0,"",INDEX('حجز الإجازات'!$C$5:$C$104,(SUMPRODUCT(('حجز الإجازات'!$B$5:$B$104='الموظفون'!$B$5)*('حجز الإجازات'!$D$5:$D$104&lt;=IX$3)*(('حجز الإجازات'!$E$5:$E$104)&gt;=IX$3)*('حجز الإجازات'!$G$5:$G$104="معتمد")*ROW('حجز الإجازات'!$B$5:$B$104)))-5+1))</f>
        <v/>
      </c>
      <c r="IY7" s="62">
        <f>IF(SUMPRODUCT(('حجز الإجازات'!$B$5:$B$104='الموظفون'!$B$5)*('حجز الإجازات'!$D$5:$D$104&lt;=IY$3)*(('حجز الإجازات'!$E$5:$E$104)&gt;=IY$3)*('حجز الإجازات'!$G$5:$G$104="معتمد")*ROW('حجز الإجازات'!$B$5:$B$104))=0,"",INDEX('حجز الإجازات'!$C$5:$C$104,(SUMPRODUCT(('حجز الإجازات'!$B$5:$B$104='الموظفون'!$B$5)*('حجز الإجازات'!$D$5:$D$104&lt;=IY$3)*(('حجز الإجازات'!$E$5:$E$104)&gt;=IY$3)*('حجز الإجازات'!$G$5:$G$104="معتمد")*ROW('حجز الإجازات'!$B$5:$B$104)))-5+1))</f>
        <v/>
      </c>
      <c r="IZ7" s="62">
        <f>IF(SUMPRODUCT(('حجز الإجازات'!$B$5:$B$104='الموظفون'!$B$5)*('حجز الإجازات'!$D$5:$D$104&lt;=IZ$3)*(('حجز الإجازات'!$E$5:$E$104)&gt;=IZ$3)*('حجز الإجازات'!$G$5:$G$104="معتمد")*ROW('حجز الإجازات'!$B$5:$B$104))=0,"",INDEX('حجز الإجازات'!$C$5:$C$104,(SUMPRODUCT(('حجز الإجازات'!$B$5:$B$104='الموظفون'!$B$5)*('حجز الإجازات'!$D$5:$D$104&lt;=IZ$3)*(('حجز الإجازات'!$E$5:$E$104)&gt;=IZ$3)*('حجز الإجازات'!$G$5:$G$104="معتمد")*ROW('حجز الإجازات'!$B$5:$B$104)))-5+1))</f>
        <v/>
      </c>
      <c r="JA7" s="62">
        <f>IF(SUMPRODUCT(('حجز الإجازات'!$B$5:$B$104='الموظفون'!$B$5)*('حجز الإجازات'!$D$5:$D$104&lt;=JA$3)*(('حجز الإجازات'!$E$5:$E$104)&gt;=JA$3)*('حجز الإجازات'!$G$5:$G$104="معتمد")*ROW('حجز الإجازات'!$B$5:$B$104))=0,"",INDEX('حجز الإجازات'!$C$5:$C$104,(SUMPRODUCT(('حجز الإجازات'!$B$5:$B$104='الموظفون'!$B$5)*('حجز الإجازات'!$D$5:$D$104&lt;=JA$3)*(('حجز الإجازات'!$E$5:$E$104)&gt;=JA$3)*('حجز الإجازات'!$G$5:$G$104="معتمد")*ROW('حجز الإجازات'!$B$5:$B$104)))-5+1))</f>
        <v/>
      </c>
      <c r="JB7" s="62">
        <f>IF(SUMPRODUCT(('حجز الإجازات'!$B$5:$B$104='الموظفون'!$B$5)*('حجز الإجازات'!$D$5:$D$104&lt;=JB$3)*(('حجز الإجازات'!$E$5:$E$104)&gt;=JB$3)*('حجز الإجازات'!$G$5:$G$104="معتمد")*ROW('حجز الإجازات'!$B$5:$B$104))=0,"",INDEX('حجز الإجازات'!$C$5:$C$104,(SUMPRODUCT(('حجز الإجازات'!$B$5:$B$104='الموظفون'!$B$5)*('حجز الإجازات'!$D$5:$D$104&lt;=JB$3)*(('حجز الإجازات'!$E$5:$E$104)&gt;=JB$3)*('حجز الإجازات'!$G$5:$G$104="معتمد")*ROW('حجز الإجازات'!$B$5:$B$104)))-5+1))</f>
        <v/>
      </c>
      <c r="JC7" s="62">
        <f>IF(SUMPRODUCT(('حجز الإجازات'!$B$5:$B$104='الموظفون'!$B$5)*('حجز الإجازات'!$D$5:$D$104&lt;=JC$3)*(('حجز الإجازات'!$E$5:$E$104)&gt;=JC$3)*('حجز الإجازات'!$G$5:$G$104="معتمد")*ROW('حجز الإجازات'!$B$5:$B$104))=0,"",INDEX('حجز الإجازات'!$C$5:$C$104,(SUMPRODUCT(('حجز الإجازات'!$B$5:$B$104='الموظفون'!$B$5)*('حجز الإجازات'!$D$5:$D$104&lt;=JC$3)*(('حجز الإجازات'!$E$5:$E$104)&gt;=JC$3)*('حجز الإجازات'!$G$5:$G$104="معتمد")*ROW('حجز الإجازات'!$B$5:$B$104)))-5+1))</f>
        <v/>
      </c>
      <c r="JD7" s="62">
        <f>IF(SUMPRODUCT(('حجز الإجازات'!$B$5:$B$104='الموظفون'!$B$5)*('حجز الإجازات'!$D$5:$D$104&lt;=JD$3)*(('حجز الإجازات'!$E$5:$E$104)&gt;=JD$3)*('حجز الإجازات'!$G$5:$G$104="معتمد")*ROW('حجز الإجازات'!$B$5:$B$104))=0,"",INDEX('حجز الإجازات'!$C$5:$C$104,(SUMPRODUCT(('حجز الإجازات'!$B$5:$B$104='الموظفون'!$B$5)*('حجز الإجازات'!$D$5:$D$104&lt;=JD$3)*(('حجز الإجازات'!$E$5:$E$104)&gt;=JD$3)*('حجز الإجازات'!$G$5:$G$104="معتمد")*ROW('حجز الإجازات'!$B$5:$B$104)))-5+1))</f>
        <v/>
      </c>
      <c r="JE7" s="62">
        <f>IF(SUMPRODUCT(('حجز الإجازات'!$B$5:$B$104='الموظفون'!$B$5)*('حجز الإجازات'!$D$5:$D$104&lt;=JE$3)*(('حجز الإجازات'!$E$5:$E$104)&gt;=JE$3)*('حجز الإجازات'!$G$5:$G$104="معتمد")*ROW('حجز الإجازات'!$B$5:$B$104))=0,"",INDEX('حجز الإجازات'!$C$5:$C$104,(SUMPRODUCT(('حجز الإجازات'!$B$5:$B$104='الموظفون'!$B$5)*('حجز الإجازات'!$D$5:$D$104&lt;=JE$3)*(('حجز الإجازات'!$E$5:$E$104)&gt;=JE$3)*('حجز الإجازات'!$G$5:$G$104="معتمد")*ROW('حجز الإجازات'!$B$5:$B$104)))-5+1))</f>
        <v/>
      </c>
      <c r="JF7" s="62">
        <f>IF(SUMPRODUCT(('حجز الإجازات'!$B$5:$B$104='الموظفون'!$B$5)*('حجز الإجازات'!$D$5:$D$104&lt;=JF$3)*(('حجز الإجازات'!$E$5:$E$104)&gt;=JF$3)*('حجز الإجازات'!$G$5:$G$104="معتمد")*ROW('حجز الإجازات'!$B$5:$B$104))=0,"",INDEX('حجز الإجازات'!$C$5:$C$104,(SUMPRODUCT(('حجز الإجازات'!$B$5:$B$104='الموظفون'!$B$5)*('حجز الإجازات'!$D$5:$D$104&lt;=JF$3)*(('حجز الإجازات'!$E$5:$E$104)&gt;=JF$3)*('حجز الإجازات'!$G$5:$G$104="معتمد")*ROW('حجز الإجازات'!$B$5:$B$104)))-5+1))</f>
        <v/>
      </c>
      <c r="JG7" s="62">
        <f>IF(SUMPRODUCT(('حجز الإجازات'!$B$5:$B$104='الموظفون'!$B$5)*('حجز الإجازات'!$D$5:$D$104&lt;=JG$3)*(('حجز الإجازات'!$E$5:$E$104)&gt;=JG$3)*('حجز الإجازات'!$G$5:$G$104="معتمد")*ROW('حجز الإجازات'!$B$5:$B$104))=0,"",INDEX('حجز الإجازات'!$C$5:$C$104,(SUMPRODUCT(('حجز الإجازات'!$B$5:$B$104='الموظفون'!$B$5)*('حجز الإجازات'!$D$5:$D$104&lt;=JG$3)*(('حجز الإجازات'!$E$5:$E$104)&gt;=JG$3)*('حجز الإجازات'!$G$5:$G$104="معتمد")*ROW('حجز الإجازات'!$B$5:$B$104)))-5+1))</f>
        <v/>
      </c>
      <c r="JH7" s="62">
        <f>IF(SUMPRODUCT(('حجز الإجازات'!$B$5:$B$104='الموظفون'!$B$5)*('حجز الإجازات'!$D$5:$D$104&lt;=JH$3)*(('حجز الإجازات'!$E$5:$E$104)&gt;=JH$3)*('حجز الإجازات'!$G$5:$G$104="معتمد")*ROW('حجز الإجازات'!$B$5:$B$104))=0,"",INDEX('حجز الإجازات'!$C$5:$C$104,(SUMPRODUCT(('حجز الإجازات'!$B$5:$B$104='الموظفون'!$B$5)*('حجز الإجازات'!$D$5:$D$104&lt;=JH$3)*(('حجز الإجازات'!$E$5:$E$104)&gt;=JH$3)*('حجز الإجازات'!$G$5:$G$104="معتمد")*ROW('حجز الإجازات'!$B$5:$B$104)))-5+1))</f>
        <v/>
      </c>
      <c r="JI7" s="62">
        <f>IF(SUMPRODUCT(('حجز الإجازات'!$B$5:$B$104='الموظفون'!$B$5)*('حجز الإجازات'!$D$5:$D$104&lt;=JI$3)*(('حجز الإجازات'!$E$5:$E$104)&gt;=JI$3)*('حجز الإجازات'!$G$5:$G$104="معتمد")*ROW('حجز الإجازات'!$B$5:$B$104))=0,"",INDEX('حجز الإجازات'!$C$5:$C$104,(SUMPRODUCT(('حجز الإجازات'!$B$5:$B$104='الموظفون'!$B$5)*('حجز الإجازات'!$D$5:$D$104&lt;=JI$3)*(('حجز الإجازات'!$E$5:$E$104)&gt;=JI$3)*('حجز الإجازات'!$G$5:$G$104="معتمد")*ROW('حجز الإجازات'!$B$5:$B$104)))-5+1))</f>
        <v/>
      </c>
      <c r="JJ7" s="62">
        <f>IF(SUMPRODUCT(('حجز الإجازات'!$B$5:$B$104='الموظفون'!$B$5)*('حجز الإجازات'!$D$5:$D$104&lt;=JJ$3)*(('حجز الإجازات'!$E$5:$E$104)&gt;=JJ$3)*('حجز الإجازات'!$G$5:$G$104="معتمد")*ROW('حجز الإجازات'!$B$5:$B$104))=0,"",INDEX('حجز الإجازات'!$C$5:$C$104,(SUMPRODUCT(('حجز الإجازات'!$B$5:$B$104='الموظفون'!$B$5)*('حجز الإجازات'!$D$5:$D$104&lt;=JJ$3)*(('حجز الإجازات'!$E$5:$E$104)&gt;=JJ$3)*('حجز الإجازات'!$G$5:$G$104="معتمد")*ROW('حجز الإجازات'!$B$5:$B$104)))-5+1))</f>
        <v/>
      </c>
      <c r="JK7" s="62">
        <f>IF(SUMPRODUCT(('حجز الإجازات'!$B$5:$B$104='الموظفون'!$B$5)*('حجز الإجازات'!$D$5:$D$104&lt;=JK$3)*(('حجز الإجازات'!$E$5:$E$104)&gt;=JK$3)*('حجز الإجازات'!$G$5:$G$104="معتمد")*ROW('حجز الإجازات'!$B$5:$B$104))=0,"",INDEX('حجز الإجازات'!$C$5:$C$104,(SUMPRODUCT(('حجز الإجازات'!$B$5:$B$104='الموظفون'!$B$5)*('حجز الإجازات'!$D$5:$D$104&lt;=JK$3)*(('حجز الإجازات'!$E$5:$E$104)&gt;=JK$3)*('حجز الإجازات'!$G$5:$G$104="معتمد")*ROW('حجز الإجازات'!$B$5:$B$104)))-5+1))</f>
        <v/>
      </c>
      <c r="JL7" s="62">
        <f>IF(SUMPRODUCT(('حجز الإجازات'!$B$5:$B$104='الموظفون'!$B$5)*('حجز الإجازات'!$D$5:$D$104&lt;=JL$3)*(('حجز الإجازات'!$E$5:$E$104)&gt;=JL$3)*('حجز الإجازات'!$G$5:$G$104="معتمد")*ROW('حجز الإجازات'!$B$5:$B$104))=0,"",INDEX('حجز الإجازات'!$C$5:$C$104,(SUMPRODUCT(('حجز الإجازات'!$B$5:$B$104='الموظفون'!$B$5)*('حجز الإجازات'!$D$5:$D$104&lt;=JL$3)*(('حجز الإجازات'!$E$5:$E$104)&gt;=JL$3)*('حجز الإجازات'!$G$5:$G$104="معتمد")*ROW('حجز الإجازات'!$B$5:$B$104)))-5+1))</f>
        <v/>
      </c>
      <c r="JM7" s="62">
        <f>IF(SUMPRODUCT(('حجز الإجازات'!$B$5:$B$104='الموظفون'!$B$5)*('حجز الإجازات'!$D$5:$D$104&lt;=JM$3)*(('حجز الإجازات'!$E$5:$E$104)&gt;=JM$3)*('حجز الإجازات'!$G$5:$G$104="معتمد")*ROW('حجز الإجازات'!$B$5:$B$104))=0,"",INDEX('حجز الإجازات'!$C$5:$C$104,(SUMPRODUCT(('حجز الإجازات'!$B$5:$B$104='الموظفون'!$B$5)*('حجز الإجازات'!$D$5:$D$104&lt;=JM$3)*(('حجز الإجازات'!$E$5:$E$104)&gt;=JM$3)*('حجز الإجازات'!$G$5:$G$104="معتمد")*ROW('حجز الإجازات'!$B$5:$B$104)))-5+1))</f>
        <v/>
      </c>
      <c r="JN7" s="62">
        <f>IF(SUMPRODUCT(('حجز الإجازات'!$B$5:$B$104='الموظفون'!$B$5)*('حجز الإجازات'!$D$5:$D$104&lt;=JN$3)*(('حجز الإجازات'!$E$5:$E$104)&gt;=JN$3)*('حجز الإجازات'!$G$5:$G$104="معتمد")*ROW('حجز الإجازات'!$B$5:$B$104))=0,"",INDEX('حجز الإجازات'!$C$5:$C$104,(SUMPRODUCT(('حجز الإجازات'!$B$5:$B$104='الموظفون'!$B$5)*('حجز الإجازات'!$D$5:$D$104&lt;=JN$3)*(('حجز الإجازات'!$E$5:$E$104)&gt;=JN$3)*('حجز الإجازات'!$G$5:$G$104="معتمد")*ROW('حجز الإجازات'!$B$5:$B$104)))-5+1))</f>
        <v/>
      </c>
      <c r="JO7" s="62">
        <f>IF(SUMPRODUCT(('حجز الإجازات'!$B$5:$B$104='الموظفون'!$B$5)*('حجز الإجازات'!$D$5:$D$104&lt;=JO$3)*(('حجز الإجازات'!$E$5:$E$104)&gt;=JO$3)*('حجز الإجازات'!$G$5:$G$104="معتمد")*ROW('حجز الإجازات'!$B$5:$B$104))=0,"",INDEX('حجز الإجازات'!$C$5:$C$104,(SUMPRODUCT(('حجز الإجازات'!$B$5:$B$104='الموظفون'!$B$5)*('حجز الإجازات'!$D$5:$D$104&lt;=JO$3)*(('حجز الإجازات'!$E$5:$E$104)&gt;=JO$3)*('حجز الإجازات'!$G$5:$G$104="معتمد")*ROW('حجز الإجازات'!$B$5:$B$104)))-5+1))</f>
        <v/>
      </c>
      <c r="JP7" s="62">
        <f>IF(SUMPRODUCT(('حجز الإجازات'!$B$5:$B$104='الموظفون'!$B$5)*('حجز الإجازات'!$D$5:$D$104&lt;=JP$3)*(('حجز الإجازات'!$E$5:$E$104)&gt;=JP$3)*('حجز الإجازات'!$G$5:$G$104="معتمد")*ROW('حجز الإجازات'!$B$5:$B$104))=0,"",INDEX('حجز الإجازات'!$C$5:$C$104,(SUMPRODUCT(('حجز الإجازات'!$B$5:$B$104='الموظفون'!$B$5)*('حجز الإجازات'!$D$5:$D$104&lt;=JP$3)*(('حجز الإجازات'!$E$5:$E$104)&gt;=JP$3)*('حجز الإجازات'!$G$5:$G$104="معتمد")*ROW('حجز الإجازات'!$B$5:$B$104)))-5+1))</f>
        <v/>
      </c>
      <c r="JQ7" s="62">
        <f>IF(SUMPRODUCT(('حجز الإجازات'!$B$5:$B$104='الموظفون'!$B$5)*('حجز الإجازات'!$D$5:$D$104&lt;=JQ$3)*(('حجز الإجازات'!$E$5:$E$104)&gt;=JQ$3)*('حجز الإجازات'!$G$5:$G$104="معتمد")*ROW('حجز الإجازات'!$B$5:$B$104))=0,"",INDEX('حجز الإجازات'!$C$5:$C$104,(SUMPRODUCT(('حجز الإجازات'!$B$5:$B$104='الموظفون'!$B$5)*('حجز الإجازات'!$D$5:$D$104&lt;=JQ$3)*(('حجز الإجازات'!$E$5:$E$104)&gt;=JQ$3)*('حجز الإجازات'!$G$5:$G$104="معتمد")*ROW('حجز الإجازات'!$B$5:$B$104)))-5+1))</f>
        <v/>
      </c>
      <c r="JR7" s="62">
        <f>IF(SUMPRODUCT(('حجز الإجازات'!$B$5:$B$104='الموظفون'!$B$5)*('حجز الإجازات'!$D$5:$D$104&lt;=JR$3)*(('حجز الإجازات'!$E$5:$E$104)&gt;=JR$3)*('حجز الإجازات'!$G$5:$G$104="معتمد")*ROW('حجز الإجازات'!$B$5:$B$104))=0,"",INDEX('حجز الإجازات'!$C$5:$C$104,(SUMPRODUCT(('حجز الإجازات'!$B$5:$B$104='الموظفون'!$B$5)*('حجز الإجازات'!$D$5:$D$104&lt;=JR$3)*(('حجز الإجازات'!$E$5:$E$104)&gt;=JR$3)*('حجز الإجازات'!$G$5:$G$104="معتمد")*ROW('حجز الإجازات'!$B$5:$B$104)))-5+1))</f>
        <v/>
      </c>
      <c r="JS7" s="62">
        <f>IF(SUMPRODUCT(('حجز الإجازات'!$B$5:$B$104='الموظفون'!$B$5)*('حجز الإجازات'!$D$5:$D$104&lt;=JS$3)*(('حجز الإجازات'!$E$5:$E$104)&gt;=JS$3)*('حجز الإجازات'!$G$5:$G$104="معتمد")*ROW('حجز الإجازات'!$B$5:$B$104))=0,"",INDEX('حجز الإجازات'!$C$5:$C$104,(SUMPRODUCT(('حجز الإجازات'!$B$5:$B$104='الموظفون'!$B$5)*('حجز الإجازات'!$D$5:$D$104&lt;=JS$3)*(('حجز الإجازات'!$E$5:$E$104)&gt;=JS$3)*('حجز الإجازات'!$G$5:$G$104="معتمد")*ROW('حجز الإجازات'!$B$5:$B$104)))-5+1))</f>
        <v/>
      </c>
      <c r="JT7" s="62">
        <f>IF(SUMPRODUCT(('حجز الإجازات'!$B$5:$B$104='الموظفون'!$B$5)*('حجز الإجازات'!$D$5:$D$104&lt;=JT$3)*(('حجز الإجازات'!$E$5:$E$104)&gt;=JT$3)*('حجز الإجازات'!$G$5:$G$104="معتمد")*ROW('حجز الإجازات'!$B$5:$B$104))=0,"",INDEX('حجز الإجازات'!$C$5:$C$104,(SUMPRODUCT(('حجز الإجازات'!$B$5:$B$104='الموظفون'!$B$5)*('حجز الإجازات'!$D$5:$D$104&lt;=JT$3)*(('حجز الإجازات'!$E$5:$E$104)&gt;=JT$3)*('حجز الإجازات'!$G$5:$G$104="معتمد")*ROW('حجز الإجازات'!$B$5:$B$104)))-5+1))</f>
        <v/>
      </c>
      <c r="JU7" s="62">
        <f>IF(SUMPRODUCT(('حجز الإجازات'!$B$5:$B$104='الموظفون'!$B$5)*('حجز الإجازات'!$D$5:$D$104&lt;=JU$3)*(('حجز الإجازات'!$E$5:$E$104)&gt;=JU$3)*('حجز الإجازات'!$G$5:$G$104="معتمد")*ROW('حجز الإجازات'!$B$5:$B$104))=0,"",INDEX('حجز الإجازات'!$C$5:$C$104,(SUMPRODUCT(('حجز الإجازات'!$B$5:$B$104='الموظفون'!$B$5)*('حجز الإجازات'!$D$5:$D$104&lt;=JU$3)*(('حجز الإجازات'!$E$5:$E$104)&gt;=JU$3)*('حجز الإجازات'!$G$5:$G$104="معتمد")*ROW('حجز الإجازات'!$B$5:$B$104)))-5+1))</f>
        <v/>
      </c>
      <c r="JV7" s="62">
        <f>IF(SUMPRODUCT(('حجز الإجازات'!$B$5:$B$104='الموظفون'!$B$5)*('حجز الإجازات'!$D$5:$D$104&lt;=JV$3)*(('حجز الإجازات'!$E$5:$E$104)&gt;=JV$3)*('حجز الإجازات'!$G$5:$G$104="معتمد")*ROW('حجز الإجازات'!$B$5:$B$104))=0,"",INDEX('حجز الإجازات'!$C$5:$C$104,(SUMPRODUCT(('حجز الإجازات'!$B$5:$B$104='الموظفون'!$B$5)*('حجز الإجازات'!$D$5:$D$104&lt;=JV$3)*(('حجز الإجازات'!$E$5:$E$104)&gt;=JV$3)*('حجز الإجازات'!$G$5:$G$104="معتمد")*ROW('حجز الإجازات'!$B$5:$B$104)))-5+1))</f>
        <v/>
      </c>
      <c r="JW7" s="62">
        <f>IF(SUMPRODUCT(('حجز الإجازات'!$B$5:$B$104='الموظفون'!$B$5)*('حجز الإجازات'!$D$5:$D$104&lt;=JW$3)*(('حجز الإجازات'!$E$5:$E$104)&gt;=JW$3)*('حجز الإجازات'!$G$5:$G$104="معتمد")*ROW('حجز الإجازات'!$B$5:$B$104))=0,"",INDEX('حجز الإجازات'!$C$5:$C$104,(SUMPRODUCT(('حجز الإجازات'!$B$5:$B$104='الموظفون'!$B$5)*('حجز الإجازات'!$D$5:$D$104&lt;=JW$3)*(('حجز الإجازات'!$E$5:$E$104)&gt;=JW$3)*('حجز الإجازات'!$G$5:$G$104="معتمد")*ROW('حجز الإجازات'!$B$5:$B$104)))-5+1))</f>
        <v/>
      </c>
      <c r="JX7" s="62">
        <f>IF(SUMPRODUCT(('حجز الإجازات'!$B$5:$B$104='الموظفون'!$B$5)*('حجز الإجازات'!$D$5:$D$104&lt;=JX$3)*(('حجز الإجازات'!$E$5:$E$104)&gt;=JX$3)*('حجز الإجازات'!$G$5:$G$104="معتمد")*ROW('حجز الإجازات'!$B$5:$B$104))=0,"",INDEX('حجز الإجازات'!$C$5:$C$104,(SUMPRODUCT(('حجز الإجازات'!$B$5:$B$104='الموظفون'!$B$5)*('حجز الإجازات'!$D$5:$D$104&lt;=JX$3)*(('حجز الإجازات'!$E$5:$E$104)&gt;=JX$3)*('حجز الإجازات'!$G$5:$G$104="معتمد")*ROW('حجز الإجازات'!$B$5:$B$104)))-5+1))</f>
        <v/>
      </c>
      <c r="JY7" s="62">
        <f>IF(SUMPRODUCT(('حجز الإجازات'!$B$5:$B$104='الموظفون'!$B$5)*('حجز الإجازات'!$D$5:$D$104&lt;=JY$3)*(('حجز الإجازات'!$E$5:$E$104)&gt;=JY$3)*('حجز الإجازات'!$G$5:$G$104="معتمد")*ROW('حجز الإجازات'!$B$5:$B$104))=0,"",INDEX('حجز الإجازات'!$C$5:$C$104,(SUMPRODUCT(('حجز الإجازات'!$B$5:$B$104='الموظفون'!$B$5)*('حجز الإجازات'!$D$5:$D$104&lt;=JY$3)*(('حجز الإجازات'!$E$5:$E$104)&gt;=JY$3)*('حجز الإجازات'!$G$5:$G$104="معتمد")*ROW('حجز الإجازات'!$B$5:$B$104)))-5+1))</f>
        <v/>
      </c>
      <c r="JZ7" s="62">
        <f>IF(SUMPRODUCT(('حجز الإجازات'!$B$5:$B$104='الموظفون'!$B$5)*('حجز الإجازات'!$D$5:$D$104&lt;=JZ$3)*(('حجز الإجازات'!$E$5:$E$104)&gt;=JZ$3)*('حجز الإجازات'!$G$5:$G$104="معتمد")*ROW('حجز الإجازات'!$B$5:$B$104))=0,"",INDEX('حجز الإجازات'!$C$5:$C$104,(SUMPRODUCT(('حجز الإجازات'!$B$5:$B$104='الموظفون'!$B$5)*('حجز الإجازات'!$D$5:$D$104&lt;=JZ$3)*(('حجز الإجازات'!$E$5:$E$104)&gt;=JZ$3)*('حجز الإجازات'!$G$5:$G$104="معتمد")*ROW('حجز الإجازات'!$B$5:$B$104)))-5+1))</f>
        <v/>
      </c>
      <c r="KA7" s="62">
        <f>IF(SUMPRODUCT(('حجز الإجازات'!$B$5:$B$104='الموظفون'!$B$5)*('حجز الإجازات'!$D$5:$D$104&lt;=KA$3)*(('حجز الإجازات'!$E$5:$E$104)&gt;=KA$3)*('حجز الإجازات'!$G$5:$G$104="معتمد")*ROW('حجز الإجازات'!$B$5:$B$104))=0,"",INDEX('حجز الإجازات'!$C$5:$C$104,(SUMPRODUCT(('حجز الإجازات'!$B$5:$B$104='الموظفون'!$B$5)*('حجز الإجازات'!$D$5:$D$104&lt;=KA$3)*(('حجز الإجازات'!$E$5:$E$104)&gt;=KA$3)*('حجز الإجازات'!$G$5:$G$104="معتمد")*ROW('حجز الإجازات'!$B$5:$B$104)))-5+1))</f>
        <v/>
      </c>
      <c r="KB7" s="62">
        <f>IF(SUMPRODUCT(('حجز الإجازات'!$B$5:$B$104='الموظفون'!$B$5)*('حجز الإجازات'!$D$5:$D$104&lt;=KB$3)*(('حجز الإجازات'!$E$5:$E$104)&gt;=KB$3)*('حجز الإجازات'!$G$5:$G$104="معتمد")*ROW('حجز الإجازات'!$B$5:$B$104))=0,"",INDEX('حجز الإجازات'!$C$5:$C$104,(SUMPRODUCT(('حجز الإجازات'!$B$5:$B$104='الموظفون'!$B$5)*('حجز الإجازات'!$D$5:$D$104&lt;=KB$3)*(('حجز الإجازات'!$E$5:$E$104)&gt;=KB$3)*('حجز الإجازات'!$G$5:$G$104="معتمد")*ROW('حجز الإجازات'!$B$5:$B$104)))-5+1))</f>
        <v/>
      </c>
      <c r="KC7" s="62">
        <f>IF(SUMPRODUCT(('حجز الإجازات'!$B$5:$B$104='الموظفون'!$B$5)*('حجز الإجازات'!$D$5:$D$104&lt;=KC$3)*(('حجز الإجازات'!$E$5:$E$104)&gt;=KC$3)*('حجز الإجازات'!$G$5:$G$104="معتمد")*ROW('حجز الإجازات'!$B$5:$B$104))=0,"",INDEX('حجز الإجازات'!$C$5:$C$104,(SUMPRODUCT(('حجز الإجازات'!$B$5:$B$104='الموظفون'!$B$5)*('حجز الإجازات'!$D$5:$D$104&lt;=KC$3)*(('حجز الإجازات'!$E$5:$E$104)&gt;=KC$3)*('حجز الإجازات'!$G$5:$G$104="معتمد")*ROW('حجز الإجازات'!$B$5:$B$104)))-5+1))</f>
        <v/>
      </c>
      <c r="KD7" s="62">
        <f>IF(SUMPRODUCT(('حجز الإجازات'!$B$5:$B$104='الموظفون'!$B$5)*('حجز الإجازات'!$D$5:$D$104&lt;=KD$3)*(('حجز الإجازات'!$E$5:$E$104)&gt;=KD$3)*('حجز الإجازات'!$G$5:$G$104="معتمد")*ROW('حجز الإجازات'!$B$5:$B$104))=0,"",INDEX('حجز الإجازات'!$C$5:$C$104,(SUMPRODUCT(('حجز الإجازات'!$B$5:$B$104='الموظفون'!$B$5)*('حجز الإجازات'!$D$5:$D$104&lt;=KD$3)*(('حجز الإجازات'!$E$5:$E$104)&gt;=KD$3)*('حجز الإجازات'!$G$5:$G$104="معتمد")*ROW('حجز الإجازات'!$B$5:$B$104)))-5+1))</f>
        <v/>
      </c>
      <c r="KE7" s="62">
        <f>IF(SUMPRODUCT(('حجز الإجازات'!$B$5:$B$104='الموظفون'!$B$5)*('حجز الإجازات'!$D$5:$D$104&lt;=KE$3)*(('حجز الإجازات'!$E$5:$E$104)&gt;=KE$3)*('حجز الإجازات'!$G$5:$G$104="معتمد")*ROW('حجز الإجازات'!$B$5:$B$104))=0,"",INDEX('حجز الإجازات'!$C$5:$C$104,(SUMPRODUCT(('حجز الإجازات'!$B$5:$B$104='الموظفون'!$B$5)*('حجز الإجازات'!$D$5:$D$104&lt;=KE$3)*(('حجز الإجازات'!$E$5:$E$104)&gt;=KE$3)*('حجز الإجازات'!$G$5:$G$104="معتمد")*ROW('حجز الإجازات'!$B$5:$B$104)))-5+1))</f>
        <v/>
      </c>
      <c r="KF7" s="62">
        <f>IF(SUMPRODUCT(('حجز الإجازات'!$B$5:$B$104='الموظفون'!$B$5)*('حجز الإجازات'!$D$5:$D$104&lt;=KF$3)*(('حجز الإجازات'!$E$5:$E$104)&gt;=KF$3)*('حجز الإجازات'!$G$5:$G$104="معتمد")*ROW('حجز الإجازات'!$B$5:$B$104))=0,"",INDEX('حجز الإجازات'!$C$5:$C$104,(SUMPRODUCT(('حجز الإجازات'!$B$5:$B$104='الموظفون'!$B$5)*('حجز الإجازات'!$D$5:$D$104&lt;=KF$3)*(('حجز الإجازات'!$E$5:$E$104)&gt;=KF$3)*('حجز الإجازات'!$G$5:$G$104="معتمد")*ROW('حجز الإجازات'!$B$5:$B$104)))-5+1))</f>
        <v/>
      </c>
      <c r="KG7" s="62">
        <f>IF(SUMPRODUCT(('حجز الإجازات'!$B$5:$B$104='الموظفون'!$B$5)*('حجز الإجازات'!$D$5:$D$104&lt;=KG$3)*(('حجز الإجازات'!$E$5:$E$104)&gt;=KG$3)*('حجز الإجازات'!$G$5:$G$104="معتمد")*ROW('حجز الإجازات'!$B$5:$B$104))=0,"",INDEX('حجز الإجازات'!$C$5:$C$104,(SUMPRODUCT(('حجز الإجازات'!$B$5:$B$104='الموظفون'!$B$5)*('حجز الإجازات'!$D$5:$D$104&lt;=KG$3)*(('حجز الإجازات'!$E$5:$E$104)&gt;=KG$3)*('حجز الإجازات'!$G$5:$G$104="معتمد")*ROW('حجز الإجازات'!$B$5:$B$104)))-5+1))</f>
        <v/>
      </c>
      <c r="KH7" s="62">
        <f>IF(SUMPRODUCT(('حجز الإجازات'!$B$5:$B$104='الموظفون'!$B$5)*('حجز الإجازات'!$D$5:$D$104&lt;=KH$3)*(('حجز الإجازات'!$E$5:$E$104)&gt;=KH$3)*('حجز الإجازات'!$G$5:$G$104="معتمد")*ROW('حجز الإجازات'!$B$5:$B$104))=0,"",INDEX('حجز الإجازات'!$C$5:$C$104,(SUMPRODUCT(('حجز الإجازات'!$B$5:$B$104='الموظفون'!$B$5)*('حجز الإجازات'!$D$5:$D$104&lt;=KH$3)*(('حجز الإجازات'!$E$5:$E$104)&gt;=KH$3)*('حجز الإجازات'!$G$5:$G$104="معتمد")*ROW('حجز الإجازات'!$B$5:$B$104)))-5+1))</f>
        <v/>
      </c>
      <c r="KI7" s="62">
        <f>IF(SUMPRODUCT(('حجز الإجازات'!$B$5:$B$104='الموظفون'!$B$5)*('حجز الإجازات'!$D$5:$D$104&lt;=KI$3)*(('حجز الإجازات'!$E$5:$E$104)&gt;=KI$3)*('حجز الإجازات'!$G$5:$G$104="معتمد")*ROW('حجز الإجازات'!$B$5:$B$104))=0,"",INDEX('حجز الإجازات'!$C$5:$C$104,(SUMPRODUCT(('حجز الإجازات'!$B$5:$B$104='الموظفون'!$B$5)*('حجز الإجازات'!$D$5:$D$104&lt;=KI$3)*(('حجز الإجازات'!$E$5:$E$104)&gt;=KI$3)*('حجز الإجازات'!$G$5:$G$104="معتمد")*ROW('حجز الإجازات'!$B$5:$B$104)))-5+1))</f>
        <v/>
      </c>
      <c r="KJ7" s="62">
        <f>IF(SUMPRODUCT(('حجز الإجازات'!$B$5:$B$104='الموظفون'!$B$5)*('حجز الإجازات'!$D$5:$D$104&lt;=KJ$3)*(('حجز الإجازات'!$E$5:$E$104)&gt;=KJ$3)*('حجز الإجازات'!$G$5:$G$104="معتمد")*ROW('حجز الإجازات'!$B$5:$B$104))=0,"",INDEX('حجز الإجازات'!$C$5:$C$104,(SUMPRODUCT(('حجز الإجازات'!$B$5:$B$104='الموظفون'!$B$5)*('حجز الإجازات'!$D$5:$D$104&lt;=KJ$3)*(('حجز الإجازات'!$E$5:$E$104)&gt;=KJ$3)*('حجز الإجازات'!$G$5:$G$104="معتمد")*ROW('حجز الإجازات'!$B$5:$B$104)))-5+1))</f>
        <v/>
      </c>
      <c r="KK7" s="62">
        <f>IF(SUMPRODUCT(('حجز الإجازات'!$B$5:$B$104='الموظفون'!$B$5)*('حجز الإجازات'!$D$5:$D$104&lt;=KK$3)*(('حجز الإجازات'!$E$5:$E$104)&gt;=KK$3)*('حجز الإجازات'!$G$5:$G$104="معتمد")*ROW('حجز الإجازات'!$B$5:$B$104))=0,"",INDEX('حجز الإجازات'!$C$5:$C$104,(SUMPRODUCT(('حجز الإجازات'!$B$5:$B$104='الموظفون'!$B$5)*('حجز الإجازات'!$D$5:$D$104&lt;=KK$3)*(('حجز الإجازات'!$E$5:$E$104)&gt;=KK$3)*('حجز الإجازات'!$G$5:$G$104="معتمد")*ROW('حجز الإجازات'!$B$5:$B$104)))-5+1))</f>
        <v/>
      </c>
      <c r="KL7" s="62">
        <f>IF(SUMPRODUCT(('حجز الإجازات'!$B$5:$B$104='الموظفون'!$B$5)*('حجز الإجازات'!$D$5:$D$104&lt;=KL$3)*(('حجز الإجازات'!$E$5:$E$104)&gt;=KL$3)*('حجز الإجازات'!$G$5:$G$104="معتمد")*ROW('حجز الإجازات'!$B$5:$B$104))=0,"",INDEX('حجز الإجازات'!$C$5:$C$104,(SUMPRODUCT(('حجز الإجازات'!$B$5:$B$104='الموظفون'!$B$5)*('حجز الإجازات'!$D$5:$D$104&lt;=KL$3)*(('حجز الإجازات'!$E$5:$E$104)&gt;=KL$3)*('حجز الإجازات'!$G$5:$G$104="معتمد")*ROW('حجز الإجازات'!$B$5:$B$104)))-5+1))</f>
        <v/>
      </c>
      <c r="KM7" s="62">
        <f>IF(SUMPRODUCT(('حجز الإجازات'!$B$5:$B$104='الموظفون'!$B$5)*('حجز الإجازات'!$D$5:$D$104&lt;=KM$3)*(('حجز الإجازات'!$E$5:$E$104)&gt;=KM$3)*('حجز الإجازات'!$G$5:$G$104="معتمد")*ROW('حجز الإجازات'!$B$5:$B$104))=0,"",INDEX('حجز الإجازات'!$C$5:$C$104,(SUMPRODUCT(('حجز الإجازات'!$B$5:$B$104='الموظفون'!$B$5)*('حجز الإجازات'!$D$5:$D$104&lt;=KM$3)*(('حجز الإجازات'!$E$5:$E$104)&gt;=KM$3)*('حجز الإجازات'!$G$5:$G$104="معتمد")*ROW('حجز الإجازات'!$B$5:$B$104)))-5+1))</f>
        <v/>
      </c>
      <c r="KN7" s="62">
        <f>IF(SUMPRODUCT(('حجز الإجازات'!$B$5:$B$104='الموظفون'!$B$5)*('حجز الإجازات'!$D$5:$D$104&lt;=KN$3)*(('حجز الإجازات'!$E$5:$E$104)&gt;=KN$3)*('حجز الإجازات'!$G$5:$G$104="معتمد")*ROW('حجز الإجازات'!$B$5:$B$104))=0,"",INDEX('حجز الإجازات'!$C$5:$C$104,(SUMPRODUCT(('حجز الإجازات'!$B$5:$B$104='الموظفون'!$B$5)*('حجز الإجازات'!$D$5:$D$104&lt;=KN$3)*(('حجز الإجازات'!$E$5:$E$104)&gt;=KN$3)*('حجز الإجازات'!$G$5:$G$104="معتمد")*ROW('حجز الإجازات'!$B$5:$B$104)))-5+1))</f>
        <v/>
      </c>
      <c r="KO7" s="62">
        <f>IF(SUMPRODUCT(('حجز الإجازات'!$B$5:$B$104='الموظفون'!$B$5)*('حجز الإجازات'!$D$5:$D$104&lt;=KO$3)*(('حجز الإجازات'!$E$5:$E$104)&gt;=KO$3)*('حجز الإجازات'!$G$5:$G$104="معتمد")*ROW('حجز الإجازات'!$B$5:$B$104))=0,"",INDEX('حجز الإجازات'!$C$5:$C$104,(SUMPRODUCT(('حجز الإجازات'!$B$5:$B$104='الموظفون'!$B$5)*('حجز الإجازات'!$D$5:$D$104&lt;=KO$3)*(('حجز الإجازات'!$E$5:$E$104)&gt;=KO$3)*('حجز الإجازات'!$G$5:$G$104="معتمد")*ROW('حجز الإجازات'!$B$5:$B$104)))-5+1))</f>
        <v/>
      </c>
      <c r="KP7" s="62">
        <f>IF(SUMPRODUCT(('حجز الإجازات'!$B$5:$B$104='الموظفون'!$B$5)*('حجز الإجازات'!$D$5:$D$104&lt;=KP$3)*(('حجز الإجازات'!$E$5:$E$104)&gt;=KP$3)*('حجز الإجازات'!$G$5:$G$104="معتمد")*ROW('حجز الإجازات'!$B$5:$B$104))=0,"",INDEX('حجز الإجازات'!$C$5:$C$104,(SUMPRODUCT(('حجز الإجازات'!$B$5:$B$104='الموظفون'!$B$5)*('حجز الإجازات'!$D$5:$D$104&lt;=KP$3)*(('حجز الإجازات'!$E$5:$E$104)&gt;=KP$3)*('حجز الإجازات'!$G$5:$G$104="معتمد")*ROW('حجز الإجازات'!$B$5:$B$104)))-5+1))</f>
        <v/>
      </c>
      <c r="KQ7" s="62">
        <f>IF(SUMPRODUCT(('حجز الإجازات'!$B$5:$B$104='الموظفون'!$B$5)*('حجز الإجازات'!$D$5:$D$104&lt;=KQ$3)*(('حجز الإجازات'!$E$5:$E$104)&gt;=KQ$3)*('حجز الإجازات'!$G$5:$G$104="معتمد")*ROW('حجز الإجازات'!$B$5:$B$104))=0,"",INDEX('حجز الإجازات'!$C$5:$C$104,(SUMPRODUCT(('حجز الإجازات'!$B$5:$B$104='الموظفون'!$B$5)*('حجز الإجازات'!$D$5:$D$104&lt;=KQ$3)*(('حجز الإجازات'!$E$5:$E$104)&gt;=KQ$3)*('حجز الإجازات'!$G$5:$G$104="معتمد")*ROW('حجز الإجازات'!$B$5:$B$104)))-5+1))</f>
        <v/>
      </c>
      <c r="KR7" s="62">
        <f>IF(SUMPRODUCT(('حجز الإجازات'!$B$5:$B$104='الموظفون'!$B$5)*('حجز الإجازات'!$D$5:$D$104&lt;=KR$3)*(('حجز الإجازات'!$E$5:$E$104)&gt;=KR$3)*('حجز الإجازات'!$G$5:$G$104="معتمد")*ROW('حجز الإجازات'!$B$5:$B$104))=0,"",INDEX('حجز الإجازات'!$C$5:$C$104,(SUMPRODUCT(('حجز الإجازات'!$B$5:$B$104='الموظفون'!$B$5)*('حجز الإجازات'!$D$5:$D$104&lt;=KR$3)*(('حجز الإجازات'!$E$5:$E$104)&gt;=KR$3)*('حجز الإجازات'!$G$5:$G$104="معتمد")*ROW('حجز الإجازات'!$B$5:$B$104)))-5+1))</f>
        <v/>
      </c>
      <c r="KS7" s="62">
        <f>IF(SUMPRODUCT(('حجز الإجازات'!$B$5:$B$104='الموظفون'!$B$5)*('حجز الإجازات'!$D$5:$D$104&lt;=KS$3)*(('حجز الإجازات'!$E$5:$E$104)&gt;=KS$3)*('حجز الإجازات'!$G$5:$G$104="معتمد")*ROW('حجز الإجازات'!$B$5:$B$104))=0,"",INDEX('حجز الإجازات'!$C$5:$C$104,(SUMPRODUCT(('حجز الإجازات'!$B$5:$B$104='الموظفون'!$B$5)*('حجز الإجازات'!$D$5:$D$104&lt;=KS$3)*(('حجز الإجازات'!$E$5:$E$104)&gt;=KS$3)*('حجز الإجازات'!$G$5:$G$104="معتمد")*ROW('حجز الإجازات'!$B$5:$B$104)))-5+1))</f>
        <v/>
      </c>
      <c r="KT7" s="62">
        <f>IF(SUMPRODUCT(('حجز الإجازات'!$B$5:$B$104='الموظفون'!$B$5)*('حجز الإجازات'!$D$5:$D$104&lt;=KT$3)*(('حجز الإجازات'!$E$5:$E$104)&gt;=KT$3)*('حجز الإجازات'!$G$5:$G$104="معتمد")*ROW('حجز الإجازات'!$B$5:$B$104))=0,"",INDEX('حجز الإجازات'!$C$5:$C$104,(SUMPRODUCT(('حجز الإجازات'!$B$5:$B$104='الموظفون'!$B$5)*('حجز الإجازات'!$D$5:$D$104&lt;=KT$3)*(('حجز الإجازات'!$E$5:$E$104)&gt;=KT$3)*('حجز الإجازات'!$G$5:$G$104="معتمد")*ROW('حجز الإجازات'!$B$5:$B$104)))-5+1))</f>
        <v/>
      </c>
      <c r="KU7" s="62">
        <f>IF(SUMPRODUCT(('حجز الإجازات'!$B$5:$B$104='الموظفون'!$B$5)*('حجز الإجازات'!$D$5:$D$104&lt;=KU$3)*(('حجز الإجازات'!$E$5:$E$104)&gt;=KU$3)*('حجز الإجازات'!$G$5:$G$104="معتمد")*ROW('حجز الإجازات'!$B$5:$B$104))=0,"",INDEX('حجز الإجازات'!$C$5:$C$104,(SUMPRODUCT(('حجز الإجازات'!$B$5:$B$104='الموظفون'!$B$5)*('حجز الإجازات'!$D$5:$D$104&lt;=KU$3)*(('حجز الإجازات'!$E$5:$E$104)&gt;=KU$3)*('حجز الإجازات'!$G$5:$G$104="معتمد")*ROW('حجز الإجازات'!$B$5:$B$104)))-5+1))</f>
        <v/>
      </c>
      <c r="KV7" s="62">
        <f>IF(SUMPRODUCT(('حجز الإجازات'!$B$5:$B$104='الموظفون'!$B$5)*('حجز الإجازات'!$D$5:$D$104&lt;=KV$3)*(('حجز الإجازات'!$E$5:$E$104)&gt;=KV$3)*('حجز الإجازات'!$G$5:$G$104="معتمد")*ROW('حجز الإجازات'!$B$5:$B$104))=0,"",INDEX('حجز الإجازات'!$C$5:$C$104,(SUMPRODUCT(('حجز الإجازات'!$B$5:$B$104='الموظفون'!$B$5)*('حجز الإجازات'!$D$5:$D$104&lt;=KV$3)*(('حجز الإجازات'!$E$5:$E$104)&gt;=KV$3)*('حجز الإجازات'!$G$5:$G$104="معتمد")*ROW('حجز الإجازات'!$B$5:$B$104)))-5+1))</f>
        <v/>
      </c>
      <c r="KW7" s="62">
        <f>IF(SUMPRODUCT(('حجز الإجازات'!$B$5:$B$104='الموظفون'!$B$5)*('حجز الإجازات'!$D$5:$D$104&lt;=KW$3)*(('حجز الإجازات'!$E$5:$E$104)&gt;=KW$3)*('حجز الإجازات'!$G$5:$G$104="معتمد")*ROW('حجز الإجازات'!$B$5:$B$104))=0,"",INDEX('حجز الإجازات'!$C$5:$C$104,(SUMPRODUCT(('حجز الإجازات'!$B$5:$B$104='الموظفون'!$B$5)*('حجز الإجازات'!$D$5:$D$104&lt;=KW$3)*(('حجز الإجازات'!$E$5:$E$104)&gt;=KW$3)*('حجز الإجازات'!$G$5:$G$104="معتمد")*ROW('حجز الإجازات'!$B$5:$B$104)))-5+1))</f>
        <v/>
      </c>
      <c r="KX7" s="62">
        <f>IF(SUMPRODUCT(('حجز الإجازات'!$B$5:$B$104='الموظفون'!$B$5)*('حجز الإجازات'!$D$5:$D$104&lt;=KX$3)*(('حجز الإجازات'!$E$5:$E$104)&gt;=KX$3)*('حجز الإجازات'!$G$5:$G$104="معتمد")*ROW('حجز الإجازات'!$B$5:$B$104))=0,"",INDEX('حجز الإجازات'!$C$5:$C$104,(SUMPRODUCT(('حجز الإجازات'!$B$5:$B$104='الموظفون'!$B$5)*('حجز الإجازات'!$D$5:$D$104&lt;=KX$3)*(('حجز الإجازات'!$E$5:$E$104)&gt;=KX$3)*('حجز الإجازات'!$G$5:$G$104="معتمد")*ROW('حجز الإجازات'!$B$5:$B$104)))-5+1))</f>
        <v/>
      </c>
      <c r="KY7" s="62">
        <f>IF(SUMPRODUCT(('حجز الإجازات'!$B$5:$B$104='الموظفون'!$B$5)*('حجز الإجازات'!$D$5:$D$104&lt;=KY$3)*(('حجز الإجازات'!$E$5:$E$104)&gt;=KY$3)*('حجز الإجازات'!$G$5:$G$104="معتمد")*ROW('حجز الإجازات'!$B$5:$B$104))=0,"",INDEX('حجز الإجازات'!$C$5:$C$104,(SUMPRODUCT(('حجز الإجازات'!$B$5:$B$104='الموظفون'!$B$5)*('حجز الإجازات'!$D$5:$D$104&lt;=KY$3)*(('حجز الإجازات'!$E$5:$E$104)&gt;=KY$3)*('حجز الإجازات'!$G$5:$G$104="معتمد")*ROW('حجز الإجازات'!$B$5:$B$104)))-5+1))</f>
        <v/>
      </c>
      <c r="KZ7" s="62">
        <f>IF(SUMPRODUCT(('حجز الإجازات'!$B$5:$B$104='الموظفون'!$B$5)*('حجز الإجازات'!$D$5:$D$104&lt;=KZ$3)*(('حجز الإجازات'!$E$5:$E$104)&gt;=KZ$3)*('حجز الإجازات'!$G$5:$G$104="معتمد")*ROW('حجز الإجازات'!$B$5:$B$104))=0,"",INDEX('حجز الإجازات'!$C$5:$C$104,(SUMPRODUCT(('حجز الإجازات'!$B$5:$B$104='الموظفون'!$B$5)*('حجز الإجازات'!$D$5:$D$104&lt;=KZ$3)*(('حجز الإجازات'!$E$5:$E$104)&gt;=KZ$3)*('حجز الإجازات'!$G$5:$G$104="معتمد")*ROW('حجز الإجازات'!$B$5:$B$104)))-5+1))</f>
        <v/>
      </c>
      <c r="LA7" s="62">
        <f>IF(SUMPRODUCT(('حجز الإجازات'!$B$5:$B$104='الموظفون'!$B$5)*('حجز الإجازات'!$D$5:$D$104&lt;=LA$3)*(('حجز الإجازات'!$E$5:$E$104)&gt;=LA$3)*('حجز الإجازات'!$G$5:$G$104="معتمد")*ROW('حجز الإجازات'!$B$5:$B$104))=0,"",INDEX('حجز الإجازات'!$C$5:$C$104,(SUMPRODUCT(('حجز الإجازات'!$B$5:$B$104='الموظفون'!$B$5)*('حجز الإجازات'!$D$5:$D$104&lt;=LA$3)*(('حجز الإجازات'!$E$5:$E$104)&gt;=LA$3)*('حجز الإجازات'!$G$5:$G$104="معتمد")*ROW('حجز الإجازات'!$B$5:$B$104)))-5+1))</f>
        <v/>
      </c>
      <c r="LB7" s="62">
        <f>IF(SUMPRODUCT(('حجز الإجازات'!$B$5:$B$104='الموظفون'!$B$5)*('حجز الإجازات'!$D$5:$D$104&lt;=LB$3)*(('حجز الإجازات'!$E$5:$E$104)&gt;=LB$3)*('حجز الإجازات'!$G$5:$G$104="معتمد")*ROW('حجز الإجازات'!$B$5:$B$104))=0,"",INDEX('حجز الإجازات'!$C$5:$C$104,(SUMPRODUCT(('حجز الإجازات'!$B$5:$B$104='الموظفون'!$B$5)*('حجز الإجازات'!$D$5:$D$104&lt;=LB$3)*(('حجز الإجازات'!$E$5:$E$104)&gt;=LB$3)*('حجز الإجازات'!$G$5:$G$104="معتمد")*ROW('حجز الإجازات'!$B$5:$B$104)))-5+1))</f>
        <v/>
      </c>
      <c r="LC7" s="62">
        <f>IF(SUMPRODUCT(('حجز الإجازات'!$B$5:$B$104='الموظفون'!$B$5)*('حجز الإجازات'!$D$5:$D$104&lt;=LC$3)*(('حجز الإجازات'!$E$5:$E$104)&gt;=LC$3)*('حجز الإجازات'!$G$5:$G$104="معتمد")*ROW('حجز الإجازات'!$B$5:$B$104))=0,"",INDEX('حجز الإجازات'!$C$5:$C$104,(SUMPRODUCT(('حجز الإجازات'!$B$5:$B$104='الموظفون'!$B$5)*('حجز الإجازات'!$D$5:$D$104&lt;=LC$3)*(('حجز الإجازات'!$E$5:$E$104)&gt;=LC$3)*('حجز الإجازات'!$G$5:$G$104="معتمد")*ROW('حجز الإجازات'!$B$5:$B$104)))-5+1))</f>
        <v/>
      </c>
      <c r="LD7" s="62">
        <f>IF(SUMPRODUCT(('حجز الإجازات'!$B$5:$B$104='الموظفون'!$B$5)*('حجز الإجازات'!$D$5:$D$104&lt;=LD$3)*(('حجز الإجازات'!$E$5:$E$104)&gt;=LD$3)*('حجز الإجازات'!$G$5:$G$104="معتمد")*ROW('حجز الإجازات'!$B$5:$B$104))=0,"",INDEX('حجز الإجازات'!$C$5:$C$104,(SUMPRODUCT(('حجز الإجازات'!$B$5:$B$104='الموظفون'!$B$5)*('حجز الإجازات'!$D$5:$D$104&lt;=LD$3)*(('حجز الإجازات'!$E$5:$E$104)&gt;=LD$3)*('حجز الإجازات'!$G$5:$G$104="معتمد")*ROW('حجز الإجازات'!$B$5:$B$104)))-5+1))</f>
        <v/>
      </c>
      <c r="LE7" s="62">
        <f>IF(SUMPRODUCT(('حجز الإجازات'!$B$5:$B$104='الموظفون'!$B$5)*('حجز الإجازات'!$D$5:$D$104&lt;=LE$3)*(('حجز الإجازات'!$E$5:$E$104)&gt;=LE$3)*('حجز الإجازات'!$G$5:$G$104="معتمد")*ROW('حجز الإجازات'!$B$5:$B$104))=0,"",INDEX('حجز الإجازات'!$C$5:$C$104,(SUMPRODUCT(('حجز الإجازات'!$B$5:$B$104='الموظفون'!$B$5)*('حجز الإجازات'!$D$5:$D$104&lt;=LE$3)*(('حجز الإجازات'!$E$5:$E$104)&gt;=LE$3)*('حجز الإجازات'!$G$5:$G$104="معتمد")*ROW('حجز الإجازات'!$B$5:$B$104)))-5+1))</f>
        <v/>
      </c>
      <c r="LF7" s="62">
        <f>IF(SUMPRODUCT(('حجز الإجازات'!$B$5:$B$104='الموظفون'!$B$5)*('حجز الإجازات'!$D$5:$D$104&lt;=LF$3)*(('حجز الإجازات'!$E$5:$E$104)&gt;=LF$3)*('حجز الإجازات'!$G$5:$G$104="معتمد")*ROW('حجز الإجازات'!$B$5:$B$104))=0,"",INDEX('حجز الإجازات'!$C$5:$C$104,(SUMPRODUCT(('حجز الإجازات'!$B$5:$B$104='الموظفون'!$B$5)*('حجز الإجازات'!$D$5:$D$104&lt;=LF$3)*(('حجز الإجازات'!$E$5:$E$104)&gt;=LF$3)*('حجز الإجازات'!$G$5:$G$104="معتمد")*ROW('حجز الإجازات'!$B$5:$B$104)))-5+1))</f>
        <v/>
      </c>
      <c r="LG7" s="62">
        <f>IF(SUMPRODUCT(('حجز الإجازات'!$B$5:$B$104='الموظفون'!$B$5)*('حجز الإجازات'!$D$5:$D$104&lt;=LG$3)*(('حجز الإجازات'!$E$5:$E$104)&gt;=LG$3)*('حجز الإجازات'!$G$5:$G$104="معتمد")*ROW('حجز الإجازات'!$B$5:$B$104))=0,"",INDEX('حجز الإجازات'!$C$5:$C$104,(SUMPRODUCT(('حجز الإجازات'!$B$5:$B$104='الموظفون'!$B$5)*('حجز الإجازات'!$D$5:$D$104&lt;=LG$3)*(('حجز الإجازات'!$E$5:$E$104)&gt;=LG$3)*('حجز الإجازات'!$G$5:$G$104="معتمد")*ROW('حجز الإجازات'!$B$5:$B$104)))-5+1))</f>
        <v/>
      </c>
      <c r="LH7" s="62">
        <f>IF(SUMPRODUCT(('حجز الإجازات'!$B$5:$B$104='الموظفون'!$B$5)*('حجز الإجازات'!$D$5:$D$104&lt;=LH$3)*(('حجز الإجازات'!$E$5:$E$104)&gt;=LH$3)*('حجز الإجازات'!$G$5:$G$104="معتمد")*ROW('حجز الإجازات'!$B$5:$B$104))=0,"",INDEX('حجز الإجازات'!$C$5:$C$104,(SUMPRODUCT(('حجز الإجازات'!$B$5:$B$104='الموظفون'!$B$5)*('حجز الإجازات'!$D$5:$D$104&lt;=LH$3)*(('حجز الإجازات'!$E$5:$E$104)&gt;=LH$3)*('حجز الإجازات'!$G$5:$G$104="معتمد")*ROW('حجز الإجازات'!$B$5:$B$104)))-5+1))</f>
        <v/>
      </c>
      <c r="LI7" s="62">
        <f>IF(SUMPRODUCT(('حجز الإجازات'!$B$5:$B$104='الموظفون'!$B$5)*('حجز الإجازات'!$D$5:$D$104&lt;=LI$3)*(('حجز الإجازات'!$E$5:$E$104)&gt;=LI$3)*('حجز الإجازات'!$G$5:$G$104="معتمد")*ROW('حجز الإجازات'!$B$5:$B$104))=0,"",INDEX('حجز الإجازات'!$C$5:$C$104,(SUMPRODUCT(('حجز الإجازات'!$B$5:$B$104='الموظفون'!$B$5)*('حجز الإجازات'!$D$5:$D$104&lt;=LI$3)*(('حجز الإجازات'!$E$5:$E$104)&gt;=LI$3)*('حجز الإجازات'!$G$5:$G$104="معتمد")*ROW('حجز الإجازات'!$B$5:$B$104)))-5+1))</f>
        <v/>
      </c>
      <c r="LJ7" s="62">
        <f>IF(SUMPRODUCT(('حجز الإجازات'!$B$5:$B$104='الموظفون'!$B$5)*('حجز الإجازات'!$D$5:$D$104&lt;=LJ$3)*(('حجز الإجازات'!$E$5:$E$104)&gt;=LJ$3)*('حجز الإجازات'!$G$5:$G$104="معتمد")*ROW('حجز الإجازات'!$B$5:$B$104))=0,"",INDEX('حجز الإجازات'!$C$5:$C$104,(SUMPRODUCT(('حجز الإجازات'!$B$5:$B$104='الموظفون'!$B$5)*('حجز الإجازات'!$D$5:$D$104&lt;=LJ$3)*(('حجز الإجازات'!$E$5:$E$104)&gt;=LJ$3)*('حجز الإجازات'!$G$5:$G$104="معتمد")*ROW('حجز الإجازات'!$B$5:$B$104)))-5+1))</f>
        <v/>
      </c>
      <c r="LK7" s="62">
        <f>IF(SUMPRODUCT(('حجز الإجازات'!$B$5:$B$104='الموظفون'!$B$5)*('حجز الإجازات'!$D$5:$D$104&lt;=LK$3)*(('حجز الإجازات'!$E$5:$E$104)&gt;=LK$3)*('حجز الإجازات'!$G$5:$G$104="معتمد")*ROW('حجز الإجازات'!$B$5:$B$104))=0,"",INDEX('حجز الإجازات'!$C$5:$C$104,(SUMPRODUCT(('حجز الإجازات'!$B$5:$B$104='الموظفون'!$B$5)*('حجز الإجازات'!$D$5:$D$104&lt;=LK$3)*(('حجز الإجازات'!$E$5:$E$104)&gt;=LK$3)*('حجز الإجازات'!$G$5:$G$104="معتمد")*ROW('حجز الإجازات'!$B$5:$B$104)))-5+1))</f>
        <v/>
      </c>
      <c r="LL7" s="62">
        <f>IF(SUMPRODUCT(('حجز الإجازات'!$B$5:$B$104='الموظفون'!$B$5)*('حجز الإجازات'!$D$5:$D$104&lt;=LL$3)*(('حجز الإجازات'!$E$5:$E$104)&gt;=LL$3)*('حجز الإجازات'!$G$5:$G$104="معتمد")*ROW('حجز الإجازات'!$B$5:$B$104))=0,"",INDEX('حجز الإجازات'!$C$5:$C$104,(SUMPRODUCT(('حجز الإجازات'!$B$5:$B$104='الموظفون'!$B$5)*('حجز الإجازات'!$D$5:$D$104&lt;=LL$3)*(('حجز الإجازات'!$E$5:$E$104)&gt;=LL$3)*('حجز الإجازات'!$G$5:$G$104="معتمد")*ROW('حجز الإجازات'!$B$5:$B$104)))-5+1))</f>
        <v/>
      </c>
      <c r="LM7" s="62">
        <f>IF(SUMPRODUCT(('حجز الإجازات'!$B$5:$B$104='الموظفون'!$B$5)*('حجز الإجازات'!$D$5:$D$104&lt;=LM$3)*(('حجز الإجازات'!$E$5:$E$104)&gt;=LM$3)*('حجز الإجازات'!$G$5:$G$104="معتمد")*ROW('حجز الإجازات'!$B$5:$B$104))=0,"",INDEX('حجز الإجازات'!$C$5:$C$104,(SUMPRODUCT(('حجز الإجازات'!$B$5:$B$104='الموظفون'!$B$5)*('حجز الإجازات'!$D$5:$D$104&lt;=LM$3)*(('حجز الإجازات'!$E$5:$E$104)&gt;=LM$3)*('حجز الإجازات'!$G$5:$G$104="معتمد")*ROW('حجز الإجازات'!$B$5:$B$104)))-5+1))</f>
        <v/>
      </c>
      <c r="LN7" s="62">
        <f>IF(SUMPRODUCT(('حجز الإجازات'!$B$5:$B$104='الموظفون'!$B$5)*('حجز الإجازات'!$D$5:$D$104&lt;=LN$3)*(('حجز الإجازات'!$E$5:$E$104)&gt;=LN$3)*('حجز الإجازات'!$G$5:$G$104="معتمد")*ROW('حجز الإجازات'!$B$5:$B$104))=0,"",INDEX('حجز الإجازات'!$C$5:$C$104,(SUMPRODUCT(('حجز الإجازات'!$B$5:$B$104='الموظفون'!$B$5)*('حجز الإجازات'!$D$5:$D$104&lt;=LN$3)*(('حجز الإجازات'!$E$5:$E$104)&gt;=LN$3)*('حجز الإجازات'!$G$5:$G$104="معتمد")*ROW('حجز الإجازات'!$B$5:$B$104)))-5+1))</f>
        <v/>
      </c>
      <c r="LO7" s="62">
        <f>IF(SUMPRODUCT(('حجز الإجازات'!$B$5:$B$104='الموظفون'!$B$5)*('حجز الإجازات'!$D$5:$D$104&lt;=LO$3)*(('حجز الإجازات'!$E$5:$E$104)&gt;=LO$3)*('حجز الإجازات'!$G$5:$G$104="معتمد")*ROW('حجز الإجازات'!$B$5:$B$104))=0,"",INDEX('حجز الإجازات'!$C$5:$C$104,(SUMPRODUCT(('حجز الإجازات'!$B$5:$B$104='الموظفون'!$B$5)*('حجز الإجازات'!$D$5:$D$104&lt;=LO$3)*(('حجز الإجازات'!$E$5:$E$104)&gt;=LO$3)*('حجز الإجازات'!$G$5:$G$104="معتمد")*ROW('حجز الإجازات'!$B$5:$B$104)))-5+1))</f>
        <v/>
      </c>
      <c r="LP7" s="62">
        <f>IF(SUMPRODUCT(('حجز الإجازات'!$B$5:$B$104='الموظفون'!$B$5)*('حجز الإجازات'!$D$5:$D$104&lt;=LP$3)*(('حجز الإجازات'!$E$5:$E$104)&gt;=LP$3)*('حجز الإجازات'!$G$5:$G$104="معتمد")*ROW('حجز الإجازات'!$B$5:$B$104))=0,"",INDEX('حجز الإجازات'!$C$5:$C$104,(SUMPRODUCT(('حجز الإجازات'!$B$5:$B$104='الموظفون'!$B$5)*('حجز الإجازات'!$D$5:$D$104&lt;=LP$3)*(('حجز الإجازات'!$E$5:$E$104)&gt;=LP$3)*('حجز الإجازات'!$G$5:$G$104="معتمد")*ROW('حجز الإجازات'!$B$5:$B$104)))-5+1))</f>
        <v/>
      </c>
      <c r="LQ7" s="62">
        <f>IF(SUMPRODUCT(('حجز الإجازات'!$B$5:$B$104='الموظفون'!$B$5)*('حجز الإجازات'!$D$5:$D$104&lt;=LQ$3)*(('حجز الإجازات'!$E$5:$E$104)&gt;=LQ$3)*('حجز الإجازات'!$G$5:$G$104="معتمد")*ROW('حجز الإجازات'!$B$5:$B$104))=0,"",INDEX('حجز الإجازات'!$C$5:$C$104,(SUMPRODUCT(('حجز الإجازات'!$B$5:$B$104='الموظفون'!$B$5)*('حجز الإجازات'!$D$5:$D$104&lt;=LQ$3)*(('حجز الإجازات'!$E$5:$E$104)&gt;=LQ$3)*('حجز الإجازات'!$G$5:$G$104="معتمد")*ROW('حجز الإجازات'!$B$5:$B$104)))-5+1))</f>
        <v/>
      </c>
      <c r="LR7" s="62">
        <f>IF(SUMPRODUCT(('حجز الإجازات'!$B$5:$B$104='الموظفون'!$B$5)*('حجز الإجازات'!$D$5:$D$104&lt;=LR$3)*(('حجز الإجازات'!$E$5:$E$104)&gt;=LR$3)*('حجز الإجازات'!$G$5:$G$104="معتمد")*ROW('حجز الإجازات'!$B$5:$B$104))=0,"",INDEX('حجز الإجازات'!$C$5:$C$104,(SUMPRODUCT(('حجز الإجازات'!$B$5:$B$104='الموظفون'!$B$5)*('حجز الإجازات'!$D$5:$D$104&lt;=LR$3)*(('حجز الإجازات'!$E$5:$E$104)&gt;=LR$3)*('حجز الإجازات'!$G$5:$G$104="معتمد")*ROW('حجز الإجازات'!$B$5:$B$104)))-5+1))</f>
        <v/>
      </c>
      <c r="LS7" s="62">
        <f>IF(SUMPRODUCT(('حجز الإجازات'!$B$5:$B$104='الموظفون'!$B$5)*('حجز الإجازات'!$D$5:$D$104&lt;=LS$3)*(('حجز الإجازات'!$E$5:$E$104)&gt;=LS$3)*('حجز الإجازات'!$G$5:$G$104="معتمد")*ROW('حجز الإجازات'!$B$5:$B$104))=0,"",INDEX('حجز الإجازات'!$C$5:$C$104,(SUMPRODUCT(('حجز الإجازات'!$B$5:$B$104='الموظفون'!$B$5)*('حجز الإجازات'!$D$5:$D$104&lt;=LS$3)*(('حجز الإجازات'!$E$5:$E$104)&gt;=LS$3)*('حجز الإجازات'!$G$5:$G$104="معتمد")*ROW('حجز الإجازات'!$B$5:$B$104)))-5+1))</f>
        <v/>
      </c>
      <c r="LT7" s="62">
        <f>IF(SUMPRODUCT(('حجز الإجازات'!$B$5:$B$104='الموظفون'!$B$5)*('حجز الإجازات'!$D$5:$D$104&lt;=LT$3)*(('حجز الإجازات'!$E$5:$E$104)&gt;=LT$3)*('حجز الإجازات'!$G$5:$G$104="معتمد")*ROW('حجز الإجازات'!$B$5:$B$104))=0,"",INDEX('حجز الإجازات'!$C$5:$C$104,(SUMPRODUCT(('حجز الإجازات'!$B$5:$B$104='الموظفون'!$B$5)*('حجز الإجازات'!$D$5:$D$104&lt;=LT$3)*(('حجز الإجازات'!$E$5:$E$104)&gt;=LT$3)*('حجز الإجازات'!$G$5:$G$104="معتمد")*ROW('حجز الإجازات'!$B$5:$B$104)))-5+1))</f>
        <v/>
      </c>
      <c r="LU7" s="62">
        <f>IF(SUMPRODUCT(('حجز الإجازات'!$B$5:$B$104='الموظفون'!$B$5)*('حجز الإجازات'!$D$5:$D$104&lt;=LU$3)*(('حجز الإجازات'!$E$5:$E$104)&gt;=LU$3)*('حجز الإجازات'!$G$5:$G$104="معتمد")*ROW('حجز الإجازات'!$B$5:$B$104))=0,"",INDEX('حجز الإجازات'!$C$5:$C$104,(SUMPRODUCT(('حجز الإجازات'!$B$5:$B$104='الموظفون'!$B$5)*('حجز الإجازات'!$D$5:$D$104&lt;=LU$3)*(('حجز الإجازات'!$E$5:$E$104)&gt;=LU$3)*('حجز الإجازات'!$G$5:$G$104="معتمد")*ROW('حجز الإجازات'!$B$5:$B$104)))-5+1))</f>
        <v/>
      </c>
      <c r="LV7" s="62">
        <f>IF(SUMPRODUCT(('حجز الإجازات'!$B$5:$B$104='الموظفون'!$B$5)*('حجز الإجازات'!$D$5:$D$104&lt;=LV$3)*(('حجز الإجازات'!$E$5:$E$104)&gt;=LV$3)*('حجز الإجازات'!$G$5:$G$104="معتمد")*ROW('حجز الإجازات'!$B$5:$B$104))=0,"",INDEX('حجز الإجازات'!$C$5:$C$104,(SUMPRODUCT(('حجز الإجازات'!$B$5:$B$104='الموظفون'!$B$5)*('حجز الإجازات'!$D$5:$D$104&lt;=LV$3)*(('حجز الإجازات'!$E$5:$E$104)&gt;=LV$3)*('حجز الإجازات'!$G$5:$G$104="معتمد")*ROW('حجز الإجازات'!$B$5:$B$104)))-5+1))</f>
        <v/>
      </c>
      <c r="LW7" s="62">
        <f>IF(SUMPRODUCT(('حجز الإجازات'!$B$5:$B$104='الموظفون'!$B$5)*('حجز الإجازات'!$D$5:$D$104&lt;=LW$3)*(('حجز الإجازات'!$E$5:$E$104)&gt;=LW$3)*('حجز الإجازات'!$G$5:$G$104="معتمد")*ROW('حجز الإجازات'!$B$5:$B$104))=0,"",INDEX('حجز الإجازات'!$C$5:$C$104,(SUMPRODUCT(('حجز الإجازات'!$B$5:$B$104='الموظفون'!$B$5)*('حجز الإجازات'!$D$5:$D$104&lt;=LW$3)*(('حجز الإجازات'!$E$5:$E$104)&gt;=LW$3)*('حجز الإجازات'!$G$5:$G$104="معتمد")*ROW('حجز الإجازات'!$B$5:$B$104)))-5+1))</f>
        <v/>
      </c>
      <c r="LX7" s="62">
        <f>IF(SUMPRODUCT(('حجز الإجازات'!$B$5:$B$104='الموظفون'!$B$5)*('حجز الإجازات'!$D$5:$D$104&lt;=LX$3)*(('حجز الإجازات'!$E$5:$E$104)&gt;=LX$3)*('حجز الإجازات'!$G$5:$G$104="معتمد")*ROW('حجز الإجازات'!$B$5:$B$104))=0,"",INDEX('حجز الإجازات'!$C$5:$C$104,(SUMPRODUCT(('حجز الإجازات'!$B$5:$B$104='الموظفون'!$B$5)*('حجز الإجازات'!$D$5:$D$104&lt;=LX$3)*(('حجز الإجازات'!$E$5:$E$104)&gt;=LX$3)*('حجز الإجازات'!$G$5:$G$104="معتمد")*ROW('حجز الإجازات'!$B$5:$B$104)))-5+1))</f>
        <v/>
      </c>
      <c r="LY7" s="62">
        <f>IF(SUMPRODUCT(('حجز الإجازات'!$B$5:$B$104='الموظفون'!$B$5)*('حجز الإجازات'!$D$5:$D$104&lt;=LY$3)*(('حجز الإجازات'!$E$5:$E$104)&gt;=LY$3)*('حجز الإجازات'!$G$5:$G$104="معتمد")*ROW('حجز الإجازات'!$B$5:$B$104))=0,"",INDEX('حجز الإجازات'!$C$5:$C$104,(SUMPRODUCT(('حجز الإجازات'!$B$5:$B$104='الموظفون'!$B$5)*('حجز الإجازات'!$D$5:$D$104&lt;=LY$3)*(('حجز الإجازات'!$E$5:$E$104)&gt;=LY$3)*('حجز الإجازات'!$G$5:$G$104="معتمد")*ROW('حجز الإجازات'!$B$5:$B$104)))-5+1))</f>
        <v/>
      </c>
      <c r="LZ7" s="62">
        <f>IF(SUMPRODUCT(('حجز الإجازات'!$B$5:$B$104='الموظفون'!$B$5)*('حجز الإجازات'!$D$5:$D$104&lt;=LZ$3)*(('حجز الإجازات'!$E$5:$E$104)&gt;=LZ$3)*('حجز الإجازات'!$G$5:$G$104="معتمد")*ROW('حجز الإجازات'!$B$5:$B$104))=0,"",INDEX('حجز الإجازات'!$C$5:$C$104,(SUMPRODUCT(('حجز الإجازات'!$B$5:$B$104='الموظفون'!$B$5)*('حجز الإجازات'!$D$5:$D$104&lt;=LZ$3)*(('حجز الإجازات'!$E$5:$E$104)&gt;=LZ$3)*('حجز الإجازات'!$G$5:$G$104="معتمد")*ROW('حجز الإجازات'!$B$5:$B$104)))-5+1))</f>
        <v/>
      </c>
      <c r="MA7" s="62">
        <f>IF(SUMPRODUCT(('حجز الإجازات'!$B$5:$B$104='الموظفون'!$B$5)*('حجز الإجازات'!$D$5:$D$104&lt;=MA$3)*(('حجز الإجازات'!$E$5:$E$104)&gt;=MA$3)*('حجز الإجازات'!$G$5:$G$104="معتمد")*ROW('حجز الإجازات'!$B$5:$B$104))=0,"",INDEX('حجز الإجازات'!$C$5:$C$104,(SUMPRODUCT(('حجز الإجازات'!$B$5:$B$104='الموظفون'!$B$5)*('حجز الإجازات'!$D$5:$D$104&lt;=MA$3)*(('حجز الإجازات'!$E$5:$E$104)&gt;=MA$3)*('حجز الإجازات'!$G$5:$G$104="معتمد")*ROW('حجز الإجازات'!$B$5:$B$104)))-5+1))</f>
        <v/>
      </c>
      <c r="MB7" s="62">
        <f>IF(SUMPRODUCT(('حجز الإجازات'!$B$5:$B$104='الموظفون'!$B$5)*('حجز الإجازات'!$D$5:$D$104&lt;=MB$3)*(('حجز الإجازات'!$E$5:$E$104)&gt;=MB$3)*('حجز الإجازات'!$G$5:$G$104="معتمد")*ROW('حجز الإجازات'!$B$5:$B$104))=0,"",INDEX('حجز الإجازات'!$C$5:$C$104,(SUMPRODUCT(('حجز الإجازات'!$B$5:$B$104='الموظفون'!$B$5)*('حجز الإجازات'!$D$5:$D$104&lt;=MB$3)*(('حجز الإجازات'!$E$5:$E$104)&gt;=MB$3)*('حجز الإجازات'!$G$5:$G$104="معتمد")*ROW('حجز الإجازات'!$B$5:$B$104)))-5+1))</f>
        <v/>
      </c>
      <c r="MC7" s="62">
        <f>IF(SUMPRODUCT(('حجز الإجازات'!$B$5:$B$104='الموظفون'!$B$5)*('حجز الإجازات'!$D$5:$D$104&lt;=MC$3)*(('حجز الإجازات'!$E$5:$E$104)&gt;=MC$3)*('حجز الإجازات'!$G$5:$G$104="معتمد")*ROW('حجز الإجازات'!$B$5:$B$104))=0,"",INDEX('حجز الإجازات'!$C$5:$C$104,(SUMPRODUCT(('حجز الإجازات'!$B$5:$B$104='الموظفون'!$B$5)*('حجز الإجازات'!$D$5:$D$104&lt;=MC$3)*(('حجز الإجازات'!$E$5:$E$104)&gt;=MC$3)*('حجز الإجازات'!$G$5:$G$104="معتمد")*ROW('حجز الإجازات'!$B$5:$B$104)))-5+1))</f>
        <v/>
      </c>
      <c r="MD7" s="62">
        <f>IF(SUMPRODUCT(('حجز الإجازات'!$B$5:$B$104='الموظفون'!$B$5)*('حجز الإجازات'!$D$5:$D$104&lt;=MD$3)*(('حجز الإجازات'!$E$5:$E$104)&gt;=MD$3)*('حجز الإجازات'!$G$5:$G$104="معتمد")*ROW('حجز الإجازات'!$B$5:$B$104))=0,"",INDEX('حجز الإجازات'!$C$5:$C$104,(SUMPRODUCT(('حجز الإجازات'!$B$5:$B$104='الموظفون'!$B$5)*('حجز الإجازات'!$D$5:$D$104&lt;=MD$3)*(('حجز الإجازات'!$E$5:$E$104)&gt;=MD$3)*('حجز الإجازات'!$G$5:$G$104="معتمد")*ROW('حجز الإجازات'!$B$5:$B$104)))-5+1))</f>
        <v/>
      </c>
      <c r="ME7" s="62">
        <f>IF(SUMPRODUCT(('حجز الإجازات'!$B$5:$B$104='الموظفون'!$B$5)*('حجز الإجازات'!$D$5:$D$104&lt;=ME$3)*(('حجز الإجازات'!$E$5:$E$104)&gt;=ME$3)*('حجز الإجازات'!$G$5:$G$104="معتمد")*ROW('حجز الإجازات'!$B$5:$B$104))=0,"",INDEX('حجز الإجازات'!$C$5:$C$104,(SUMPRODUCT(('حجز الإجازات'!$B$5:$B$104='الموظفون'!$B$5)*('حجز الإجازات'!$D$5:$D$104&lt;=ME$3)*(('حجز الإجازات'!$E$5:$E$104)&gt;=ME$3)*('حجز الإجازات'!$G$5:$G$104="معتمد")*ROW('حجز الإجازات'!$B$5:$B$104)))-5+1))</f>
        <v/>
      </c>
      <c r="MF7" s="62">
        <f>IF(SUMPRODUCT(('حجز الإجازات'!$B$5:$B$104='الموظفون'!$B$5)*('حجز الإجازات'!$D$5:$D$104&lt;=MF$3)*(('حجز الإجازات'!$E$5:$E$104)&gt;=MF$3)*('حجز الإجازات'!$G$5:$G$104="معتمد")*ROW('حجز الإجازات'!$B$5:$B$104))=0,"",INDEX('حجز الإجازات'!$C$5:$C$104,(SUMPRODUCT(('حجز الإجازات'!$B$5:$B$104='الموظفون'!$B$5)*('حجز الإجازات'!$D$5:$D$104&lt;=MF$3)*(('حجز الإجازات'!$E$5:$E$104)&gt;=MF$3)*('حجز الإجازات'!$G$5:$G$104="معتمد")*ROW('حجز الإجازات'!$B$5:$B$104)))-5+1))</f>
        <v/>
      </c>
      <c r="MG7" s="62">
        <f>IF(SUMPRODUCT(('حجز الإجازات'!$B$5:$B$104='الموظفون'!$B$5)*('حجز الإجازات'!$D$5:$D$104&lt;=MG$3)*(('حجز الإجازات'!$E$5:$E$104)&gt;=MG$3)*('حجز الإجازات'!$G$5:$G$104="معتمد")*ROW('حجز الإجازات'!$B$5:$B$104))=0,"",INDEX('حجز الإجازات'!$C$5:$C$104,(SUMPRODUCT(('حجز الإجازات'!$B$5:$B$104='الموظفون'!$B$5)*('حجز الإجازات'!$D$5:$D$104&lt;=MG$3)*(('حجز الإجازات'!$E$5:$E$104)&gt;=MG$3)*('حجز الإجازات'!$G$5:$G$104="معتمد")*ROW('حجز الإجازات'!$B$5:$B$104)))-5+1))</f>
        <v/>
      </c>
      <c r="MH7" s="62">
        <f>IF(SUMPRODUCT(('حجز الإجازات'!$B$5:$B$104='الموظفون'!$B$5)*('حجز الإجازات'!$D$5:$D$104&lt;=MH$3)*(('حجز الإجازات'!$E$5:$E$104)&gt;=MH$3)*('حجز الإجازات'!$G$5:$G$104="معتمد")*ROW('حجز الإجازات'!$B$5:$B$104))=0,"",INDEX('حجز الإجازات'!$C$5:$C$104,(SUMPRODUCT(('حجز الإجازات'!$B$5:$B$104='الموظفون'!$B$5)*('حجز الإجازات'!$D$5:$D$104&lt;=MH$3)*(('حجز الإجازات'!$E$5:$E$104)&gt;=MH$3)*('حجز الإجازات'!$G$5:$G$104="معتمد")*ROW('حجز الإجازات'!$B$5:$B$104)))-5+1))</f>
        <v/>
      </c>
      <c r="MI7" s="62">
        <f>IF(SUMPRODUCT(('حجز الإجازات'!$B$5:$B$104='الموظفون'!$B$5)*('حجز الإجازات'!$D$5:$D$104&lt;=MI$3)*(('حجز الإجازات'!$E$5:$E$104)&gt;=MI$3)*('حجز الإجازات'!$G$5:$G$104="معتمد")*ROW('حجز الإجازات'!$B$5:$B$104))=0,"",INDEX('حجز الإجازات'!$C$5:$C$104,(SUMPRODUCT(('حجز الإجازات'!$B$5:$B$104='الموظفون'!$B$5)*('حجز الإجازات'!$D$5:$D$104&lt;=MI$3)*(('حجز الإجازات'!$E$5:$E$104)&gt;=MI$3)*('حجز الإجازات'!$G$5:$G$104="معتمد")*ROW('حجز الإجازات'!$B$5:$B$104)))-5+1))</f>
        <v/>
      </c>
      <c r="MJ7" s="62">
        <f>IF(SUMPRODUCT(('حجز الإجازات'!$B$5:$B$104='الموظفون'!$B$5)*('حجز الإجازات'!$D$5:$D$104&lt;=MJ$3)*(('حجز الإجازات'!$E$5:$E$104)&gt;=MJ$3)*('حجز الإجازات'!$G$5:$G$104="معتمد")*ROW('حجز الإجازات'!$B$5:$B$104))=0,"",INDEX('حجز الإجازات'!$C$5:$C$104,(SUMPRODUCT(('حجز الإجازات'!$B$5:$B$104='الموظفون'!$B$5)*('حجز الإجازات'!$D$5:$D$104&lt;=MJ$3)*(('حجز الإجازات'!$E$5:$E$104)&gt;=MJ$3)*('حجز الإجازات'!$G$5:$G$104="معتمد")*ROW('حجز الإجازات'!$B$5:$B$104)))-5+1))</f>
        <v/>
      </c>
      <c r="MK7" s="62">
        <f>IF(SUMPRODUCT(('حجز الإجازات'!$B$5:$B$104='الموظفون'!$B$5)*('حجز الإجازات'!$D$5:$D$104&lt;=MK$3)*(('حجز الإجازات'!$E$5:$E$104)&gt;=MK$3)*('حجز الإجازات'!$G$5:$G$104="معتمد")*ROW('حجز الإجازات'!$B$5:$B$104))=0,"",INDEX('حجز الإجازات'!$C$5:$C$104,(SUMPRODUCT(('حجز الإجازات'!$B$5:$B$104='الموظفون'!$B$5)*('حجز الإجازات'!$D$5:$D$104&lt;=MK$3)*(('حجز الإجازات'!$E$5:$E$104)&gt;=MK$3)*('حجز الإجازات'!$G$5:$G$104="معتمد")*ROW('حجز الإجازات'!$B$5:$B$104)))-5+1))</f>
        <v/>
      </c>
      <c r="ML7" s="62">
        <f>IF(SUMPRODUCT(('حجز الإجازات'!$B$5:$B$104='الموظفون'!$B$5)*('حجز الإجازات'!$D$5:$D$104&lt;=ML$3)*(('حجز الإجازات'!$E$5:$E$104)&gt;=ML$3)*('حجز الإجازات'!$G$5:$G$104="معتمد")*ROW('حجز الإجازات'!$B$5:$B$104))=0,"",INDEX('حجز الإجازات'!$C$5:$C$104,(SUMPRODUCT(('حجز الإجازات'!$B$5:$B$104='الموظفون'!$B$5)*('حجز الإجازات'!$D$5:$D$104&lt;=ML$3)*(('حجز الإجازات'!$E$5:$E$104)&gt;=ML$3)*('حجز الإجازات'!$G$5:$G$104="معتمد")*ROW('حجز الإجازات'!$B$5:$B$104)))-5+1))</f>
        <v/>
      </c>
      <c r="MM7" s="62">
        <f>IF(SUMPRODUCT(('حجز الإجازات'!$B$5:$B$104='الموظفون'!$B$5)*('حجز الإجازات'!$D$5:$D$104&lt;=MM$3)*(('حجز الإجازات'!$E$5:$E$104)&gt;=MM$3)*('حجز الإجازات'!$G$5:$G$104="معتمد")*ROW('حجز الإجازات'!$B$5:$B$104))=0,"",INDEX('حجز الإجازات'!$C$5:$C$104,(SUMPRODUCT(('حجز الإجازات'!$B$5:$B$104='الموظفون'!$B$5)*('حجز الإجازات'!$D$5:$D$104&lt;=MM$3)*(('حجز الإجازات'!$E$5:$E$104)&gt;=MM$3)*('حجز الإجازات'!$G$5:$G$104="معتمد")*ROW('حجز الإجازات'!$B$5:$B$104)))-5+1))</f>
        <v/>
      </c>
      <c r="MN7" s="62">
        <f>IF(SUMPRODUCT(('حجز الإجازات'!$B$5:$B$104='الموظفون'!$B$5)*('حجز الإجازات'!$D$5:$D$104&lt;=MN$3)*(('حجز الإجازات'!$E$5:$E$104)&gt;=MN$3)*('حجز الإجازات'!$G$5:$G$104="معتمد")*ROW('حجز الإجازات'!$B$5:$B$104))=0,"",INDEX('حجز الإجازات'!$C$5:$C$104,(SUMPRODUCT(('حجز الإجازات'!$B$5:$B$104='الموظفون'!$B$5)*('حجز الإجازات'!$D$5:$D$104&lt;=MN$3)*(('حجز الإجازات'!$E$5:$E$104)&gt;=MN$3)*('حجز الإجازات'!$G$5:$G$104="معتمد")*ROW('حجز الإجازات'!$B$5:$B$104)))-5+1))</f>
        <v/>
      </c>
      <c r="MO7" s="62">
        <f>IF(SUMPRODUCT(('حجز الإجازات'!$B$5:$B$104='الموظفون'!$B$5)*('حجز الإجازات'!$D$5:$D$104&lt;=MO$3)*(('حجز الإجازات'!$E$5:$E$104)&gt;=MO$3)*('حجز الإجازات'!$G$5:$G$104="معتمد")*ROW('حجز الإجازات'!$B$5:$B$104))=0,"",INDEX('حجز الإجازات'!$C$5:$C$104,(SUMPRODUCT(('حجز الإجازات'!$B$5:$B$104='الموظفون'!$B$5)*('حجز الإجازات'!$D$5:$D$104&lt;=MO$3)*(('حجز الإجازات'!$E$5:$E$104)&gt;=MO$3)*('حجز الإجازات'!$G$5:$G$104="معتمد")*ROW('حجز الإجازات'!$B$5:$B$104)))-5+1))</f>
        <v/>
      </c>
      <c r="MP7" s="62">
        <f>IF(SUMPRODUCT(('حجز الإجازات'!$B$5:$B$104='الموظفون'!$B$5)*('حجز الإجازات'!$D$5:$D$104&lt;=MP$3)*(('حجز الإجازات'!$E$5:$E$104)&gt;=MP$3)*('حجز الإجازات'!$G$5:$G$104="معتمد")*ROW('حجز الإجازات'!$B$5:$B$104))=0,"",INDEX('حجز الإجازات'!$C$5:$C$104,(SUMPRODUCT(('حجز الإجازات'!$B$5:$B$104='الموظفون'!$B$5)*('حجز الإجازات'!$D$5:$D$104&lt;=MP$3)*(('حجز الإجازات'!$E$5:$E$104)&gt;=MP$3)*('حجز الإجازات'!$G$5:$G$104="معتمد")*ROW('حجز الإجازات'!$B$5:$B$104)))-5+1))</f>
        <v/>
      </c>
      <c r="MQ7" s="62">
        <f>IF(SUMPRODUCT(('حجز الإجازات'!$B$5:$B$104='الموظفون'!$B$5)*('حجز الإجازات'!$D$5:$D$104&lt;=MQ$3)*(('حجز الإجازات'!$E$5:$E$104)&gt;=MQ$3)*('حجز الإجازات'!$G$5:$G$104="معتمد")*ROW('حجز الإجازات'!$B$5:$B$104))=0,"",INDEX('حجز الإجازات'!$C$5:$C$104,(SUMPRODUCT(('حجز الإجازات'!$B$5:$B$104='الموظفون'!$B$5)*('حجز الإجازات'!$D$5:$D$104&lt;=MQ$3)*(('حجز الإجازات'!$E$5:$E$104)&gt;=MQ$3)*('حجز الإجازات'!$G$5:$G$104="معتمد")*ROW('حجز الإجازات'!$B$5:$B$104)))-5+1))</f>
        <v/>
      </c>
      <c r="MR7" s="62">
        <f>IF(SUMPRODUCT(('حجز الإجازات'!$B$5:$B$104='الموظفون'!$B$5)*('حجز الإجازات'!$D$5:$D$104&lt;=MR$3)*(('حجز الإجازات'!$E$5:$E$104)&gt;=MR$3)*('حجز الإجازات'!$G$5:$G$104="معتمد")*ROW('حجز الإجازات'!$B$5:$B$104))=0,"",INDEX('حجز الإجازات'!$C$5:$C$104,(SUMPRODUCT(('حجز الإجازات'!$B$5:$B$104='الموظفون'!$B$5)*('حجز الإجازات'!$D$5:$D$104&lt;=MR$3)*(('حجز الإجازات'!$E$5:$E$104)&gt;=MR$3)*('حجز الإجازات'!$G$5:$G$104="معتمد")*ROW('حجز الإجازات'!$B$5:$B$104)))-5+1))</f>
        <v/>
      </c>
      <c r="MS7" s="62">
        <f>IF(SUMPRODUCT(('حجز الإجازات'!$B$5:$B$104='الموظفون'!$B$5)*('حجز الإجازات'!$D$5:$D$104&lt;=MS$3)*(('حجز الإجازات'!$E$5:$E$104)&gt;=MS$3)*('حجز الإجازات'!$G$5:$G$104="معتمد")*ROW('حجز الإجازات'!$B$5:$B$104))=0,"",INDEX('حجز الإجازات'!$C$5:$C$104,(SUMPRODUCT(('حجز الإجازات'!$B$5:$B$104='الموظفون'!$B$5)*('حجز الإجازات'!$D$5:$D$104&lt;=MS$3)*(('حجز الإجازات'!$E$5:$E$104)&gt;=MS$3)*('حجز الإجازات'!$G$5:$G$104="معتمد")*ROW('حجز الإجازات'!$B$5:$B$104)))-5+1))</f>
        <v/>
      </c>
      <c r="MT7" s="62">
        <f>IF(SUMPRODUCT(('حجز الإجازات'!$B$5:$B$104='الموظفون'!$B$5)*('حجز الإجازات'!$D$5:$D$104&lt;=MT$3)*(('حجز الإجازات'!$E$5:$E$104)&gt;=MT$3)*('حجز الإجازات'!$G$5:$G$104="معتمد")*ROW('حجز الإجازات'!$B$5:$B$104))=0,"",INDEX('حجز الإجازات'!$C$5:$C$104,(SUMPRODUCT(('حجز الإجازات'!$B$5:$B$104='الموظفون'!$B$5)*('حجز الإجازات'!$D$5:$D$104&lt;=MT$3)*(('حجز الإجازات'!$E$5:$E$104)&gt;=MT$3)*('حجز الإجازات'!$G$5:$G$104="معتمد")*ROW('حجز الإجازات'!$B$5:$B$104)))-5+1))</f>
        <v/>
      </c>
      <c r="MU7" s="62">
        <f>IF(SUMPRODUCT(('حجز الإجازات'!$B$5:$B$104='الموظفون'!$B$5)*('حجز الإجازات'!$D$5:$D$104&lt;=MU$3)*(('حجز الإجازات'!$E$5:$E$104)&gt;=MU$3)*('حجز الإجازات'!$G$5:$G$104="معتمد")*ROW('حجز الإجازات'!$B$5:$B$104))=0,"",INDEX('حجز الإجازات'!$C$5:$C$104,(SUMPRODUCT(('حجز الإجازات'!$B$5:$B$104='الموظفون'!$B$5)*('حجز الإجازات'!$D$5:$D$104&lt;=MU$3)*(('حجز الإجازات'!$E$5:$E$104)&gt;=MU$3)*('حجز الإجازات'!$G$5:$G$104="معتمد")*ROW('حجز الإجازات'!$B$5:$B$104)))-5+1))</f>
        <v/>
      </c>
      <c r="MV7" s="62">
        <f>IF(SUMPRODUCT(('حجز الإجازات'!$B$5:$B$104='الموظفون'!$B$5)*('حجز الإجازات'!$D$5:$D$104&lt;=MV$3)*(('حجز الإجازات'!$E$5:$E$104)&gt;=MV$3)*('حجز الإجازات'!$G$5:$G$104="معتمد")*ROW('حجز الإجازات'!$B$5:$B$104))=0,"",INDEX('حجز الإجازات'!$C$5:$C$104,(SUMPRODUCT(('حجز الإجازات'!$B$5:$B$104='الموظفون'!$B$5)*('حجز الإجازات'!$D$5:$D$104&lt;=MV$3)*(('حجز الإجازات'!$E$5:$E$104)&gt;=MV$3)*('حجز الإجازات'!$G$5:$G$104="معتمد")*ROW('حجز الإجازات'!$B$5:$B$104)))-5+1))</f>
        <v/>
      </c>
      <c r="MW7" s="62">
        <f>IF(SUMPRODUCT(('حجز الإجازات'!$B$5:$B$104='الموظفون'!$B$5)*('حجز الإجازات'!$D$5:$D$104&lt;=MW$3)*(('حجز الإجازات'!$E$5:$E$104)&gt;=MW$3)*('حجز الإجازات'!$G$5:$G$104="معتمد")*ROW('حجز الإجازات'!$B$5:$B$104))=0,"",INDEX('حجز الإجازات'!$C$5:$C$104,(SUMPRODUCT(('حجز الإجازات'!$B$5:$B$104='الموظفون'!$B$5)*('حجز الإجازات'!$D$5:$D$104&lt;=MW$3)*(('حجز الإجازات'!$E$5:$E$104)&gt;=MW$3)*('حجز الإجازات'!$G$5:$G$104="معتمد")*ROW('حجز الإجازات'!$B$5:$B$104)))-5+1))</f>
        <v/>
      </c>
      <c r="MX7" s="62">
        <f>IF(SUMPRODUCT(('حجز الإجازات'!$B$5:$B$104='الموظفون'!$B$5)*('حجز الإجازات'!$D$5:$D$104&lt;=MX$3)*(('حجز الإجازات'!$E$5:$E$104)&gt;=MX$3)*('حجز الإجازات'!$G$5:$G$104="معتمد")*ROW('حجز الإجازات'!$B$5:$B$104))=0,"",INDEX('حجز الإجازات'!$C$5:$C$104,(SUMPRODUCT(('حجز الإجازات'!$B$5:$B$104='الموظفون'!$B$5)*('حجز الإجازات'!$D$5:$D$104&lt;=MX$3)*(('حجز الإجازات'!$E$5:$E$104)&gt;=MX$3)*('حجز الإجازات'!$G$5:$G$104="معتمد")*ROW('حجز الإجازات'!$B$5:$B$104)))-5+1))</f>
        <v/>
      </c>
      <c r="MY7" s="62">
        <f>IF(SUMPRODUCT(('حجز الإجازات'!$B$5:$B$104='الموظفون'!$B$5)*('حجز الإجازات'!$D$5:$D$104&lt;=MY$3)*(('حجز الإجازات'!$E$5:$E$104)&gt;=MY$3)*('حجز الإجازات'!$G$5:$G$104="معتمد")*ROW('حجز الإجازات'!$B$5:$B$104))=0,"",INDEX('حجز الإجازات'!$C$5:$C$104,(SUMPRODUCT(('حجز الإجازات'!$B$5:$B$104='الموظفون'!$B$5)*('حجز الإجازات'!$D$5:$D$104&lt;=MY$3)*(('حجز الإجازات'!$E$5:$E$104)&gt;=MY$3)*('حجز الإجازات'!$G$5:$G$104="معتمد")*ROW('حجز الإجازات'!$B$5:$B$104)))-5+1))</f>
        <v/>
      </c>
      <c r="MZ7" s="62">
        <f>IF(SUMPRODUCT(('حجز الإجازات'!$B$5:$B$104='الموظفون'!$B$5)*('حجز الإجازات'!$D$5:$D$104&lt;=MZ$3)*(('حجز الإجازات'!$E$5:$E$104)&gt;=MZ$3)*('حجز الإجازات'!$G$5:$G$104="معتمد")*ROW('حجز الإجازات'!$B$5:$B$104))=0,"",INDEX('حجز الإجازات'!$C$5:$C$104,(SUMPRODUCT(('حجز الإجازات'!$B$5:$B$104='الموظفون'!$B$5)*('حجز الإجازات'!$D$5:$D$104&lt;=MZ$3)*(('حجز الإجازات'!$E$5:$E$104)&gt;=MZ$3)*('حجز الإجازات'!$G$5:$G$104="معتمد")*ROW('حجز الإجازات'!$B$5:$B$104)))-5+1))</f>
        <v/>
      </c>
      <c r="NA7" s="62">
        <f>IF(SUMPRODUCT(('حجز الإجازات'!$B$5:$B$104='الموظفون'!$B$5)*('حجز الإجازات'!$D$5:$D$104&lt;=NA$3)*(('حجز الإجازات'!$E$5:$E$104)&gt;=NA$3)*('حجز الإجازات'!$G$5:$G$104="معتمد")*ROW('حجز الإجازات'!$B$5:$B$104))=0,"",INDEX('حجز الإجازات'!$C$5:$C$104,(SUMPRODUCT(('حجز الإجازات'!$B$5:$B$104='الموظفون'!$B$5)*('حجز الإجازات'!$D$5:$D$104&lt;=NA$3)*(('حجز الإجازات'!$E$5:$E$104)&gt;=NA$3)*('حجز الإجازات'!$G$5:$G$104="معتمد")*ROW('حجز الإجازات'!$B$5:$B$104)))-5+1))</f>
        <v/>
      </c>
      <c r="NB7" s="62">
        <f>IF(SUMPRODUCT(('حجز الإجازات'!$B$5:$B$104='الموظفون'!$B$5)*('حجز الإجازات'!$D$5:$D$104&lt;=NB$3)*(('حجز الإجازات'!$E$5:$E$104)&gt;=NB$3)*('حجز الإجازات'!$G$5:$G$104="معتمد")*ROW('حجز الإجازات'!$B$5:$B$104))=0,"",INDEX('حجز الإجازات'!$C$5:$C$104,(SUMPRODUCT(('حجز الإجازات'!$B$5:$B$104='الموظفون'!$B$5)*('حجز الإجازات'!$D$5:$D$104&lt;=NB$3)*(('حجز الإجازات'!$E$5:$E$104)&gt;=NB$3)*('حجز الإجازات'!$G$5:$G$104="معتمد")*ROW('حجز الإجازات'!$B$5:$B$104)))-5+1))</f>
        <v/>
      </c>
      <c r="NC7" s="62">
        <f>IF(SUMPRODUCT(('حجز الإجازات'!$B$5:$B$104='الموظفون'!$B$5)*('حجز الإجازات'!$D$5:$D$104&lt;=NC$3)*(('حجز الإجازات'!$E$5:$E$104)&gt;=NC$3)*('حجز الإجازات'!$G$5:$G$104="معتمد")*ROW('حجز الإجازات'!$B$5:$B$104))=0,"",INDEX('حجز الإجازات'!$C$5:$C$104,(SUMPRODUCT(('حجز الإجازات'!$B$5:$B$104='الموظفون'!$B$5)*('حجز الإجازات'!$D$5:$D$104&lt;=NC$3)*(('حجز الإجازات'!$E$5:$E$104)&gt;=NC$3)*('حجز الإجازات'!$G$5:$G$104="معتمد")*ROW('حجز الإجازات'!$B$5:$B$104)))-5+1))</f>
        <v/>
      </c>
      <c r="ND7" s="62">
        <f>IF(SUMPRODUCT(('حجز الإجازات'!$B$5:$B$104='الموظفون'!$B$5)*('حجز الإجازات'!$D$5:$D$104&lt;=ND$3)*(('حجز الإجازات'!$E$5:$E$104)&gt;=ND$3)*('حجز الإجازات'!$G$5:$G$104="معتمد")*ROW('حجز الإجازات'!$B$5:$B$104))=0,"",INDEX('حجز الإجازات'!$C$5:$C$104,(SUMPRODUCT(('حجز الإجازات'!$B$5:$B$104='الموظفون'!$B$5)*('حجز الإجازات'!$D$5:$D$104&lt;=ND$3)*(('حجز الإجازات'!$E$5:$E$104)&gt;=ND$3)*('حجز الإجازات'!$G$5:$G$104="معتمد")*ROW('حجز الإجازات'!$B$5:$B$104)))-5+1))</f>
        <v/>
      </c>
      <c r="NE7" s="74">
        <f>SUMPRODUCT(--(D7:ND7&lt;&gt;""))</f>
        <v/>
      </c>
    </row>
    <row r="8">
      <c r="A8" s="16" t="n">
        <v>5</v>
      </c>
      <c r="B8" s="22">
        <f>'الموظفون'!B6</f>
        <v/>
      </c>
      <c r="C8" s="16">
        <f>'الموظفون'!C6</f>
        <v/>
      </c>
      <c r="D8" s="62">
        <f>IF(SUMPRODUCT(('حجز الإجازات'!$B$5:$B$104='الموظفون'!$B$6)*('حجز الإجازات'!$D$5:$D$104&lt;=D$3)*(('حجز الإجازات'!$E$5:$E$104)&gt;=D$3)*('حجز الإجازات'!$G$5:$G$104="معتمد")*ROW('حجز الإجازات'!$B$5:$B$104))=0,"",INDEX('حجز الإجازات'!$C$5:$C$104,(SUMPRODUCT(('حجز الإجازات'!$B$5:$B$104='الموظفون'!$B$6)*('حجز الإجازات'!$D$5:$D$104&lt;=D$3)*(('حجز الإجازات'!$E$5:$E$104)&gt;=D$3)*('حجز الإجازات'!$G$5:$G$104="معتمد")*ROW('حجز الإجازات'!$B$5:$B$104)))-5+1))</f>
        <v/>
      </c>
      <c r="E8" s="62">
        <f>IF(SUMPRODUCT(('حجز الإجازات'!$B$5:$B$104='الموظفون'!$B$6)*('حجز الإجازات'!$D$5:$D$104&lt;=E$3)*(('حجز الإجازات'!$E$5:$E$104)&gt;=E$3)*('حجز الإجازات'!$G$5:$G$104="معتمد")*ROW('حجز الإجازات'!$B$5:$B$104))=0,"",INDEX('حجز الإجازات'!$C$5:$C$104,(SUMPRODUCT(('حجز الإجازات'!$B$5:$B$104='الموظفون'!$B$6)*('حجز الإجازات'!$D$5:$D$104&lt;=E$3)*(('حجز الإجازات'!$E$5:$E$104)&gt;=E$3)*('حجز الإجازات'!$G$5:$G$104="معتمد")*ROW('حجز الإجازات'!$B$5:$B$104)))-5+1))</f>
        <v/>
      </c>
      <c r="F8" s="62">
        <f>IF(SUMPRODUCT(('حجز الإجازات'!$B$5:$B$104='الموظفون'!$B$6)*('حجز الإجازات'!$D$5:$D$104&lt;=F$3)*(('حجز الإجازات'!$E$5:$E$104)&gt;=F$3)*('حجز الإجازات'!$G$5:$G$104="معتمد")*ROW('حجز الإجازات'!$B$5:$B$104))=0,"",INDEX('حجز الإجازات'!$C$5:$C$104,(SUMPRODUCT(('حجز الإجازات'!$B$5:$B$104='الموظفون'!$B$6)*('حجز الإجازات'!$D$5:$D$104&lt;=F$3)*(('حجز الإجازات'!$E$5:$E$104)&gt;=F$3)*('حجز الإجازات'!$G$5:$G$104="معتمد")*ROW('حجز الإجازات'!$B$5:$B$104)))-5+1))</f>
        <v/>
      </c>
      <c r="G8" s="62">
        <f>IF(SUMPRODUCT(('حجز الإجازات'!$B$5:$B$104='الموظفون'!$B$6)*('حجز الإجازات'!$D$5:$D$104&lt;=G$3)*(('حجز الإجازات'!$E$5:$E$104)&gt;=G$3)*('حجز الإجازات'!$G$5:$G$104="معتمد")*ROW('حجز الإجازات'!$B$5:$B$104))=0,"",INDEX('حجز الإجازات'!$C$5:$C$104,(SUMPRODUCT(('حجز الإجازات'!$B$5:$B$104='الموظفون'!$B$6)*('حجز الإجازات'!$D$5:$D$104&lt;=G$3)*(('حجز الإجازات'!$E$5:$E$104)&gt;=G$3)*('حجز الإجازات'!$G$5:$G$104="معتمد")*ROW('حجز الإجازات'!$B$5:$B$104)))-5+1))</f>
        <v/>
      </c>
      <c r="H8" s="62">
        <f>IF(SUMPRODUCT(('حجز الإجازات'!$B$5:$B$104='الموظفون'!$B$6)*('حجز الإجازات'!$D$5:$D$104&lt;=H$3)*(('حجز الإجازات'!$E$5:$E$104)&gt;=H$3)*('حجز الإجازات'!$G$5:$G$104="معتمد")*ROW('حجز الإجازات'!$B$5:$B$104))=0,"",INDEX('حجز الإجازات'!$C$5:$C$104,(SUMPRODUCT(('حجز الإجازات'!$B$5:$B$104='الموظفون'!$B$6)*('حجز الإجازات'!$D$5:$D$104&lt;=H$3)*(('حجز الإجازات'!$E$5:$E$104)&gt;=H$3)*('حجز الإجازات'!$G$5:$G$104="معتمد")*ROW('حجز الإجازات'!$B$5:$B$104)))-5+1))</f>
        <v/>
      </c>
      <c r="I8" s="62">
        <f>IF(SUMPRODUCT(('حجز الإجازات'!$B$5:$B$104='الموظفون'!$B$6)*('حجز الإجازات'!$D$5:$D$104&lt;=I$3)*(('حجز الإجازات'!$E$5:$E$104)&gt;=I$3)*('حجز الإجازات'!$G$5:$G$104="معتمد")*ROW('حجز الإجازات'!$B$5:$B$104))=0,"",INDEX('حجز الإجازات'!$C$5:$C$104,(SUMPRODUCT(('حجز الإجازات'!$B$5:$B$104='الموظفون'!$B$6)*('حجز الإجازات'!$D$5:$D$104&lt;=I$3)*(('حجز الإجازات'!$E$5:$E$104)&gt;=I$3)*('حجز الإجازات'!$G$5:$G$104="معتمد")*ROW('حجز الإجازات'!$B$5:$B$104)))-5+1))</f>
        <v/>
      </c>
      <c r="J8" s="62">
        <f>IF(SUMPRODUCT(('حجز الإجازات'!$B$5:$B$104='الموظفون'!$B$6)*('حجز الإجازات'!$D$5:$D$104&lt;=J$3)*(('حجز الإجازات'!$E$5:$E$104)&gt;=J$3)*('حجز الإجازات'!$G$5:$G$104="معتمد")*ROW('حجز الإجازات'!$B$5:$B$104))=0,"",INDEX('حجز الإجازات'!$C$5:$C$104,(SUMPRODUCT(('حجز الإجازات'!$B$5:$B$104='الموظفون'!$B$6)*('حجز الإجازات'!$D$5:$D$104&lt;=J$3)*(('حجز الإجازات'!$E$5:$E$104)&gt;=J$3)*('حجز الإجازات'!$G$5:$G$104="معتمد")*ROW('حجز الإجازات'!$B$5:$B$104)))-5+1))</f>
        <v/>
      </c>
      <c r="K8" s="62">
        <f>IF(SUMPRODUCT(('حجز الإجازات'!$B$5:$B$104='الموظفون'!$B$6)*('حجز الإجازات'!$D$5:$D$104&lt;=K$3)*(('حجز الإجازات'!$E$5:$E$104)&gt;=K$3)*('حجز الإجازات'!$G$5:$G$104="معتمد")*ROW('حجز الإجازات'!$B$5:$B$104))=0,"",INDEX('حجز الإجازات'!$C$5:$C$104,(SUMPRODUCT(('حجز الإجازات'!$B$5:$B$104='الموظفون'!$B$6)*('حجز الإجازات'!$D$5:$D$104&lt;=K$3)*(('حجز الإجازات'!$E$5:$E$104)&gt;=K$3)*('حجز الإجازات'!$G$5:$G$104="معتمد")*ROW('حجز الإجازات'!$B$5:$B$104)))-5+1))</f>
        <v/>
      </c>
      <c r="L8" s="62">
        <f>IF(SUMPRODUCT(('حجز الإجازات'!$B$5:$B$104='الموظفون'!$B$6)*('حجز الإجازات'!$D$5:$D$104&lt;=L$3)*(('حجز الإجازات'!$E$5:$E$104)&gt;=L$3)*('حجز الإجازات'!$G$5:$G$104="معتمد")*ROW('حجز الإجازات'!$B$5:$B$104))=0,"",INDEX('حجز الإجازات'!$C$5:$C$104,(SUMPRODUCT(('حجز الإجازات'!$B$5:$B$104='الموظفون'!$B$6)*('حجز الإجازات'!$D$5:$D$104&lt;=L$3)*(('حجز الإجازات'!$E$5:$E$104)&gt;=L$3)*('حجز الإجازات'!$G$5:$G$104="معتمد")*ROW('حجز الإجازات'!$B$5:$B$104)))-5+1))</f>
        <v/>
      </c>
      <c r="M8" s="62">
        <f>IF(SUMPRODUCT(('حجز الإجازات'!$B$5:$B$104='الموظفون'!$B$6)*('حجز الإجازات'!$D$5:$D$104&lt;=M$3)*(('حجز الإجازات'!$E$5:$E$104)&gt;=M$3)*('حجز الإجازات'!$G$5:$G$104="معتمد")*ROW('حجز الإجازات'!$B$5:$B$104))=0,"",INDEX('حجز الإجازات'!$C$5:$C$104,(SUMPRODUCT(('حجز الإجازات'!$B$5:$B$104='الموظفون'!$B$6)*('حجز الإجازات'!$D$5:$D$104&lt;=M$3)*(('حجز الإجازات'!$E$5:$E$104)&gt;=M$3)*('حجز الإجازات'!$G$5:$G$104="معتمد")*ROW('حجز الإجازات'!$B$5:$B$104)))-5+1))</f>
        <v/>
      </c>
      <c r="N8" s="62">
        <f>IF(SUMPRODUCT(('حجز الإجازات'!$B$5:$B$104='الموظفون'!$B$6)*('حجز الإجازات'!$D$5:$D$104&lt;=N$3)*(('حجز الإجازات'!$E$5:$E$104)&gt;=N$3)*('حجز الإجازات'!$G$5:$G$104="معتمد")*ROW('حجز الإجازات'!$B$5:$B$104))=0,"",INDEX('حجز الإجازات'!$C$5:$C$104,(SUMPRODUCT(('حجز الإجازات'!$B$5:$B$104='الموظفون'!$B$6)*('حجز الإجازات'!$D$5:$D$104&lt;=N$3)*(('حجز الإجازات'!$E$5:$E$104)&gt;=N$3)*('حجز الإجازات'!$G$5:$G$104="معتمد")*ROW('حجز الإجازات'!$B$5:$B$104)))-5+1))</f>
        <v/>
      </c>
      <c r="O8" s="62">
        <f>IF(SUMPRODUCT(('حجز الإجازات'!$B$5:$B$104='الموظفون'!$B$6)*('حجز الإجازات'!$D$5:$D$104&lt;=O$3)*(('حجز الإجازات'!$E$5:$E$104)&gt;=O$3)*('حجز الإجازات'!$G$5:$G$104="معتمد")*ROW('حجز الإجازات'!$B$5:$B$104))=0,"",INDEX('حجز الإجازات'!$C$5:$C$104,(SUMPRODUCT(('حجز الإجازات'!$B$5:$B$104='الموظفون'!$B$6)*('حجز الإجازات'!$D$5:$D$104&lt;=O$3)*(('حجز الإجازات'!$E$5:$E$104)&gt;=O$3)*('حجز الإجازات'!$G$5:$G$104="معتمد")*ROW('حجز الإجازات'!$B$5:$B$104)))-5+1))</f>
        <v/>
      </c>
      <c r="P8" s="62">
        <f>IF(SUMPRODUCT(('حجز الإجازات'!$B$5:$B$104='الموظفون'!$B$6)*('حجز الإجازات'!$D$5:$D$104&lt;=P$3)*(('حجز الإجازات'!$E$5:$E$104)&gt;=P$3)*('حجز الإجازات'!$G$5:$G$104="معتمد")*ROW('حجز الإجازات'!$B$5:$B$104))=0,"",INDEX('حجز الإجازات'!$C$5:$C$104,(SUMPRODUCT(('حجز الإجازات'!$B$5:$B$104='الموظفون'!$B$6)*('حجز الإجازات'!$D$5:$D$104&lt;=P$3)*(('حجز الإجازات'!$E$5:$E$104)&gt;=P$3)*('حجز الإجازات'!$G$5:$G$104="معتمد")*ROW('حجز الإجازات'!$B$5:$B$104)))-5+1))</f>
        <v/>
      </c>
      <c r="Q8" s="62">
        <f>IF(SUMPRODUCT(('حجز الإجازات'!$B$5:$B$104='الموظفون'!$B$6)*('حجز الإجازات'!$D$5:$D$104&lt;=Q$3)*(('حجز الإجازات'!$E$5:$E$104)&gt;=Q$3)*('حجز الإجازات'!$G$5:$G$104="معتمد")*ROW('حجز الإجازات'!$B$5:$B$104))=0,"",INDEX('حجز الإجازات'!$C$5:$C$104,(SUMPRODUCT(('حجز الإجازات'!$B$5:$B$104='الموظفون'!$B$6)*('حجز الإجازات'!$D$5:$D$104&lt;=Q$3)*(('حجز الإجازات'!$E$5:$E$104)&gt;=Q$3)*('حجز الإجازات'!$G$5:$G$104="معتمد")*ROW('حجز الإجازات'!$B$5:$B$104)))-5+1))</f>
        <v/>
      </c>
      <c r="R8" s="62">
        <f>IF(SUMPRODUCT(('حجز الإجازات'!$B$5:$B$104='الموظفون'!$B$6)*('حجز الإجازات'!$D$5:$D$104&lt;=R$3)*(('حجز الإجازات'!$E$5:$E$104)&gt;=R$3)*('حجز الإجازات'!$G$5:$G$104="معتمد")*ROW('حجز الإجازات'!$B$5:$B$104))=0,"",INDEX('حجز الإجازات'!$C$5:$C$104,(SUMPRODUCT(('حجز الإجازات'!$B$5:$B$104='الموظفون'!$B$6)*('حجز الإجازات'!$D$5:$D$104&lt;=R$3)*(('حجز الإجازات'!$E$5:$E$104)&gt;=R$3)*('حجز الإجازات'!$G$5:$G$104="معتمد")*ROW('حجز الإجازات'!$B$5:$B$104)))-5+1))</f>
        <v/>
      </c>
      <c r="S8" s="62">
        <f>IF(SUMPRODUCT(('حجز الإجازات'!$B$5:$B$104='الموظفون'!$B$6)*('حجز الإجازات'!$D$5:$D$104&lt;=S$3)*(('حجز الإجازات'!$E$5:$E$104)&gt;=S$3)*('حجز الإجازات'!$G$5:$G$104="معتمد")*ROW('حجز الإجازات'!$B$5:$B$104))=0,"",INDEX('حجز الإجازات'!$C$5:$C$104,(SUMPRODUCT(('حجز الإجازات'!$B$5:$B$104='الموظفون'!$B$6)*('حجز الإجازات'!$D$5:$D$104&lt;=S$3)*(('حجز الإجازات'!$E$5:$E$104)&gt;=S$3)*('حجز الإجازات'!$G$5:$G$104="معتمد")*ROW('حجز الإجازات'!$B$5:$B$104)))-5+1))</f>
        <v/>
      </c>
      <c r="T8" s="62">
        <f>IF(SUMPRODUCT(('حجز الإجازات'!$B$5:$B$104='الموظفون'!$B$6)*('حجز الإجازات'!$D$5:$D$104&lt;=T$3)*(('حجز الإجازات'!$E$5:$E$104)&gt;=T$3)*('حجز الإجازات'!$G$5:$G$104="معتمد")*ROW('حجز الإجازات'!$B$5:$B$104))=0,"",INDEX('حجز الإجازات'!$C$5:$C$104,(SUMPRODUCT(('حجز الإجازات'!$B$5:$B$104='الموظفون'!$B$6)*('حجز الإجازات'!$D$5:$D$104&lt;=T$3)*(('حجز الإجازات'!$E$5:$E$104)&gt;=T$3)*('حجز الإجازات'!$G$5:$G$104="معتمد")*ROW('حجز الإجازات'!$B$5:$B$104)))-5+1))</f>
        <v/>
      </c>
      <c r="U8" s="62">
        <f>IF(SUMPRODUCT(('حجز الإجازات'!$B$5:$B$104='الموظفون'!$B$6)*('حجز الإجازات'!$D$5:$D$104&lt;=U$3)*(('حجز الإجازات'!$E$5:$E$104)&gt;=U$3)*('حجز الإجازات'!$G$5:$G$104="معتمد")*ROW('حجز الإجازات'!$B$5:$B$104))=0,"",INDEX('حجز الإجازات'!$C$5:$C$104,(SUMPRODUCT(('حجز الإجازات'!$B$5:$B$104='الموظفون'!$B$6)*('حجز الإجازات'!$D$5:$D$104&lt;=U$3)*(('حجز الإجازات'!$E$5:$E$104)&gt;=U$3)*('حجز الإجازات'!$G$5:$G$104="معتمد")*ROW('حجز الإجازات'!$B$5:$B$104)))-5+1))</f>
        <v/>
      </c>
      <c r="V8" s="62">
        <f>IF(SUMPRODUCT(('حجز الإجازات'!$B$5:$B$104='الموظفون'!$B$6)*('حجز الإجازات'!$D$5:$D$104&lt;=V$3)*(('حجز الإجازات'!$E$5:$E$104)&gt;=V$3)*('حجز الإجازات'!$G$5:$G$104="معتمد")*ROW('حجز الإجازات'!$B$5:$B$104))=0,"",INDEX('حجز الإجازات'!$C$5:$C$104,(SUMPRODUCT(('حجز الإجازات'!$B$5:$B$104='الموظفون'!$B$6)*('حجز الإجازات'!$D$5:$D$104&lt;=V$3)*(('حجز الإجازات'!$E$5:$E$104)&gt;=V$3)*('حجز الإجازات'!$G$5:$G$104="معتمد")*ROW('حجز الإجازات'!$B$5:$B$104)))-5+1))</f>
        <v/>
      </c>
      <c r="W8" s="62">
        <f>IF(SUMPRODUCT(('حجز الإجازات'!$B$5:$B$104='الموظفون'!$B$6)*('حجز الإجازات'!$D$5:$D$104&lt;=W$3)*(('حجز الإجازات'!$E$5:$E$104)&gt;=W$3)*('حجز الإجازات'!$G$5:$G$104="معتمد")*ROW('حجز الإجازات'!$B$5:$B$104))=0,"",INDEX('حجز الإجازات'!$C$5:$C$104,(SUMPRODUCT(('حجز الإجازات'!$B$5:$B$104='الموظفون'!$B$6)*('حجز الإجازات'!$D$5:$D$104&lt;=W$3)*(('حجز الإجازات'!$E$5:$E$104)&gt;=W$3)*('حجز الإجازات'!$G$5:$G$104="معتمد")*ROW('حجز الإجازات'!$B$5:$B$104)))-5+1))</f>
        <v/>
      </c>
      <c r="X8" s="62">
        <f>IF(SUMPRODUCT(('حجز الإجازات'!$B$5:$B$104='الموظفون'!$B$6)*('حجز الإجازات'!$D$5:$D$104&lt;=X$3)*(('حجز الإجازات'!$E$5:$E$104)&gt;=X$3)*('حجز الإجازات'!$G$5:$G$104="معتمد")*ROW('حجز الإجازات'!$B$5:$B$104))=0,"",INDEX('حجز الإجازات'!$C$5:$C$104,(SUMPRODUCT(('حجز الإجازات'!$B$5:$B$104='الموظفون'!$B$6)*('حجز الإجازات'!$D$5:$D$104&lt;=X$3)*(('حجز الإجازات'!$E$5:$E$104)&gt;=X$3)*('حجز الإجازات'!$G$5:$G$104="معتمد")*ROW('حجز الإجازات'!$B$5:$B$104)))-5+1))</f>
        <v/>
      </c>
      <c r="Y8" s="62">
        <f>IF(SUMPRODUCT(('حجز الإجازات'!$B$5:$B$104='الموظفون'!$B$6)*('حجز الإجازات'!$D$5:$D$104&lt;=Y$3)*(('حجز الإجازات'!$E$5:$E$104)&gt;=Y$3)*('حجز الإجازات'!$G$5:$G$104="معتمد")*ROW('حجز الإجازات'!$B$5:$B$104))=0,"",INDEX('حجز الإجازات'!$C$5:$C$104,(SUMPRODUCT(('حجز الإجازات'!$B$5:$B$104='الموظفون'!$B$6)*('حجز الإجازات'!$D$5:$D$104&lt;=Y$3)*(('حجز الإجازات'!$E$5:$E$104)&gt;=Y$3)*('حجز الإجازات'!$G$5:$G$104="معتمد")*ROW('حجز الإجازات'!$B$5:$B$104)))-5+1))</f>
        <v/>
      </c>
      <c r="Z8" s="62">
        <f>IF(SUMPRODUCT(('حجز الإجازات'!$B$5:$B$104='الموظفون'!$B$6)*('حجز الإجازات'!$D$5:$D$104&lt;=Z$3)*(('حجز الإجازات'!$E$5:$E$104)&gt;=Z$3)*('حجز الإجازات'!$G$5:$G$104="معتمد")*ROW('حجز الإجازات'!$B$5:$B$104))=0,"",INDEX('حجز الإجازات'!$C$5:$C$104,(SUMPRODUCT(('حجز الإجازات'!$B$5:$B$104='الموظفون'!$B$6)*('حجز الإجازات'!$D$5:$D$104&lt;=Z$3)*(('حجز الإجازات'!$E$5:$E$104)&gt;=Z$3)*('حجز الإجازات'!$G$5:$G$104="معتمد")*ROW('حجز الإجازات'!$B$5:$B$104)))-5+1))</f>
        <v/>
      </c>
      <c r="AA8" s="62">
        <f>IF(SUMPRODUCT(('حجز الإجازات'!$B$5:$B$104='الموظفون'!$B$6)*('حجز الإجازات'!$D$5:$D$104&lt;=AA$3)*(('حجز الإجازات'!$E$5:$E$104)&gt;=AA$3)*('حجز الإجازات'!$G$5:$G$104="معتمد")*ROW('حجز الإجازات'!$B$5:$B$104))=0,"",INDEX('حجز الإجازات'!$C$5:$C$104,(SUMPRODUCT(('حجز الإجازات'!$B$5:$B$104='الموظفون'!$B$6)*('حجز الإجازات'!$D$5:$D$104&lt;=AA$3)*(('حجز الإجازات'!$E$5:$E$104)&gt;=AA$3)*('حجز الإجازات'!$G$5:$G$104="معتمد")*ROW('حجز الإجازات'!$B$5:$B$104)))-5+1))</f>
        <v/>
      </c>
      <c r="AB8" s="62">
        <f>IF(SUMPRODUCT(('حجز الإجازات'!$B$5:$B$104='الموظفون'!$B$6)*('حجز الإجازات'!$D$5:$D$104&lt;=AB$3)*(('حجز الإجازات'!$E$5:$E$104)&gt;=AB$3)*('حجز الإجازات'!$G$5:$G$104="معتمد")*ROW('حجز الإجازات'!$B$5:$B$104))=0,"",INDEX('حجز الإجازات'!$C$5:$C$104,(SUMPRODUCT(('حجز الإجازات'!$B$5:$B$104='الموظفون'!$B$6)*('حجز الإجازات'!$D$5:$D$104&lt;=AB$3)*(('حجز الإجازات'!$E$5:$E$104)&gt;=AB$3)*('حجز الإجازات'!$G$5:$G$104="معتمد")*ROW('حجز الإجازات'!$B$5:$B$104)))-5+1))</f>
        <v/>
      </c>
      <c r="AC8" s="62">
        <f>IF(SUMPRODUCT(('حجز الإجازات'!$B$5:$B$104='الموظفون'!$B$6)*('حجز الإجازات'!$D$5:$D$104&lt;=AC$3)*(('حجز الإجازات'!$E$5:$E$104)&gt;=AC$3)*('حجز الإجازات'!$G$5:$G$104="معتمد")*ROW('حجز الإجازات'!$B$5:$B$104))=0,"",INDEX('حجز الإجازات'!$C$5:$C$104,(SUMPRODUCT(('حجز الإجازات'!$B$5:$B$104='الموظفون'!$B$6)*('حجز الإجازات'!$D$5:$D$104&lt;=AC$3)*(('حجز الإجازات'!$E$5:$E$104)&gt;=AC$3)*('حجز الإجازات'!$G$5:$G$104="معتمد")*ROW('حجز الإجازات'!$B$5:$B$104)))-5+1))</f>
        <v/>
      </c>
      <c r="AD8" s="62">
        <f>IF(SUMPRODUCT(('حجز الإجازات'!$B$5:$B$104='الموظفون'!$B$6)*('حجز الإجازات'!$D$5:$D$104&lt;=AD$3)*(('حجز الإجازات'!$E$5:$E$104)&gt;=AD$3)*('حجز الإجازات'!$G$5:$G$104="معتمد")*ROW('حجز الإجازات'!$B$5:$B$104))=0,"",INDEX('حجز الإجازات'!$C$5:$C$104,(SUMPRODUCT(('حجز الإجازات'!$B$5:$B$104='الموظفون'!$B$6)*('حجز الإجازات'!$D$5:$D$104&lt;=AD$3)*(('حجز الإجازات'!$E$5:$E$104)&gt;=AD$3)*('حجز الإجازات'!$G$5:$G$104="معتمد")*ROW('حجز الإجازات'!$B$5:$B$104)))-5+1))</f>
        <v/>
      </c>
      <c r="AE8" s="62">
        <f>IF(SUMPRODUCT(('حجز الإجازات'!$B$5:$B$104='الموظفون'!$B$6)*('حجز الإجازات'!$D$5:$D$104&lt;=AE$3)*(('حجز الإجازات'!$E$5:$E$104)&gt;=AE$3)*('حجز الإجازات'!$G$5:$G$104="معتمد")*ROW('حجز الإجازات'!$B$5:$B$104))=0,"",INDEX('حجز الإجازات'!$C$5:$C$104,(SUMPRODUCT(('حجز الإجازات'!$B$5:$B$104='الموظفون'!$B$6)*('حجز الإجازات'!$D$5:$D$104&lt;=AE$3)*(('حجز الإجازات'!$E$5:$E$104)&gt;=AE$3)*('حجز الإجازات'!$G$5:$G$104="معتمد")*ROW('حجز الإجازات'!$B$5:$B$104)))-5+1))</f>
        <v/>
      </c>
      <c r="AF8" s="62">
        <f>IF(SUMPRODUCT(('حجز الإجازات'!$B$5:$B$104='الموظفون'!$B$6)*('حجز الإجازات'!$D$5:$D$104&lt;=AF$3)*(('حجز الإجازات'!$E$5:$E$104)&gt;=AF$3)*('حجز الإجازات'!$G$5:$G$104="معتمد")*ROW('حجز الإجازات'!$B$5:$B$104))=0,"",INDEX('حجز الإجازات'!$C$5:$C$104,(SUMPRODUCT(('حجز الإجازات'!$B$5:$B$104='الموظفون'!$B$6)*('حجز الإجازات'!$D$5:$D$104&lt;=AF$3)*(('حجز الإجازات'!$E$5:$E$104)&gt;=AF$3)*('حجز الإجازات'!$G$5:$G$104="معتمد")*ROW('حجز الإجازات'!$B$5:$B$104)))-5+1))</f>
        <v/>
      </c>
      <c r="AG8" s="62">
        <f>IF(SUMPRODUCT(('حجز الإجازات'!$B$5:$B$104='الموظفون'!$B$6)*('حجز الإجازات'!$D$5:$D$104&lt;=AG$3)*(('حجز الإجازات'!$E$5:$E$104)&gt;=AG$3)*('حجز الإجازات'!$G$5:$G$104="معتمد")*ROW('حجز الإجازات'!$B$5:$B$104))=0,"",INDEX('حجز الإجازات'!$C$5:$C$104,(SUMPRODUCT(('حجز الإجازات'!$B$5:$B$104='الموظفون'!$B$6)*('حجز الإجازات'!$D$5:$D$104&lt;=AG$3)*(('حجز الإجازات'!$E$5:$E$104)&gt;=AG$3)*('حجز الإجازات'!$G$5:$G$104="معتمد")*ROW('حجز الإجازات'!$B$5:$B$104)))-5+1))</f>
        <v/>
      </c>
      <c r="AH8" s="62">
        <f>IF(SUMPRODUCT(('حجز الإجازات'!$B$5:$B$104='الموظفون'!$B$6)*('حجز الإجازات'!$D$5:$D$104&lt;=AH$3)*(('حجز الإجازات'!$E$5:$E$104)&gt;=AH$3)*('حجز الإجازات'!$G$5:$G$104="معتمد")*ROW('حجز الإجازات'!$B$5:$B$104))=0,"",INDEX('حجز الإجازات'!$C$5:$C$104,(SUMPRODUCT(('حجز الإجازات'!$B$5:$B$104='الموظفون'!$B$6)*('حجز الإجازات'!$D$5:$D$104&lt;=AH$3)*(('حجز الإجازات'!$E$5:$E$104)&gt;=AH$3)*('حجز الإجازات'!$G$5:$G$104="معتمد")*ROW('حجز الإجازات'!$B$5:$B$104)))-5+1))</f>
        <v/>
      </c>
      <c r="AI8" s="62">
        <f>IF(SUMPRODUCT(('حجز الإجازات'!$B$5:$B$104='الموظفون'!$B$6)*('حجز الإجازات'!$D$5:$D$104&lt;=AI$3)*(('حجز الإجازات'!$E$5:$E$104)&gt;=AI$3)*('حجز الإجازات'!$G$5:$G$104="معتمد")*ROW('حجز الإجازات'!$B$5:$B$104))=0,"",INDEX('حجز الإجازات'!$C$5:$C$104,(SUMPRODUCT(('حجز الإجازات'!$B$5:$B$104='الموظفون'!$B$6)*('حجز الإجازات'!$D$5:$D$104&lt;=AI$3)*(('حجز الإجازات'!$E$5:$E$104)&gt;=AI$3)*('حجز الإجازات'!$G$5:$G$104="معتمد")*ROW('حجز الإجازات'!$B$5:$B$104)))-5+1))</f>
        <v/>
      </c>
      <c r="AJ8" s="62">
        <f>IF(SUMPRODUCT(('حجز الإجازات'!$B$5:$B$104='الموظفون'!$B$6)*('حجز الإجازات'!$D$5:$D$104&lt;=AJ$3)*(('حجز الإجازات'!$E$5:$E$104)&gt;=AJ$3)*('حجز الإجازات'!$G$5:$G$104="معتمد")*ROW('حجز الإجازات'!$B$5:$B$104))=0,"",INDEX('حجز الإجازات'!$C$5:$C$104,(SUMPRODUCT(('حجز الإجازات'!$B$5:$B$104='الموظفون'!$B$6)*('حجز الإجازات'!$D$5:$D$104&lt;=AJ$3)*(('حجز الإجازات'!$E$5:$E$104)&gt;=AJ$3)*('حجز الإجازات'!$G$5:$G$104="معتمد")*ROW('حجز الإجازات'!$B$5:$B$104)))-5+1))</f>
        <v/>
      </c>
      <c r="AK8" s="62">
        <f>IF(SUMPRODUCT(('حجز الإجازات'!$B$5:$B$104='الموظفون'!$B$6)*('حجز الإجازات'!$D$5:$D$104&lt;=AK$3)*(('حجز الإجازات'!$E$5:$E$104)&gt;=AK$3)*('حجز الإجازات'!$G$5:$G$104="معتمد")*ROW('حجز الإجازات'!$B$5:$B$104))=0,"",INDEX('حجز الإجازات'!$C$5:$C$104,(SUMPRODUCT(('حجز الإجازات'!$B$5:$B$104='الموظفون'!$B$6)*('حجز الإجازات'!$D$5:$D$104&lt;=AK$3)*(('حجز الإجازات'!$E$5:$E$104)&gt;=AK$3)*('حجز الإجازات'!$G$5:$G$104="معتمد")*ROW('حجز الإجازات'!$B$5:$B$104)))-5+1))</f>
        <v/>
      </c>
      <c r="AL8" s="62">
        <f>IF(SUMPRODUCT(('حجز الإجازات'!$B$5:$B$104='الموظفون'!$B$6)*('حجز الإجازات'!$D$5:$D$104&lt;=AL$3)*(('حجز الإجازات'!$E$5:$E$104)&gt;=AL$3)*('حجز الإجازات'!$G$5:$G$104="معتمد")*ROW('حجز الإجازات'!$B$5:$B$104))=0,"",INDEX('حجز الإجازات'!$C$5:$C$104,(SUMPRODUCT(('حجز الإجازات'!$B$5:$B$104='الموظفون'!$B$6)*('حجز الإجازات'!$D$5:$D$104&lt;=AL$3)*(('حجز الإجازات'!$E$5:$E$104)&gt;=AL$3)*('حجز الإجازات'!$G$5:$G$104="معتمد")*ROW('حجز الإجازات'!$B$5:$B$104)))-5+1))</f>
        <v/>
      </c>
      <c r="AM8" s="62">
        <f>IF(SUMPRODUCT(('حجز الإجازات'!$B$5:$B$104='الموظفون'!$B$6)*('حجز الإجازات'!$D$5:$D$104&lt;=AM$3)*(('حجز الإجازات'!$E$5:$E$104)&gt;=AM$3)*('حجز الإجازات'!$G$5:$G$104="معتمد")*ROW('حجز الإجازات'!$B$5:$B$104))=0,"",INDEX('حجز الإجازات'!$C$5:$C$104,(SUMPRODUCT(('حجز الإجازات'!$B$5:$B$104='الموظفون'!$B$6)*('حجز الإجازات'!$D$5:$D$104&lt;=AM$3)*(('حجز الإجازات'!$E$5:$E$104)&gt;=AM$3)*('حجز الإجازات'!$G$5:$G$104="معتمد")*ROW('حجز الإجازات'!$B$5:$B$104)))-5+1))</f>
        <v/>
      </c>
      <c r="AN8" s="62">
        <f>IF(SUMPRODUCT(('حجز الإجازات'!$B$5:$B$104='الموظفون'!$B$6)*('حجز الإجازات'!$D$5:$D$104&lt;=AN$3)*(('حجز الإجازات'!$E$5:$E$104)&gt;=AN$3)*('حجز الإجازات'!$G$5:$G$104="معتمد")*ROW('حجز الإجازات'!$B$5:$B$104))=0,"",INDEX('حجز الإجازات'!$C$5:$C$104,(SUMPRODUCT(('حجز الإجازات'!$B$5:$B$104='الموظفون'!$B$6)*('حجز الإجازات'!$D$5:$D$104&lt;=AN$3)*(('حجز الإجازات'!$E$5:$E$104)&gt;=AN$3)*('حجز الإجازات'!$G$5:$G$104="معتمد")*ROW('حجز الإجازات'!$B$5:$B$104)))-5+1))</f>
        <v/>
      </c>
      <c r="AO8" s="62">
        <f>IF(SUMPRODUCT(('حجز الإجازات'!$B$5:$B$104='الموظفون'!$B$6)*('حجز الإجازات'!$D$5:$D$104&lt;=AO$3)*(('حجز الإجازات'!$E$5:$E$104)&gt;=AO$3)*('حجز الإجازات'!$G$5:$G$104="معتمد")*ROW('حجز الإجازات'!$B$5:$B$104))=0,"",INDEX('حجز الإجازات'!$C$5:$C$104,(SUMPRODUCT(('حجز الإجازات'!$B$5:$B$104='الموظفون'!$B$6)*('حجز الإجازات'!$D$5:$D$104&lt;=AO$3)*(('حجز الإجازات'!$E$5:$E$104)&gt;=AO$3)*('حجز الإجازات'!$G$5:$G$104="معتمد")*ROW('حجز الإجازات'!$B$5:$B$104)))-5+1))</f>
        <v/>
      </c>
      <c r="AP8" s="62">
        <f>IF(SUMPRODUCT(('حجز الإجازات'!$B$5:$B$104='الموظفون'!$B$6)*('حجز الإجازات'!$D$5:$D$104&lt;=AP$3)*(('حجز الإجازات'!$E$5:$E$104)&gt;=AP$3)*('حجز الإجازات'!$G$5:$G$104="معتمد")*ROW('حجز الإجازات'!$B$5:$B$104))=0,"",INDEX('حجز الإجازات'!$C$5:$C$104,(SUMPRODUCT(('حجز الإجازات'!$B$5:$B$104='الموظفون'!$B$6)*('حجز الإجازات'!$D$5:$D$104&lt;=AP$3)*(('حجز الإجازات'!$E$5:$E$104)&gt;=AP$3)*('حجز الإجازات'!$G$5:$G$104="معتمد")*ROW('حجز الإجازات'!$B$5:$B$104)))-5+1))</f>
        <v/>
      </c>
      <c r="AQ8" s="62">
        <f>IF(SUMPRODUCT(('حجز الإجازات'!$B$5:$B$104='الموظفون'!$B$6)*('حجز الإجازات'!$D$5:$D$104&lt;=AQ$3)*(('حجز الإجازات'!$E$5:$E$104)&gt;=AQ$3)*('حجز الإجازات'!$G$5:$G$104="معتمد")*ROW('حجز الإجازات'!$B$5:$B$104))=0,"",INDEX('حجز الإجازات'!$C$5:$C$104,(SUMPRODUCT(('حجز الإجازات'!$B$5:$B$104='الموظفون'!$B$6)*('حجز الإجازات'!$D$5:$D$104&lt;=AQ$3)*(('حجز الإجازات'!$E$5:$E$104)&gt;=AQ$3)*('حجز الإجازات'!$G$5:$G$104="معتمد")*ROW('حجز الإجازات'!$B$5:$B$104)))-5+1))</f>
        <v/>
      </c>
      <c r="AR8" s="62">
        <f>IF(SUMPRODUCT(('حجز الإجازات'!$B$5:$B$104='الموظفون'!$B$6)*('حجز الإجازات'!$D$5:$D$104&lt;=AR$3)*(('حجز الإجازات'!$E$5:$E$104)&gt;=AR$3)*('حجز الإجازات'!$G$5:$G$104="معتمد")*ROW('حجز الإجازات'!$B$5:$B$104))=0,"",INDEX('حجز الإجازات'!$C$5:$C$104,(SUMPRODUCT(('حجز الإجازات'!$B$5:$B$104='الموظفون'!$B$6)*('حجز الإجازات'!$D$5:$D$104&lt;=AR$3)*(('حجز الإجازات'!$E$5:$E$104)&gt;=AR$3)*('حجز الإجازات'!$G$5:$G$104="معتمد")*ROW('حجز الإجازات'!$B$5:$B$104)))-5+1))</f>
        <v/>
      </c>
      <c r="AS8" s="62">
        <f>IF(SUMPRODUCT(('حجز الإجازات'!$B$5:$B$104='الموظفون'!$B$6)*('حجز الإجازات'!$D$5:$D$104&lt;=AS$3)*(('حجز الإجازات'!$E$5:$E$104)&gt;=AS$3)*('حجز الإجازات'!$G$5:$G$104="معتمد")*ROW('حجز الإجازات'!$B$5:$B$104))=0,"",INDEX('حجز الإجازات'!$C$5:$C$104,(SUMPRODUCT(('حجز الإجازات'!$B$5:$B$104='الموظفون'!$B$6)*('حجز الإجازات'!$D$5:$D$104&lt;=AS$3)*(('حجز الإجازات'!$E$5:$E$104)&gt;=AS$3)*('حجز الإجازات'!$G$5:$G$104="معتمد")*ROW('حجز الإجازات'!$B$5:$B$104)))-5+1))</f>
        <v/>
      </c>
      <c r="AT8" s="62">
        <f>IF(SUMPRODUCT(('حجز الإجازات'!$B$5:$B$104='الموظفون'!$B$6)*('حجز الإجازات'!$D$5:$D$104&lt;=AT$3)*(('حجز الإجازات'!$E$5:$E$104)&gt;=AT$3)*('حجز الإجازات'!$G$5:$G$104="معتمد")*ROW('حجز الإجازات'!$B$5:$B$104))=0,"",INDEX('حجز الإجازات'!$C$5:$C$104,(SUMPRODUCT(('حجز الإجازات'!$B$5:$B$104='الموظفون'!$B$6)*('حجز الإجازات'!$D$5:$D$104&lt;=AT$3)*(('حجز الإجازات'!$E$5:$E$104)&gt;=AT$3)*('حجز الإجازات'!$G$5:$G$104="معتمد")*ROW('حجز الإجازات'!$B$5:$B$104)))-5+1))</f>
        <v/>
      </c>
      <c r="AU8" s="62">
        <f>IF(SUMPRODUCT(('حجز الإجازات'!$B$5:$B$104='الموظفون'!$B$6)*('حجز الإجازات'!$D$5:$D$104&lt;=AU$3)*(('حجز الإجازات'!$E$5:$E$104)&gt;=AU$3)*('حجز الإجازات'!$G$5:$G$104="معتمد")*ROW('حجز الإجازات'!$B$5:$B$104))=0,"",INDEX('حجز الإجازات'!$C$5:$C$104,(SUMPRODUCT(('حجز الإجازات'!$B$5:$B$104='الموظفون'!$B$6)*('حجز الإجازات'!$D$5:$D$104&lt;=AU$3)*(('حجز الإجازات'!$E$5:$E$104)&gt;=AU$3)*('حجز الإجازات'!$G$5:$G$104="معتمد")*ROW('حجز الإجازات'!$B$5:$B$104)))-5+1))</f>
        <v/>
      </c>
      <c r="AV8" s="62">
        <f>IF(SUMPRODUCT(('حجز الإجازات'!$B$5:$B$104='الموظفون'!$B$6)*('حجز الإجازات'!$D$5:$D$104&lt;=AV$3)*(('حجز الإجازات'!$E$5:$E$104)&gt;=AV$3)*('حجز الإجازات'!$G$5:$G$104="معتمد")*ROW('حجز الإجازات'!$B$5:$B$104))=0,"",INDEX('حجز الإجازات'!$C$5:$C$104,(SUMPRODUCT(('حجز الإجازات'!$B$5:$B$104='الموظفون'!$B$6)*('حجز الإجازات'!$D$5:$D$104&lt;=AV$3)*(('حجز الإجازات'!$E$5:$E$104)&gt;=AV$3)*('حجز الإجازات'!$G$5:$G$104="معتمد")*ROW('حجز الإجازات'!$B$5:$B$104)))-5+1))</f>
        <v/>
      </c>
      <c r="AW8" s="62">
        <f>IF(SUMPRODUCT(('حجز الإجازات'!$B$5:$B$104='الموظفون'!$B$6)*('حجز الإجازات'!$D$5:$D$104&lt;=AW$3)*(('حجز الإجازات'!$E$5:$E$104)&gt;=AW$3)*('حجز الإجازات'!$G$5:$G$104="معتمد")*ROW('حجز الإجازات'!$B$5:$B$104))=0,"",INDEX('حجز الإجازات'!$C$5:$C$104,(SUMPRODUCT(('حجز الإجازات'!$B$5:$B$104='الموظفون'!$B$6)*('حجز الإجازات'!$D$5:$D$104&lt;=AW$3)*(('حجز الإجازات'!$E$5:$E$104)&gt;=AW$3)*('حجز الإجازات'!$G$5:$G$104="معتمد")*ROW('حجز الإجازات'!$B$5:$B$104)))-5+1))</f>
        <v/>
      </c>
      <c r="AX8" s="62">
        <f>IF(SUMPRODUCT(('حجز الإجازات'!$B$5:$B$104='الموظفون'!$B$6)*('حجز الإجازات'!$D$5:$D$104&lt;=AX$3)*(('حجز الإجازات'!$E$5:$E$104)&gt;=AX$3)*('حجز الإجازات'!$G$5:$G$104="معتمد")*ROW('حجز الإجازات'!$B$5:$B$104))=0,"",INDEX('حجز الإجازات'!$C$5:$C$104,(SUMPRODUCT(('حجز الإجازات'!$B$5:$B$104='الموظفون'!$B$6)*('حجز الإجازات'!$D$5:$D$104&lt;=AX$3)*(('حجز الإجازات'!$E$5:$E$104)&gt;=AX$3)*('حجز الإجازات'!$G$5:$G$104="معتمد")*ROW('حجز الإجازات'!$B$5:$B$104)))-5+1))</f>
        <v/>
      </c>
      <c r="AY8" s="62">
        <f>IF(SUMPRODUCT(('حجز الإجازات'!$B$5:$B$104='الموظفون'!$B$6)*('حجز الإجازات'!$D$5:$D$104&lt;=AY$3)*(('حجز الإجازات'!$E$5:$E$104)&gt;=AY$3)*('حجز الإجازات'!$G$5:$G$104="معتمد")*ROW('حجز الإجازات'!$B$5:$B$104))=0,"",INDEX('حجز الإجازات'!$C$5:$C$104,(SUMPRODUCT(('حجز الإجازات'!$B$5:$B$104='الموظفون'!$B$6)*('حجز الإجازات'!$D$5:$D$104&lt;=AY$3)*(('حجز الإجازات'!$E$5:$E$104)&gt;=AY$3)*('حجز الإجازات'!$G$5:$G$104="معتمد")*ROW('حجز الإجازات'!$B$5:$B$104)))-5+1))</f>
        <v/>
      </c>
      <c r="AZ8" s="62">
        <f>IF(SUMPRODUCT(('حجز الإجازات'!$B$5:$B$104='الموظفون'!$B$6)*('حجز الإجازات'!$D$5:$D$104&lt;=AZ$3)*(('حجز الإجازات'!$E$5:$E$104)&gt;=AZ$3)*('حجز الإجازات'!$G$5:$G$104="معتمد")*ROW('حجز الإجازات'!$B$5:$B$104))=0,"",INDEX('حجز الإجازات'!$C$5:$C$104,(SUMPRODUCT(('حجز الإجازات'!$B$5:$B$104='الموظفون'!$B$6)*('حجز الإجازات'!$D$5:$D$104&lt;=AZ$3)*(('حجز الإجازات'!$E$5:$E$104)&gt;=AZ$3)*('حجز الإجازات'!$G$5:$G$104="معتمد")*ROW('حجز الإجازات'!$B$5:$B$104)))-5+1))</f>
        <v/>
      </c>
      <c r="BA8" s="62">
        <f>IF(SUMPRODUCT(('حجز الإجازات'!$B$5:$B$104='الموظفون'!$B$6)*('حجز الإجازات'!$D$5:$D$104&lt;=BA$3)*(('حجز الإجازات'!$E$5:$E$104)&gt;=BA$3)*('حجز الإجازات'!$G$5:$G$104="معتمد")*ROW('حجز الإجازات'!$B$5:$B$104))=0,"",INDEX('حجز الإجازات'!$C$5:$C$104,(SUMPRODUCT(('حجز الإجازات'!$B$5:$B$104='الموظفون'!$B$6)*('حجز الإجازات'!$D$5:$D$104&lt;=BA$3)*(('حجز الإجازات'!$E$5:$E$104)&gt;=BA$3)*('حجز الإجازات'!$G$5:$G$104="معتمد")*ROW('حجز الإجازات'!$B$5:$B$104)))-5+1))</f>
        <v/>
      </c>
      <c r="BB8" s="62">
        <f>IF(SUMPRODUCT(('حجز الإجازات'!$B$5:$B$104='الموظفون'!$B$6)*('حجز الإجازات'!$D$5:$D$104&lt;=BB$3)*(('حجز الإجازات'!$E$5:$E$104)&gt;=BB$3)*('حجز الإجازات'!$G$5:$G$104="معتمد")*ROW('حجز الإجازات'!$B$5:$B$104))=0,"",INDEX('حجز الإجازات'!$C$5:$C$104,(SUMPRODUCT(('حجز الإجازات'!$B$5:$B$104='الموظفون'!$B$6)*('حجز الإجازات'!$D$5:$D$104&lt;=BB$3)*(('حجز الإجازات'!$E$5:$E$104)&gt;=BB$3)*('حجز الإجازات'!$G$5:$G$104="معتمد")*ROW('حجز الإجازات'!$B$5:$B$104)))-5+1))</f>
        <v/>
      </c>
      <c r="BC8" s="62">
        <f>IF(SUMPRODUCT(('حجز الإجازات'!$B$5:$B$104='الموظفون'!$B$6)*('حجز الإجازات'!$D$5:$D$104&lt;=BC$3)*(('حجز الإجازات'!$E$5:$E$104)&gt;=BC$3)*('حجز الإجازات'!$G$5:$G$104="معتمد")*ROW('حجز الإجازات'!$B$5:$B$104))=0,"",INDEX('حجز الإجازات'!$C$5:$C$104,(SUMPRODUCT(('حجز الإجازات'!$B$5:$B$104='الموظفون'!$B$6)*('حجز الإجازات'!$D$5:$D$104&lt;=BC$3)*(('حجز الإجازات'!$E$5:$E$104)&gt;=BC$3)*('حجز الإجازات'!$G$5:$G$104="معتمد")*ROW('حجز الإجازات'!$B$5:$B$104)))-5+1))</f>
        <v/>
      </c>
      <c r="BD8" s="62">
        <f>IF(SUMPRODUCT(('حجز الإجازات'!$B$5:$B$104='الموظفون'!$B$6)*('حجز الإجازات'!$D$5:$D$104&lt;=BD$3)*(('حجز الإجازات'!$E$5:$E$104)&gt;=BD$3)*('حجز الإجازات'!$G$5:$G$104="معتمد")*ROW('حجز الإجازات'!$B$5:$B$104))=0,"",INDEX('حجز الإجازات'!$C$5:$C$104,(SUMPRODUCT(('حجز الإجازات'!$B$5:$B$104='الموظفون'!$B$6)*('حجز الإجازات'!$D$5:$D$104&lt;=BD$3)*(('حجز الإجازات'!$E$5:$E$104)&gt;=BD$3)*('حجز الإجازات'!$G$5:$G$104="معتمد")*ROW('حجز الإجازات'!$B$5:$B$104)))-5+1))</f>
        <v/>
      </c>
      <c r="BE8" s="62">
        <f>IF(SUMPRODUCT(('حجز الإجازات'!$B$5:$B$104='الموظفون'!$B$6)*('حجز الإجازات'!$D$5:$D$104&lt;=BE$3)*(('حجز الإجازات'!$E$5:$E$104)&gt;=BE$3)*('حجز الإجازات'!$G$5:$G$104="معتمد")*ROW('حجز الإجازات'!$B$5:$B$104))=0,"",INDEX('حجز الإجازات'!$C$5:$C$104,(SUMPRODUCT(('حجز الإجازات'!$B$5:$B$104='الموظفون'!$B$6)*('حجز الإجازات'!$D$5:$D$104&lt;=BE$3)*(('حجز الإجازات'!$E$5:$E$104)&gt;=BE$3)*('حجز الإجازات'!$G$5:$G$104="معتمد")*ROW('حجز الإجازات'!$B$5:$B$104)))-5+1))</f>
        <v/>
      </c>
      <c r="BF8" s="62">
        <f>IF(SUMPRODUCT(('حجز الإجازات'!$B$5:$B$104='الموظفون'!$B$6)*('حجز الإجازات'!$D$5:$D$104&lt;=BF$3)*(('حجز الإجازات'!$E$5:$E$104)&gt;=BF$3)*('حجز الإجازات'!$G$5:$G$104="معتمد")*ROW('حجز الإجازات'!$B$5:$B$104))=0,"",INDEX('حجز الإجازات'!$C$5:$C$104,(SUMPRODUCT(('حجز الإجازات'!$B$5:$B$104='الموظفون'!$B$6)*('حجز الإجازات'!$D$5:$D$104&lt;=BF$3)*(('حجز الإجازات'!$E$5:$E$104)&gt;=BF$3)*('حجز الإجازات'!$G$5:$G$104="معتمد")*ROW('حجز الإجازات'!$B$5:$B$104)))-5+1))</f>
        <v/>
      </c>
      <c r="BG8" s="62">
        <f>IF(SUMPRODUCT(('حجز الإجازات'!$B$5:$B$104='الموظفون'!$B$6)*('حجز الإجازات'!$D$5:$D$104&lt;=BG$3)*(('حجز الإجازات'!$E$5:$E$104)&gt;=BG$3)*('حجز الإجازات'!$G$5:$G$104="معتمد")*ROW('حجز الإجازات'!$B$5:$B$104))=0,"",INDEX('حجز الإجازات'!$C$5:$C$104,(SUMPRODUCT(('حجز الإجازات'!$B$5:$B$104='الموظفون'!$B$6)*('حجز الإجازات'!$D$5:$D$104&lt;=BG$3)*(('حجز الإجازات'!$E$5:$E$104)&gt;=BG$3)*('حجز الإجازات'!$G$5:$G$104="معتمد")*ROW('حجز الإجازات'!$B$5:$B$104)))-5+1))</f>
        <v/>
      </c>
      <c r="BH8" s="62">
        <f>IF(SUMPRODUCT(('حجز الإجازات'!$B$5:$B$104='الموظفون'!$B$6)*('حجز الإجازات'!$D$5:$D$104&lt;=BH$3)*(('حجز الإجازات'!$E$5:$E$104)&gt;=BH$3)*('حجز الإجازات'!$G$5:$G$104="معتمد")*ROW('حجز الإجازات'!$B$5:$B$104))=0,"",INDEX('حجز الإجازات'!$C$5:$C$104,(SUMPRODUCT(('حجز الإجازات'!$B$5:$B$104='الموظفون'!$B$6)*('حجز الإجازات'!$D$5:$D$104&lt;=BH$3)*(('حجز الإجازات'!$E$5:$E$104)&gt;=BH$3)*('حجز الإجازات'!$G$5:$G$104="معتمد")*ROW('حجز الإجازات'!$B$5:$B$104)))-5+1))</f>
        <v/>
      </c>
      <c r="BI8" s="62">
        <f>IF(SUMPRODUCT(('حجز الإجازات'!$B$5:$B$104='الموظفون'!$B$6)*('حجز الإجازات'!$D$5:$D$104&lt;=BI$3)*(('حجز الإجازات'!$E$5:$E$104)&gt;=BI$3)*('حجز الإجازات'!$G$5:$G$104="معتمد")*ROW('حجز الإجازات'!$B$5:$B$104))=0,"",INDEX('حجز الإجازات'!$C$5:$C$104,(SUMPRODUCT(('حجز الإجازات'!$B$5:$B$104='الموظفون'!$B$6)*('حجز الإجازات'!$D$5:$D$104&lt;=BI$3)*(('حجز الإجازات'!$E$5:$E$104)&gt;=BI$3)*('حجز الإجازات'!$G$5:$G$104="معتمد")*ROW('حجز الإجازات'!$B$5:$B$104)))-5+1))</f>
        <v/>
      </c>
      <c r="BJ8" s="62">
        <f>IF(SUMPRODUCT(('حجز الإجازات'!$B$5:$B$104='الموظفون'!$B$6)*('حجز الإجازات'!$D$5:$D$104&lt;=BJ$3)*(('حجز الإجازات'!$E$5:$E$104)&gt;=BJ$3)*('حجز الإجازات'!$G$5:$G$104="معتمد")*ROW('حجز الإجازات'!$B$5:$B$104))=0,"",INDEX('حجز الإجازات'!$C$5:$C$104,(SUMPRODUCT(('حجز الإجازات'!$B$5:$B$104='الموظفون'!$B$6)*('حجز الإجازات'!$D$5:$D$104&lt;=BJ$3)*(('حجز الإجازات'!$E$5:$E$104)&gt;=BJ$3)*('حجز الإجازات'!$G$5:$G$104="معتمد")*ROW('حجز الإجازات'!$B$5:$B$104)))-5+1))</f>
        <v/>
      </c>
      <c r="BK8" s="62">
        <f>IF(SUMPRODUCT(('حجز الإجازات'!$B$5:$B$104='الموظفون'!$B$6)*('حجز الإجازات'!$D$5:$D$104&lt;=BK$3)*(('حجز الإجازات'!$E$5:$E$104)&gt;=BK$3)*('حجز الإجازات'!$G$5:$G$104="معتمد")*ROW('حجز الإجازات'!$B$5:$B$104))=0,"",INDEX('حجز الإجازات'!$C$5:$C$104,(SUMPRODUCT(('حجز الإجازات'!$B$5:$B$104='الموظفون'!$B$6)*('حجز الإجازات'!$D$5:$D$104&lt;=BK$3)*(('حجز الإجازات'!$E$5:$E$104)&gt;=BK$3)*('حجز الإجازات'!$G$5:$G$104="معتمد")*ROW('حجز الإجازات'!$B$5:$B$104)))-5+1))</f>
        <v/>
      </c>
      <c r="BL8" s="62">
        <f>IF(SUMPRODUCT(('حجز الإجازات'!$B$5:$B$104='الموظفون'!$B$6)*('حجز الإجازات'!$D$5:$D$104&lt;=BL$3)*(('حجز الإجازات'!$E$5:$E$104)&gt;=BL$3)*('حجز الإجازات'!$G$5:$G$104="معتمد")*ROW('حجز الإجازات'!$B$5:$B$104))=0,"",INDEX('حجز الإجازات'!$C$5:$C$104,(SUMPRODUCT(('حجز الإجازات'!$B$5:$B$104='الموظفون'!$B$6)*('حجز الإجازات'!$D$5:$D$104&lt;=BL$3)*(('حجز الإجازات'!$E$5:$E$104)&gt;=BL$3)*('حجز الإجازات'!$G$5:$G$104="معتمد")*ROW('حجز الإجازات'!$B$5:$B$104)))-5+1))</f>
        <v/>
      </c>
      <c r="BM8" s="62">
        <f>IF(SUMPRODUCT(('حجز الإجازات'!$B$5:$B$104='الموظفون'!$B$6)*('حجز الإجازات'!$D$5:$D$104&lt;=BM$3)*(('حجز الإجازات'!$E$5:$E$104)&gt;=BM$3)*('حجز الإجازات'!$G$5:$G$104="معتمد")*ROW('حجز الإجازات'!$B$5:$B$104))=0,"",INDEX('حجز الإجازات'!$C$5:$C$104,(SUMPRODUCT(('حجز الإجازات'!$B$5:$B$104='الموظفون'!$B$6)*('حجز الإجازات'!$D$5:$D$104&lt;=BM$3)*(('حجز الإجازات'!$E$5:$E$104)&gt;=BM$3)*('حجز الإجازات'!$G$5:$G$104="معتمد")*ROW('حجز الإجازات'!$B$5:$B$104)))-5+1))</f>
        <v/>
      </c>
      <c r="BN8" s="62">
        <f>IF(SUMPRODUCT(('حجز الإجازات'!$B$5:$B$104='الموظفون'!$B$6)*('حجز الإجازات'!$D$5:$D$104&lt;=BN$3)*(('حجز الإجازات'!$E$5:$E$104)&gt;=BN$3)*('حجز الإجازات'!$G$5:$G$104="معتمد")*ROW('حجز الإجازات'!$B$5:$B$104))=0,"",INDEX('حجز الإجازات'!$C$5:$C$104,(SUMPRODUCT(('حجز الإجازات'!$B$5:$B$104='الموظفون'!$B$6)*('حجز الإجازات'!$D$5:$D$104&lt;=BN$3)*(('حجز الإجازات'!$E$5:$E$104)&gt;=BN$3)*('حجز الإجازات'!$G$5:$G$104="معتمد")*ROW('حجز الإجازات'!$B$5:$B$104)))-5+1))</f>
        <v/>
      </c>
      <c r="BO8" s="62">
        <f>IF(SUMPRODUCT(('حجز الإجازات'!$B$5:$B$104='الموظفون'!$B$6)*('حجز الإجازات'!$D$5:$D$104&lt;=BO$3)*(('حجز الإجازات'!$E$5:$E$104)&gt;=BO$3)*('حجز الإجازات'!$G$5:$G$104="معتمد")*ROW('حجز الإجازات'!$B$5:$B$104))=0,"",INDEX('حجز الإجازات'!$C$5:$C$104,(SUMPRODUCT(('حجز الإجازات'!$B$5:$B$104='الموظفون'!$B$6)*('حجز الإجازات'!$D$5:$D$104&lt;=BO$3)*(('حجز الإجازات'!$E$5:$E$104)&gt;=BO$3)*('حجز الإجازات'!$G$5:$G$104="معتمد")*ROW('حجز الإجازات'!$B$5:$B$104)))-5+1))</f>
        <v/>
      </c>
      <c r="BP8" s="62">
        <f>IF(SUMPRODUCT(('حجز الإجازات'!$B$5:$B$104='الموظفون'!$B$6)*('حجز الإجازات'!$D$5:$D$104&lt;=BP$3)*(('حجز الإجازات'!$E$5:$E$104)&gt;=BP$3)*('حجز الإجازات'!$G$5:$G$104="معتمد")*ROW('حجز الإجازات'!$B$5:$B$104))=0,"",INDEX('حجز الإجازات'!$C$5:$C$104,(SUMPRODUCT(('حجز الإجازات'!$B$5:$B$104='الموظفون'!$B$6)*('حجز الإجازات'!$D$5:$D$104&lt;=BP$3)*(('حجز الإجازات'!$E$5:$E$104)&gt;=BP$3)*('حجز الإجازات'!$G$5:$G$104="معتمد")*ROW('حجز الإجازات'!$B$5:$B$104)))-5+1))</f>
        <v/>
      </c>
      <c r="BQ8" s="62">
        <f>IF(SUMPRODUCT(('حجز الإجازات'!$B$5:$B$104='الموظفون'!$B$6)*('حجز الإجازات'!$D$5:$D$104&lt;=BQ$3)*(('حجز الإجازات'!$E$5:$E$104)&gt;=BQ$3)*('حجز الإجازات'!$G$5:$G$104="معتمد")*ROW('حجز الإجازات'!$B$5:$B$104))=0,"",INDEX('حجز الإجازات'!$C$5:$C$104,(SUMPRODUCT(('حجز الإجازات'!$B$5:$B$104='الموظفون'!$B$6)*('حجز الإجازات'!$D$5:$D$104&lt;=BQ$3)*(('حجز الإجازات'!$E$5:$E$104)&gt;=BQ$3)*('حجز الإجازات'!$G$5:$G$104="معتمد")*ROW('حجز الإجازات'!$B$5:$B$104)))-5+1))</f>
        <v/>
      </c>
      <c r="BR8" s="62">
        <f>IF(SUMPRODUCT(('حجز الإجازات'!$B$5:$B$104='الموظفون'!$B$6)*('حجز الإجازات'!$D$5:$D$104&lt;=BR$3)*(('حجز الإجازات'!$E$5:$E$104)&gt;=BR$3)*('حجز الإجازات'!$G$5:$G$104="معتمد")*ROW('حجز الإجازات'!$B$5:$B$104))=0,"",INDEX('حجز الإجازات'!$C$5:$C$104,(SUMPRODUCT(('حجز الإجازات'!$B$5:$B$104='الموظفون'!$B$6)*('حجز الإجازات'!$D$5:$D$104&lt;=BR$3)*(('حجز الإجازات'!$E$5:$E$104)&gt;=BR$3)*('حجز الإجازات'!$G$5:$G$104="معتمد")*ROW('حجز الإجازات'!$B$5:$B$104)))-5+1))</f>
        <v/>
      </c>
      <c r="BS8" s="62">
        <f>IF(SUMPRODUCT(('حجز الإجازات'!$B$5:$B$104='الموظفون'!$B$6)*('حجز الإجازات'!$D$5:$D$104&lt;=BS$3)*(('حجز الإجازات'!$E$5:$E$104)&gt;=BS$3)*('حجز الإجازات'!$G$5:$G$104="معتمد")*ROW('حجز الإجازات'!$B$5:$B$104))=0,"",INDEX('حجز الإجازات'!$C$5:$C$104,(SUMPRODUCT(('حجز الإجازات'!$B$5:$B$104='الموظفون'!$B$6)*('حجز الإجازات'!$D$5:$D$104&lt;=BS$3)*(('حجز الإجازات'!$E$5:$E$104)&gt;=BS$3)*('حجز الإجازات'!$G$5:$G$104="معتمد")*ROW('حجز الإجازات'!$B$5:$B$104)))-5+1))</f>
        <v/>
      </c>
      <c r="BT8" s="62">
        <f>IF(SUMPRODUCT(('حجز الإجازات'!$B$5:$B$104='الموظفون'!$B$6)*('حجز الإجازات'!$D$5:$D$104&lt;=BT$3)*(('حجز الإجازات'!$E$5:$E$104)&gt;=BT$3)*('حجز الإجازات'!$G$5:$G$104="معتمد")*ROW('حجز الإجازات'!$B$5:$B$104))=0,"",INDEX('حجز الإجازات'!$C$5:$C$104,(SUMPRODUCT(('حجز الإجازات'!$B$5:$B$104='الموظفون'!$B$6)*('حجز الإجازات'!$D$5:$D$104&lt;=BT$3)*(('حجز الإجازات'!$E$5:$E$104)&gt;=BT$3)*('حجز الإجازات'!$G$5:$G$104="معتمد")*ROW('حجز الإجازات'!$B$5:$B$104)))-5+1))</f>
        <v/>
      </c>
      <c r="BU8" s="62">
        <f>IF(SUMPRODUCT(('حجز الإجازات'!$B$5:$B$104='الموظفون'!$B$6)*('حجز الإجازات'!$D$5:$D$104&lt;=BU$3)*(('حجز الإجازات'!$E$5:$E$104)&gt;=BU$3)*('حجز الإجازات'!$G$5:$G$104="معتمد")*ROW('حجز الإجازات'!$B$5:$B$104))=0,"",INDEX('حجز الإجازات'!$C$5:$C$104,(SUMPRODUCT(('حجز الإجازات'!$B$5:$B$104='الموظفون'!$B$6)*('حجز الإجازات'!$D$5:$D$104&lt;=BU$3)*(('حجز الإجازات'!$E$5:$E$104)&gt;=BU$3)*('حجز الإجازات'!$G$5:$G$104="معتمد")*ROW('حجز الإجازات'!$B$5:$B$104)))-5+1))</f>
        <v/>
      </c>
      <c r="BV8" s="62">
        <f>IF(SUMPRODUCT(('حجز الإجازات'!$B$5:$B$104='الموظفون'!$B$6)*('حجز الإجازات'!$D$5:$D$104&lt;=BV$3)*(('حجز الإجازات'!$E$5:$E$104)&gt;=BV$3)*('حجز الإجازات'!$G$5:$G$104="معتمد")*ROW('حجز الإجازات'!$B$5:$B$104))=0,"",INDEX('حجز الإجازات'!$C$5:$C$104,(SUMPRODUCT(('حجز الإجازات'!$B$5:$B$104='الموظفون'!$B$6)*('حجز الإجازات'!$D$5:$D$104&lt;=BV$3)*(('حجز الإجازات'!$E$5:$E$104)&gt;=BV$3)*('حجز الإجازات'!$G$5:$G$104="معتمد")*ROW('حجز الإجازات'!$B$5:$B$104)))-5+1))</f>
        <v/>
      </c>
      <c r="BW8" s="62">
        <f>IF(SUMPRODUCT(('حجز الإجازات'!$B$5:$B$104='الموظفون'!$B$6)*('حجز الإجازات'!$D$5:$D$104&lt;=BW$3)*(('حجز الإجازات'!$E$5:$E$104)&gt;=BW$3)*('حجز الإجازات'!$G$5:$G$104="معتمد")*ROW('حجز الإجازات'!$B$5:$B$104))=0,"",INDEX('حجز الإجازات'!$C$5:$C$104,(SUMPRODUCT(('حجز الإجازات'!$B$5:$B$104='الموظفون'!$B$6)*('حجز الإجازات'!$D$5:$D$104&lt;=BW$3)*(('حجز الإجازات'!$E$5:$E$104)&gt;=BW$3)*('حجز الإجازات'!$G$5:$G$104="معتمد")*ROW('حجز الإجازات'!$B$5:$B$104)))-5+1))</f>
        <v/>
      </c>
      <c r="BX8" s="62">
        <f>IF(SUMPRODUCT(('حجز الإجازات'!$B$5:$B$104='الموظفون'!$B$6)*('حجز الإجازات'!$D$5:$D$104&lt;=BX$3)*(('حجز الإجازات'!$E$5:$E$104)&gt;=BX$3)*('حجز الإجازات'!$G$5:$G$104="معتمد")*ROW('حجز الإجازات'!$B$5:$B$104))=0,"",INDEX('حجز الإجازات'!$C$5:$C$104,(SUMPRODUCT(('حجز الإجازات'!$B$5:$B$104='الموظفون'!$B$6)*('حجز الإجازات'!$D$5:$D$104&lt;=BX$3)*(('حجز الإجازات'!$E$5:$E$104)&gt;=BX$3)*('حجز الإجازات'!$G$5:$G$104="معتمد")*ROW('حجز الإجازات'!$B$5:$B$104)))-5+1))</f>
        <v/>
      </c>
      <c r="BY8" s="62">
        <f>IF(SUMPRODUCT(('حجز الإجازات'!$B$5:$B$104='الموظفون'!$B$6)*('حجز الإجازات'!$D$5:$D$104&lt;=BY$3)*(('حجز الإجازات'!$E$5:$E$104)&gt;=BY$3)*('حجز الإجازات'!$G$5:$G$104="معتمد")*ROW('حجز الإجازات'!$B$5:$B$104))=0,"",INDEX('حجز الإجازات'!$C$5:$C$104,(SUMPRODUCT(('حجز الإجازات'!$B$5:$B$104='الموظفون'!$B$6)*('حجز الإجازات'!$D$5:$D$104&lt;=BY$3)*(('حجز الإجازات'!$E$5:$E$104)&gt;=BY$3)*('حجز الإجازات'!$G$5:$G$104="معتمد")*ROW('حجز الإجازات'!$B$5:$B$104)))-5+1))</f>
        <v/>
      </c>
      <c r="BZ8" s="62">
        <f>IF(SUMPRODUCT(('حجز الإجازات'!$B$5:$B$104='الموظفون'!$B$6)*('حجز الإجازات'!$D$5:$D$104&lt;=BZ$3)*(('حجز الإجازات'!$E$5:$E$104)&gt;=BZ$3)*('حجز الإجازات'!$G$5:$G$104="معتمد")*ROW('حجز الإجازات'!$B$5:$B$104))=0,"",INDEX('حجز الإجازات'!$C$5:$C$104,(SUMPRODUCT(('حجز الإجازات'!$B$5:$B$104='الموظفون'!$B$6)*('حجز الإجازات'!$D$5:$D$104&lt;=BZ$3)*(('حجز الإجازات'!$E$5:$E$104)&gt;=BZ$3)*('حجز الإجازات'!$G$5:$G$104="معتمد")*ROW('حجز الإجازات'!$B$5:$B$104)))-5+1))</f>
        <v/>
      </c>
      <c r="CA8" s="62">
        <f>IF(SUMPRODUCT(('حجز الإجازات'!$B$5:$B$104='الموظفون'!$B$6)*('حجز الإجازات'!$D$5:$D$104&lt;=CA$3)*(('حجز الإجازات'!$E$5:$E$104)&gt;=CA$3)*('حجز الإجازات'!$G$5:$G$104="معتمد")*ROW('حجز الإجازات'!$B$5:$B$104))=0,"",INDEX('حجز الإجازات'!$C$5:$C$104,(SUMPRODUCT(('حجز الإجازات'!$B$5:$B$104='الموظفون'!$B$6)*('حجز الإجازات'!$D$5:$D$104&lt;=CA$3)*(('حجز الإجازات'!$E$5:$E$104)&gt;=CA$3)*('حجز الإجازات'!$G$5:$G$104="معتمد")*ROW('حجز الإجازات'!$B$5:$B$104)))-5+1))</f>
        <v/>
      </c>
      <c r="CB8" s="62">
        <f>IF(SUMPRODUCT(('حجز الإجازات'!$B$5:$B$104='الموظفون'!$B$6)*('حجز الإجازات'!$D$5:$D$104&lt;=CB$3)*(('حجز الإجازات'!$E$5:$E$104)&gt;=CB$3)*('حجز الإجازات'!$G$5:$G$104="معتمد")*ROW('حجز الإجازات'!$B$5:$B$104))=0,"",INDEX('حجز الإجازات'!$C$5:$C$104,(SUMPRODUCT(('حجز الإجازات'!$B$5:$B$104='الموظفون'!$B$6)*('حجز الإجازات'!$D$5:$D$104&lt;=CB$3)*(('حجز الإجازات'!$E$5:$E$104)&gt;=CB$3)*('حجز الإجازات'!$G$5:$G$104="معتمد")*ROW('حجز الإجازات'!$B$5:$B$104)))-5+1))</f>
        <v/>
      </c>
      <c r="CC8" s="62">
        <f>IF(SUMPRODUCT(('حجز الإجازات'!$B$5:$B$104='الموظفون'!$B$6)*('حجز الإجازات'!$D$5:$D$104&lt;=CC$3)*(('حجز الإجازات'!$E$5:$E$104)&gt;=CC$3)*('حجز الإجازات'!$G$5:$G$104="معتمد")*ROW('حجز الإجازات'!$B$5:$B$104))=0,"",INDEX('حجز الإجازات'!$C$5:$C$104,(SUMPRODUCT(('حجز الإجازات'!$B$5:$B$104='الموظفون'!$B$6)*('حجز الإجازات'!$D$5:$D$104&lt;=CC$3)*(('حجز الإجازات'!$E$5:$E$104)&gt;=CC$3)*('حجز الإجازات'!$G$5:$G$104="معتمد")*ROW('حجز الإجازات'!$B$5:$B$104)))-5+1))</f>
        <v/>
      </c>
      <c r="CD8" s="62">
        <f>IF(SUMPRODUCT(('حجز الإجازات'!$B$5:$B$104='الموظفون'!$B$6)*('حجز الإجازات'!$D$5:$D$104&lt;=CD$3)*(('حجز الإجازات'!$E$5:$E$104)&gt;=CD$3)*('حجز الإجازات'!$G$5:$G$104="معتمد")*ROW('حجز الإجازات'!$B$5:$B$104))=0,"",INDEX('حجز الإجازات'!$C$5:$C$104,(SUMPRODUCT(('حجز الإجازات'!$B$5:$B$104='الموظفون'!$B$6)*('حجز الإجازات'!$D$5:$D$104&lt;=CD$3)*(('حجز الإجازات'!$E$5:$E$104)&gt;=CD$3)*('حجز الإجازات'!$G$5:$G$104="معتمد")*ROW('حجز الإجازات'!$B$5:$B$104)))-5+1))</f>
        <v/>
      </c>
      <c r="CE8" s="62">
        <f>IF(SUMPRODUCT(('حجز الإجازات'!$B$5:$B$104='الموظفون'!$B$6)*('حجز الإجازات'!$D$5:$D$104&lt;=CE$3)*(('حجز الإجازات'!$E$5:$E$104)&gt;=CE$3)*('حجز الإجازات'!$G$5:$G$104="معتمد")*ROW('حجز الإجازات'!$B$5:$B$104))=0,"",INDEX('حجز الإجازات'!$C$5:$C$104,(SUMPRODUCT(('حجز الإجازات'!$B$5:$B$104='الموظفون'!$B$6)*('حجز الإجازات'!$D$5:$D$104&lt;=CE$3)*(('حجز الإجازات'!$E$5:$E$104)&gt;=CE$3)*('حجز الإجازات'!$G$5:$G$104="معتمد")*ROW('حجز الإجازات'!$B$5:$B$104)))-5+1))</f>
        <v/>
      </c>
      <c r="CF8" s="62">
        <f>IF(SUMPRODUCT(('حجز الإجازات'!$B$5:$B$104='الموظفون'!$B$6)*('حجز الإجازات'!$D$5:$D$104&lt;=CF$3)*(('حجز الإجازات'!$E$5:$E$104)&gt;=CF$3)*('حجز الإجازات'!$G$5:$G$104="معتمد")*ROW('حجز الإجازات'!$B$5:$B$104))=0,"",INDEX('حجز الإجازات'!$C$5:$C$104,(SUMPRODUCT(('حجز الإجازات'!$B$5:$B$104='الموظفون'!$B$6)*('حجز الإجازات'!$D$5:$D$104&lt;=CF$3)*(('حجز الإجازات'!$E$5:$E$104)&gt;=CF$3)*('حجز الإجازات'!$G$5:$G$104="معتمد")*ROW('حجز الإجازات'!$B$5:$B$104)))-5+1))</f>
        <v/>
      </c>
      <c r="CG8" s="62">
        <f>IF(SUMPRODUCT(('حجز الإجازات'!$B$5:$B$104='الموظفون'!$B$6)*('حجز الإجازات'!$D$5:$D$104&lt;=CG$3)*(('حجز الإجازات'!$E$5:$E$104)&gt;=CG$3)*('حجز الإجازات'!$G$5:$G$104="معتمد")*ROW('حجز الإجازات'!$B$5:$B$104))=0,"",INDEX('حجز الإجازات'!$C$5:$C$104,(SUMPRODUCT(('حجز الإجازات'!$B$5:$B$104='الموظفون'!$B$6)*('حجز الإجازات'!$D$5:$D$104&lt;=CG$3)*(('حجز الإجازات'!$E$5:$E$104)&gt;=CG$3)*('حجز الإجازات'!$G$5:$G$104="معتمد")*ROW('حجز الإجازات'!$B$5:$B$104)))-5+1))</f>
        <v/>
      </c>
      <c r="CH8" s="62">
        <f>IF(SUMPRODUCT(('حجز الإجازات'!$B$5:$B$104='الموظفون'!$B$6)*('حجز الإجازات'!$D$5:$D$104&lt;=CH$3)*(('حجز الإجازات'!$E$5:$E$104)&gt;=CH$3)*('حجز الإجازات'!$G$5:$G$104="معتمد")*ROW('حجز الإجازات'!$B$5:$B$104))=0,"",INDEX('حجز الإجازات'!$C$5:$C$104,(SUMPRODUCT(('حجز الإجازات'!$B$5:$B$104='الموظفون'!$B$6)*('حجز الإجازات'!$D$5:$D$104&lt;=CH$3)*(('حجز الإجازات'!$E$5:$E$104)&gt;=CH$3)*('حجز الإجازات'!$G$5:$G$104="معتمد")*ROW('حجز الإجازات'!$B$5:$B$104)))-5+1))</f>
        <v/>
      </c>
      <c r="CI8" s="62">
        <f>IF(SUMPRODUCT(('حجز الإجازات'!$B$5:$B$104='الموظفون'!$B$6)*('حجز الإجازات'!$D$5:$D$104&lt;=CI$3)*(('حجز الإجازات'!$E$5:$E$104)&gt;=CI$3)*('حجز الإجازات'!$G$5:$G$104="معتمد")*ROW('حجز الإجازات'!$B$5:$B$104))=0,"",INDEX('حجز الإجازات'!$C$5:$C$104,(SUMPRODUCT(('حجز الإجازات'!$B$5:$B$104='الموظفون'!$B$6)*('حجز الإجازات'!$D$5:$D$104&lt;=CI$3)*(('حجز الإجازات'!$E$5:$E$104)&gt;=CI$3)*('حجز الإجازات'!$G$5:$G$104="معتمد")*ROW('حجز الإجازات'!$B$5:$B$104)))-5+1))</f>
        <v/>
      </c>
      <c r="CJ8" s="62">
        <f>IF(SUMPRODUCT(('حجز الإجازات'!$B$5:$B$104='الموظفون'!$B$6)*('حجز الإجازات'!$D$5:$D$104&lt;=CJ$3)*(('حجز الإجازات'!$E$5:$E$104)&gt;=CJ$3)*('حجز الإجازات'!$G$5:$G$104="معتمد")*ROW('حجز الإجازات'!$B$5:$B$104))=0,"",INDEX('حجز الإجازات'!$C$5:$C$104,(SUMPRODUCT(('حجز الإجازات'!$B$5:$B$104='الموظفون'!$B$6)*('حجز الإجازات'!$D$5:$D$104&lt;=CJ$3)*(('حجز الإجازات'!$E$5:$E$104)&gt;=CJ$3)*('حجز الإجازات'!$G$5:$G$104="معتمد")*ROW('حجز الإجازات'!$B$5:$B$104)))-5+1))</f>
        <v/>
      </c>
      <c r="CK8" s="62">
        <f>IF(SUMPRODUCT(('حجز الإجازات'!$B$5:$B$104='الموظفون'!$B$6)*('حجز الإجازات'!$D$5:$D$104&lt;=CK$3)*(('حجز الإجازات'!$E$5:$E$104)&gt;=CK$3)*('حجز الإجازات'!$G$5:$G$104="معتمد")*ROW('حجز الإجازات'!$B$5:$B$104))=0,"",INDEX('حجز الإجازات'!$C$5:$C$104,(SUMPRODUCT(('حجز الإجازات'!$B$5:$B$104='الموظفون'!$B$6)*('حجز الإجازات'!$D$5:$D$104&lt;=CK$3)*(('حجز الإجازات'!$E$5:$E$104)&gt;=CK$3)*('حجز الإجازات'!$G$5:$G$104="معتمد")*ROW('حجز الإجازات'!$B$5:$B$104)))-5+1))</f>
        <v/>
      </c>
      <c r="CL8" s="62">
        <f>IF(SUMPRODUCT(('حجز الإجازات'!$B$5:$B$104='الموظفون'!$B$6)*('حجز الإجازات'!$D$5:$D$104&lt;=CL$3)*(('حجز الإجازات'!$E$5:$E$104)&gt;=CL$3)*('حجز الإجازات'!$G$5:$G$104="معتمد")*ROW('حجز الإجازات'!$B$5:$B$104))=0,"",INDEX('حجز الإجازات'!$C$5:$C$104,(SUMPRODUCT(('حجز الإجازات'!$B$5:$B$104='الموظفون'!$B$6)*('حجز الإجازات'!$D$5:$D$104&lt;=CL$3)*(('حجز الإجازات'!$E$5:$E$104)&gt;=CL$3)*('حجز الإجازات'!$G$5:$G$104="معتمد")*ROW('حجز الإجازات'!$B$5:$B$104)))-5+1))</f>
        <v/>
      </c>
      <c r="CM8" s="62">
        <f>IF(SUMPRODUCT(('حجز الإجازات'!$B$5:$B$104='الموظفون'!$B$6)*('حجز الإجازات'!$D$5:$D$104&lt;=CM$3)*(('حجز الإجازات'!$E$5:$E$104)&gt;=CM$3)*('حجز الإجازات'!$G$5:$G$104="معتمد")*ROW('حجز الإجازات'!$B$5:$B$104))=0,"",INDEX('حجز الإجازات'!$C$5:$C$104,(SUMPRODUCT(('حجز الإجازات'!$B$5:$B$104='الموظفون'!$B$6)*('حجز الإجازات'!$D$5:$D$104&lt;=CM$3)*(('حجز الإجازات'!$E$5:$E$104)&gt;=CM$3)*('حجز الإجازات'!$G$5:$G$104="معتمد")*ROW('حجز الإجازات'!$B$5:$B$104)))-5+1))</f>
        <v/>
      </c>
      <c r="CN8" s="62">
        <f>IF(SUMPRODUCT(('حجز الإجازات'!$B$5:$B$104='الموظفون'!$B$6)*('حجز الإجازات'!$D$5:$D$104&lt;=CN$3)*(('حجز الإجازات'!$E$5:$E$104)&gt;=CN$3)*('حجز الإجازات'!$G$5:$G$104="معتمد")*ROW('حجز الإجازات'!$B$5:$B$104))=0,"",INDEX('حجز الإجازات'!$C$5:$C$104,(SUMPRODUCT(('حجز الإجازات'!$B$5:$B$104='الموظفون'!$B$6)*('حجز الإجازات'!$D$5:$D$104&lt;=CN$3)*(('حجز الإجازات'!$E$5:$E$104)&gt;=CN$3)*('حجز الإجازات'!$G$5:$G$104="معتمد")*ROW('حجز الإجازات'!$B$5:$B$104)))-5+1))</f>
        <v/>
      </c>
      <c r="CO8" s="62">
        <f>IF(SUMPRODUCT(('حجز الإجازات'!$B$5:$B$104='الموظفون'!$B$6)*('حجز الإجازات'!$D$5:$D$104&lt;=CO$3)*(('حجز الإجازات'!$E$5:$E$104)&gt;=CO$3)*('حجز الإجازات'!$G$5:$G$104="معتمد")*ROW('حجز الإجازات'!$B$5:$B$104))=0,"",INDEX('حجز الإجازات'!$C$5:$C$104,(SUMPRODUCT(('حجز الإجازات'!$B$5:$B$104='الموظفون'!$B$6)*('حجز الإجازات'!$D$5:$D$104&lt;=CO$3)*(('حجز الإجازات'!$E$5:$E$104)&gt;=CO$3)*('حجز الإجازات'!$G$5:$G$104="معتمد")*ROW('حجز الإجازات'!$B$5:$B$104)))-5+1))</f>
        <v/>
      </c>
      <c r="CP8" s="62">
        <f>IF(SUMPRODUCT(('حجز الإجازات'!$B$5:$B$104='الموظفون'!$B$6)*('حجز الإجازات'!$D$5:$D$104&lt;=CP$3)*(('حجز الإجازات'!$E$5:$E$104)&gt;=CP$3)*('حجز الإجازات'!$G$5:$G$104="معتمد")*ROW('حجز الإجازات'!$B$5:$B$104))=0,"",INDEX('حجز الإجازات'!$C$5:$C$104,(SUMPRODUCT(('حجز الإجازات'!$B$5:$B$104='الموظفون'!$B$6)*('حجز الإجازات'!$D$5:$D$104&lt;=CP$3)*(('حجز الإجازات'!$E$5:$E$104)&gt;=CP$3)*('حجز الإجازات'!$G$5:$G$104="معتمد")*ROW('حجز الإجازات'!$B$5:$B$104)))-5+1))</f>
        <v/>
      </c>
      <c r="CQ8" s="62">
        <f>IF(SUMPRODUCT(('حجز الإجازات'!$B$5:$B$104='الموظفون'!$B$6)*('حجز الإجازات'!$D$5:$D$104&lt;=CQ$3)*(('حجز الإجازات'!$E$5:$E$104)&gt;=CQ$3)*('حجز الإجازات'!$G$5:$G$104="معتمد")*ROW('حجز الإجازات'!$B$5:$B$104))=0,"",INDEX('حجز الإجازات'!$C$5:$C$104,(SUMPRODUCT(('حجز الإجازات'!$B$5:$B$104='الموظفون'!$B$6)*('حجز الإجازات'!$D$5:$D$104&lt;=CQ$3)*(('حجز الإجازات'!$E$5:$E$104)&gt;=CQ$3)*('حجز الإجازات'!$G$5:$G$104="معتمد")*ROW('حجز الإجازات'!$B$5:$B$104)))-5+1))</f>
        <v/>
      </c>
      <c r="CR8" s="62">
        <f>IF(SUMPRODUCT(('حجز الإجازات'!$B$5:$B$104='الموظفون'!$B$6)*('حجز الإجازات'!$D$5:$D$104&lt;=CR$3)*(('حجز الإجازات'!$E$5:$E$104)&gt;=CR$3)*('حجز الإجازات'!$G$5:$G$104="معتمد")*ROW('حجز الإجازات'!$B$5:$B$104))=0,"",INDEX('حجز الإجازات'!$C$5:$C$104,(SUMPRODUCT(('حجز الإجازات'!$B$5:$B$104='الموظفون'!$B$6)*('حجز الإجازات'!$D$5:$D$104&lt;=CR$3)*(('حجز الإجازات'!$E$5:$E$104)&gt;=CR$3)*('حجز الإجازات'!$G$5:$G$104="معتمد")*ROW('حجز الإجازات'!$B$5:$B$104)))-5+1))</f>
        <v/>
      </c>
      <c r="CS8" s="62">
        <f>IF(SUMPRODUCT(('حجز الإجازات'!$B$5:$B$104='الموظفون'!$B$6)*('حجز الإجازات'!$D$5:$D$104&lt;=CS$3)*(('حجز الإجازات'!$E$5:$E$104)&gt;=CS$3)*('حجز الإجازات'!$G$5:$G$104="معتمد")*ROW('حجز الإجازات'!$B$5:$B$104))=0,"",INDEX('حجز الإجازات'!$C$5:$C$104,(SUMPRODUCT(('حجز الإجازات'!$B$5:$B$104='الموظفون'!$B$6)*('حجز الإجازات'!$D$5:$D$104&lt;=CS$3)*(('حجز الإجازات'!$E$5:$E$104)&gt;=CS$3)*('حجز الإجازات'!$G$5:$G$104="معتمد")*ROW('حجز الإجازات'!$B$5:$B$104)))-5+1))</f>
        <v/>
      </c>
      <c r="CT8" s="62">
        <f>IF(SUMPRODUCT(('حجز الإجازات'!$B$5:$B$104='الموظفون'!$B$6)*('حجز الإجازات'!$D$5:$D$104&lt;=CT$3)*(('حجز الإجازات'!$E$5:$E$104)&gt;=CT$3)*('حجز الإجازات'!$G$5:$G$104="معتمد")*ROW('حجز الإجازات'!$B$5:$B$104))=0,"",INDEX('حجز الإجازات'!$C$5:$C$104,(SUMPRODUCT(('حجز الإجازات'!$B$5:$B$104='الموظفون'!$B$6)*('حجز الإجازات'!$D$5:$D$104&lt;=CT$3)*(('حجز الإجازات'!$E$5:$E$104)&gt;=CT$3)*('حجز الإجازات'!$G$5:$G$104="معتمد")*ROW('حجز الإجازات'!$B$5:$B$104)))-5+1))</f>
        <v/>
      </c>
      <c r="CU8" s="62">
        <f>IF(SUMPRODUCT(('حجز الإجازات'!$B$5:$B$104='الموظفون'!$B$6)*('حجز الإجازات'!$D$5:$D$104&lt;=CU$3)*(('حجز الإجازات'!$E$5:$E$104)&gt;=CU$3)*('حجز الإجازات'!$G$5:$G$104="معتمد")*ROW('حجز الإجازات'!$B$5:$B$104))=0,"",INDEX('حجز الإجازات'!$C$5:$C$104,(SUMPRODUCT(('حجز الإجازات'!$B$5:$B$104='الموظفون'!$B$6)*('حجز الإجازات'!$D$5:$D$104&lt;=CU$3)*(('حجز الإجازات'!$E$5:$E$104)&gt;=CU$3)*('حجز الإجازات'!$G$5:$G$104="معتمد")*ROW('حجز الإجازات'!$B$5:$B$104)))-5+1))</f>
        <v/>
      </c>
      <c r="CV8" s="62">
        <f>IF(SUMPRODUCT(('حجز الإجازات'!$B$5:$B$104='الموظفون'!$B$6)*('حجز الإجازات'!$D$5:$D$104&lt;=CV$3)*(('حجز الإجازات'!$E$5:$E$104)&gt;=CV$3)*('حجز الإجازات'!$G$5:$G$104="معتمد")*ROW('حجز الإجازات'!$B$5:$B$104))=0,"",INDEX('حجز الإجازات'!$C$5:$C$104,(SUMPRODUCT(('حجز الإجازات'!$B$5:$B$104='الموظفون'!$B$6)*('حجز الإجازات'!$D$5:$D$104&lt;=CV$3)*(('حجز الإجازات'!$E$5:$E$104)&gt;=CV$3)*('حجز الإجازات'!$G$5:$G$104="معتمد")*ROW('حجز الإجازات'!$B$5:$B$104)))-5+1))</f>
        <v/>
      </c>
      <c r="CW8" s="62">
        <f>IF(SUMPRODUCT(('حجز الإجازات'!$B$5:$B$104='الموظفون'!$B$6)*('حجز الإجازات'!$D$5:$D$104&lt;=CW$3)*(('حجز الإجازات'!$E$5:$E$104)&gt;=CW$3)*('حجز الإجازات'!$G$5:$G$104="معتمد")*ROW('حجز الإجازات'!$B$5:$B$104))=0,"",INDEX('حجز الإجازات'!$C$5:$C$104,(SUMPRODUCT(('حجز الإجازات'!$B$5:$B$104='الموظفون'!$B$6)*('حجز الإجازات'!$D$5:$D$104&lt;=CW$3)*(('حجز الإجازات'!$E$5:$E$104)&gt;=CW$3)*('حجز الإجازات'!$G$5:$G$104="معتمد")*ROW('حجز الإجازات'!$B$5:$B$104)))-5+1))</f>
        <v/>
      </c>
      <c r="CX8" s="62">
        <f>IF(SUMPRODUCT(('حجز الإجازات'!$B$5:$B$104='الموظفون'!$B$6)*('حجز الإجازات'!$D$5:$D$104&lt;=CX$3)*(('حجز الإجازات'!$E$5:$E$104)&gt;=CX$3)*('حجز الإجازات'!$G$5:$G$104="معتمد")*ROW('حجز الإجازات'!$B$5:$B$104))=0,"",INDEX('حجز الإجازات'!$C$5:$C$104,(SUMPRODUCT(('حجز الإجازات'!$B$5:$B$104='الموظفون'!$B$6)*('حجز الإجازات'!$D$5:$D$104&lt;=CX$3)*(('حجز الإجازات'!$E$5:$E$104)&gt;=CX$3)*('حجز الإجازات'!$G$5:$G$104="معتمد")*ROW('حجز الإجازات'!$B$5:$B$104)))-5+1))</f>
        <v/>
      </c>
      <c r="CY8" s="62">
        <f>IF(SUMPRODUCT(('حجز الإجازات'!$B$5:$B$104='الموظفون'!$B$6)*('حجز الإجازات'!$D$5:$D$104&lt;=CY$3)*(('حجز الإجازات'!$E$5:$E$104)&gt;=CY$3)*('حجز الإجازات'!$G$5:$G$104="معتمد")*ROW('حجز الإجازات'!$B$5:$B$104))=0,"",INDEX('حجز الإجازات'!$C$5:$C$104,(SUMPRODUCT(('حجز الإجازات'!$B$5:$B$104='الموظفون'!$B$6)*('حجز الإجازات'!$D$5:$D$104&lt;=CY$3)*(('حجز الإجازات'!$E$5:$E$104)&gt;=CY$3)*('حجز الإجازات'!$G$5:$G$104="معتمد")*ROW('حجز الإجازات'!$B$5:$B$104)))-5+1))</f>
        <v/>
      </c>
      <c r="CZ8" s="62">
        <f>IF(SUMPRODUCT(('حجز الإجازات'!$B$5:$B$104='الموظفون'!$B$6)*('حجز الإجازات'!$D$5:$D$104&lt;=CZ$3)*(('حجز الإجازات'!$E$5:$E$104)&gt;=CZ$3)*('حجز الإجازات'!$G$5:$G$104="معتمد")*ROW('حجز الإجازات'!$B$5:$B$104))=0,"",INDEX('حجز الإجازات'!$C$5:$C$104,(SUMPRODUCT(('حجز الإجازات'!$B$5:$B$104='الموظفون'!$B$6)*('حجز الإجازات'!$D$5:$D$104&lt;=CZ$3)*(('حجز الإجازات'!$E$5:$E$104)&gt;=CZ$3)*('حجز الإجازات'!$G$5:$G$104="معتمد")*ROW('حجز الإجازات'!$B$5:$B$104)))-5+1))</f>
        <v/>
      </c>
      <c r="DA8" s="62">
        <f>IF(SUMPRODUCT(('حجز الإجازات'!$B$5:$B$104='الموظفون'!$B$6)*('حجز الإجازات'!$D$5:$D$104&lt;=DA$3)*(('حجز الإجازات'!$E$5:$E$104)&gt;=DA$3)*('حجز الإجازات'!$G$5:$G$104="معتمد")*ROW('حجز الإجازات'!$B$5:$B$104))=0,"",INDEX('حجز الإجازات'!$C$5:$C$104,(SUMPRODUCT(('حجز الإجازات'!$B$5:$B$104='الموظفون'!$B$6)*('حجز الإجازات'!$D$5:$D$104&lt;=DA$3)*(('حجز الإجازات'!$E$5:$E$104)&gt;=DA$3)*('حجز الإجازات'!$G$5:$G$104="معتمد")*ROW('حجز الإجازات'!$B$5:$B$104)))-5+1))</f>
        <v/>
      </c>
      <c r="DB8" s="62">
        <f>IF(SUMPRODUCT(('حجز الإجازات'!$B$5:$B$104='الموظفون'!$B$6)*('حجز الإجازات'!$D$5:$D$104&lt;=DB$3)*(('حجز الإجازات'!$E$5:$E$104)&gt;=DB$3)*('حجز الإجازات'!$G$5:$G$104="معتمد")*ROW('حجز الإجازات'!$B$5:$B$104))=0,"",INDEX('حجز الإجازات'!$C$5:$C$104,(SUMPRODUCT(('حجز الإجازات'!$B$5:$B$104='الموظفون'!$B$6)*('حجز الإجازات'!$D$5:$D$104&lt;=DB$3)*(('حجز الإجازات'!$E$5:$E$104)&gt;=DB$3)*('حجز الإجازات'!$G$5:$G$104="معتمد")*ROW('حجز الإجازات'!$B$5:$B$104)))-5+1))</f>
        <v/>
      </c>
      <c r="DC8" s="62">
        <f>IF(SUMPRODUCT(('حجز الإجازات'!$B$5:$B$104='الموظفون'!$B$6)*('حجز الإجازات'!$D$5:$D$104&lt;=DC$3)*(('حجز الإجازات'!$E$5:$E$104)&gt;=DC$3)*('حجز الإجازات'!$G$5:$G$104="معتمد")*ROW('حجز الإجازات'!$B$5:$B$104))=0,"",INDEX('حجز الإجازات'!$C$5:$C$104,(SUMPRODUCT(('حجز الإجازات'!$B$5:$B$104='الموظفون'!$B$6)*('حجز الإجازات'!$D$5:$D$104&lt;=DC$3)*(('حجز الإجازات'!$E$5:$E$104)&gt;=DC$3)*('حجز الإجازات'!$G$5:$G$104="معتمد")*ROW('حجز الإجازات'!$B$5:$B$104)))-5+1))</f>
        <v/>
      </c>
      <c r="DD8" s="62">
        <f>IF(SUMPRODUCT(('حجز الإجازات'!$B$5:$B$104='الموظفون'!$B$6)*('حجز الإجازات'!$D$5:$D$104&lt;=DD$3)*(('حجز الإجازات'!$E$5:$E$104)&gt;=DD$3)*('حجز الإجازات'!$G$5:$G$104="معتمد")*ROW('حجز الإجازات'!$B$5:$B$104))=0,"",INDEX('حجز الإجازات'!$C$5:$C$104,(SUMPRODUCT(('حجز الإجازات'!$B$5:$B$104='الموظفون'!$B$6)*('حجز الإجازات'!$D$5:$D$104&lt;=DD$3)*(('حجز الإجازات'!$E$5:$E$104)&gt;=DD$3)*('حجز الإجازات'!$G$5:$G$104="معتمد")*ROW('حجز الإجازات'!$B$5:$B$104)))-5+1))</f>
        <v/>
      </c>
      <c r="DE8" s="62">
        <f>IF(SUMPRODUCT(('حجز الإجازات'!$B$5:$B$104='الموظفون'!$B$6)*('حجز الإجازات'!$D$5:$D$104&lt;=DE$3)*(('حجز الإجازات'!$E$5:$E$104)&gt;=DE$3)*('حجز الإجازات'!$G$5:$G$104="معتمد")*ROW('حجز الإجازات'!$B$5:$B$104))=0,"",INDEX('حجز الإجازات'!$C$5:$C$104,(SUMPRODUCT(('حجز الإجازات'!$B$5:$B$104='الموظفون'!$B$6)*('حجز الإجازات'!$D$5:$D$104&lt;=DE$3)*(('حجز الإجازات'!$E$5:$E$104)&gt;=DE$3)*('حجز الإجازات'!$G$5:$G$104="معتمد")*ROW('حجز الإجازات'!$B$5:$B$104)))-5+1))</f>
        <v/>
      </c>
      <c r="DF8" s="62">
        <f>IF(SUMPRODUCT(('حجز الإجازات'!$B$5:$B$104='الموظفون'!$B$6)*('حجز الإجازات'!$D$5:$D$104&lt;=DF$3)*(('حجز الإجازات'!$E$5:$E$104)&gt;=DF$3)*('حجز الإجازات'!$G$5:$G$104="معتمد")*ROW('حجز الإجازات'!$B$5:$B$104))=0,"",INDEX('حجز الإجازات'!$C$5:$C$104,(SUMPRODUCT(('حجز الإجازات'!$B$5:$B$104='الموظفون'!$B$6)*('حجز الإجازات'!$D$5:$D$104&lt;=DF$3)*(('حجز الإجازات'!$E$5:$E$104)&gt;=DF$3)*('حجز الإجازات'!$G$5:$G$104="معتمد")*ROW('حجز الإجازات'!$B$5:$B$104)))-5+1))</f>
        <v/>
      </c>
      <c r="DG8" s="62">
        <f>IF(SUMPRODUCT(('حجز الإجازات'!$B$5:$B$104='الموظفون'!$B$6)*('حجز الإجازات'!$D$5:$D$104&lt;=DG$3)*(('حجز الإجازات'!$E$5:$E$104)&gt;=DG$3)*('حجز الإجازات'!$G$5:$G$104="معتمد")*ROW('حجز الإجازات'!$B$5:$B$104))=0,"",INDEX('حجز الإجازات'!$C$5:$C$104,(SUMPRODUCT(('حجز الإجازات'!$B$5:$B$104='الموظفون'!$B$6)*('حجز الإجازات'!$D$5:$D$104&lt;=DG$3)*(('حجز الإجازات'!$E$5:$E$104)&gt;=DG$3)*('حجز الإجازات'!$G$5:$G$104="معتمد")*ROW('حجز الإجازات'!$B$5:$B$104)))-5+1))</f>
        <v/>
      </c>
      <c r="DH8" s="62">
        <f>IF(SUMPRODUCT(('حجز الإجازات'!$B$5:$B$104='الموظفون'!$B$6)*('حجز الإجازات'!$D$5:$D$104&lt;=DH$3)*(('حجز الإجازات'!$E$5:$E$104)&gt;=DH$3)*('حجز الإجازات'!$G$5:$G$104="معتمد")*ROW('حجز الإجازات'!$B$5:$B$104))=0,"",INDEX('حجز الإجازات'!$C$5:$C$104,(SUMPRODUCT(('حجز الإجازات'!$B$5:$B$104='الموظفون'!$B$6)*('حجز الإجازات'!$D$5:$D$104&lt;=DH$3)*(('حجز الإجازات'!$E$5:$E$104)&gt;=DH$3)*('حجز الإجازات'!$G$5:$G$104="معتمد")*ROW('حجز الإجازات'!$B$5:$B$104)))-5+1))</f>
        <v/>
      </c>
      <c r="DI8" s="62">
        <f>IF(SUMPRODUCT(('حجز الإجازات'!$B$5:$B$104='الموظفون'!$B$6)*('حجز الإجازات'!$D$5:$D$104&lt;=DI$3)*(('حجز الإجازات'!$E$5:$E$104)&gt;=DI$3)*('حجز الإجازات'!$G$5:$G$104="معتمد")*ROW('حجز الإجازات'!$B$5:$B$104))=0,"",INDEX('حجز الإجازات'!$C$5:$C$104,(SUMPRODUCT(('حجز الإجازات'!$B$5:$B$104='الموظفون'!$B$6)*('حجز الإجازات'!$D$5:$D$104&lt;=DI$3)*(('حجز الإجازات'!$E$5:$E$104)&gt;=DI$3)*('حجز الإجازات'!$G$5:$G$104="معتمد")*ROW('حجز الإجازات'!$B$5:$B$104)))-5+1))</f>
        <v/>
      </c>
      <c r="DJ8" s="62">
        <f>IF(SUMPRODUCT(('حجز الإجازات'!$B$5:$B$104='الموظفون'!$B$6)*('حجز الإجازات'!$D$5:$D$104&lt;=DJ$3)*(('حجز الإجازات'!$E$5:$E$104)&gt;=DJ$3)*('حجز الإجازات'!$G$5:$G$104="معتمد")*ROW('حجز الإجازات'!$B$5:$B$104))=0,"",INDEX('حجز الإجازات'!$C$5:$C$104,(SUMPRODUCT(('حجز الإجازات'!$B$5:$B$104='الموظفون'!$B$6)*('حجز الإجازات'!$D$5:$D$104&lt;=DJ$3)*(('حجز الإجازات'!$E$5:$E$104)&gt;=DJ$3)*('حجز الإجازات'!$G$5:$G$104="معتمد")*ROW('حجز الإجازات'!$B$5:$B$104)))-5+1))</f>
        <v/>
      </c>
      <c r="DK8" s="62">
        <f>IF(SUMPRODUCT(('حجز الإجازات'!$B$5:$B$104='الموظفون'!$B$6)*('حجز الإجازات'!$D$5:$D$104&lt;=DK$3)*(('حجز الإجازات'!$E$5:$E$104)&gt;=DK$3)*('حجز الإجازات'!$G$5:$G$104="معتمد")*ROW('حجز الإجازات'!$B$5:$B$104))=0,"",INDEX('حجز الإجازات'!$C$5:$C$104,(SUMPRODUCT(('حجز الإجازات'!$B$5:$B$104='الموظفون'!$B$6)*('حجز الإجازات'!$D$5:$D$104&lt;=DK$3)*(('حجز الإجازات'!$E$5:$E$104)&gt;=DK$3)*('حجز الإجازات'!$G$5:$G$104="معتمد")*ROW('حجز الإجازات'!$B$5:$B$104)))-5+1))</f>
        <v/>
      </c>
      <c r="DL8" s="62">
        <f>IF(SUMPRODUCT(('حجز الإجازات'!$B$5:$B$104='الموظفون'!$B$6)*('حجز الإجازات'!$D$5:$D$104&lt;=DL$3)*(('حجز الإجازات'!$E$5:$E$104)&gt;=DL$3)*('حجز الإجازات'!$G$5:$G$104="معتمد")*ROW('حجز الإجازات'!$B$5:$B$104))=0,"",INDEX('حجز الإجازات'!$C$5:$C$104,(SUMPRODUCT(('حجز الإجازات'!$B$5:$B$104='الموظفون'!$B$6)*('حجز الإجازات'!$D$5:$D$104&lt;=DL$3)*(('حجز الإجازات'!$E$5:$E$104)&gt;=DL$3)*('حجز الإجازات'!$G$5:$G$104="معتمد")*ROW('حجز الإجازات'!$B$5:$B$104)))-5+1))</f>
        <v/>
      </c>
      <c r="DM8" s="62">
        <f>IF(SUMPRODUCT(('حجز الإجازات'!$B$5:$B$104='الموظفون'!$B$6)*('حجز الإجازات'!$D$5:$D$104&lt;=DM$3)*(('حجز الإجازات'!$E$5:$E$104)&gt;=DM$3)*('حجز الإجازات'!$G$5:$G$104="معتمد")*ROW('حجز الإجازات'!$B$5:$B$104))=0,"",INDEX('حجز الإجازات'!$C$5:$C$104,(SUMPRODUCT(('حجز الإجازات'!$B$5:$B$104='الموظفون'!$B$6)*('حجز الإجازات'!$D$5:$D$104&lt;=DM$3)*(('حجز الإجازات'!$E$5:$E$104)&gt;=DM$3)*('حجز الإجازات'!$G$5:$G$104="معتمد")*ROW('حجز الإجازات'!$B$5:$B$104)))-5+1))</f>
        <v/>
      </c>
      <c r="DN8" s="62">
        <f>IF(SUMPRODUCT(('حجز الإجازات'!$B$5:$B$104='الموظفون'!$B$6)*('حجز الإجازات'!$D$5:$D$104&lt;=DN$3)*(('حجز الإجازات'!$E$5:$E$104)&gt;=DN$3)*('حجز الإجازات'!$G$5:$G$104="معتمد")*ROW('حجز الإجازات'!$B$5:$B$104))=0,"",INDEX('حجز الإجازات'!$C$5:$C$104,(SUMPRODUCT(('حجز الإجازات'!$B$5:$B$104='الموظفون'!$B$6)*('حجز الإجازات'!$D$5:$D$104&lt;=DN$3)*(('حجز الإجازات'!$E$5:$E$104)&gt;=DN$3)*('حجز الإجازات'!$G$5:$G$104="معتمد")*ROW('حجز الإجازات'!$B$5:$B$104)))-5+1))</f>
        <v/>
      </c>
      <c r="DO8" s="62">
        <f>IF(SUMPRODUCT(('حجز الإجازات'!$B$5:$B$104='الموظفون'!$B$6)*('حجز الإجازات'!$D$5:$D$104&lt;=DO$3)*(('حجز الإجازات'!$E$5:$E$104)&gt;=DO$3)*('حجز الإجازات'!$G$5:$G$104="معتمد")*ROW('حجز الإجازات'!$B$5:$B$104))=0,"",INDEX('حجز الإجازات'!$C$5:$C$104,(SUMPRODUCT(('حجز الإجازات'!$B$5:$B$104='الموظفون'!$B$6)*('حجز الإجازات'!$D$5:$D$104&lt;=DO$3)*(('حجز الإجازات'!$E$5:$E$104)&gt;=DO$3)*('حجز الإجازات'!$G$5:$G$104="معتمد")*ROW('حجز الإجازات'!$B$5:$B$104)))-5+1))</f>
        <v/>
      </c>
      <c r="DP8" s="62">
        <f>IF(SUMPRODUCT(('حجز الإجازات'!$B$5:$B$104='الموظفون'!$B$6)*('حجز الإجازات'!$D$5:$D$104&lt;=DP$3)*(('حجز الإجازات'!$E$5:$E$104)&gt;=DP$3)*('حجز الإجازات'!$G$5:$G$104="معتمد")*ROW('حجز الإجازات'!$B$5:$B$104))=0,"",INDEX('حجز الإجازات'!$C$5:$C$104,(SUMPRODUCT(('حجز الإجازات'!$B$5:$B$104='الموظفون'!$B$6)*('حجز الإجازات'!$D$5:$D$104&lt;=DP$3)*(('حجز الإجازات'!$E$5:$E$104)&gt;=DP$3)*('حجز الإجازات'!$G$5:$G$104="معتمد")*ROW('حجز الإجازات'!$B$5:$B$104)))-5+1))</f>
        <v/>
      </c>
      <c r="DQ8" s="62">
        <f>IF(SUMPRODUCT(('حجز الإجازات'!$B$5:$B$104='الموظفون'!$B$6)*('حجز الإجازات'!$D$5:$D$104&lt;=DQ$3)*(('حجز الإجازات'!$E$5:$E$104)&gt;=DQ$3)*('حجز الإجازات'!$G$5:$G$104="معتمد")*ROW('حجز الإجازات'!$B$5:$B$104))=0,"",INDEX('حجز الإجازات'!$C$5:$C$104,(SUMPRODUCT(('حجز الإجازات'!$B$5:$B$104='الموظفون'!$B$6)*('حجز الإجازات'!$D$5:$D$104&lt;=DQ$3)*(('حجز الإجازات'!$E$5:$E$104)&gt;=DQ$3)*('حجز الإجازات'!$G$5:$G$104="معتمد")*ROW('حجز الإجازات'!$B$5:$B$104)))-5+1))</f>
        <v/>
      </c>
      <c r="DR8" s="62">
        <f>IF(SUMPRODUCT(('حجز الإجازات'!$B$5:$B$104='الموظفون'!$B$6)*('حجز الإجازات'!$D$5:$D$104&lt;=DR$3)*(('حجز الإجازات'!$E$5:$E$104)&gt;=DR$3)*('حجز الإجازات'!$G$5:$G$104="معتمد")*ROW('حجز الإجازات'!$B$5:$B$104))=0,"",INDEX('حجز الإجازات'!$C$5:$C$104,(SUMPRODUCT(('حجز الإجازات'!$B$5:$B$104='الموظفون'!$B$6)*('حجز الإجازات'!$D$5:$D$104&lt;=DR$3)*(('حجز الإجازات'!$E$5:$E$104)&gt;=DR$3)*('حجز الإجازات'!$G$5:$G$104="معتمد")*ROW('حجز الإجازات'!$B$5:$B$104)))-5+1))</f>
        <v/>
      </c>
      <c r="DS8" s="62">
        <f>IF(SUMPRODUCT(('حجز الإجازات'!$B$5:$B$104='الموظفون'!$B$6)*('حجز الإجازات'!$D$5:$D$104&lt;=DS$3)*(('حجز الإجازات'!$E$5:$E$104)&gt;=DS$3)*('حجز الإجازات'!$G$5:$G$104="معتمد")*ROW('حجز الإجازات'!$B$5:$B$104))=0,"",INDEX('حجز الإجازات'!$C$5:$C$104,(SUMPRODUCT(('حجز الإجازات'!$B$5:$B$104='الموظفون'!$B$6)*('حجز الإجازات'!$D$5:$D$104&lt;=DS$3)*(('حجز الإجازات'!$E$5:$E$104)&gt;=DS$3)*('حجز الإجازات'!$G$5:$G$104="معتمد")*ROW('حجز الإجازات'!$B$5:$B$104)))-5+1))</f>
        <v/>
      </c>
      <c r="DT8" s="62">
        <f>IF(SUMPRODUCT(('حجز الإجازات'!$B$5:$B$104='الموظفون'!$B$6)*('حجز الإجازات'!$D$5:$D$104&lt;=DT$3)*(('حجز الإجازات'!$E$5:$E$104)&gt;=DT$3)*('حجز الإجازات'!$G$5:$G$104="معتمد")*ROW('حجز الإجازات'!$B$5:$B$104))=0,"",INDEX('حجز الإجازات'!$C$5:$C$104,(SUMPRODUCT(('حجز الإجازات'!$B$5:$B$104='الموظفون'!$B$6)*('حجز الإجازات'!$D$5:$D$104&lt;=DT$3)*(('حجز الإجازات'!$E$5:$E$104)&gt;=DT$3)*('حجز الإجازات'!$G$5:$G$104="معتمد")*ROW('حجز الإجازات'!$B$5:$B$104)))-5+1))</f>
        <v/>
      </c>
      <c r="DU8" s="62">
        <f>IF(SUMPRODUCT(('حجز الإجازات'!$B$5:$B$104='الموظفون'!$B$6)*('حجز الإجازات'!$D$5:$D$104&lt;=DU$3)*(('حجز الإجازات'!$E$5:$E$104)&gt;=DU$3)*('حجز الإجازات'!$G$5:$G$104="معتمد")*ROW('حجز الإجازات'!$B$5:$B$104))=0,"",INDEX('حجز الإجازات'!$C$5:$C$104,(SUMPRODUCT(('حجز الإجازات'!$B$5:$B$104='الموظفون'!$B$6)*('حجز الإجازات'!$D$5:$D$104&lt;=DU$3)*(('حجز الإجازات'!$E$5:$E$104)&gt;=DU$3)*('حجز الإجازات'!$G$5:$G$104="معتمد")*ROW('حجز الإجازات'!$B$5:$B$104)))-5+1))</f>
        <v/>
      </c>
      <c r="DV8" s="62">
        <f>IF(SUMPRODUCT(('حجز الإجازات'!$B$5:$B$104='الموظفون'!$B$6)*('حجز الإجازات'!$D$5:$D$104&lt;=DV$3)*(('حجز الإجازات'!$E$5:$E$104)&gt;=DV$3)*('حجز الإجازات'!$G$5:$G$104="معتمد")*ROW('حجز الإجازات'!$B$5:$B$104))=0,"",INDEX('حجز الإجازات'!$C$5:$C$104,(SUMPRODUCT(('حجز الإجازات'!$B$5:$B$104='الموظفون'!$B$6)*('حجز الإجازات'!$D$5:$D$104&lt;=DV$3)*(('حجز الإجازات'!$E$5:$E$104)&gt;=DV$3)*('حجز الإجازات'!$G$5:$G$104="معتمد")*ROW('حجز الإجازات'!$B$5:$B$104)))-5+1))</f>
        <v/>
      </c>
      <c r="DW8" s="62">
        <f>IF(SUMPRODUCT(('حجز الإجازات'!$B$5:$B$104='الموظفون'!$B$6)*('حجز الإجازات'!$D$5:$D$104&lt;=DW$3)*(('حجز الإجازات'!$E$5:$E$104)&gt;=DW$3)*('حجز الإجازات'!$G$5:$G$104="معتمد")*ROW('حجز الإجازات'!$B$5:$B$104))=0,"",INDEX('حجز الإجازات'!$C$5:$C$104,(SUMPRODUCT(('حجز الإجازات'!$B$5:$B$104='الموظفون'!$B$6)*('حجز الإجازات'!$D$5:$D$104&lt;=DW$3)*(('حجز الإجازات'!$E$5:$E$104)&gt;=DW$3)*('حجز الإجازات'!$G$5:$G$104="معتمد")*ROW('حجز الإجازات'!$B$5:$B$104)))-5+1))</f>
        <v/>
      </c>
      <c r="DX8" s="62">
        <f>IF(SUMPRODUCT(('حجز الإجازات'!$B$5:$B$104='الموظفون'!$B$6)*('حجز الإجازات'!$D$5:$D$104&lt;=DX$3)*(('حجز الإجازات'!$E$5:$E$104)&gt;=DX$3)*('حجز الإجازات'!$G$5:$G$104="معتمد")*ROW('حجز الإجازات'!$B$5:$B$104))=0,"",INDEX('حجز الإجازات'!$C$5:$C$104,(SUMPRODUCT(('حجز الإجازات'!$B$5:$B$104='الموظفون'!$B$6)*('حجز الإجازات'!$D$5:$D$104&lt;=DX$3)*(('حجز الإجازات'!$E$5:$E$104)&gt;=DX$3)*('حجز الإجازات'!$G$5:$G$104="معتمد")*ROW('حجز الإجازات'!$B$5:$B$104)))-5+1))</f>
        <v/>
      </c>
      <c r="DY8" s="62">
        <f>IF(SUMPRODUCT(('حجز الإجازات'!$B$5:$B$104='الموظفون'!$B$6)*('حجز الإجازات'!$D$5:$D$104&lt;=DY$3)*(('حجز الإجازات'!$E$5:$E$104)&gt;=DY$3)*('حجز الإجازات'!$G$5:$G$104="معتمد")*ROW('حجز الإجازات'!$B$5:$B$104))=0,"",INDEX('حجز الإجازات'!$C$5:$C$104,(SUMPRODUCT(('حجز الإجازات'!$B$5:$B$104='الموظفون'!$B$6)*('حجز الإجازات'!$D$5:$D$104&lt;=DY$3)*(('حجز الإجازات'!$E$5:$E$104)&gt;=DY$3)*('حجز الإجازات'!$G$5:$G$104="معتمد")*ROW('حجز الإجازات'!$B$5:$B$104)))-5+1))</f>
        <v/>
      </c>
      <c r="DZ8" s="62">
        <f>IF(SUMPRODUCT(('حجز الإجازات'!$B$5:$B$104='الموظفون'!$B$6)*('حجز الإجازات'!$D$5:$D$104&lt;=DZ$3)*(('حجز الإجازات'!$E$5:$E$104)&gt;=DZ$3)*('حجز الإجازات'!$G$5:$G$104="معتمد")*ROW('حجز الإجازات'!$B$5:$B$104))=0,"",INDEX('حجز الإجازات'!$C$5:$C$104,(SUMPRODUCT(('حجز الإجازات'!$B$5:$B$104='الموظفون'!$B$6)*('حجز الإجازات'!$D$5:$D$104&lt;=DZ$3)*(('حجز الإجازات'!$E$5:$E$104)&gt;=DZ$3)*('حجز الإجازات'!$G$5:$G$104="معتمد")*ROW('حجز الإجازات'!$B$5:$B$104)))-5+1))</f>
        <v/>
      </c>
      <c r="EA8" s="62">
        <f>IF(SUMPRODUCT(('حجز الإجازات'!$B$5:$B$104='الموظفون'!$B$6)*('حجز الإجازات'!$D$5:$D$104&lt;=EA$3)*(('حجز الإجازات'!$E$5:$E$104)&gt;=EA$3)*('حجز الإجازات'!$G$5:$G$104="معتمد")*ROW('حجز الإجازات'!$B$5:$B$104))=0,"",INDEX('حجز الإجازات'!$C$5:$C$104,(SUMPRODUCT(('حجز الإجازات'!$B$5:$B$104='الموظفون'!$B$6)*('حجز الإجازات'!$D$5:$D$104&lt;=EA$3)*(('حجز الإجازات'!$E$5:$E$104)&gt;=EA$3)*('حجز الإجازات'!$G$5:$G$104="معتمد")*ROW('حجز الإجازات'!$B$5:$B$104)))-5+1))</f>
        <v/>
      </c>
      <c r="EB8" s="62">
        <f>IF(SUMPRODUCT(('حجز الإجازات'!$B$5:$B$104='الموظفون'!$B$6)*('حجز الإجازات'!$D$5:$D$104&lt;=EB$3)*(('حجز الإجازات'!$E$5:$E$104)&gt;=EB$3)*('حجز الإجازات'!$G$5:$G$104="معتمد")*ROW('حجز الإجازات'!$B$5:$B$104))=0,"",INDEX('حجز الإجازات'!$C$5:$C$104,(SUMPRODUCT(('حجز الإجازات'!$B$5:$B$104='الموظفون'!$B$6)*('حجز الإجازات'!$D$5:$D$104&lt;=EB$3)*(('حجز الإجازات'!$E$5:$E$104)&gt;=EB$3)*('حجز الإجازات'!$G$5:$G$104="معتمد")*ROW('حجز الإجازات'!$B$5:$B$104)))-5+1))</f>
        <v/>
      </c>
      <c r="EC8" s="62">
        <f>IF(SUMPRODUCT(('حجز الإجازات'!$B$5:$B$104='الموظفون'!$B$6)*('حجز الإجازات'!$D$5:$D$104&lt;=EC$3)*(('حجز الإجازات'!$E$5:$E$104)&gt;=EC$3)*('حجز الإجازات'!$G$5:$G$104="معتمد")*ROW('حجز الإجازات'!$B$5:$B$104))=0,"",INDEX('حجز الإجازات'!$C$5:$C$104,(SUMPRODUCT(('حجز الإجازات'!$B$5:$B$104='الموظفون'!$B$6)*('حجز الإجازات'!$D$5:$D$104&lt;=EC$3)*(('حجز الإجازات'!$E$5:$E$104)&gt;=EC$3)*('حجز الإجازات'!$G$5:$G$104="معتمد")*ROW('حجز الإجازات'!$B$5:$B$104)))-5+1))</f>
        <v/>
      </c>
      <c r="ED8" s="62">
        <f>IF(SUMPRODUCT(('حجز الإجازات'!$B$5:$B$104='الموظفون'!$B$6)*('حجز الإجازات'!$D$5:$D$104&lt;=ED$3)*(('حجز الإجازات'!$E$5:$E$104)&gt;=ED$3)*('حجز الإجازات'!$G$5:$G$104="معتمد")*ROW('حجز الإجازات'!$B$5:$B$104))=0,"",INDEX('حجز الإجازات'!$C$5:$C$104,(SUMPRODUCT(('حجز الإجازات'!$B$5:$B$104='الموظفون'!$B$6)*('حجز الإجازات'!$D$5:$D$104&lt;=ED$3)*(('حجز الإجازات'!$E$5:$E$104)&gt;=ED$3)*('حجز الإجازات'!$G$5:$G$104="معتمد")*ROW('حجز الإجازات'!$B$5:$B$104)))-5+1))</f>
        <v/>
      </c>
      <c r="EE8" s="62">
        <f>IF(SUMPRODUCT(('حجز الإجازات'!$B$5:$B$104='الموظفون'!$B$6)*('حجز الإجازات'!$D$5:$D$104&lt;=EE$3)*(('حجز الإجازات'!$E$5:$E$104)&gt;=EE$3)*('حجز الإجازات'!$G$5:$G$104="معتمد")*ROW('حجز الإجازات'!$B$5:$B$104))=0,"",INDEX('حجز الإجازات'!$C$5:$C$104,(SUMPRODUCT(('حجز الإجازات'!$B$5:$B$104='الموظفون'!$B$6)*('حجز الإجازات'!$D$5:$D$104&lt;=EE$3)*(('حجز الإجازات'!$E$5:$E$104)&gt;=EE$3)*('حجز الإجازات'!$G$5:$G$104="معتمد")*ROW('حجز الإجازات'!$B$5:$B$104)))-5+1))</f>
        <v/>
      </c>
      <c r="EF8" s="62">
        <f>IF(SUMPRODUCT(('حجز الإجازات'!$B$5:$B$104='الموظفون'!$B$6)*('حجز الإجازات'!$D$5:$D$104&lt;=EF$3)*(('حجز الإجازات'!$E$5:$E$104)&gt;=EF$3)*('حجز الإجازات'!$G$5:$G$104="معتمد")*ROW('حجز الإجازات'!$B$5:$B$104))=0,"",INDEX('حجز الإجازات'!$C$5:$C$104,(SUMPRODUCT(('حجز الإجازات'!$B$5:$B$104='الموظفون'!$B$6)*('حجز الإجازات'!$D$5:$D$104&lt;=EF$3)*(('حجز الإجازات'!$E$5:$E$104)&gt;=EF$3)*('حجز الإجازات'!$G$5:$G$104="معتمد")*ROW('حجز الإجازات'!$B$5:$B$104)))-5+1))</f>
        <v/>
      </c>
      <c r="EG8" s="62">
        <f>IF(SUMPRODUCT(('حجز الإجازات'!$B$5:$B$104='الموظفون'!$B$6)*('حجز الإجازات'!$D$5:$D$104&lt;=EG$3)*(('حجز الإجازات'!$E$5:$E$104)&gt;=EG$3)*('حجز الإجازات'!$G$5:$G$104="معتمد")*ROW('حجز الإجازات'!$B$5:$B$104))=0,"",INDEX('حجز الإجازات'!$C$5:$C$104,(SUMPRODUCT(('حجز الإجازات'!$B$5:$B$104='الموظفون'!$B$6)*('حجز الإجازات'!$D$5:$D$104&lt;=EG$3)*(('حجز الإجازات'!$E$5:$E$104)&gt;=EG$3)*('حجز الإجازات'!$G$5:$G$104="معتمد")*ROW('حجز الإجازات'!$B$5:$B$104)))-5+1))</f>
        <v/>
      </c>
      <c r="EH8" s="62">
        <f>IF(SUMPRODUCT(('حجز الإجازات'!$B$5:$B$104='الموظفون'!$B$6)*('حجز الإجازات'!$D$5:$D$104&lt;=EH$3)*(('حجز الإجازات'!$E$5:$E$104)&gt;=EH$3)*('حجز الإجازات'!$G$5:$G$104="معتمد")*ROW('حجز الإجازات'!$B$5:$B$104))=0,"",INDEX('حجز الإجازات'!$C$5:$C$104,(SUMPRODUCT(('حجز الإجازات'!$B$5:$B$104='الموظفون'!$B$6)*('حجز الإجازات'!$D$5:$D$104&lt;=EH$3)*(('حجز الإجازات'!$E$5:$E$104)&gt;=EH$3)*('حجز الإجازات'!$G$5:$G$104="معتمد")*ROW('حجز الإجازات'!$B$5:$B$104)))-5+1))</f>
        <v/>
      </c>
      <c r="EI8" s="62">
        <f>IF(SUMPRODUCT(('حجز الإجازات'!$B$5:$B$104='الموظفون'!$B$6)*('حجز الإجازات'!$D$5:$D$104&lt;=EI$3)*(('حجز الإجازات'!$E$5:$E$104)&gt;=EI$3)*('حجز الإجازات'!$G$5:$G$104="معتمد")*ROW('حجز الإجازات'!$B$5:$B$104))=0,"",INDEX('حجز الإجازات'!$C$5:$C$104,(SUMPRODUCT(('حجز الإجازات'!$B$5:$B$104='الموظفون'!$B$6)*('حجز الإجازات'!$D$5:$D$104&lt;=EI$3)*(('حجز الإجازات'!$E$5:$E$104)&gt;=EI$3)*('حجز الإجازات'!$G$5:$G$104="معتمد")*ROW('حجز الإجازات'!$B$5:$B$104)))-5+1))</f>
        <v/>
      </c>
      <c r="EJ8" s="62">
        <f>IF(SUMPRODUCT(('حجز الإجازات'!$B$5:$B$104='الموظفون'!$B$6)*('حجز الإجازات'!$D$5:$D$104&lt;=EJ$3)*(('حجز الإجازات'!$E$5:$E$104)&gt;=EJ$3)*('حجز الإجازات'!$G$5:$G$104="معتمد")*ROW('حجز الإجازات'!$B$5:$B$104))=0,"",INDEX('حجز الإجازات'!$C$5:$C$104,(SUMPRODUCT(('حجز الإجازات'!$B$5:$B$104='الموظفون'!$B$6)*('حجز الإجازات'!$D$5:$D$104&lt;=EJ$3)*(('حجز الإجازات'!$E$5:$E$104)&gt;=EJ$3)*('حجز الإجازات'!$G$5:$G$104="معتمد")*ROW('حجز الإجازات'!$B$5:$B$104)))-5+1))</f>
        <v/>
      </c>
      <c r="EK8" s="62">
        <f>IF(SUMPRODUCT(('حجز الإجازات'!$B$5:$B$104='الموظفون'!$B$6)*('حجز الإجازات'!$D$5:$D$104&lt;=EK$3)*(('حجز الإجازات'!$E$5:$E$104)&gt;=EK$3)*('حجز الإجازات'!$G$5:$G$104="معتمد")*ROW('حجز الإجازات'!$B$5:$B$104))=0,"",INDEX('حجز الإجازات'!$C$5:$C$104,(SUMPRODUCT(('حجز الإجازات'!$B$5:$B$104='الموظفون'!$B$6)*('حجز الإجازات'!$D$5:$D$104&lt;=EK$3)*(('حجز الإجازات'!$E$5:$E$104)&gt;=EK$3)*('حجز الإجازات'!$G$5:$G$104="معتمد")*ROW('حجز الإجازات'!$B$5:$B$104)))-5+1))</f>
        <v/>
      </c>
      <c r="EL8" s="62">
        <f>IF(SUMPRODUCT(('حجز الإجازات'!$B$5:$B$104='الموظفون'!$B$6)*('حجز الإجازات'!$D$5:$D$104&lt;=EL$3)*(('حجز الإجازات'!$E$5:$E$104)&gt;=EL$3)*('حجز الإجازات'!$G$5:$G$104="معتمد")*ROW('حجز الإجازات'!$B$5:$B$104))=0,"",INDEX('حجز الإجازات'!$C$5:$C$104,(SUMPRODUCT(('حجز الإجازات'!$B$5:$B$104='الموظفون'!$B$6)*('حجز الإجازات'!$D$5:$D$104&lt;=EL$3)*(('حجز الإجازات'!$E$5:$E$104)&gt;=EL$3)*('حجز الإجازات'!$G$5:$G$104="معتمد")*ROW('حجز الإجازات'!$B$5:$B$104)))-5+1))</f>
        <v/>
      </c>
      <c r="EM8" s="62">
        <f>IF(SUMPRODUCT(('حجز الإجازات'!$B$5:$B$104='الموظفون'!$B$6)*('حجز الإجازات'!$D$5:$D$104&lt;=EM$3)*(('حجز الإجازات'!$E$5:$E$104)&gt;=EM$3)*('حجز الإجازات'!$G$5:$G$104="معتمد")*ROW('حجز الإجازات'!$B$5:$B$104))=0,"",INDEX('حجز الإجازات'!$C$5:$C$104,(SUMPRODUCT(('حجز الإجازات'!$B$5:$B$104='الموظفون'!$B$6)*('حجز الإجازات'!$D$5:$D$104&lt;=EM$3)*(('حجز الإجازات'!$E$5:$E$104)&gt;=EM$3)*('حجز الإجازات'!$G$5:$G$104="معتمد")*ROW('حجز الإجازات'!$B$5:$B$104)))-5+1))</f>
        <v/>
      </c>
      <c r="EN8" s="62">
        <f>IF(SUMPRODUCT(('حجز الإجازات'!$B$5:$B$104='الموظفون'!$B$6)*('حجز الإجازات'!$D$5:$D$104&lt;=EN$3)*(('حجز الإجازات'!$E$5:$E$104)&gt;=EN$3)*('حجز الإجازات'!$G$5:$G$104="معتمد")*ROW('حجز الإجازات'!$B$5:$B$104))=0,"",INDEX('حجز الإجازات'!$C$5:$C$104,(SUMPRODUCT(('حجز الإجازات'!$B$5:$B$104='الموظفون'!$B$6)*('حجز الإجازات'!$D$5:$D$104&lt;=EN$3)*(('حجز الإجازات'!$E$5:$E$104)&gt;=EN$3)*('حجز الإجازات'!$G$5:$G$104="معتمد")*ROW('حجز الإجازات'!$B$5:$B$104)))-5+1))</f>
        <v/>
      </c>
      <c r="EO8" s="62">
        <f>IF(SUMPRODUCT(('حجز الإجازات'!$B$5:$B$104='الموظفون'!$B$6)*('حجز الإجازات'!$D$5:$D$104&lt;=EO$3)*(('حجز الإجازات'!$E$5:$E$104)&gt;=EO$3)*('حجز الإجازات'!$G$5:$G$104="معتمد")*ROW('حجز الإجازات'!$B$5:$B$104))=0,"",INDEX('حجز الإجازات'!$C$5:$C$104,(SUMPRODUCT(('حجز الإجازات'!$B$5:$B$104='الموظفون'!$B$6)*('حجز الإجازات'!$D$5:$D$104&lt;=EO$3)*(('حجز الإجازات'!$E$5:$E$104)&gt;=EO$3)*('حجز الإجازات'!$G$5:$G$104="معتمد")*ROW('حجز الإجازات'!$B$5:$B$104)))-5+1))</f>
        <v/>
      </c>
      <c r="EP8" s="62">
        <f>IF(SUMPRODUCT(('حجز الإجازات'!$B$5:$B$104='الموظفون'!$B$6)*('حجز الإجازات'!$D$5:$D$104&lt;=EP$3)*(('حجز الإجازات'!$E$5:$E$104)&gt;=EP$3)*('حجز الإجازات'!$G$5:$G$104="معتمد")*ROW('حجز الإجازات'!$B$5:$B$104))=0,"",INDEX('حجز الإجازات'!$C$5:$C$104,(SUMPRODUCT(('حجز الإجازات'!$B$5:$B$104='الموظفون'!$B$6)*('حجز الإجازات'!$D$5:$D$104&lt;=EP$3)*(('حجز الإجازات'!$E$5:$E$104)&gt;=EP$3)*('حجز الإجازات'!$G$5:$G$104="معتمد")*ROW('حجز الإجازات'!$B$5:$B$104)))-5+1))</f>
        <v/>
      </c>
      <c r="EQ8" s="62">
        <f>IF(SUMPRODUCT(('حجز الإجازات'!$B$5:$B$104='الموظفون'!$B$6)*('حجز الإجازات'!$D$5:$D$104&lt;=EQ$3)*(('حجز الإجازات'!$E$5:$E$104)&gt;=EQ$3)*('حجز الإجازات'!$G$5:$G$104="معتمد")*ROW('حجز الإجازات'!$B$5:$B$104))=0,"",INDEX('حجز الإجازات'!$C$5:$C$104,(SUMPRODUCT(('حجز الإجازات'!$B$5:$B$104='الموظفون'!$B$6)*('حجز الإجازات'!$D$5:$D$104&lt;=EQ$3)*(('حجز الإجازات'!$E$5:$E$104)&gt;=EQ$3)*('حجز الإجازات'!$G$5:$G$104="معتمد")*ROW('حجز الإجازات'!$B$5:$B$104)))-5+1))</f>
        <v/>
      </c>
      <c r="ER8" s="62">
        <f>IF(SUMPRODUCT(('حجز الإجازات'!$B$5:$B$104='الموظفون'!$B$6)*('حجز الإجازات'!$D$5:$D$104&lt;=ER$3)*(('حجز الإجازات'!$E$5:$E$104)&gt;=ER$3)*('حجز الإجازات'!$G$5:$G$104="معتمد")*ROW('حجز الإجازات'!$B$5:$B$104))=0,"",INDEX('حجز الإجازات'!$C$5:$C$104,(SUMPRODUCT(('حجز الإجازات'!$B$5:$B$104='الموظفون'!$B$6)*('حجز الإجازات'!$D$5:$D$104&lt;=ER$3)*(('حجز الإجازات'!$E$5:$E$104)&gt;=ER$3)*('حجز الإجازات'!$G$5:$G$104="معتمد")*ROW('حجز الإجازات'!$B$5:$B$104)))-5+1))</f>
        <v/>
      </c>
      <c r="ES8" s="62">
        <f>IF(SUMPRODUCT(('حجز الإجازات'!$B$5:$B$104='الموظفون'!$B$6)*('حجز الإجازات'!$D$5:$D$104&lt;=ES$3)*(('حجز الإجازات'!$E$5:$E$104)&gt;=ES$3)*('حجز الإجازات'!$G$5:$G$104="معتمد")*ROW('حجز الإجازات'!$B$5:$B$104))=0,"",INDEX('حجز الإجازات'!$C$5:$C$104,(SUMPRODUCT(('حجز الإجازات'!$B$5:$B$104='الموظفون'!$B$6)*('حجز الإجازات'!$D$5:$D$104&lt;=ES$3)*(('حجز الإجازات'!$E$5:$E$104)&gt;=ES$3)*('حجز الإجازات'!$G$5:$G$104="معتمد")*ROW('حجز الإجازات'!$B$5:$B$104)))-5+1))</f>
        <v/>
      </c>
      <c r="ET8" s="62">
        <f>IF(SUMPRODUCT(('حجز الإجازات'!$B$5:$B$104='الموظفون'!$B$6)*('حجز الإجازات'!$D$5:$D$104&lt;=ET$3)*(('حجز الإجازات'!$E$5:$E$104)&gt;=ET$3)*('حجز الإجازات'!$G$5:$G$104="معتمد")*ROW('حجز الإجازات'!$B$5:$B$104))=0,"",INDEX('حجز الإجازات'!$C$5:$C$104,(SUMPRODUCT(('حجز الإجازات'!$B$5:$B$104='الموظفون'!$B$6)*('حجز الإجازات'!$D$5:$D$104&lt;=ET$3)*(('حجز الإجازات'!$E$5:$E$104)&gt;=ET$3)*('حجز الإجازات'!$G$5:$G$104="معتمد")*ROW('حجز الإجازات'!$B$5:$B$104)))-5+1))</f>
        <v/>
      </c>
      <c r="EU8" s="62">
        <f>IF(SUMPRODUCT(('حجز الإجازات'!$B$5:$B$104='الموظفون'!$B$6)*('حجز الإجازات'!$D$5:$D$104&lt;=EU$3)*(('حجز الإجازات'!$E$5:$E$104)&gt;=EU$3)*('حجز الإجازات'!$G$5:$G$104="معتمد")*ROW('حجز الإجازات'!$B$5:$B$104))=0,"",INDEX('حجز الإجازات'!$C$5:$C$104,(SUMPRODUCT(('حجز الإجازات'!$B$5:$B$104='الموظفون'!$B$6)*('حجز الإجازات'!$D$5:$D$104&lt;=EU$3)*(('حجز الإجازات'!$E$5:$E$104)&gt;=EU$3)*('حجز الإجازات'!$G$5:$G$104="معتمد")*ROW('حجز الإجازات'!$B$5:$B$104)))-5+1))</f>
        <v/>
      </c>
      <c r="EV8" s="62">
        <f>IF(SUMPRODUCT(('حجز الإجازات'!$B$5:$B$104='الموظفون'!$B$6)*('حجز الإجازات'!$D$5:$D$104&lt;=EV$3)*(('حجز الإجازات'!$E$5:$E$104)&gt;=EV$3)*('حجز الإجازات'!$G$5:$G$104="معتمد")*ROW('حجز الإجازات'!$B$5:$B$104))=0,"",INDEX('حجز الإجازات'!$C$5:$C$104,(SUMPRODUCT(('حجز الإجازات'!$B$5:$B$104='الموظفون'!$B$6)*('حجز الإجازات'!$D$5:$D$104&lt;=EV$3)*(('حجز الإجازات'!$E$5:$E$104)&gt;=EV$3)*('حجز الإجازات'!$G$5:$G$104="معتمد")*ROW('حجز الإجازات'!$B$5:$B$104)))-5+1))</f>
        <v/>
      </c>
      <c r="EW8" s="62">
        <f>IF(SUMPRODUCT(('حجز الإجازات'!$B$5:$B$104='الموظفون'!$B$6)*('حجز الإجازات'!$D$5:$D$104&lt;=EW$3)*(('حجز الإجازات'!$E$5:$E$104)&gt;=EW$3)*('حجز الإجازات'!$G$5:$G$104="معتمد")*ROW('حجز الإجازات'!$B$5:$B$104))=0,"",INDEX('حجز الإجازات'!$C$5:$C$104,(SUMPRODUCT(('حجز الإجازات'!$B$5:$B$104='الموظفون'!$B$6)*('حجز الإجازات'!$D$5:$D$104&lt;=EW$3)*(('حجز الإجازات'!$E$5:$E$104)&gt;=EW$3)*('حجز الإجازات'!$G$5:$G$104="معتمد")*ROW('حجز الإجازات'!$B$5:$B$104)))-5+1))</f>
        <v/>
      </c>
      <c r="EX8" s="62">
        <f>IF(SUMPRODUCT(('حجز الإجازات'!$B$5:$B$104='الموظفون'!$B$6)*('حجز الإجازات'!$D$5:$D$104&lt;=EX$3)*(('حجز الإجازات'!$E$5:$E$104)&gt;=EX$3)*('حجز الإجازات'!$G$5:$G$104="معتمد")*ROW('حجز الإجازات'!$B$5:$B$104))=0,"",INDEX('حجز الإجازات'!$C$5:$C$104,(SUMPRODUCT(('حجز الإجازات'!$B$5:$B$104='الموظفون'!$B$6)*('حجز الإجازات'!$D$5:$D$104&lt;=EX$3)*(('حجز الإجازات'!$E$5:$E$104)&gt;=EX$3)*('حجز الإجازات'!$G$5:$G$104="معتمد")*ROW('حجز الإجازات'!$B$5:$B$104)))-5+1))</f>
        <v/>
      </c>
      <c r="EY8" s="62">
        <f>IF(SUMPRODUCT(('حجز الإجازات'!$B$5:$B$104='الموظفون'!$B$6)*('حجز الإجازات'!$D$5:$D$104&lt;=EY$3)*(('حجز الإجازات'!$E$5:$E$104)&gt;=EY$3)*('حجز الإجازات'!$G$5:$G$104="معتمد")*ROW('حجز الإجازات'!$B$5:$B$104))=0,"",INDEX('حجز الإجازات'!$C$5:$C$104,(SUMPRODUCT(('حجز الإجازات'!$B$5:$B$104='الموظفون'!$B$6)*('حجز الإجازات'!$D$5:$D$104&lt;=EY$3)*(('حجز الإجازات'!$E$5:$E$104)&gt;=EY$3)*('حجز الإجازات'!$G$5:$G$104="معتمد")*ROW('حجز الإجازات'!$B$5:$B$104)))-5+1))</f>
        <v/>
      </c>
      <c r="EZ8" s="62">
        <f>IF(SUMPRODUCT(('حجز الإجازات'!$B$5:$B$104='الموظفون'!$B$6)*('حجز الإجازات'!$D$5:$D$104&lt;=EZ$3)*(('حجز الإجازات'!$E$5:$E$104)&gt;=EZ$3)*('حجز الإجازات'!$G$5:$G$104="معتمد")*ROW('حجز الإجازات'!$B$5:$B$104))=0,"",INDEX('حجز الإجازات'!$C$5:$C$104,(SUMPRODUCT(('حجز الإجازات'!$B$5:$B$104='الموظفون'!$B$6)*('حجز الإجازات'!$D$5:$D$104&lt;=EZ$3)*(('حجز الإجازات'!$E$5:$E$104)&gt;=EZ$3)*('حجز الإجازات'!$G$5:$G$104="معتمد")*ROW('حجز الإجازات'!$B$5:$B$104)))-5+1))</f>
        <v/>
      </c>
      <c r="FA8" s="62">
        <f>IF(SUMPRODUCT(('حجز الإجازات'!$B$5:$B$104='الموظفون'!$B$6)*('حجز الإجازات'!$D$5:$D$104&lt;=FA$3)*(('حجز الإجازات'!$E$5:$E$104)&gt;=FA$3)*('حجز الإجازات'!$G$5:$G$104="معتمد")*ROW('حجز الإجازات'!$B$5:$B$104))=0,"",INDEX('حجز الإجازات'!$C$5:$C$104,(SUMPRODUCT(('حجز الإجازات'!$B$5:$B$104='الموظفون'!$B$6)*('حجز الإجازات'!$D$5:$D$104&lt;=FA$3)*(('حجز الإجازات'!$E$5:$E$104)&gt;=FA$3)*('حجز الإجازات'!$G$5:$G$104="معتمد")*ROW('حجز الإجازات'!$B$5:$B$104)))-5+1))</f>
        <v/>
      </c>
      <c r="FB8" s="62">
        <f>IF(SUMPRODUCT(('حجز الإجازات'!$B$5:$B$104='الموظفون'!$B$6)*('حجز الإجازات'!$D$5:$D$104&lt;=FB$3)*(('حجز الإجازات'!$E$5:$E$104)&gt;=FB$3)*('حجز الإجازات'!$G$5:$G$104="معتمد")*ROW('حجز الإجازات'!$B$5:$B$104))=0,"",INDEX('حجز الإجازات'!$C$5:$C$104,(SUMPRODUCT(('حجز الإجازات'!$B$5:$B$104='الموظفون'!$B$6)*('حجز الإجازات'!$D$5:$D$104&lt;=FB$3)*(('حجز الإجازات'!$E$5:$E$104)&gt;=FB$3)*('حجز الإجازات'!$G$5:$G$104="معتمد")*ROW('حجز الإجازات'!$B$5:$B$104)))-5+1))</f>
        <v/>
      </c>
      <c r="FC8" s="62">
        <f>IF(SUMPRODUCT(('حجز الإجازات'!$B$5:$B$104='الموظفون'!$B$6)*('حجز الإجازات'!$D$5:$D$104&lt;=FC$3)*(('حجز الإجازات'!$E$5:$E$104)&gt;=FC$3)*('حجز الإجازات'!$G$5:$G$104="معتمد")*ROW('حجز الإجازات'!$B$5:$B$104))=0,"",INDEX('حجز الإجازات'!$C$5:$C$104,(SUMPRODUCT(('حجز الإجازات'!$B$5:$B$104='الموظفون'!$B$6)*('حجز الإجازات'!$D$5:$D$104&lt;=FC$3)*(('حجز الإجازات'!$E$5:$E$104)&gt;=FC$3)*('حجز الإجازات'!$G$5:$G$104="معتمد")*ROW('حجز الإجازات'!$B$5:$B$104)))-5+1))</f>
        <v/>
      </c>
      <c r="FD8" s="62">
        <f>IF(SUMPRODUCT(('حجز الإجازات'!$B$5:$B$104='الموظفون'!$B$6)*('حجز الإجازات'!$D$5:$D$104&lt;=FD$3)*(('حجز الإجازات'!$E$5:$E$104)&gt;=FD$3)*('حجز الإجازات'!$G$5:$G$104="معتمد")*ROW('حجز الإجازات'!$B$5:$B$104))=0,"",INDEX('حجز الإجازات'!$C$5:$C$104,(SUMPRODUCT(('حجز الإجازات'!$B$5:$B$104='الموظفون'!$B$6)*('حجز الإجازات'!$D$5:$D$104&lt;=FD$3)*(('حجز الإجازات'!$E$5:$E$104)&gt;=FD$3)*('حجز الإجازات'!$G$5:$G$104="معتمد")*ROW('حجز الإجازات'!$B$5:$B$104)))-5+1))</f>
        <v/>
      </c>
      <c r="FE8" s="62">
        <f>IF(SUMPRODUCT(('حجز الإجازات'!$B$5:$B$104='الموظفون'!$B$6)*('حجز الإجازات'!$D$5:$D$104&lt;=FE$3)*(('حجز الإجازات'!$E$5:$E$104)&gt;=FE$3)*('حجز الإجازات'!$G$5:$G$104="معتمد")*ROW('حجز الإجازات'!$B$5:$B$104))=0,"",INDEX('حجز الإجازات'!$C$5:$C$104,(SUMPRODUCT(('حجز الإجازات'!$B$5:$B$104='الموظفون'!$B$6)*('حجز الإجازات'!$D$5:$D$104&lt;=FE$3)*(('حجز الإجازات'!$E$5:$E$104)&gt;=FE$3)*('حجز الإجازات'!$G$5:$G$104="معتمد")*ROW('حجز الإجازات'!$B$5:$B$104)))-5+1))</f>
        <v/>
      </c>
      <c r="FF8" s="62">
        <f>IF(SUMPRODUCT(('حجز الإجازات'!$B$5:$B$104='الموظفون'!$B$6)*('حجز الإجازات'!$D$5:$D$104&lt;=FF$3)*(('حجز الإجازات'!$E$5:$E$104)&gt;=FF$3)*('حجز الإجازات'!$G$5:$G$104="معتمد")*ROW('حجز الإجازات'!$B$5:$B$104))=0,"",INDEX('حجز الإجازات'!$C$5:$C$104,(SUMPRODUCT(('حجز الإجازات'!$B$5:$B$104='الموظفون'!$B$6)*('حجز الإجازات'!$D$5:$D$104&lt;=FF$3)*(('حجز الإجازات'!$E$5:$E$104)&gt;=FF$3)*('حجز الإجازات'!$G$5:$G$104="معتمد")*ROW('حجز الإجازات'!$B$5:$B$104)))-5+1))</f>
        <v/>
      </c>
      <c r="FG8" s="62">
        <f>IF(SUMPRODUCT(('حجز الإجازات'!$B$5:$B$104='الموظفون'!$B$6)*('حجز الإجازات'!$D$5:$D$104&lt;=FG$3)*(('حجز الإجازات'!$E$5:$E$104)&gt;=FG$3)*('حجز الإجازات'!$G$5:$G$104="معتمد")*ROW('حجز الإجازات'!$B$5:$B$104))=0,"",INDEX('حجز الإجازات'!$C$5:$C$104,(SUMPRODUCT(('حجز الإجازات'!$B$5:$B$104='الموظفون'!$B$6)*('حجز الإجازات'!$D$5:$D$104&lt;=FG$3)*(('حجز الإجازات'!$E$5:$E$104)&gt;=FG$3)*('حجز الإجازات'!$G$5:$G$104="معتمد")*ROW('حجز الإجازات'!$B$5:$B$104)))-5+1))</f>
        <v/>
      </c>
      <c r="FH8" s="62">
        <f>IF(SUMPRODUCT(('حجز الإجازات'!$B$5:$B$104='الموظفون'!$B$6)*('حجز الإجازات'!$D$5:$D$104&lt;=FH$3)*(('حجز الإجازات'!$E$5:$E$104)&gt;=FH$3)*('حجز الإجازات'!$G$5:$G$104="معتمد")*ROW('حجز الإجازات'!$B$5:$B$104))=0,"",INDEX('حجز الإجازات'!$C$5:$C$104,(SUMPRODUCT(('حجز الإجازات'!$B$5:$B$104='الموظفون'!$B$6)*('حجز الإجازات'!$D$5:$D$104&lt;=FH$3)*(('حجز الإجازات'!$E$5:$E$104)&gt;=FH$3)*('حجز الإجازات'!$G$5:$G$104="معتمد")*ROW('حجز الإجازات'!$B$5:$B$104)))-5+1))</f>
        <v/>
      </c>
      <c r="FI8" s="62">
        <f>IF(SUMPRODUCT(('حجز الإجازات'!$B$5:$B$104='الموظفون'!$B$6)*('حجز الإجازات'!$D$5:$D$104&lt;=FI$3)*(('حجز الإجازات'!$E$5:$E$104)&gt;=FI$3)*('حجز الإجازات'!$G$5:$G$104="معتمد")*ROW('حجز الإجازات'!$B$5:$B$104))=0,"",INDEX('حجز الإجازات'!$C$5:$C$104,(SUMPRODUCT(('حجز الإجازات'!$B$5:$B$104='الموظفون'!$B$6)*('حجز الإجازات'!$D$5:$D$104&lt;=FI$3)*(('حجز الإجازات'!$E$5:$E$104)&gt;=FI$3)*('حجز الإجازات'!$G$5:$G$104="معتمد")*ROW('حجز الإجازات'!$B$5:$B$104)))-5+1))</f>
        <v/>
      </c>
      <c r="FJ8" s="62">
        <f>IF(SUMPRODUCT(('حجز الإجازات'!$B$5:$B$104='الموظفون'!$B$6)*('حجز الإجازات'!$D$5:$D$104&lt;=FJ$3)*(('حجز الإجازات'!$E$5:$E$104)&gt;=FJ$3)*('حجز الإجازات'!$G$5:$G$104="معتمد")*ROW('حجز الإجازات'!$B$5:$B$104))=0,"",INDEX('حجز الإجازات'!$C$5:$C$104,(SUMPRODUCT(('حجز الإجازات'!$B$5:$B$104='الموظفون'!$B$6)*('حجز الإجازات'!$D$5:$D$104&lt;=FJ$3)*(('حجز الإجازات'!$E$5:$E$104)&gt;=FJ$3)*('حجز الإجازات'!$G$5:$G$104="معتمد")*ROW('حجز الإجازات'!$B$5:$B$104)))-5+1))</f>
        <v/>
      </c>
      <c r="FK8" s="62">
        <f>IF(SUMPRODUCT(('حجز الإجازات'!$B$5:$B$104='الموظفون'!$B$6)*('حجز الإجازات'!$D$5:$D$104&lt;=FK$3)*(('حجز الإجازات'!$E$5:$E$104)&gt;=FK$3)*('حجز الإجازات'!$G$5:$G$104="معتمد")*ROW('حجز الإجازات'!$B$5:$B$104))=0,"",INDEX('حجز الإجازات'!$C$5:$C$104,(SUMPRODUCT(('حجز الإجازات'!$B$5:$B$104='الموظفون'!$B$6)*('حجز الإجازات'!$D$5:$D$104&lt;=FK$3)*(('حجز الإجازات'!$E$5:$E$104)&gt;=FK$3)*('حجز الإجازات'!$G$5:$G$104="معتمد")*ROW('حجز الإجازات'!$B$5:$B$104)))-5+1))</f>
        <v/>
      </c>
      <c r="FL8" s="62">
        <f>IF(SUMPRODUCT(('حجز الإجازات'!$B$5:$B$104='الموظفون'!$B$6)*('حجز الإجازات'!$D$5:$D$104&lt;=FL$3)*(('حجز الإجازات'!$E$5:$E$104)&gt;=FL$3)*('حجز الإجازات'!$G$5:$G$104="معتمد")*ROW('حجز الإجازات'!$B$5:$B$104))=0,"",INDEX('حجز الإجازات'!$C$5:$C$104,(SUMPRODUCT(('حجز الإجازات'!$B$5:$B$104='الموظفون'!$B$6)*('حجز الإجازات'!$D$5:$D$104&lt;=FL$3)*(('حجز الإجازات'!$E$5:$E$104)&gt;=FL$3)*('حجز الإجازات'!$G$5:$G$104="معتمد")*ROW('حجز الإجازات'!$B$5:$B$104)))-5+1))</f>
        <v/>
      </c>
      <c r="FM8" s="62">
        <f>IF(SUMPRODUCT(('حجز الإجازات'!$B$5:$B$104='الموظفون'!$B$6)*('حجز الإجازات'!$D$5:$D$104&lt;=FM$3)*(('حجز الإجازات'!$E$5:$E$104)&gt;=FM$3)*('حجز الإجازات'!$G$5:$G$104="معتمد")*ROW('حجز الإجازات'!$B$5:$B$104))=0,"",INDEX('حجز الإجازات'!$C$5:$C$104,(SUMPRODUCT(('حجز الإجازات'!$B$5:$B$104='الموظفون'!$B$6)*('حجز الإجازات'!$D$5:$D$104&lt;=FM$3)*(('حجز الإجازات'!$E$5:$E$104)&gt;=FM$3)*('حجز الإجازات'!$G$5:$G$104="معتمد")*ROW('حجز الإجازات'!$B$5:$B$104)))-5+1))</f>
        <v/>
      </c>
      <c r="FN8" s="62">
        <f>IF(SUMPRODUCT(('حجز الإجازات'!$B$5:$B$104='الموظفون'!$B$6)*('حجز الإجازات'!$D$5:$D$104&lt;=FN$3)*(('حجز الإجازات'!$E$5:$E$104)&gt;=FN$3)*('حجز الإجازات'!$G$5:$G$104="معتمد")*ROW('حجز الإجازات'!$B$5:$B$104))=0,"",INDEX('حجز الإجازات'!$C$5:$C$104,(SUMPRODUCT(('حجز الإجازات'!$B$5:$B$104='الموظفون'!$B$6)*('حجز الإجازات'!$D$5:$D$104&lt;=FN$3)*(('حجز الإجازات'!$E$5:$E$104)&gt;=FN$3)*('حجز الإجازات'!$G$5:$G$104="معتمد")*ROW('حجز الإجازات'!$B$5:$B$104)))-5+1))</f>
        <v/>
      </c>
      <c r="FO8" s="62">
        <f>IF(SUMPRODUCT(('حجز الإجازات'!$B$5:$B$104='الموظفون'!$B$6)*('حجز الإجازات'!$D$5:$D$104&lt;=FO$3)*(('حجز الإجازات'!$E$5:$E$104)&gt;=FO$3)*('حجز الإجازات'!$G$5:$G$104="معتمد")*ROW('حجز الإجازات'!$B$5:$B$104))=0,"",INDEX('حجز الإجازات'!$C$5:$C$104,(SUMPRODUCT(('حجز الإجازات'!$B$5:$B$104='الموظفون'!$B$6)*('حجز الإجازات'!$D$5:$D$104&lt;=FO$3)*(('حجز الإجازات'!$E$5:$E$104)&gt;=FO$3)*('حجز الإجازات'!$G$5:$G$104="معتمد")*ROW('حجز الإجازات'!$B$5:$B$104)))-5+1))</f>
        <v/>
      </c>
      <c r="FP8" s="62">
        <f>IF(SUMPRODUCT(('حجز الإجازات'!$B$5:$B$104='الموظفون'!$B$6)*('حجز الإجازات'!$D$5:$D$104&lt;=FP$3)*(('حجز الإجازات'!$E$5:$E$104)&gt;=FP$3)*('حجز الإجازات'!$G$5:$G$104="معتمد")*ROW('حجز الإجازات'!$B$5:$B$104))=0,"",INDEX('حجز الإجازات'!$C$5:$C$104,(SUMPRODUCT(('حجز الإجازات'!$B$5:$B$104='الموظفون'!$B$6)*('حجز الإجازات'!$D$5:$D$104&lt;=FP$3)*(('حجز الإجازات'!$E$5:$E$104)&gt;=FP$3)*('حجز الإجازات'!$G$5:$G$104="معتمد")*ROW('حجز الإجازات'!$B$5:$B$104)))-5+1))</f>
        <v/>
      </c>
      <c r="FQ8" s="62">
        <f>IF(SUMPRODUCT(('حجز الإجازات'!$B$5:$B$104='الموظفون'!$B$6)*('حجز الإجازات'!$D$5:$D$104&lt;=FQ$3)*(('حجز الإجازات'!$E$5:$E$104)&gt;=FQ$3)*('حجز الإجازات'!$G$5:$G$104="معتمد")*ROW('حجز الإجازات'!$B$5:$B$104))=0,"",INDEX('حجز الإجازات'!$C$5:$C$104,(SUMPRODUCT(('حجز الإجازات'!$B$5:$B$104='الموظفون'!$B$6)*('حجز الإجازات'!$D$5:$D$104&lt;=FQ$3)*(('حجز الإجازات'!$E$5:$E$104)&gt;=FQ$3)*('حجز الإجازات'!$G$5:$G$104="معتمد")*ROW('حجز الإجازات'!$B$5:$B$104)))-5+1))</f>
        <v/>
      </c>
      <c r="FR8" s="62">
        <f>IF(SUMPRODUCT(('حجز الإجازات'!$B$5:$B$104='الموظفون'!$B$6)*('حجز الإجازات'!$D$5:$D$104&lt;=FR$3)*(('حجز الإجازات'!$E$5:$E$104)&gt;=FR$3)*('حجز الإجازات'!$G$5:$G$104="معتمد")*ROW('حجز الإجازات'!$B$5:$B$104))=0,"",INDEX('حجز الإجازات'!$C$5:$C$104,(SUMPRODUCT(('حجز الإجازات'!$B$5:$B$104='الموظفون'!$B$6)*('حجز الإجازات'!$D$5:$D$104&lt;=FR$3)*(('حجز الإجازات'!$E$5:$E$104)&gt;=FR$3)*('حجز الإجازات'!$G$5:$G$104="معتمد")*ROW('حجز الإجازات'!$B$5:$B$104)))-5+1))</f>
        <v/>
      </c>
      <c r="FS8" s="62">
        <f>IF(SUMPRODUCT(('حجز الإجازات'!$B$5:$B$104='الموظفون'!$B$6)*('حجز الإجازات'!$D$5:$D$104&lt;=FS$3)*(('حجز الإجازات'!$E$5:$E$104)&gt;=FS$3)*('حجز الإجازات'!$G$5:$G$104="معتمد")*ROW('حجز الإجازات'!$B$5:$B$104))=0,"",INDEX('حجز الإجازات'!$C$5:$C$104,(SUMPRODUCT(('حجز الإجازات'!$B$5:$B$104='الموظفون'!$B$6)*('حجز الإجازات'!$D$5:$D$104&lt;=FS$3)*(('حجز الإجازات'!$E$5:$E$104)&gt;=FS$3)*('حجز الإجازات'!$G$5:$G$104="معتمد")*ROW('حجز الإجازات'!$B$5:$B$104)))-5+1))</f>
        <v/>
      </c>
      <c r="FT8" s="62">
        <f>IF(SUMPRODUCT(('حجز الإجازات'!$B$5:$B$104='الموظفون'!$B$6)*('حجز الإجازات'!$D$5:$D$104&lt;=FT$3)*(('حجز الإجازات'!$E$5:$E$104)&gt;=FT$3)*('حجز الإجازات'!$G$5:$G$104="معتمد")*ROW('حجز الإجازات'!$B$5:$B$104))=0,"",INDEX('حجز الإجازات'!$C$5:$C$104,(SUMPRODUCT(('حجز الإجازات'!$B$5:$B$104='الموظفون'!$B$6)*('حجز الإجازات'!$D$5:$D$104&lt;=FT$3)*(('حجز الإجازات'!$E$5:$E$104)&gt;=FT$3)*('حجز الإجازات'!$G$5:$G$104="معتمد")*ROW('حجز الإجازات'!$B$5:$B$104)))-5+1))</f>
        <v/>
      </c>
      <c r="FU8" s="62">
        <f>IF(SUMPRODUCT(('حجز الإجازات'!$B$5:$B$104='الموظفون'!$B$6)*('حجز الإجازات'!$D$5:$D$104&lt;=FU$3)*(('حجز الإجازات'!$E$5:$E$104)&gt;=FU$3)*('حجز الإجازات'!$G$5:$G$104="معتمد")*ROW('حجز الإجازات'!$B$5:$B$104))=0,"",INDEX('حجز الإجازات'!$C$5:$C$104,(SUMPRODUCT(('حجز الإجازات'!$B$5:$B$104='الموظفون'!$B$6)*('حجز الإجازات'!$D$5:$D$104&lt;=FU$3)*(('حجز الإجازات'!$E$5:$E$104)&gt;=FU$3)*('حجز الإجازات'!$G$5:$G$104="معتمد")*ROW('حجز الإجازات'!$B$5:$B$104)))-5+1))</f>
        <v/>
      </c>
      <c r="FV8" s="62">
        <f>IF(SUMPRODUCT(('حجز الإجازات'!$B$5:$B$104='الموظفون'!$B$6)*('حجز الإجازات'!$D$5:$D$104&lt;=FV$3)*(('حجز الإجازات'!$E$5:$E$104)&gt;=FV$3)*('حجز الإجازات'!$G$5:$G$104="معتمد")*ROW('حجز الإجازات'!$B$5:$B$104))=0,"",INDEX('حجز الإجازات'!$C$5:$C$104,(SUMPRODUCT(('حجز الإجازات'!$B$5:$B$104='الموظفون'!$B$6)*('حجز الإجازات'!$D$5:$D$104&lt;=FV$3)*(('حجز الإجازات'!$E$5:$E$104)&gt;=FV$3)*('حجز الإجازات'!$G$5:$G$104="معتمد")*ROW('حجز الإجازات'!$B$5:$B$104)))-5+1))</f>
        <v/>
      </c>
      <c r="FW8" s="62">
        <f>IF(SUMPRODUCT(('حجز الإجازات'!$B$5:$B$104='الموظفون'!$B$6)*('حجز الإجازات'!$D$5:$D$104&lt;=FW$3)*(('حجز الإجازات'!$E$5:$E$104)&gt;=FW$3)*('حجز الإجازات'!$G$5:$G$104="معتمد")*ROW('حجز الإجازات'!$B$5:$B$104))=0,"",INDEX('حجز الإجازات'!$C$5:$C$104,(SUMPRODUCT(('حجز الإجازات'!$B$5:$B$104='الموظفون'!$B$6)*('حجز الإجازات'!$D$5:$D$104&lt;=FW$3)*(('حجز الإجازات'!$E$5:$E$104)&gt;=FW$3)*('حجز الإجازات'!$G$5:$G$104="معتمد")*ROW('حجز الإجازات'!$B$5:$B$104)))-5+1))</f>
        <v/>
      </c>
      <c r="FX8" s="62">
        <f>IF(SUMPRODUCT(('حجز الإجازات'!$B$5:$B$104='الموظفون'!$B$6)*('حجز الإجازات'!$D$5:$D$104&lt;=FX$3)*(('حجز الإجازات'!$E$5:$E$104)&gt;=FX$3)*('حجز الإجازات'!$G$5:$G$104="معتمد")*ROW('حجز الإجازات'!$B$5:$B$104))=0,"",INDEX('حجز الإجازات'!$C$5:$C$104,(SUMPRODUCT(('حجز الإجازات'!$B$5:$B$104='الموظفون'!$B$6)*('حجز الإجازات'!$D$5:$D$104&lt;=FX$3)*(('حجز الإجازات'!$E$5:$E$104)&gt;=FX$3)*('حجز الإجازات'!$G$5:$G$104="معتمد")*ROW('حجز الإجازات'!$B$5:$B$104)))-5+1))</f>
        <v/>
      </c>
      <c r="FY8" s="62">
        <f>IF(SUMPRODUCT(('حجز الإجازات'!$B$5:$B$104='الموظفون'!$B$6)*('حجز الإجازات'!$D$5:$D$104&lt;=FY$3)*(('حجز الإجازات'!$E$5:$E$104)&gt;=FY$3)*('حجز الإجازات'!$G$5:$G$104="معتمد")*ROW('حجز الإجازات'!$B$5:$B$104))=0,"",INDEX('حجز الإجازات'!$C$5:$C$104,(SUMPRODUCT(('حجز الإجازات'!$B$5:$B$104='الموظفون'!$B$6)*('حجز الإجازات'!$D$5:$D$104&lt;=FY$3)*(('حجز الإجازات'!$E$5:$E$104)&gt;=FY$3)*('حجز الإجازات'!$G$5:$G$104="معتمد")*ROW('حجز الإجازات'!$B$5:$B$104)))-5+1))</f>
        <v/>
      </c>
      <c r="FZ8" s="62">
        <f>IF(SUMPRODUCT(('حجز الإجازات'!$B$5:$B$104='الموظفون'!$B$6)*('حجز الإجازات'!$D$5:$D$104&lt;=FZ$3)*(('حجز الإجازات'!$E$5:$E$104)&gt;=FZ$3)*('حجز الإجازات'!$G$5:$G$104="معتمد")*ROW('حجز الإجازات'!$B$5:$B$104))=0,"",INDEX('حجز الإجازات'!$C$5:$C$104,(SUMPRODUCT(('حجز الإجازات'!$B$5:$B$104='الموظفون'!$B$6)*('حجز الإجازات'!$D$5:$D$104&lt;=FZ$3)*(('حجز الإجازات'!$E$5:$E$104)&gt;=FZ$3)*('حجز الإجازات'!$G$5:$G$104="معتمد")*ROW('حجز الإجازات'!$B$5:$B$104)))-5+1))</f>
        <v/>
      </c>
      <c r="GA8" s="62">
        <f>IF(SUMPRODUCT(('حجز الإجازات'!$B$5:$B$104='الموظفون'!$B$6)*('حجز الإجازات'!$D$5:$D$104&lt;=GA$3)*(('حجز الإجازات'!$E$5:$E$104)&gt;=GA$3)*('حجز الإجازات'!$G$5:$G$104="معتمد")*ROW('حجز الإجازات'!$B$5:$B$104))=0,"",INDEX('حجز الإجازات'!$C$5:$C$104,(SUMPRODUCT(('حجز الإجازات'!$B$5:$B$104='الموظفون'!$B$6)*('حجز الإجازات'!$D$5:$D$104&lt;=GA$3)*(('حجز الإجازات'!$E$5:$E$104)&gt;=GA$3)*('حجز الإجازات'!$G$5:$G$104="معتمد")*ROW('حجز الإجازات'!$B$5:$B$104)))-5+1))</f>
        <v/>
      </c>
      <c r="GB8" s="62">
        <f>IF(SUMPRODUCT(('حجز الإجازات'!$B$5:$B$104='الموظفون'!$B$6)*('حجز الإجازات'!$D$5:$D$104&lt;=GB$3)*(('حجز الإجازات'!$E$5:$E$104)&gt;=GB$3)*('حجز الإجازات'!$G$5:$G$104="معتمد")*ROW('حجز الإجازات'!$B$5:$B$104))=0,"",INDEX('حجز الإجازات'!$C$5:$C$104,(SUMPRODUCT(('حجز الإجازات'!$B$5:$B$104='الموظفون'!$B$6)*('حجز الإجازات'!$D$5:$D$104&lt;=GB$3)*(('حجز الإجازات'!$E$5:$E$104)&gt;=GB$3)*('حجز الإجازات'!$G$5:$G$104="معتمد")*ROW('حجز الإجازات'!$B$5:$B$104)))-5+1))</f>
        <v/>
      </c>
      <c r="GC8" s="62">
        <f>IF(SUMPRODUCT(('حجز الإجازات'!$B$5:$B$104='الموظفون'!$B$6)*('حجز الإجازات'!$D$5:$D$104&lt;=GC$3)*(('حجز الإجازات'!$E$5:$E$104)&gt;=GC$3)*('حجز الإجازات'!$G$5:$G$104="معتمد")*ROW('حجز الإجازات'!$B$5:$B$104))=0,"",INDEX('حجز الإجازات'!$C$5:$C$104,(SUMPRODUCT(('حجز الإجازات'!$B$5:$B$104='الموظفون'!$B$6)*('حجز الإجازات'!$D$5:$D$104&lt;=GC$3)*(('حجز الإجازات'!$E$5:$E$104)&gt;=GC$3)*('حجز الإجازات'!$G$5:$G$104="معتمد")*ROW('حجز الإجازات'!$B$5:$B$104)))-5+1))</f>
        <v/>
      </c>
      <c r="GD8" s="62">
        <f>IF(SUMPRODUCT(('حجز الإجازات'!$B$5:$B$104='الموظفون'!$B$6)*('حجز الإجازات'!$D$5:$D$104&lt;=GD$3)*(('حجز الإجازات'!$E$5:$E$104)&gt;=GD$3)*('حجز الإجازات'!$G$5:$G$104="معتمد")*ROW('حجز الإجازات'!$B$5:$B$104))=0,"",INDEX('حجز الإجازات'!$C$5:$C$104,(SUMPRODUCT(('حجز الإجازات'!$B$5:$B$104='الموظفون'!$B$6)*('حجز الإجازات'!$D$5:$D$104&lt;=GD$3)*(('حجز الإجازات'!$E$5:$E$104)&gt;=GD$3)*('حجز الإجازات'!$G$5:$G$104="معتمد")*ROW('حجز الإجازات'!$B$5:$B$104)))-5+1))</f>
        <v/>
      </c>
      <c r="GE8" s="62">
        <f>IF(SUMPRODUCT(('حجز الإجازات'!$B$5:$B$104='الموظفون'!$B$6)*('حجز الإجازات'!$D$5:$D$104&lt;=GE$3)*(('حجز الإجازات'!$E$5:$E$104)&gt;=GE$3)*('حجز الإجازات'!$G$5:$G$104="معتمد")*ROW('حجز الإجازات'!$B$5:$B$104))=0,"",INDEX('حجز الإجازات'!$C$5:$C$104,(SUMPRODUCT(('حجز الإجازات'!$B$5:$B$104='الموظفون'!$B$6)*('حجز الإجازات'!$D$5:$D$104&lt;=GE$3)*(('حجز الإجازات'!$E$5:$E$104)&gt;=GE$3)*('حجز الإجازات'!$G$5:$G$104="معتمد")*ROW('حجز الإجازات'!$B$5:$B$104)))-5+1))</f>
        <v/>
      </c>
      <c r="GF8" s="62">
        <f>IF(SUMPRODUCT(('حجز الإجازات'!$B$5:$B$104='الموظفون'!$B$6)*('حجز الإجازات'!$D$5:$D$104&lt;=GF$3)*(('حجز الإجازات'!$E$5:$E$104)&gt;=GF$3)*('حجز الإجازات'!$G$5:$G$104="معتمد")*ROW('حجز الإجازات'!$B$5:$B$104))=0,"",INDEX('حجز الإجازات'!$C$5:$C$104,(SUMPRODUCT(('حجز الإجازات'!$B$5:$B$104='الموظفون'!$B$6)*('حجز الإجازات'!$D$5:$D$104&lt;=GF$3)*(('حجز الإجازات'!$E$5:$E$104)&gt;=GF$3)*('حجز الإجازات'!$G$5:$G$104="معتمد")*ROW('حجز الإجازات'!$B$5:$B$104)))-5+1))</f>
        <v/>
      </c>
      <c r="GG8" s="62">
        <f>IF(SUMPRODUCT(('حجز الإجازات'!$B$5:$B$104='الموظفون'!$B$6)*('حجز الإجازات'!$D$5:$D$104&lt;=GG$3)*(('حجز الإجازات'!$E$5:$E$104)&gt;=GG$3)*('حجز الإجازات'!$G$5:$G$104="معتمد")*ROW('حجز الإجازات'!$B$5:$B$104))=0,"",INDEX('حجز الإجازات'!$C$5:$C$104,(SUMPRODUCT(('حجز الإجازات'!$B$5:$B$104='الموظفون'!$B$6)*('حجز الإجازات'!$D$5:$D$104&lt;=GG$3)*(('حجز الإجازات'!$E$5:$E$104)&gt;=GG$3)*('حجز الإجازات'!$G$5:$G$104="معتمد")*ROW('حجز الإجازات'!$B$5:$B$104)))-5+1))</f>
        <v/>
      </c>
      <c r="GH8" s="62">
        <f>IF(SUMPRODUCT(('حجز الإجازات'!$B$5:$B$104='الموظفون'!$B$6)*('حجز الإجازات'!$D$5:$D$104&lt;=GH$3)*(('حجز الإجازات'!$E$5:$E$104)&gt;=GH$3)*('حجز الإجازات'!$G$5:$G$104="معتمد")*ROW('حجز الإجازات'!$B$5:$B$104))=0,"",INDEX('حجز الإجازات'!$C$5:$C$104,(SUMPRODUCT(('حجز الإجازات'!$B$5:$B$104='الموظفون'!$B$6)*('حجز الإجازات'!$D$5:$D$104&lt;=GH$3)*(('حجز الإجازات'!$E$5:$E$104)&gt;=GH$3)*('حجز الإجازات'!$G$5:$G$104="معتمد")*ROW('حجز الإجازات'!$B$5:$B$104)))-5+1))</f>
        <v/>
      </c>
      <c r="GI8" s="62">
        <f>IF(SUMPRODUCT(('حجز الإجازات'!$B$5:$B$104='الموظفون'!$B$6)*('حجز الإجازات'!$D$5:$D$104&lt;=GI$3)*(('حجز الإجازات'!$E$5:$E$104)&gt;=GI$3)*('حجز الإجازات'!$G$5:$G$104="معتمد")*ROW('حجز الإجازات'!$B$5:$B$104))=0,"",INDEX('حجز الإجازات'!$C$5:$C$104,(SUMPRODUCT(('حجز الإجازات'!$B$5:$B$104='الموظفون'!$B$6)*('حجز الإجازات'!$D$5:$D$104&lt;=GI$3)*(('حجز الإجازات'!$E$5:$E$104)&gt;=GI$3)*('حجز الإجازات'!$G$5:$G$104="معتمد")*ROW('حجز الإجازات'!$B$5:$B$104)))-5+1))</f>
        <v/>
      </c>
      <c r="GJ8" s="62">
        <f>IF(SUMPRODUCT(('حجز الإجازات'!$B$5:$B$104='الموظفون'!$B$6)*('حجز الإجازات'!$D$5:$D$104&lt;=GJ$3)*(('حجز الإجازات'!$E$5:$E$104)&gt;=GJ$3)*('حجز الإجازات'!$G$5:$G$104="معتمد")*ROW('حجز الإجازات'!$B$5:$B$104))=0,"",INDEX('حجز الإجازات'!$C$5:$C$104,(SUMPRODUCT(('حجز الإجازات'!$B$5:$B$104='الموظفون'!$B$6)*('حجز الإجازات'!$D$5:$D$104&lt;=GJ$3)*(('حجز الإجازات'!$E$5:$E$104)&gt;=GJ$3)*('حجز الإجازات'!$G$5:$G$104="معتمد")*ROW('حجز الإجازات'!$B$5:$B$104)))-5+1))</f>
        <v/>
      </c>
      <c r="GK8" s="62">
        <f>IF(SUMPRODUCT(('حجز الإجازات'!$B$5:$B$104='الموظفون'!$B$6)*('حجز الإجازات'!$D$5:$D$104&lt;=GK$3)*(('حجز الإجازات'!$E$5:$E$104)&gt;=GK$3)*('حجز الإجازات'!$G$5:$G$104="معتمد")*ROW('حجز الإجازات'!$B$5:$B$104))=0,"",INDEX('حجز الإجازات'!$C$5:$C$104,(SUMPRODUCT(('حجز الإجازات'!$B$5:$B$104='الموظفون'!$B$6)*('حجز الإجازات'!$D$5:$D$104&lt;=GK$3)*(('حجز الإجازات'!$E$5:$E$104)&gt;=GK$3)*('حجز الإجازات'!$G$5:$G$104="معتمد")*ROW('حجز الإجازات'!$B$5:$B$104)))-5+1))</f>
        <v/>
      </c>
      <c r="GL8" s="62">
        <f>IF(SUMPRODUCT(('حجز الإجازات'!$B$5:$B$104='الموظفون'!$B$6)*('حجز الإجازات'!$D$5:$D$104&lt;=GL$3)*(('حجز الإجازات'!$E$5:$E$104)&gt;=GL$3)*('حجز الإجازات'!$G$5:$G$104="معتمد")*ROW('حجز الإجازات'!$B$5:$B$104))=0,"",INDEX('حجز الإجازات'!$C$5:$C$104,(SUMPRODUCT(('حجز الإجازات'!$B$5:$B$104='الموظفون'!$B$6)*('حجز الإجازات'!$D$5:$D$104&lt;=GL$3)*(('حجز الإجازات'!$E$5:$E$104)&gt;=GL$3)*('حجز الإجازات'!$G$5:$G$104="معتمد")*ROW('حجز الإجازات'!$B$5:$B$104)))-5+1))</f>
        <v/>
      </c>
      <c r="GM8" s="62">
        <f>IF(SUMPRODUCT(('حجز الإجازات'!$B$5:$B$104='الموظفون'!$B$6)*('حجز الإجازات'!$D$5:$D$104&lt;=GM$3)*(('حجز الإجازات'!$E$5:$E$104)&gt;=GM$3)*('حجز الإجازات'!$G$5:$G$104="معتمد")*ROW('حجز الإجازات'!$B$5:$B$104))=0,"",INDEX('حجز الإجازات'!$C$5:$C$104,(SUMPRODUCT(('حجز الإجازات'!$B$5:$B$104='الموظفون'!$B$6)*('حجز الإجازات'!$D$5:$D$104&lt;=GM$3)*(('حجز الإجازات'!$E$5:$E$104)&gt;=GM$3)*('حجز الإجازات'!$G$5:$G$104="معتمد")*ROW('حجز الإجازات'!$B$5:$B$104)))-5+1))</f>
        <v/>
      </c>
      <c r="GN8" s="62">
        <f>IF(SUMPRODUCT(('حجز الإجازات'!$B$5:$B$104='الموظفون'!$B$6)*('حجز الإجازات'!$D$5:$D$104&lt;=GN$3)*(('حجز الإجازات'!$E$5:$E$104)&gt;=GN$3)*('حجز الإجازات'!$G$5:$G$104="معتمد")*ROW('حجز الإجازات'!$B$5:$B$104))=0,"",INDEX('حجز الإجازات'!$C$5:$C$104,(SUMPRODUCT(('حجز الإجازات'!$B$5:$B$104='الموظفون'!$B$6)*('حجز الإجازات'!$D$5:$D$104&lt;=GN$3)*(('حجز الإجازات'!$E$5:$E$104)&gt;=GN$3)*('حجز الإجازات'!$G$5:$G$104="معتمد")*ROW('حجز الإجازات'!$B$5:$B$104)))-5+1))</f>
        <v/>
      </c>
      <c r="GO8" s="62">
        <f>IF(SUMPRODUCT(('حجز الإجازات'!$B$5:$B$104='الموظفون'!$B$6)*('حجز الإجازات'!$D$5:$D$104&lt;=GO$3)*(('حجز الإجازات'!$E$5:$E$104)&gt;=GO$3)*('حجز الإجازات'!$G$5:$G$104="معتمد")*ROW('حجز الإجازات'!$B$5:$B$104))=0,"",INDEX('حجز الإجازات'!$C$5:$C$104,(SUMPRODUCT(('حجز الإجازات'!$B$5:$B$104='الموظفون'!$B$6)*('حجز الإجازات'!$D$5:$D$104&lt;=GO$3)*(('حجز الإجازات'!$E$5:$E$104)&gt;=GO$3)*('حجز الإجازات'!$G$5:$G$104="معتمد")*ROW('حجز الإجازات'!$B$5:$B$104)))-5+1))</f>
        <v/>
      </c>
      <c r="GP8" s="62">
        <f>IF(SUMPRODUCT(('حجز الإجازات'!$B$5:$B$104='الموظفون'!$B$6)*('حجز الإجازات'!$D$5:$D$104&lt;=GP$3)*(('حجز الإجازات'!$E$5:$E$104)&gt;=GP$3)*('حجز الإجازات'!$G$5:$G$104="معتمد")*ROW('حجز الإجازات'!$B$5:$B$104))=0,"",INDEX('حجز الإجازات'!$C$5:$C$104,(SUMPRODUCT(('حجز الإجازات'!$B$5:$B$104='الموظفون'!$B$6)*('حجز الإجازات'!$D$5:$D$104&lt;=GP$3)*(('حجز الإجازات'!$E$5:$E$104)&gt;=GP$3)*('حجز الإجازات'!$G$5:$G$104="معتمد")*ROW('حجز الإجازات'!$B$5:$B$104)))-5+1))</f>
        <v/>
      </c>
      <c r="GQ8" s="62">
        <f>IF(SUMPRODUCT(('حجز الإجازات'!$B$5:$B$104='الموظفون'!$B$6)*('حجز الإجازات'!$D$5:$D$104&lt;=GQ$3)*(('حجز الإجازات'!$E$5:$E$104)&gt;=GQ$3)*('حجز الإجازات'!$G$5:$G$104="معتمد")*ROW('حجز الإجازات'!$B$5:$B$104))=0,"",INDEX('حجز الإجازات'!$C$5:$C$104,(SUMPRODUCT(('حجز الإجازات'!$B$5:$B$104='الموظفون'!$B$6)*('حجز الإجازات'!$D$5:$D$104&lt;=GQ$3)*(('حجز الإجازات'!$E$5:$E$104)&gt;=GQ$3)*('حجز الإجازات'!$G$5:$G$104="معتمد")*ROW('حجز الإجازات'!$B$5:$B$104)))-5+1))</f>
        <v/>
      </c>
      <c r="GR8" s="62">
        <f>IF(SUMPRODUCT(('حجز الإجازات'!$B$5:$B$104='الموظفون'!$B$6)*('حجز الإجازات'!$D$5:$D$104&lt;=GR$3)*(('حجز الإجازات'!$E$5:$E$104)&gt;=GR$3)*('حجز الإجازات'!$G$5:$G$104="معتمد")*ROW('حجز الإجازات'!$B$5:$B$104))=0,"",INDEX('حجز الإجازات'!$C$5:$C$104,(SUMPRODUCT(('حجز الإجازات'!$B$5:$B$104='الموظفون'!$B$6)*('حجز الإجازات'!$D$5:$D$104&lt;=GR$3)*(('حجز الإجازات'!$E$5:$E$104)&gt;=GR$3)*('حجز الإجازات'!$G$5:$G$104="معتمد")*ROW('حجز الإجازات'!$B$5:$B$104)))-5+1))</f>
        <v/>
      </c>
      <c r="GS8" s="62">
        <f>IF(SUMPRODUCT(('حجز الإجازات'!$B$5:$B$104='الموظفون'!$B$6)*('حجز الإجازات'!$D$5:$D$104&lt;=GS$3)*(('حجز الإجازات'!$E$5:$E$104)&gt;=GS$3)*('حجز الإجازات'!$G$5:$G$104="معتمد")*ROW('حجز الإجازات'!$B$5:$B$104))=0,"",INDEX('حجز الإجازات'!$C$5:$C$104,(SUMPRODUCT(('حجز الإجازات'!$B$5:$B$104='الموظفون'!$B$6)*('حجز الإجازات'!$D$5:$D$104&lt;=GS$3)*(('حجز الإجازات'!$E$5:$E$104)&gt;=GS$3)*('حجز الإجازات'!$G$5:$G$104="معتمد")*ROW('حجز الإجازات'!$B$5:$B$104)))-5+1))</f>
        <v/>
      </c>
      <c r="GT8" s="62">
        <f>IF(SUMPRODUCT(('حجز الإجازات'!$B$5:$B$104='الموظفون'!$B$6)*('حجز الإجازات'!$D$5:$D$104&lt;=GT$3)*(('حجز الإجازات'!$E$5:$E$104)&gt;=GT$3)*('حجز الإجازات'!$G$5:$G$104="معتمد")*ROW('حجز الإجازات'!$B$5:$B$104))=0,"",INDEX('حجز الإجازات'!$C$5:$C$104,(SUMPRODUCT(('حجز الإجازات'!$B$5:$B$104='الموظفون'!$B$6)*('حجز الإجازات'!$D$5:$D$104&lt;=GT$3)*(('حجز الإجازات'!$E$5:$E$104)&gt;=GT$3)*('حجز الإجازات'!$G$5:$G$104="معتمد")*ROW('حجز الإجازات'!$B$5:$B$104)))-5+1))</f>
        <v/>
      </c>
      <c r="GU8" s="62">
        <f>IF(SUMPRODUCT(('حجز الإجازات'!$B$5:$B$104='الموظفون'!$B$6)*('حجز الإجازات'!$D$5:$D$104&lt;=GU$3)*(('حجز الإجازات'!$E$5:$E$104)&gt;=GU$3)*('حجز الإجازات'!$G$5:$G$104="معتمد")*ROW('حجز الإجازات'!$B$5:$B$104))=0,"",INDEX('حجز الإجازات'!$C$5:$C$104,(SUMPRODUCT(('حجز الإجازات'!$B$5:$B$104='الموظفون'!$B$6)*('حجز الإجازات'!$D$5:$D$104&lt;=GU$3)*(('حجز الإجازات'!$E$5:$E$104)&gt;=GU$3)*('حجز الإجازات'!$G$5:$G$104="معتمد")*ROW('حجز الإجازات'!$B$5:$B$104)))-5+1))</f>
        <v/>
      </c>
      <c r="GV8" s="62">
        <f>IF(SUMPRODUCT(('حجز الإجازات'!$B$5:$B$104='الموظفون'!$B$6)*('حجز الإجازات'!$D$5:$D$104&lt;=GV$3)*(('حجز الإجازات'!$E$5:$E$104)&gt;=GV$3)*('حجز الإجازات'!$G$5:$G$104="معتمد")*ROW('حجز الإجازات'!$B$5:$B$104))=0,"",INDEX('حجز الإجازات'!$C$5:$C$104,(SUMPRODUCT(('حجز الإجازات'!$B$5:$B$104='الموظفون'!$B$6)*('حجز الإجازات'!$D$5:$D$104&lt;=GV$3)*(('حجز الإجازات'!$E$5:$E$104)&gt;=GV$3)*('حجز الإجازات'!$G$5:$G$104="معتمد")*ROW('حجز الإجازات'!$B$5:$B$104)))-5+1))</f>
        <v/>
      </c>
      <c r="GW8" s="62">
        <f>IF(SUMPRODUCT(('حجز الإجازات'!$B$5:$B$104='الموظفون'!$B$6)*('حجز الإجازات'!$D$5:$D$104&lt;=GW$3)*(('حجز الإجازات'!$E$5:$E$104)&gt;=GW$3)*('حجز الإجازات'!$G$5:$G$104="معتمد")*ROW('حجز الإجازات'!$B$5:$B$104))=0,"",INDEX('حجز الإجازات'!$C$5:$C$104,(SUMPRODUCT(('حجز الإجازات'!$B$5:$B$104='الموظفون'!$B$6)*('حجز الإجازات'!$D$5:$D$104&lt;=GW$3)*(('حجز الإجازات'!$E$5:$E$104)&gt;=GW$3)*('حجز الإجازات'!$G$5:$G$104="معتمد")*ROW('حجز الإجازات'!$B$5:$B$104)))-5+1))</f>
        <v/>
      </c>
      <c r="GX8" s="62">
        <f>IF(SUMPRODUCT(('حجز الإجازات'!$B$5:$B$104='الموظفون'!$B$6)*('حجز الإجازات'!$D$5:$D$104&lt;=GX$3)*(('حجز الإجازات'!$E$5:$E$104)&gt;=GX$3)*('حجز الإجازات'!$G$5:$G$104="معتمد")*ROW('حجز الإجازات'!$B$5:$B$104))=0,"",INDEX('حجز الإجازات'!$C$5:$C$104,(SUMPRODUCT(('حجز الإجازات'!$B$5:$B$104='الموظفون'!$B$6)*('حجز الإجازات'!$D$5:$D$104&lt;=GX$3)*(('حجز الإجازات'!$E$5:$E$104)&gt;=GX$3)*('حجز الإجازات'!$G$5:$G$104="معتمد")*ROW('حجز الإجازات'!$B$5:$B$104)))-5+1))</f>
        <v/>
      </c>
      <c r="GY8" s="62">
        <f>IF(SUMPRODUCT(('حجز الإجازات'!$B$5:$B$104='الموظفون'!$B$6)*('حجز الإجازات'!$D$5:$D$104&lt;=GY$3)*(('حجز الإجازات'!$E$5:$E$104)&gt;=GY$3)*('حجز الإجازات'!$G$5:$G$104="معتمد")*ROW('حجز الإجازات'!$B$5:$B$104))=0,"",INDEX('حجز الإجازات'!$C$5:$C$104,(SUMPRODUCT(('حجز الإجازات'!$B$5:$B$104='الموظفون'!$B$6)*('حجز الإجازات'!$D$5:$D$104&lt;=GY$3)*(('حجز الإجازات'!$E$5:$E$104)&gt;=GY$3)*('حجز الإجازات'!$G$5:$G$104="معتمد")*ROW('حجز الإجازات'!$B$5:$B$104)))-5+1))</f>
        <v/>
      </c>
      <c r="GZ8" s="62">
        <f>IF(SUMPRODUCT(('حجز الإجازات'!$B$5:$B$104='الموظفون'!$B$6)*('حجز الإجازات'!$D$5:$D$104&lt;=GZ$3)*(('حجز الإجازات'!$E$5:$E$104)&gt;=GZ$3)*('حجز الإجازات'!$G$5:$G$104="معتمد")*ROW('حجز الإجازات'!$B$5:$B$104))=0,"",INDEX('حجز الإجازات'!$C$5:$C$104,(SUMPRODUCT(('حجز الإجازات'!$B$5:$B$104='الموظفون'!$B$6)*('حجز الإجازات'!$D$5:$D$104&lt;=GZ$3)*(('حجز الإجازات'!$E$5:$E$104)&gt;=GZ$3)*('حجز الإجازات'!$G$5:$G$104="معتمد")*ROW('حجز الإجازات'!$B$5:$B$104)))-5+1))</f>
        <v/>
      </c>
      <c r="HA8" s="62">
        <f>IF(SUMPRODUCT(('حجز الإجازات'!$B$5:$B$104='الموظفون'!$B$6)*('حجز الإجازات'!$D$5:$D$104&lt;=HA$3)*(('حجز الإجازات'!$E$5:$E$104)&gt;=HA$3)*('حجز الإجازات'!$G$5:$G$104="معتمد")*ROW('حجز الإجازات'!$B$5:$B$104))=0,"",INDEX('حجز الإجازات'!$C$5:$C$104,(SUMPRODUCT(('حجز الإجازات'!$B$5:$B$104='الموظفون'!$B$6)*('حجز الإجازات'!$D$5:$D$104&lt;=HA$3)*(('حجز الإجازات'!$E$5:$E$104)&gt;=HA$3)*('حجز الإجازات'!$G$5:$G$104="معتمد")*ROW('حجز الإجازات'!$B$5:$B$104)))-5+1))</f>
        <v/>
      </c>
      <c r="HB8" s="62">
        <f>IF(SUMPRODUCT(('حجز الإجازات'!$B$5:$B$104='الموظفون'!$B$6)*('حجز الإجازات'!$D$5:$D$104&lt;=HB$3)*(('حجز الإجازات'!$E$5:$E$104)&gt;=HB$3)*('حجز الإجازات'!$G$5:$G$104="معتمد")*ROW('حجز الإجازات'!$B$5:$B$104))=0,"",INDEX('حجز الإجازات'!$C$5:$C$104,(SUMPRODUCT(('حجز الإجازات'!$B$5:$B$104='الموظفون'!$B$6)*('حجز الإجازات'!$D$5:$D$104&lt;=HB$3)*(('حجز الإجازات'!$E$5:$E$104)&gt;=HB$3)*('حجز الإجازات'!$G$5:$G$104="معتمد")*ROW('حجز الإجازات'!$B$5:$B$104)))-5+1))</f>
        <v/>
      </c>
      <c r="HC8" s="62">
        <f>IF(SUMPRODUCT(('حجز الإجازات'!$B$5:$B$104='الموظفون'!$B$6)*('حجز الإجازات'!$D$5:$D$104&lt;=HC$3)*(('حجز الإجازات'!$E$5:$E$104)&gt;=HC$3)*('حجز الإجازات'!$G$5:$G$104="معتمد")*ROW('حجز الإجازات'!$B$5:$B$104))=0,"",INDEX('حجز الإجازات'!$C$5:$C$104,(SUMPRODUCT(('حجز الإجازات'!$B$5:$B$104='الموظفون'!$B$6)*('حجز الإجازات'!$D$5:$D$104&lt;=HC$3)*(('حجز الإجازات'!$E$5:$E$104)&gt;=HC$3)*('حجز الإجازات'!$G$5:$G$104="معتمد")*ROW('حجز الإجازات'!$B$5:$B$104)))-5+1))</f>
        <v/>
      </c>
      <c r="HD8" s="62">
        <f>IF(SUMPRODUCT(('حجز الإجازات'!$B$5:$B$104='الموظفون'!$B$6)*('حجز الإجازات'!$D$5:$D$104&lt;=HD$3)*(('حجز الإجازات'!$E$5:$E$104)&gt;=HD$3)*('حجز الإجازات'!$G$5:$G$104="معتمد")*ROW('حجز الإجازات'!$B$5:$B$104))=0,"",INDEX('حجز الإجازات'!$C$5:$C$104,(SUMPRODUCT(('حجز الإجازات'!$B$5:$B$104='الموظفون'!$B$6)*('حجز الإجازات'!$D$5:$D$104&lt;=HD$3)*(('حجز الإجازات'!$E$5:$E$104)&gt;=HD$3)*('حجز الإجازات'!$G$5:$G$104="معتمد")*ROW('حجز الإجازات'!$B$5:$B$104)))-5+1))</f>
        <v/>
      </c>
      <c r="HE8" s="62">
        <f>IF(SUMPRODUCT(('حجز الإجازات'!$B$5:$B$104='الموظفون'!$B$6)*('حجز الإجازات'!$D$5:$D$104&lt;=HE$3)*(('حجز الإجازات'!$E$5:$E$104)&gt;=HE$3)*('حجز الإجازات'!$G$5:$G$104="معتمد")*ROW('حجز الإجازات'!$B$5:$B$104))=0,"",INDEX('حجز الإجازات'!$C$5:$C$104,(SUMPRODUCT(('حجز الإجازات'!$B$5:$B$104='الموظفون'!$B$6)*('حجز الإجازات'!$D$5:$D$104&lt;=HE$3)*(('حجز الإجازات'!$E$5:$E$104)&gt;=HE$3)*('حجز الإجازات'!$G$5:$G$104="معتمد")*ROW('حجز الإجازات'!$B$5:$B$104)))-5+1))</f>
        <v/>
      </c>
      <c r="HF8" s="62">
        <f>IF(SUMPRODUCT(('حجز الإجازات'!$B$5:$B$104='الموظفون'!$B$6)*('حجز الإجازات'!$D$5:$D$104&lt;=HF$3)*(('حجز الإجازات'!$E$5:$E$104)&gt;=HF$3)*('حجز الإجازات'!$G$5:$G$104="معتمد")*ROW('حجز الإجازات'!$B$5:$B$104))=0,"",INDEX('حجز الإجازات'!$C$5:$C$104,(SUMPRODUCT(('حجز الإجازات'!$B$5:$B$104='الموظفون'!$B$6)*('حجز الإجازات'!$D$5:$D$104&lt;=HF$3)*(('حجز الإجازات'!$E$5:$E$104)&gt;=HF$3)*('حجز الإجازات'!$G$5:$G$104="معتمد")*ROW('حجز الإجازات'!$B$5:$B$104)))-5+1))</f>
        <v/>
      </c>
      <c r="HG8" s="62">
        <f>IF(SUMPRODUCT(('حجز الإجازات'!$B$5:$B$104='الموظفون'!$B$6)*('حجز الإجازات'!$D$5:$D$104&lt;=HG$3)*(('حجز الإجازات'!$E$5:$E$104)&gt;=HG$3)*('حجز الإجازات'!$G$5:$G$104="معتمد")*ROW('حجز الإجازات'!$B$5:$B$104))=0,"",INDEX('حجز الإجازات'!$C$5:$C$104,(SUMPRODUCT(('حجز الإجازات'!$B$5:$B$104='الموظفون'!$B$6)*('حجز الإجازات'!$D$5:$D$104&lt;=HG$3)*(('حجز الإجازات'!$E$5:$E$104)&gt;=HG$3)*('حجز الإجازات'!$G$5:$G$104="معتمد")*ROW('حجز الإجازات'!$B$5:$B$104)))-5+1))</f>
        <v/>
      </c>
      <c r="HH8" s="62">
        <f>IF(SUMPRODUCT(('حجز الإجازات'!$B$5:$B$104='الموظفون'!$B$6)*('حجز الإجازات'!$D$5:$D$104&lt;=HH$3)*(('حجز الإجازات'!$E$5:$E$104)&gt;=HH$3)*('حجز الإجازات'!$G$5:$G$104="معتمد")*ROW('حجز الإجازات'!$B$5:$B$104))=0,"",INDEX('حجز الإجازات'!$C$5:$C$104,(SUMPRODUCT(('حجز الإجازات'!$B$5:$B$104='الموظفون'!$B$6)*('حجز الإجازات'!$D$5:$D$104&lt;=HH$3)*(('حجز الإجازات'!$E$5:$E$104)&gt;=HH$3)*('حجز الإجازات'!$G$5:$G$104="معتمد")*ROW('حجز الإجازات'!$B$5:$B$104)))-5+1))</f>
        <v/>
      </c>
      <c r="HI8" s="62">
        <f>IF(SUMPRODUCT(('حجز الإجازات'!$B$5:$B$104='الموظفون'!$B$6)*('حجز الإجازات'!$D$5:$D$104&lt;=HI$3)*(('حجز الإجازات'!$E$5:$E$104)&gt;=HI$3)*('حجز الإجازات'!$G$5:$G$104="معتمد")*ROW('حجز الإجازات'!$B$5:$B$104))=0,"",INDEX('حجز الإجازات'!$C$5:$C$104,(SUMPRODUCT(('حجز الإجازات'!$B$5:$B$104='الموظفون'!$B$6)*('حجز الإجازات'!$D$5:$D$104&lt;=HI$3)*(('حجز الإجازات'!$E$5:$E$104)&gt;=HI$3)*('حجز الإجازات'!$G$5:$G$104="معتمد")*ROW('حجز الإجازات'!$B$5:$B$104)))-5+1))</f>
        <v/>
      </c>
      <c r="HJ8" s="62">
        <f>IF(SUMPRODUCT(('حجز الإجازات'!$B$5:$B$104='الموظفون'!$B$6)*('حجز الإجازات'!$D$5:$D$104&lt;=HJ$3)*(('حجز الإجازات'!$E$5:$E$104)&gt;=HJ$3)*('حجز الإجازات'!$G$5:$G$104="معتمد")*ROW('حجز الإجازات'!$B$5:$B$104))=0,"",INDEX('حجز الإجازات'!$C$5:$C$104,(SUMPRODUCT(('حجز الإجازات'!$B$5:$B$104='الموظفون'!$B$6)*('حجز الإجازات'!$D$5:$D$104&lt;=HJ$3)*(('حجز الإجازات'!$E$5:$E$104)&gt;=HJ$3)*('حجز الإجازات'!$G$5:$G$104="معتمد")*ROW('حجز الإجازات'!$B$5:$B$104)))-5+1))</f>
        <v/>
      </c>
      <c r="HK8" s="62">
        <f>IF(SUMPRODUCT(('حجز الإجازات'!$B$5:$B$104='الموظفون'!$B$6)*('حجز الإجازات'!$D$5:$D$104&lt;=HK$3)*(('حجز الإجازات'!$E$5:$E$104)&gt;=HK$3)*('حجز الإجازات'!$G$5:$G$104="معتمد")*ROW('حجز الإجازات'!$B$5:$B$104))=0,"",INDEX('حجز الإجازات'!$C$5:$C$104,(SUMPRODUCT(('حجز الإجازات'!$B$5:$B$104='الموظفون'!$B$6)*('حجز الإجازات'!$D$5:$D$104&lt;=HK$3)*(('حجز الإجازات'!$E$5:$E$104)&gt;=HK$3)*('حجز الإجازات'!$G$5:$G$104="معتمد")*ROW('حجز الإجازات'!$B$5:$B$104)))-5+1))</f>
        <v/>
      </c>
      <c r="HL8" s="62">
        <f>IF(SUMPRODUCT(('حجز الإجازات'!$B$5:$B$104='الموظفون'!$B$6)*('حجز الإجازات'!$D$5:$D$104&lt;=HL$3)*(('حجز الإجازات'!$E$5:$E$104)&gt;=HL$3)*('حجز الإجازات'!$G$5:$G$104="معتمد")*ROW('حجز الإجازات'!$B$5:$B$104))=0,"",INDEX('حجز الإجازات'!$C$5:$C$104,(SUMPRODUCT(('حجز الإجازات'!$B$5:$B$104='الموظفون'!$B$6)*('حجز الإجازات'!$D$5:$D$104&lt;=HL$3)*(('حجز الإجازات'!$E$5:$E$104)&gt;=HL$3)*('حجز الإجازات'!$G$5:$G$104="معتمد")*ROW('حجز الإجازات'!$B$5:$B$104)))-5+1))</f>
        <v/>
      </c>
      <c r="HM8" s="62">
        <f>IF(SUMPRODUCT(('حجز الإجازات'!$B$5:$B$104='الموظفون'!$B$6)*('حجز الإجازات'!$D$5:$D$104&lt;=HM$3)*(('حجز الإجازات'!$E$5:$E$104)&gt;=HM$3)*('حجز الإجازات'!$G$5:$G$104="معتمد")*ROW('حجز الإجازات'!$B$5:$B$104))=0,"",INDEX('حجز الإجازات'!$C$5:$C$104,(SUMPRODUCT(('حجز الإجازات'!$B$5:$B$104='الموظفون'!$B$6)*('حجز الإجازات'!$D$5:$D$104&lt;=HM$3)*(('حجز الإجازات'!$E$5:$E$104)&gt;=HM$3)*('حجز الإجازات'!$G$5:$G$104="معتمد")*ROW('حجز الإجازات'!$B$5:$B$104)))-5+1))</f>
        <v/>
      </c>
      <c r="HN8" s="62">
        <f>IF(SUMPRODUCT(('حجز الإجازات'!$B$5:$B$104='الموظفون'!$B$6)*('حجز الإجازات'!$D$5:$D$104&lt;=HN$3)*(('حجز الإجازات'!$E$5:$E$104)&gt;=HN$3)*('حجز الإجازات'!$G$5:$G$104="معتمد")*ROW('حجز الإجازات'!$B$5:$B$104))=0,"",INDEX('حجز الإجازات'!$C$5:$C$104,(SUMPRODUCT(('حجز الإجازات'!$B$5:$B$104='الموظفون'!$B$6)*('حجز الإجازات'!$D$5:$D$104&lt;=HN$3)*(('حجز الإجازات'!$E$5:$E$104)&gt;=HN$3)*('حجز الإجازات'!$G$5:$G$104="معتمد")*ROW('حجز الإجازات'!$B$5:$B$104)))-5+1))</f>
        <v/>
      </c>
      <c r="HO8" s="62">
        <f>IF(SUMPRODUCT(('حجز الإجازات'!$B$5:$B$104='الموظفون'!$B$6)*('حجز الإجازات'!$D$5:$D$104&lt;=HO$3)*(('حجز الإجازات'!$E$5:$E$104)&gt;=HO$3)*('حجز الإجازات'!$G$5:$G$104="معتمد")*ROW('حجز الإجازات'!$B$5:$B$104))=0,"",INDEX('حجز الإجازات'!$C$5:$C$104,(SUMPRODUCT(('حجز الإجازات'!$B$5:$B$104='الموظفون'!$B$6)*('حجز الإجازات'!$D$5:$D$104&lt;=HO$3)*(('حجز الإجازات'!$E$5:$E$104)&gt;=HO$3)*('حجز الإجازات'!$G$5:$G$104="معتمد")*ROW('حجز الإجازات'!$B$5:$B$104)))-5+1))</f>
        <v/>
      </c>
      <c r="HP8" s="62">
        <f>IF(SUMPRODUCT(('حجز الإجازات'!$B$5:$B$104='الموظفون'!$B$6)*('حجز الإجازات'!$D$5:$D$104&lt;=HP$3)*(('حجز الإجازات'!$E$5:$E$104)&gt;=HP$3)*('حجز الإجازات'!$G$5:$G$104="معتمد")*ROW('حجز الإجازات'!$B$5:$B$104))=0,"",INDEX('حجز الإجازات'!$C$5:$C$104,(SUMPRODUCT(('حجز الإجازات'!$B$5:$B$104='الموظفون'!$B$6)*('حجز الإجازات'!$D$5:$D$104&lt;=HP$3)*(('حجز الإجازات'!$E$5:$E$104)&gt;=HP$3)*('حجز الإجازات'!$G$5:$G$104="معتمد")*ROW('حجز الإجازات'!$B$5:$B$104)))-5+1))</f>
        <v/>
      </c>
      <c r="HQ8" s="62">
        <f>IF(SUMPRODUCT(('حجز الإجازات'!$B$5:$B$104='الموظفون'!$B$6)*('حجز الإجازات'!$D$5:$D$104&lt;=HQ$3)*(('حجز الإجازات'!$E$5:$E$104)&gt;=HQ$3)*('حجز الإجازات'!$G$5:$G$104="معتمد")*ROW('حجز الإجازات'!$B$5:$B$104))=0,"",INDEX('حجز الإجازات'!$C$5:$C$104,(SUMPRODUCT(('حجز الإجازات'!$B$5:$B$104='الموظفون'!$B$6)*('حجز الإجازات'!$D$5:$D$104&lt;=HQ$3)*(('حجز الإجازات'!$E$5:$E$104)&gt;=HQ$3)*('حجز الإجازات'!$G$5:$G$104="معتمد")*ROW('حجز الإجازات'!$B$5:$B$104)))-5+1))</f>
        <v/>
      </c>
      <c r="HR8" s="62">
        <f>IF(SUMPRODUCT(('حجز الإجازات'!$B$5:$B$104='الموظفون'!$B$6)*('حجز الإجازات'!$D$5:$D$104&lt;=HR$3)*(('حجز الإجازات'!$E$5:$E$104)&gt;=HR$3)*('حجز الإجازات'!$G$5:$G$104="معتمد")*ROW('حجز الإجازات'!$B$5:$B$104))=0,"",INDEX('حجز الإجازات'!$C$5:$C$104,(SUMPRODUCT(('حجز الإجازات'!$B$5:$B$104='الموظفون'!$B$6)*('حجز الإجازات'!$D$5:$D$104&lt;=HR$3)*(('حجز الإجازات'!$E$5:$E$104)&gt;=HR$3)*('حجز الإجازات'!$G$5:$G$104="معتمد")*ROW('حجز الإجازات'!$B$5:$B$104)))-5+1))</f>
        <v/>
      </c>
      <c r="HS8" s="62">
        <f>IF(SUMPRODUCT(('حجز الإجازات'!$B$5:$B$104='الموظفون'!$B$6)*('حجز الإجازات'!$D$5:$D$104&lt;=HS$3)*(('حجز الإجازات'!$E$5:$E$104)&gt;=HS$3)*('حجز الإجازات'!$G$5:$G$104="معتمد")*ROW('حجز الإجازات'!$B$5:$B$104))=0,"",INDEX('حجز الإجازات'!$C$5:$C$104,(SUMPRODUCT(('حجز الإجازات'!$B$5:$B$104='الموظفون'!$B$6)*('حجز الإجازات'!$D$5:$D$104&lt;=HS$3)*(('حجز الإجازات'!$E$5:$E$104)&gt;=HS$3)*('حجز الإجازات'!$G$5:$G$104="معتمد")*ROW('حجز الإجازات'!$B$5:$B$104)))-5+1))</f>
        <v/>
      </c>
      <c r="HT8" s="62">
        <f>IF(SUMPRODUCT(('حجز الإجازات'!$B$5:$B$104='الموظفون'!$B$6)*('حجز الإجازات'!$D$5:$D$104&lt;=HT$3)*(('حجز الإجازات'!$E$5:$E$104)&gt;=HT$3)*('حجز الإجازات'!$G$5:$G$104="معتمد")*ROW('حجز الإجازات'!$B$5:$B$104))=0,"",INDEX('حجز الإجازات'!$C$5:$C$104,(SUMPRODUCT(('حجز الإجازات'!$B$5:$B$104='الموظفون'!$B$6)*('حجز الإجازات'!$D$5:$D$104&lt;=HT$3)*(('حجز الإجازات'!$E$5:$E$104)&gt;=HT$3)*('حجز الإجازات'!$G$5:$G$104="معتمد")*ROW('حجز الإجازات'!$B$5:$B$104)))-5+1))</f>
        <v/>
      </c>
      <c r="HU8" s="62">
        <f>IF(SUMPRODUCT(('حجز الإجازات'!$B$5:$B$104='الموظفون'!$B$6)*('حجز الإجازات'!$D$5:$D$104&lt;=HU$3)*(('حجز الإجازات'!$E$5:$E$104)&gt;=HU$3)*('حجز الإجازات'!$G$5:$G$104="معتمد")*ROW('حجز الإجازات'!$B$5:$B$104))=0,"",INDEX('حجز الإجازات'!$C$5:$C$104,(SUMPRODUCT(('حجز الإجازات'!$B$5:$B$104='الموظفون'!$B$6)*('حجز الإجازات'!$D$5:$D$104&lt;=HU$3)*(('حجز الإجازات'!$E$5:$E$104)&gt;=HU$3)*('حجز الإجازات'!$G$5:$G$104="معتمد")*ROW('حجز الإجازات'!$B$5:$B$104)))-5+1))</f>
        <v/>
      </c>
      <c r="HV8" s="62">
        <f>IF(SUMPRODUCT(('حجز الإجازات'!$B$5:$B$104='الموظفون'!$B$6)*('حجز الإجازات'!$D$5:$D$104&lt;=HV$3)*(('حجز الإجازات'!$E$5:$E$104)&gt;=HV$3)*('حجز الإجازات'!$G$5:$G$104="معتمد")*ROW('حجز الإجازات'!$B$5:$B$104))=0,"",INDEX('حجز الإجازات'!$C$5:$C$104,(SUMPRODUCT(('حجز الإجازات'!$B$5:$B$104='الموظفون'!$B$6)*('حجز الإجازات'!$D$5:$D$104&lt;=HV$3)*(('حجز الإجازات'!$E$5:$E$104)&gt;=HV$3)*('حجز الإجازات'!$G$5:$G$104="معتمد")*ROW('حجز الإجازات'!$B$5:$B$104)))-5+1))</f>
        <v/>
      </c>
      <c r="HW8" s="62">
        <f>IF(SUMPRODUCT(('حجز الإجازات'!$B$5:$B$104='الموظفون'!$B$6)*('حجز الإجازات'!$D$5:$D$104&lt;=HW$3)*(('حجز الإجازات'!$E$5:$E$104)&gt;=HW$3)*('حجز الإجازات'!$G$5:$G$104="معتمد")*ROW('حجز الإجازات'!$B$5:$B$104))=0,"",INDEX('حجز الإجازات'!$C$5:$C$104,(SUMPRODUCT(('حجز الإجازات'!$B$5:$B$104='الموظفون'!$B$6)*('حجز الإجازات'!$D$5:$D$104&lt;=HW$3)*(('حجز الإجازات'!$E$5:$E$104)&gt;=HW$3)*('حجز الإجازات'!$G$5:$G$104="معتمد")*ROW('حجز الإجازات'!$B$5:$B$104)))-5+1))</f>
        <v/>
      </c>
      <c r="HX8" s="62">
        <f>IF(SUMPRODUCT(('حجز الإجازات'!$B$5:$B$104='الموظفون'!$B$6)*('حجز الإجازات'!$D$5:$D$104&lt;=HX$3)*(('حجز الإجازات'!$E$5:$E$104)&gt;=HX$3)*('حجز الإجازات'!$G$5:$G$104="معتمد")*ROW('حجز الإجازات'!$B$5:$B$104))=0,"",INDEX('حجز الإجازات'!$C$5:$C$104,(SUMPRODUCT(('حجز الإجازات'!$B$5:$B$104='الموظفون'!$B$6)*('حجز الإجازات'!$D$5:$D$104&lt;=HX$3)*(('حجز الإجازات'!$E$5:$E$104)&gt;=HX$3)*('حجز الإجازات'!$G$5:$G$104="معتمد")*ROW('حجز الإجازات'!$B$5:$B$104)))-5+1))</f>
        <v/>
      </c>
      <c r="HY8" s="62">
        <f>IF(SUMPRODUCT(('حجز الإجازات'!$B$5:$B$104='الموظفون'!$B$6)*('حجز الإجازات'!$D$5:$D$104&lt;=HY$3)*(('حجز الإجازات'!$E$5:$E$104)&gt;=HY$3)*('حجز الإجازات'!$G$5:$G$104="معتمد")*ROW('حجز الإجازات'!$B$5:$B$104))=0,"",INDEX('حجز الإجازات'!$C$5:$C$104,(SUMPRODUCT(('حجز الإجازات'!$B$5:$B$104='الموظفون'!$B$6)*('حجز الإجازات'!$D$5:$D$104&lt;=HY$3)*(('حجز الإجازات'!$E$5:$E$104)&gt;=HY$3)*('حجز الإجازات'!$G$5:$G$104="معتمد")*ROW('حجز الإجازات'!$B$5:$B$104)))-5+1))</f>
        <v/>
      </c>
      <c r="HZ8" s="62">
        <f>IF(SUMPRODUCT(('حجز الإجازات'!$B$5:$B$104='الموظفون'!$B$6)*('حجز الإجازات'!$D$5:$D$104&lt;=HZ$3)*(('حجز الإجازات'!$E$5:$E$104)&gt;=HZ$3)*('حجز الإجازات'!$G$5:$G$104="معتمد")*ROW('حجز الإجازات'!$B$5:$B$104))=0,"",INDEX('حجز الإجازات'!$C$5:$C$104,(SUMPRODUCT(('حجز الإجازات'!$B$5:$B$104='الموظفون'!$B$6)*('حجز الإجازات'!$D$5:$D$104&lt;=HZ$3)*(('حجز الإجازات'!$E$5:$E$104)&gt;=HZ$3)*('حجز الإجازات'!$G$5:$G$104="معتمد")*ROW('حجز الإجازات'!$B$5:$B$104)))-5+1))</f>
        <v/>
      </c>
      <c r="IA8" s="62">
        <f>IF(SUMPRODUCT(('حجز الإجازات'!$B$5:$B$104='الموظفون'!$B$6)*('حجز الإجازات'!$D$5:$D$104&lt;=IA$3)*(('حجز الإجازات'!$E$5:$E$104)&gt;=IA$3)*('حجز الإجازات'!$G$5:$G$104="معتمد")*ROW('حجز الإجازات'!$B$5:$B$104))=0,"",INDEX('حجز الإجازات'!$C$5:$C$104,(SUMPRODUCT(('حجز الإجازات'!$B$5:$B$104='الموظفون'!$B$6)*('حجز الإجازات'!$D$5:$D$104&lt;=IA$3)*(('حجز الإجازات'!$E$5:$E$104)&gt;=IA$3)*('حجز الإجازات'!$G$5:$G$104="معتمد")*ROW('حجز الإجازات'!$B$5:$B$104)))-5+1))</f>
        <v/>
      </c>
      <c r="IB8" s="62">
        <f>IF(SUMPRODUCT(('حجز الإجازات'!$B$5:$B$104='الموظفون'!$B$6)*('حجز الإجازات'!$D$5:$D$104&lt;=IB$3)*(('حجز الإجازات'!$E$5:$E$104)&gt;=IB$3)*('حجز الإجازات'!$G$5:$G$104="معتمد")*ROW('حجز الإجازات'!$B$5:$B$104))=0,"",INDEX('حجز الإجازات'!$C$5:$C$104,(SUMPRODUCT(('حجز الإجازات'!$B$5:$B$104='الموظفون'!$B$6)*('حجز الإجازات'!$D$5:$D$104&lt;=IB$3)*(('حجز الإجازات'!$E$5:$E$104)&gt;=IB$3)*('حجز الإجازات'!$G$5:$G$104="معتمد")*ROW('حجز الإجازات'!$B$5:$B$104)))-5+1))</f>
        <v/>
      </c>
      <c r="IC8" s="62">
        <f>IF(SUMPRODUCT(('حجز الإجازات'!$B$5:$B$104='الموظفون'!$B$6)*('حجز الإجازات'!$D$5:$D$104&lt;=IC$3)*(('حجز الإجازات'!$E$5:$E$104)&gt;=IC$3)*('حجز الإجازات'!$G$5:$G$104="معتمد")*ROW('حجز الإجازات'!$B$5:$B$104))=0,"",INDEX('حجز الإجازات'!$C$5:$C$104,(SUMPRODUCT(('حجز الإجازات'!$B$5:$B$104='الموظفون'!$B$6)*('حجز الإجازات'!$D$5:$D$104&lt;=IC$3)*(('حجز الإجازات'!$E$5:$E$104)&gt;=IC$3)*('حجز الإجازات'!$G$5:$G$104="معتمد")*ROW('حجز الإجازات'!$B$5:$B$104)))-5+1))</f>
        <v/>
      </c>
      <c r="ID8" s="62">
        <f>IF(SUMPRODUCT(('حجز الإجازات'!$B$5:$B$104='الموظفون'!$B$6)*('حجز الإجازات'!$D$5:$D$104&lt;=ID$3)*(('حجز الإجازات'!$E$5:$E$104)&gt;=ID$3)*('حجز الإجازات'!$G$5:$G$104="معتمد")*ROW('حجز الإجازات'!$B$5:$B$104))=0,"",INDEX('حجز الإجازات'!$C$5:$C$104,(SUMPRODUCT(('حجز الإجازات'!$B$5:$B$104='الموظفون'!$B$6)*('حجز الإجازات'!$D$5:$D$104&lt;=ID$3)*(('حجز الإجازات'!$E$5:$E$104)&gt;=ID$3)*('حجز الإجازات'!$G$5:$G$104="معتمد")*ROW('حجز الإجازات'!$B$5:$B$104)))-5+1))</f>
        <v/>
      </c>
      <c r="IE8" s="62">
        <f>IF(SUMPRODUCT(('حجز الإجازات'!$B$5:$B$104='الموظفون'!$B$6)*('حجز الإجازات'!$D$5:$D$104&lt;=IE$3)*(('حجز الإجازات'!$E$5:$E$104)&gt;=IE$3)*('حجز الإجازات'!$G$5:$G$104="معتمد")*ROW('حجز الإجازات'!$B$5:$B$104))=0,"",INDEX('حجز الإجازات'!$C$5:$C$104,(SUMPRODUCT(('حجز الإجازات'!$B$5:$B$104='الموظفون'!$B$6)*('حجز الإجازات'!$D$5:$D$104&lt;=IE$3)*(('حجز الإجازات'!$E$5:$E$104)&gt;=IE$3)*('حجز الإجازات'!$G$5:$G$104="معتمد")*ROW('حجز الإجازات'!$B$5:$B$104)))-5+1))</f>
        <v/>
      </c>
      <c r="IF8" s="62">
        <f>IF(SUMPRODUCT(('حجز الإجازات'!$B$5:$B$104='الموظفون'!$B$6)*('حجز الإجازات'!$D$5:$D$104&lt;=IF$3)*(('حجز الإجازات'!$E$5:$E$104)&gt;=IF$3)*('حجز الإجازات'!$G$5:$G$104="معتمد")*ROW('حجز الإجازات'!$B$5:$B$104))=0,"",INDEX('حجز الإجازات'!$C$5:$C$104,(SUMPRODUCT(('حجز الإجازات'!$B$5:$B$104='الموظفون'!$B$6)*('حجز الإجازات'!$D$5:$D$104&lt;=IF$3)*(('حجز الإجازات'!$E$5:$E$104)&gt;=IF$3)*('حجز الإجازات'!$G$5:$G$104="معتمد")*ROW('حجز الإجازات'!$B$5:$B$104)))-5+1))</f>
        <v/>
      </c>
      <c r="IG8" s="62">
        <f>IF(SUMPRODUCT(('حجز الإجازات'!$B$5:$B$104='الموظفون'!$B$6)*('حجز الإجازات'!$D$5:$D$104&lt;=IG$3)*(('حجز الإجازات'!$E$5:$E$104)&gt;=IG$3)*('حجز الإجازات'!$G$5:$G$104="معتمد")*ROW('حجز الإجازات'!$B$5:$B$104))=0,"",INDEX('حجز الإجازات'!$C$5:$C$104,(SUMPRODUCT(('حجز الإجازات'!$B$5:$B$104='الموظفون'!$B$6)*('حجز الإجازات'!$D$5:$D$104&lt;=IG$3)*(('حجز الإجازات'!$E$5:$E$104)&gt;=IG$3)*('حجز الإجازات'!$G$5:$G$104="معتمد")*ROW('حجز الإجازات'!$B$5:$B$104)))-5+1))</f>
        <v/>
      </c>
      <c r="IH8" s="62">
        <f>IF(SUMPRODUCT(('حجز الإجازات'!$B$5:$B$104='الموظفون'!$B$6)*('حجز الإجازات'!$D$5:$D$104&lt;=IH$3)*(('حجز الإجازات'!$E$5:$E$104)&gt;=IH$3)*('حجز الإجازات'!$G$5:$G$104="معتمد")*ROW('حجز الإجازات'!$B$5:$B$104))=0,"",INDEX('حجز الإجازات'!$C$5:$C$104,(SUMPRODUCT(('حجز الإجازات'!$B$5:$B$104='الموظفون'!$B$6)*('حجز الإجازات'!$D$5:$D$104&lt;=IH$3)*(('حجز الإجازات'!$E$5:$E$104)&gt;=IH$3)*('حجز الإجازات'!$G$5:$G$104="معتمد")*ROW('حجز الإجازات'!$B$5:$B$104)))-5+1))</f>
        <v/>
      </c>
      <c r="II8" s="62">
        <f>IF(SUMPRODUCT(('حجز الإجازات'!$B$5:$B$104='الموظفون'!$B$6)*('حجز الإجازات'!$D$5:$D$104&lt;=II$3)*(('حجز الإجازات'!$E$5:$E$104)&gt;=II$3)*('حجز الإجازات'!$G$5:$G$104="معتمد")*ROW('حجز الإجازات'!$B$5:$B$104))=0,"",INDEX('حجز الإجازات'!$C$5:$C$104,(SUMPRODUCT(('حجز الإجازات'!$B$5:$B$104='الموظفون'!$B$6)*('حجز الإجازات'!$D$5:$D$104&lt;=II$3)*(('حجز الإجازات'!$E$5:$E$104)&gt;=II$3)*('حجز الإجازات'!$G$5:$G$104="معتمد")*ROW('حجز الإجازات'!$B$5:$B$104)))-5+1))</f>
        <v/>
      </c>
      <c r="IJ8" s="62">
        <f>IF(SUMPRODUCT(('حجز الإجازات'!$B$5:$B$104='الموظفون'!$B$6)*('حجز الإجازات'!$D$5:$D$104&lt;=IJ$3)*(('حجز الإجازات'!$E$5:$E$104)&gt;=IJ$3)*('حجز الإجازات'!$G$5:$G$104="معتمد")*ROW('حجز الإجازات'!$B$5:$B$104))=0,"",INDEX('حجز الإجازات'!$C$5:$C$104,(SUMPRODUCT(('حجز الإجازات'!$B$5:$B$104='الموظفون'!$B$6)*('حجز الإجازات'!$D$5:$D$104&lt;=IJ$3)*(('حجز الإجازات'!$E$5:$E$104)&gt;=IJ$3)*('حجز الإجازات'!$G$5:$G$104="معتمد")*ROW('حجز الإجازات'!$B$5:$B$104)))-5+1))</f>
        <v/>
      </c>
      <c r="IK8" s="62">
        <f>IF(SUMPRODUCT(('حجز الإجازات'!$B$5:$B$104='الموظفون'!$B$6)*('حجز الإجازات'!$D$5:$D$104&lt;=IK$3)*(('حجز الإجازات'!$E$5:$E$104)&gt;=IK$3)*('حجز الإجازات'!$G$5:$G$104="معتمد")*ROW('حجز الإجازات'!$B$5:$B$104))=0,"",INDEX('حجز الإجازات'!$C$5:$C$104,(SUMPRODUCT(('حجز الإجازات'!$B$5:$B$104='الموظفون'!$B$6)*('حجز الإجازات'!$D$5:$D$104&lt;=IK$3)*(('حجز الإجازات'!$E$5:$E$104)&gt;=IK$3)*('حجز الإجازات'!$G$5:$G$104="معتمد")*ROW('حجز الإجازات'!$B$5:$B$104)))-5+1))</f>
        <v/>
      </c>
      <c r="IL8" s="62">
        <f>IF(SUMPRODUCT(('حجز الإجازات'!$B$5:$B$104='الموظفون'!$B$6)*('حجز الإجازات'!$D$5:$D$104&lt;=IL$3)*(('حجز الإجازات'!$E$5:$E$104)&gt;=IL$3)*('حجز الإجازات'!$G$5:$G$104="معتمد")*ROW('حجز الإجازات'!$B$5:$B$104))=0,"",INDEX('حجز الإجازات'!$C$5:$C$104,(SUMPRODUCT(('حجز الإجازات'!$B$5:$B$104='الموظفون'!$B$6)*('حجز الإجازات'!$D$5:$D$104&lt;=IL$3)*(('حجز الإجازات'!$E$5:$E$104)&gt;=IL$3)*('حجز الإجازات'!$G$5:$G$104="معتمد")*ROW('حجز الإجازات'!$B$5:$B$104)))-5+1))</f>
        <v/>
      </c>
      <c r="IM8" s="62">
        <f>IF(SUMPRODUCT(('حجز الإجازات'!$B$5:$B$104='الموظفون'!$B$6)*('حجز الإجازات'!$D$5:$D$104&lt;=IM$3)*(('حجز الإجازات'!$E$5:$E$104)&gt;=IM$3)*('حجز الإجازات'!$G$5:$G$104="معتمد")*ROW('حجز الإجازات'!$B$5:$B$104))=0,"",INDEX('حجز الإجازات'!$C$5:$C$104,(SUMPRODUCT(('حجز الإجازات'!$B$5:$B$104='الموظفون'!$B$6)*('حجز الإجازات'!$D$5:$D$104&lt;=IM$3)*(('حجز الإجازات'!$E$5:$E$104)&gt;=IM$3)*('حجز الإجازات'!$G$5:$G$104="معتمد")*ROW('حجز الإجازات'!$B$5:$B$104)))-5+1))</f>
        <v/>
      </c>
      <c r="IN8" s="62">
        <f>IF(SUMPRODUCT(('حجز الإجازات'!$B$5:$B$104='الموظفون'!$B$6)*('حجز الإجازات'!$D$5:$D$104&lt;=IN$3)*(('حجز الإجازات'!$E$5:$E$104)&gt;=IN$3)*('حجز الإجازات'!$G$5:$G$104="معتمد")*ROW('حجز الإجازات'!$B$5:$B$104))=0,"",INDEX('حجز الإجازات'!$C$5:$C$104,(SUMPRODUCT(('حجز الإجازات'!$B$5:$B$104='الموظفون'!$B$6)*('حجز الإجازات'!$D$5:$D$104&lt;=IN$3)*(('حجز الإجازات'!$E$5:$E$104)&gt;=IN$3)*('حجز الإجازات'!$G$5:$G$104="معتمد")*ROW('حجز الإجازات'!$B$5:$B$104)))-5+1))</f>
        <v/>
      </c>
      <c r="IO8" s="62">
        <f>IF(SUMPRODUCT(('حجز الإجازات'!$B$5:$B$104='الموظفون'!$B$6)*('حجز الإجازات'!$D$5:$D$104&lt;=IO$3)*(('حجز الإجازات'!$E$5:$E$104)&gt;=IO$3)*('حجز الإجازات'!$G$5:$G$104="معتمد")*ROW('حجز الإجازات'!$B$5:$B$104))=0,"",INDEX('حجز الإجازات'!$C$5:$C$104,(SUMPRODUCT(('حجز الإجازات'!$B$5:$B$104='الموظفون'!$B$6)*('حجز الإجازات'!$D$5:$D$104&lt;=IO$3)*(('حجز الإجازات'!$E$5:$E$104)&gt;=IO$3)*('حجز الإجازات'!$G$5:$G$104="معتمد")*ROW('حجز الإجازات'!$B$5:$B$104)))-5+1))</f>
        <v/>
      </c>
      <c r="IP8" s="62">
        <f>IF(SUMPRODUCT(('حجز الإجازات'!$B$5:$B$104='الموظفون'!$B$6)*('حجز الإجازات'!$D$5:$D$104&lt;=IP$3)*(('حجز الإجازات'!$E$5:$E$104)&gt;=IP$3)*('حجز الإجازات'!$G$5:$G$104="معتمد")*ROW('حجز الإجازات'!$B$5:$B$104))=0,"",INDEX('حجز الإجازات'!$C$5:$C$104,(SUMPRODUCT(('حجز الإجازات'!$B$5:$B$104='الموظفون'!$B$6)*('حجز الإجازات'!$D$5:$D$104&lt;=IP$3)*(('حجز الإجازات'!$E$5:$E$104)&gt;=IP$3)*('حجز الإجازات'!$G$5:$G$104="معتمد")*ROW('حجز الإجازات'!$B$5:$B$104)))-5+1))</f>
        <v/>
      </c>
      <c r="IQ8" s="62">
        <f>IF(SUMPRODUCT(('حجز الإجازات'!$B$5:$B$104='الموظفون'!$B$6)*('حجز الإجازات'!$D$5:$D$104&lt;=IQ$3)*(('حجز الإجازات'!$E$5:$E$104)&gt;=IQ$3)*('حجز الإجازات'!$G$5:$G$104="معتمد")*ROW('حجز الإجازات'!$B$5:$B$104))=0,"",INDEX('حجز الإجازات'!$C$5:$C$104,(SUMPRODUCT(('حجز الإجازات'!$B$5:$B$104='الموظفون'!$B$6)*('حجز الإجازات'!$D$5:$D$104&lt;=IQ$3)*(('حجز الإجازات'!$E$5:$E$104)&gt;=IQ$3)*('حجز الإجازات'!$G$5:$G$104="معتمد")*ROW('حجز الإجازات'!$B$5:$B$104)))-5+1))</f>
        <v/>
      </c>
      <c r="IR8" s="62">
        <f>IF(SUMPRODUCT(('حجز الإجازات'!$B$5:$B$104='الموظفون'!$B$6)*('حجز الإجازات'!$D$5:$D$104&lt;=IR$3)*(('حجز الإجازات'!$E$5:$E$104)&gt;=IR$3)*('حجز الإجازات'!$G$5:$G$104="معتمد")*ROW('حجز الإجازات'!$B$5:$B$104))=0,"",INDEX('حجز الإجازات'!$C$5:$C$104,(SUMPRODUCT(('حجز الإجازات'!$B$5:$B$104='الموظفون'!$B$6)*('حجز الإجازات'!$D$5:$D$104&lt;=IR$3)*(('حجز الإجازات'!$E$5:$E$104)&gt;=IR$3)*('حجز الإجازات'!$G$5:$G$104="معتمد")*ROW('حجز الإجازات'!$B$5:$B$104)))-5+1))</f>
        <v/>
      </c>
      <c r="IS8" s="62">
        <f>IF(SUMPRODUCT(('حجز الإجازات'!$B$5:$B$104='الموظفون'!$B$6)*('حجز الإجازات'!$D$5:$D$104&lt;=IS$3)*(('حجز الإجازات'!$E$5:$E$104)&gt;=IS$3)*('حجز الإجازات'!$G$5:$G$104="معتمد")*ROW('حجز الإجازات'!$B$5:$B$104))=0,"",INDEX('حجز الإجازات'!$C$5:$C$104,(SUMPRODUCT(('حجز الإجازات'!$B$5:$B$104='الموظفون'!$B$6)*('حجز الإجازات'!$D$5:$D$104&lt;=IS$3)*(('حجز الإجازات'!$E$5:$E$104)&gt;=IS$3)*('حجز الإجازات'!$G$5:$G$104="معتمد")*ROW('حجز الإجازات'!$B$5:$B$104)))-5+1))</f>
        <v/>
      </c>
      <c r="IT8" s="62">
        <f>IF(SUMPRODUCT(('حجز الإجازات'!$B$5:$B$104='الموظفون'!$B$6)*('حجز الإجازات'!$D$5:$D$104&lt;=IT$3)*(('حجز الإجازات'!$E$5:$E$104)&gt;=IT$3)*('حجز الإجازات'!$G$5:$G$104="معتمد")*ROW('حجز الإجازات'!$B$5:$B$104))=0,"",INDEX('حجز الإجازات'!$C$5:$C$104,(SUMPRODUCT(('حجز الإجازات'!$B$5:$B$104='الموظفون'!$B$6)*('حجز الإجازات'!$D$5:$D$104&lt;=IT$3)*(('حجز الإجازات'!$E$5:$E$104)&gt;=IT$3)*('حجز الإجازات'!$G$5:$G$104="معتمد")*ROW('حجز الإجازات'!$B$5:$B$104)))-5+1))</f>
        <v/>
      </c>
      <c r="IU8" s="62">
        <f>IF(SUMPRODUCT(('حجز الإجازات'!$B$5:$B$104='الموظفون'!$B$6)*('حجز الإجازات'!$D$5:$D$104&lt;=IU$3)*(('حجز الإجازات'!$E$5:$E$104)&gt;=IU$3)*('حجز الإجازات'!$G$5:$G$104="معتمد")*ROW('حجز الإجازات'!$B$5:$B$104))=0,"",INDEX('حجز الإجازات'!$C$5:$C$104,(SUMPRODUCT(('حجز الإجازات'!$B$5:$B$104='الموظفون'!$B$6)*('حجز الإجازات'!$D$5:$D$104&lt;=IU$3)*(('حجز الإجازات'!$E$5:$E$104)&gt;=IU$3)*('حجز الإجازات'!$G$5:$G$104="معتمد")*ROW('حجز الإجازات'!$B$5:$B$104)))-5+1))</f>
        <v/>
      </c>
      <c r="IV8" s="62">
        <f>IF(SUMPRODUCT(('حجز الإجازات'!$B$5:$B$104='الموظفون'!$B$6)*('حجز الإجازات'!$D$5:$D$104&lt;=IV$3)*(('حجز الإجازات'!$E$5:$E$104)&gt;=IV$3)*('حجز الإجازات'!$G$5:$G$104="معتمد")*ROW('حجز الإجازات'!$B$5:$B$104))=0,"",INDEX('حجز الإجازات'!$C$5:$C$104,(SUMPRODUCT(('حجز الإجازات'!$B$5:$B$104='الموظفون'!$B$6)*('حجز الإجازات'!$D$5:$D$104&lt;=IV$3)*(('حجز الإجازات'!$E$5:$E$104)&gt;=IV$3)*('حجز الإجازات'!$G$5:$G$104="معتمد")*ROW('حجز الإجازات'!$B$5:$B$104)))-5+1))</f>
        <v/>
      </c>
      <c r="IW8" s="62">
        <f>IF(SUMPRODUCT(('حجز الإجازات'!$B$5:$B$104='الموظفون'!$B$6)*('حجز الإجازات'!$D$5:$D$104&lt;=IW$3)*(('حجز الإجازات'!$E$5:$E$104)&gt;=IW$3)*('حجز الإجازات'!$G$5:$G$104="معتمد")*ROW('حجز الإجازات'!$B$5:$B$104))=0,"",INDEX('حجز الإجازات'!$C$5:$C$104,(SUMPRODUCT(('حجز الإجازات'!$B$5:$B$104='الموظفون'!$B$6)*('حجز الإجازات'!$D$5:$D$104&lt;=IW$3)*(('حجز الإجازات'!$E$5:$E$104)&gt;=IW$3)*('حجز الإجازات'!$G$5:$G$104="معتمد")*ROW('حجز الإجازات'!$B$5:$B$104)))-5+1))</f>
        <v/>
      </c>
      <c r="IX8" s="62">
        <f>IF(SUMPRODUCT(('حجز الإجازات'!$B$5:$B$104='الموظفون'!$B$6)*('حجز الإجازات'!$D$5:$D$104&lt;=IX$3)*(('حجز الإجازات'!$E$5:$E$104)&gt;=IX$3)*('حجز الإجازات'!$G$5:$G$104="معتمد")*ROW('حجز الإجازات'!$B$5:$B$104))=0,"",INDEX('حجز الإجازات'!$C$5:$C$104,(SUMPRODUCT(('حجز الإجازات'!$B$5:$B$104='الموظفون'!$B$6)*('حجز الإجازات'!$D$5:$D$104&lt;=IX$3)*(('حجز الإجازات'!$E$5:$E$104)&gt;=IX$3)*('حجز الإجازات'!$G$5:$G$104="معتمد")*ROW('حجز الإجازات'!$B$5:$B$104)))-5+1))</f>
        <v/>
      </c>
      <c r="IY8" s="62">
        <f>IF(SUMPRODUCT(('حجز الإجازات'!$B$5:$B$104='الموظفون'!$B$6)*('حجز الإجازات'!$D$5:$D$104&lt;=IY$3)*(('حجز الإجازات'!$E$5:$E$104)&gt;=IY$3)*('حجز الإجازات'!$G$5:$G$104="معتمد")*ROW('حجز الإجازات'!$B$5:$B$104))=0,"",INDEX('حجز الإجازات'!$C$5:$C$104,(SUMPRODUCT(('حجز الإجازات'!$B$5:$B$104='الموظفون'!$B$6)*('حجز الإجازات'!$D$5:$D$104&lt;=IY$3)*(('حجز الإجازات'!$E$5:$E$104)&gt;=IY$3)*('حجز الإجازات'!$G$5:$G$104="معتمد")*ROW('حجز الإجازات'!$B$5:$B$104)))-5+1))</f>
        <v/>
      </c>
      <c r="IZ8" s="62">
        <f>IF(SUMPRODUCT(('حجز الإجازات'!$B$5:$B$104='الموظفون'!$B$6)*('حجز الإجازات'!$D$5:$D$104&lt;=IZ$3)*(('حجز الإجازات'!$E$5:$E$104)&gt;=IZ$3)*('حجز الإجازات'!$G$5:$G$104="معتمد")*ROW('حجز الإجازات'!$B$5:$B$104))=0,"",INDEX('حجز الإجازات'!$C$5:$C$104,(SUMPRODUCT(('حجز الإجازات'!$B$5:$B$104='الموظفون'!$B$6)*('حجز الإجازات'!$D$5:$D$104&lt;=IZ$3)*(('حجز الإجازات'!$E$5:$E$104)&gt;=IZ$3)*('حجز الإجازات'!$G$5:$G$104="معتمد")*ROW('حجز الإجازات'!$B$5:$B$104)))-5+1))</f>
        <v/>
      </c>
      <c r="JA8" s="62">
        <f>IF(SUMPRODUCT(('حجز الإجازات'!$B$5:$B$104='الموظفون'!$B$6)*('حجز الإجازات'!$D$5:$D$104&lt;=JA$3)*(('حجز الإجازات'!$E$5:$E$104)&gt;=JA$3)*('حجز الإجازات'!$G$5:$G$104="معتمد")*ROW('حجز الإجازات'!$B$5:$B$104))=0,"",INDEX('حجز الإجازات'!$C$5:$C$104,(SUMPRODUCT(('حجز الإجازات'!$B$5:$B$104='الموظفون'!$B$6)*('حجز الإجازات'!$D$5:$D$104&lt;=JA$3)*(('حجز الإجازات'!$E$5:$E$104)&gt;=JA$3)*('حجز الإجازات'!$G$5:$G$104="معتمد")*ROW('حجز الإجازات'!$B$5:$B$104)))-5+1))</f>
        <v/>
      </c>
      <c r="JB8" s="62">
        <f>IF(SUMPRODUCT(('حجز الإجازات'!$B$5:$B$104='الموظفون'!$B$6)*('حجز الإجازات'!$D$5:$D$104&lt;=JB$3)*(('حجز الإجازات'!$E$5:$E$104)&gt;=JB$3)*('حجز الإجازات'!$G$5:$G$104="معتمد")*ROW('حجز الإجازات'!$B$5:$B$104))=0,"",INDEX('حجز الإجازات'!$C$5:$C$104,(SUMPRODUCT(('حجز الإجازات'!$B$5:$B$104='الموظفون'!$B$6)*('حجز الإجازات'!$D$5:$D$104&lt;=JB$3)*(('حجز الإجازات'!$E$5:$E$104)&gt;=JB$3)*('حجز الإجازات'!$G$5:$G$104="معتمد")*ROW('حجز الإجازات'!$B$5:$B$104)))-5+1))</f>
        <v/>
      </c>
      <c r="JC8" s="62">
        <f>IF(SUMPRODUCT(('حجز الإجازات'!$B$5:$B$104='الموظفون'!$B$6)*('حجز الإجازات'!$D$5:$D$104&lt;=JC$3)*(('حجز الإجازات'!$E$5:$E$104)&gt;=JC$3)*('حجز الإجازات'!$G$5:$G$104="معتمد")*ROW('حجز الإجازات'!$B$5:$B$104))=0,"",INDEX('حجز الإجازات'!$C$5:$C$104,(SUMPRODUCT(('حجز الإجازات'!$B$5:$B$104='الموظفون'!$B$6)*('حجز الإجازات'!$D$5:$D$104&lt;=JC$3)*(('حجز الإجازات'!$E$5:$E$104)&gt;=JC$3)*('حجز الإجازات'!$G$5:$G$104="معتمد")*ROW('حجز الإجازات'!$B$5:$B$104)))-5+1))</f>
        <v/>
      </c>
      <c r="JD8" s="62">
        <f>IF(SUMPRODUCT(('حجز الإجازات'!$B$5:$B$104='الموظفون'!$B$6)*('حجز الإجازات'!$D$5:$D$104&lt;=JD$3)*(('حجز الإجازات'!$E$5:$E$104)&gt;=JD$3)*('حجز الإجازات'!$G$5:$G$104="معتمد")*ROW('حجز الإجازات'!$B$5:$B$104))=0,"",INDEX('حجز الإجازات'!$C$5:$C$104,(SUMPRODUCT(('حجز الإجازات'!$B$5:$B$104='الموظفون'!$B$6)*('حجز الإجازات'!$D$5:$D$104&lt;=JD$3)*(('حجز الإجازات'!$E$5:$E$104)&gt;=JD$3)*('حجز الإجازات'!$G$5:$G$104="معتمد")*ROW('حجز الإجازات'!$B$5:$B$104)))-5+1))</f>
        <v/>
      </c>
      <c r="JE8" s="62">
        <f>IF(SUMPRODUCT(('حجز الإجازات'!$B$5:$B$104='الموظفون'!$B$6)*('حجز الإجازات'!$D$5:$D$104&lt;=JE$3)*(('حجز الإجازات'!$E$5:$E$104)&gt;=JE$3)*('حجز الإجازات'!$G$5:$G$104="معتمد")*ROW('حجز الإجازات'!$B$5:$B$104))=0,"",INDEX('حجز الإجازات'!$C$5:$C$104,(SUMPRODUCT(('حجز الإجازات'!$B$5:$B$104='الموظفون'!$B$6)*('حجز الإجازات'!$D$5:$D$104&lt;=JE$3)*(('حجز الإجازات'!$E$5:$E$104)&gt;=JE$3)*('حجز الإجازات'!$G$5:$G$104="معتمد")*ROW('حجز الإجازات'!$B$5:$B$104)))-5+1))</f>
        <v/>
      </c>
      <c r="JF8" s="62">
        <f>IF(SUMPRODUCT(('حجز الإجازات'!$B$5:$B$104='الموظفون'!$B$6)*('حجز الإجازات'!$D$5:$D$104&lt;=JF$3)*(('حجز الإجازات'!$E$5:$E$104)&gt;=JF$3)*('حجز الإجازات'!$G$5:$G$104="معتمد")*ROW('حجز الإجازات'!$B$5:$B$104))=0,"",INDEX('حجز الإجازات'!$C$5:$C$104,(SUMPRODUCT(('حجز الإجازات'!$B$5:$B$104='الموظفون'!$B$6)*('حجز الإجازات'!$D$5:$D$104&lt;=JF$3)*(('حجز الإجازات'!$E$5:$E$104)&gt;=JF$3)*('حجز الإجازات'!$G$5:$G$104="معتمد")*ROW('حجز الإجازات'!$B$5:$B$104)))-5+1))</f>
        <v/>
      </c>
      <c r="JG8" s="62">
        <f>IF(SUMPRODUCT(('حجز الإجازات'!$B$5:$B$104='الموظفون'!$B$6)*('حجز الإجازات'!$D$5:$D$104&lt;=JG$3)*(('حجز الإجازات'!$E$5:$E$104)&gt;=JG$3)*('حجز الإجازات'!$G$5:$G$104="معتمد")*ROW('حجز الإجازات'!$B$5:$B$104))=0,"",INDEX('حجز الإجازات'!$C$5:$C$104,(SUMPRODUCT(('حجز الإجازات'!$B$5:$B$104='الموظفون'!$B$6)*('حجز الإجازات'!$D$5:$D$104&lt;=JG$3)*(('حجز الإجازات'!$E$5:$E$104)&gt;=JG$3)*('حجز الإجازات'!$G$5:$G$104="معتمد")*ROW('حجز الإجازات'!$B$5:$B$104)))-5+1))</f>
        <v/>
      </c>
      <c r="JH8" s="62">
        <f>IF(SUMPRODUCT(('حجز الإجازات'!$B$5:$B$104='الموظفون'!$B$6)*('حجز الإجازات'!$D$5:$D$104&lt;=JH$3)*(('حجز الإجازات'!$E$5:$E$104)&gt;=JH$3)*('حجز الإجازات'!$G$5:$G$104="معتمد")*ROW('حجز الإجازات'!$B$5:$B$104))=0,"",INDEX('حجز الإجازات'!$C$5:$C$104,(SUMPRODUCT(('حجز الإجازات'!$B$5:$B$104='الموظفون'!$B$6)*('حجز الإجازات'!$D$5:$D$104&lt;=JH$3)*(('حجز الإجازات'!$E$5:$E$104)&gt;=JH$3)*('حجز الإجازات'!$G$5:$G$104="معتمد")*ROW('حجز الإجازات'!$B$5:$B$104)))-5+1))</f>
        <v/>
      </c>
      <c r="JI8" s="62">
        <f>IF(SUMPRODUCT(('حجز الإجازات'!$B$5:$B$104='الموظفون'!$B$6)*('حجز الإجازات'!$D$5:$D$104&lt;=JI$3)*(('حجز الإجازات'!$E$5:$E$104)&gt;=JI$3)*('حجز الإجازات'!$G$5:$G$104="معتمد")*ROW('حجز الإجازات'!$B$5:$B$104))=0,"",INDEX('حجز الإجازات'!$C$5:$C$104,(SUMPRODUCT(('حجز الإجازات'!$B$5:$B$104='الموظفون'!$B$6)*('حجز الإجازات'!$D$5:$D$104&lt;=JI$3)*(('حجز الإجازات'!$E$5:$E$104)&gt;=JI$3)*('حجز الإجازات'!$G$5:$G$104="معتمد")*ROW('حجز الإجازات'!$B$5:$B$104)))-5+1))</f>
        <v/>
      </c>
      <c r="JJ8" s="62">
        <f>IF(SUMPRODUCT(('حجز الإجازات'!$B$5:$B$104='الموظفون'!$B$6)*('حجز الإجازات'!$D$5:$D$104&lt;=JJ$3)*(('حجز الإجازات'!$E$5:$E$104)&gt;=JJ$3)*('حجز الإجازات'!$G$5:$G$104="معتمد")*ROW('حجز الإجازات'!$B$5:$B$104))=0,"",INDEX('حجز الإجازات'!$C$5:$C$104,(SUMPRODUCT(('حجز الإجازات'!$B$5:$B$104='الموظفون'!$B$6)*('حجز الإجازات'!$D$5:$D$104&lt;=JJ$3)*(('حجز الإجازات'!$E$5:$E$104)&gt;=JJ$3)*('حجز الإجازات'!$G$5:$G$104="معتمد")*ROW('حجز الإجازات'!$B$5:$B$104)))-5+1))</f>
        <v/>
      </c>
      <c r="JK8" s="62">
        <f>IF(SUMPRODUCT(('حجز الإجازات'!$B$5:$B$104='الموظفون'!$B$6)*('حجز الإجازات'!$D$5:$D$104&lt;=JK$3)*(('حجز الإجازات'!$E$5:$E$104)&gt;=JK$3)*('حجز الإجازات'!$G$5:$G$104="معتمد")*ROW('حجز الإجازات'!$B$5:$B$104))=0,"",INDEX('حجز الإجازات'!$C$5:$C$104,(SUMPRODUCT(('حجز الإجازات'!$B$5:$B$104='الموظفون'!$B$6)*('حجز الإجازات'!$D$5:$D$104&lt;=JK$3)*(('حجز الإجازات'!$E$5:$E$104)&gt;=JK$3)*('حجز الإجازات'!$G$5:$G$104="معتمد")*ROW('حجز الإجازات'!$B$5:$B$104)))-5+1))</f>
        <v/>
      </c>
      <c r="JL8" s="62">
        <f>IF(SUMPRODUCT(('حجز الإجازات'!$B$5:$B$104='الموظفون'!$B$6)*('حجز الإجازات'!$D$5:$D$104&lt;=JL$3)*(('حجز الإجازات'!$E$5:$E$104)&gt;=JL$3)*('حجز الإجازات'!$G$5:$G$104="معتمد")*ROW('حجز الإجازات'!$B$5:$B$104))=0,"",INDEX('حجز الإجازات'!$C$5:$C$104,(SUMPRODUCT(('حجز الإجازات'!$B$5:$B$104='الموظفون'!$B$6)*('حجز الإجازات'!$D$5:$D$104&lt;=JL$3)*(('حجز الإجازات'!$E$5:$E$104)&gt;=JL$3)*('حجز الإجازات'!$G$5:$G$104="معتمد")*ROW('حجز الإجازات'!$B$5:$B$104)))-5+1))</f>
        <v/>
      </c>
      <c r="JM8" s="62">
        <f>IF(SUMPRODUCT(('حجز الإجازات'!$B$5:$B$104='الموظفون'!$B$6)*('حجز الإجازات'!$D$5:$D$104&lt;=JM$3)*(('حجز الإجازات'!$E$5:$E$104)&gt;=JM$3)*('حجز الإجازات'!$G$5:$G$104="معتمد")*ROW('حجز الإجازات'!$B$5:$B$104))=0,"",INDEX('حجز الإجازات'!$C$5:$C$104,(SUMPRODUCT(('حجز الإجازات'!$B$5:$B$104='الموظفون'!$B$6)*('حجز الإجازات'!$D$5:$D$104&lt;=JM$3)*(('حجز الإجازات'!$E$5:$E$104)&gt;=JM$3)*('حجز الإجازات'!$G$5:$G$104="معتمد")*ROW('حجز الإجازات'!$B$5:$B$104)))-5+1))</f>
        <v/>
      </c>
      <c r="JN8" s="62">
        <f>IF(SUMPRODUCT(('حجز الإجازات'!$B$5:$B$104='الموظفون'!$B$6)*('حجز الإجازات'!$D$5:$D$104&lt;=JN$3)*(('حجز الإجازات'!$E$5:$E$104)&gt;=JN$3)*('حجز الإجازات'!$G$5:$G$104="معتمد")*ROW('حجز الإجازات'!$B$5:$B$104))=0,"",INDEX('حجز الإجازات'!$C$5:$C$104,(SUMPRODUCT(('حجز الإجازات'!$B$5:$B$104='الموظفون'!$B$6)*('حجز الإجازات'!$D$5:$D$104&lt;=JN$3)*(('حجز الإجازات'!$E$5:$E$104)&gt;=JN$3)*('حجز الإجازات'!$G$5:$G$104="معتمد")*ROW('حجز الإجازات'!$B$5:$B$104)))-5+1))</f>
        <v/>
      </c>
      <c r="JO8" s="62">
        <f>IF(SUMPRODUCT(('حجز الإجازات'!$B$5:$B$104='الموظفون'!$B$6)*('حجز الإجازات'!$D$5:$D$104&lt;=JO$3)*(('حجز الإجازات'!$E$5:$E$104)&gt;=JO$3)*('حجز الإجازات'!$G$5:$G$104="معتمد")*ROW('حجز الإجازات'!$B$5:$B$104))=0,"",INDEX('حجز الإجازات'!$C$5:$C$104,(SUMPRODUCT(('حجز الإجازات'!$B$5:$B$104='الموظفون'!$B$6)*('حجز الإجازات'!$D$5:$D$104&lt;=JO$3)*(('حجز الإجازات'!$E$5:$E$104)&gt;=JO$3)*('حجز الإجازات'!$G$5:$G$104="معتمد")*ROW('حجز الإجازات'!$B$5:$B$104)))-5+1))</f>
        <v/>
      </c>
      <c r="JP8" s="62">
        <f>IF(SUMPRODUCT(('حجز الإجازات'!$B$5:$B$104='الموظفون'!$B$6)*('حجز الإجازات'!$D$5:$D$104&lt;=JP$3)*(('حجز الإجازات'!$E$5:$E$104)&gt;=JP$3)*('حجز الإجازات'!$G$5:$G$104="معتمد")*ROW('حجز الإجازات'!$B$5:$B$104))=0,"",INDEX('حجز الإجازات'!$C$5:$C$104,(SUMPRODUCT(('حجز الإجازات'!$B$5:$B$104='الموظفون'!$B$6)*('حجز الإجازات'!$D$5:$D$104&lt;=JP$3)*(('حجز الإجازات'!$E$5:$E$104)&gt;=JP$3)*('حجز الإجازات'!$G$5:$G$104="معتمد")*ROW('حجز الإجازات'!$B$5:$B$104)))-5+1))</f>
        <v/>
      </c>
      <c r="JQ8" s="62">
        <f>IF(SUMPRODUCT(('حجز الإجازات'!$B$5:$B$104='الموظفون'!$B$6)*('حجز الإجازات'!$D$5:$D$104&lt;=JQ$3)*(('حجز الإجازات'!$E$5:$E$104)&gt;=JQ$3)*('حجز الإجازات'!$G$5:$G$104="معتمد")*ROW('حجز الإجازات'!$B$5:$B$104))=0,"",INDEX('حجز الإجازات'!$C$5:$C$104,(SUMPRODUCT(('حجز الإجازات'!$B$5:$B$104='الموظفون'!$B$6)*('حجز الإجازات'!$D$5:$D$104&lt;=JQ$3)*(('حجز الإجازات'!$E$5:$E$104)&gt;=JQ$3)*('حجز الإجازات'!$G$5:$G$104="معتمد")*ROW('حجز الإجازات'!$B$5:$B$104)))-5+1))</f>
        <v/>
      </c>
      <c r="JR8" s="62">
        <f>IF(SUMPRODUCT(('حجز الإجازات'!$B$5:$B$104='الموظفون'!$B$6)*('حجز الإجازات'!$D$5:$D$104&lt;=JR$3)*(('حجز الإجازات'!$E$5:$E$104)&gt;=JR$3)*('حجز الإجازات'!$G$5:$G$104="معتمد")*ROW('حجز الإجازات'!$B$5:$B$104))=0,"",INDEX('حجز الإجازات'!$C$5:$C$104,(SUMPRODUCT(('حجز الإجازات'!$B$5:$B$104='الموظفون'!$B$6)*('حجز الإجازات'!$D$5:$D$104&lt;=JR$3)*(('حجز الإجازات'!$E$5:$E$104)&gt;=JR$3)*('حجز الإجازات'!$G$5:$G$104="معتمد")*ROW('حجز الإجازات'!$B$5:$B$104)))-5+1))</f>
        <v/>
      </c>
      <c r="JS8" s="62">
        <f>IF(SUMPRODUCT(('حجز الإجازات'!$B$5:$B$104='الموظفون'!$B$6)*('حجز الإجازات'!$D$5:$D$104&lt;=JS$3)*(('حجز الإجازات'!$E$5:$E$104)&gt;=JS$3)*('حجز الإجازات'!$G$5:$G$104="معتمد")*ROW('حجز الإجازات'!$B$5:$B$104))=0,"",INDEX('حجز الإجازات'!$C$5:$C$104,(SUMPRODUCT(('حجز الإجازات'!$B$5:$B$104='الموظفون'!$B$6)*('حجز الإجازات'!$D$5:$D$104&lt;=JS$3)*(('حجز الإجازات'!$E$5:$E$104)&gt;=JS$3)*('حجز الإجازات'!$G$5:$G$104="معتمد")*ROW('حجز الإجازات'!$B$5:$B$104)))-5+1))</f>
        <v/>
      </c>
      <c r="JT8" s="62">
        <f>IF(SUMPRODUCT(('حجز الإجازات'!$B$5:$B$104='الموظفون'!$B$6)*('حجز الإجازات'!$D$5:$D$104&lt;=JT$3)*(('حجز الإجازات'!$E$5:$E$104)&gt;=JT$3)*('حجز الإجازات'!$G$5:$G$104="معتمد")*ROW('حجز الإجازات'!$B$5:$B$104))=0,"",INDEX('حجز الإجازات'!$C$5:$C$104,(SUMPRODUCT(('حجز الإجازات'!$B$5:$B$104='الموظفون'!$B$6)*('حجز الإجازات'!$D$5:$D$104&lt;=JT$3)*(('حجز الإجازات'!$E$5:$E$104)&gt;=JT$3)*('حجز الإجازات'!$G$5:$G$104="معتمد")*ROW('حجز الإجازات'!$B$5:$B$104)))-5+1))</f>
        <v/>
      </c>
      <c r="JU8" s="62">
        <f>IF(SUMPRODUCT(('حجز الإجازات'!$B$5:$B$104='الموظفون'!$B$6)*('حجز الإجازات'!$D$5:$D$104&lt;=JU$3)*(('حجز الإجازات'!$E$5:$E$104)&gt;=JU$3)*('حجز الإجازات'!$G$5:$G$104="معتمد")*ROW('حجز الإجازات'!$B$5:$B$104))=0,"",INDEX('حجز الإجازات'!$C$5:$C$104,(SUMPRODUCT(('حجز الإجازات'!$B$5:$B$104='الموظفون'!$B$6)*('حجز الإجازات'!$D$5:$D$104&lt;=JU$3)*(('حجز الإجازات'!$E$5:$E$104)&gt;=JU$3)*('حجز الإجازات'!$G$5:$G$104="معتمد")*ROW('حجز الإجازات'!$B$5:$B$104)))-5+1))</f>
        <v/>
      </c>
      <c r="JV8" s="62">
        <f>IF(SUMPRODUCT(('حجز الإجازات'!$B$5:$B$104='الموظفون'!$B$6)*('حجز الإجازات'!$D$5:$D$104&lt;=JV$3)*(('حجز الإجازات'!$E$5:$E$104)&gt;=JV$3)*('حجز الإجازات'!$G$5:$G$104="معتمد")*ROW('حجز الإجازات'!$B$5:$B$104))=0,"",INDEX('حجز الإجازات'!$C$5:$C$104,(SUMPRODUCT(('حجز الإجازات'!$B$5:$B$104='الموظفون'!$B$6)*('حجز الإجازات'!$D$5:$D$104&lt;=JV$3)*(('حجز الإجازات'!$E$5:$E$104)&gt;=JV$3)*('حجز الإجازات'!$G$5:$G$104="معتمد")*ROW('حجز الإجازات'!$B$5:$B$104)))-5+1))</f>
        <v/>
      </c>
      <c r="JW8" s="62">
        <f>IF(SUMPRODUCT(('حجز الإجازات'!$B$5:$B$104='الموظفون'!$B$6)*('حجز الإجازات'!$D$5:$D$104&lt;=JW$3)*(('حجز الإجازات'!$E$5:$E$104)&gt;=JW$3)*('حجز الإجازات'!$G$5:$G$104="معتمد")*ROW('حجز الإجازات'!$B$5:$B$104))=0,"",INDEX('حجز الإجازات'!$C$5:$C$104,(SUMPRODUCT(('حجز الإجازات'!$B$5:$B$104='الموظفون'!$B$6)*('حجز الإجازات'!$D$5:$D$104&lt;=JW$3)*(('حجز الإجازات'!$E$5:$E$104)&gt;=JW$3)*('حجز الإجازات'!$G$5:$G$104="معتمد")*ROW('حجز الإجازات'!$B$5:$B$104)))-5+1))</f>
        <v/>
      </c>
      <c r="JX8" s="62">
        <f>IF(SUMPRODUCT(('حجز الإجازات'!$B$5:$B$104='الموظفون'!$B$6)*('حجز الإجازات'!$D$5:$D$104&lt;=JX$3)*(('حجز الإجازات'!$E$5:$E$104)&gt;=JX$3)*('حجز الإجازات'!$G$5:$G$104="معتمد")*ROW('حجز الإجازات'!$B$5:$B$104))=0,"",INDEX('حجز الإجازات'!$C$5:$C$104,(SUMPRODUCT(('حجز الإجازات'!$B$5:$B$104='الموظفون'!$B$6)*('حجز الإجازات'!$D$5:$D$104&lt;=JX$3)*(('حجز الإجازات'!$E$5:$E$104)&gt;=JX$3)*('حجز الإجازات'!$G$5:$G$104="معتمد")*ROW('حجز الإجازات'!$B$5:$B$104)))-5+1))</f>
        <v/>
      </c>
      <c r="JY8" s="62">
        <f>IF(SUMPRODUCT(('حجز الإجازات'!$B$5:$B$104='الموظفون'!$B$6)*('حجز الإجازات'!$D$5:$D$104&lt;=JY$3)*(('حجز الإجازات'!$E$5:$E$104)&gt;=JY$3)*('حجز الإجازات'!$G$5:$G$104="معتمد")*ROW('حجز الإجازات'!$B$5:$B$104))=0,"",INDEX('حجز الإجازات'!$C$5:$C$104,(SUMPRODUCT(('حجز الإجازات'!$B$5:$B$104='الموظفون'!$B$6)*('حجز الإجازات'!$D$5:$D$104&lt;=JY$3)*(('حجز الإجازات'!$E$5:$E$104)&gt;=JY$3)*('حجز الإجازات'!$G$5:$G$104="معتمد")*ROW('حجز الإجازات'!$B$5:$B$104)))-5+1))</f>
        <v/>
      </c>
      <c r="JZ8" s="62">
        <f>IF(SUMPRODUCT(('حجز الإجازات'!$B$5:$B$104='الموظفون'!$B$6)*('حجز الإجازات'!$D$5:$D$104&lt;=JZ$3)*(('حجز الإجازات'!$E$5:$E$104)&gt;=JZ$3)*('حجز الإجازات'!$G$5:$G$104="معتمد")*ROW('حجز الإجازات'!$B$5:$B$104))=0,"",INDEX('حجز الإجازات'!$C$5:$C$104,(SUMPRODUCT(('حجز الإجازات'!$B$5:$B$104='الموظفون'!$B$6)*('حجز الإجازات'!$D$5:$D$104&lt;=JZ$3)*(('حجز الإجازات'!$E$5:$E$104)&gt;=JZ$3)*('حجز الإجازات'!$G$5:$G$104="معتمد")*ROW('حجز الإجازات'!$B$5:$B$104)))-5+1))</f>
        <v/>
      </c>
      <c r="KA8" s="62">
        <f>IF(SUMPRODUCT(('حجز الإجازات'!$B$5:$B$104='الموظفون'!$B$6)*('حجز الإجازات'!$D$5:$D$104&lt;=KA$3)*(('حجز الإجازات'!$E$5:$E$104)&gt;=KA$3)*('حجز الإجازات'!$G$5:$G$104="معتمد")*ROW('حجز الإجازات'!$B$5:$B$104))=0,"",INDEX('حجز الإجازات'!$C$5:$C$104,(SUMPRODUCT(('حجز الإجازات'!$B$5:$B$104='الموظفون'!$B$6)*('حجز الإجازات'!$D$5:$D$104&lt;=KA$3)*(('حجز الإجازات'!$E$5:$E$104)&gt;=KA$3)*('حجز الإجازات'!$G$5:$G$104="معتمد")*ROW('حجز الإجازات'!$B$5:$B$104)))-5+1))</f>
        <v/>
      </c>
      <c r="KB8" s="62">
        <f>IF(SUMPRODUCT(('حجز الإجازات'!$B$5:$B$104='الموظفون'!$B$6)*('حجز الإجازات'!$D$5:$D$104&lt;=KB$3)*(('حجز الإجازات'!$E$5:$E$104)&gt;=KB$3)*('حجز الإجازات'!$G$5:$G$104="معتمد")*ROW('حجز الإجازات'!$B$5:$B$104))=0,"",INDEX('حجز الإجازات'!$C$5:$C$104,(SUMPRODUCT(('حجز الإجازات'!$B$5:$B$104='الموظفون'!$B$6)*('حجز الإجازات'!$D$5:$D$104&lt;=KB$3)*(('حجز الإجازات'!$E$5:$E$104)&gt;=KB$3)*('حجز الإجازات'!$G$5:$G$104="معتمد")*ROW('حجز الإجازات'!$B$5:$B$104)))-5+1))</f>
        <v/>
      </c>
      <c r="KC8" s="62">
        <f>IF(SUMPRODUCT(('حجز الإجازات'!$B$5:$B$104='الموظفون'!$B$6)*('حجز الإجازات'!$D$5:$D$104&lt;=KC$3)*(('حجز الإجازات'!$E$5:$E$104)&gt;=KC$3)*('حجز الإجازات'!$G$5:$G$104="معتمد")*ROW('حجز الإجازات'!$B$5:$B$104))=0,"",INDEX('حجز الإجازات'!$C$5:$C$104,(SUMPRODUCT(('حجز الإجازات'!$B$5:$B$104='الموظفون'!$B$6)*('حجز الإجازات'!$D$5:$D$104&lt;=KC$3)*(('حجز الإجازات'!$E$5:$E$104)&gt;=KC$3)*('حجز الإجازات'!$G$5:$G$104="معتمد")*ROW('حجز الإجازات'!$B$5:$B$104)))-5+1))</f>
        <v/>
      </c>
      <c r="KD8" s="62">
        <f>IF(SUMPRODUCT(('حجز الإجازات'!$B$5:$B$104='الموظفون'!$B$6)*('حجز الإجازات'!$D$5:$D$104&lt;=KD$3)*(('حجز الإجازات'!$E$5:$E$104)&gt;=KD$3)*('حجز الإجازات'!$G$5:$G$104="معتمد")*ROW('حجز الإجازات'!$B$5:$B$104))=0,"",INDEX('حجز الإجازات'!$C$5:$C$104,(SUMPRODUCT(('حجز الإجازات'!$B$5:$B$104='الموظفون'!$B$6)*('حجز الإجازات'!$D$5:$D$104&lt;=KD$3)*(('حجز الإجازات'!$E$5:$E$104)&gt;=KD$3)*('حجز الإجازات'!$G$5:$G$104="معتمد")*ROW('حجز الإجازات'!$B$5:$B$104)))-5+1))</f>
        <v/>
      </c>
      <c r="KE8" s="62">
        <f>IF(SUMPRODUCT(('حجز الإجازات'!$B$5:$B$104='الموظفون'!$B$6)*('حجز الإجازات'!$D$5:$D$104&lt;=KE$3)*(('حجز الإجازات'!$E$5:$E$104)&gt;=KE$3)*('حجز الإجازات'!$G$5:$G$104="معتمد")*ROW('حجز الإجازات'!$B$5:$B$104))=0,"",INDEX('حجز الإجازات'!$C$5:$C$104,(SUMPRODUCT(('حجز الإجازات'!$B$5:$B$104='الموظفون'!$B$6)*('حجز الإجازات'!$D$5:$D$104&lt;=KE$3)*(('حجز الإجازات'!$E$5:$E$104)&gt;=KE$3)*('حجز الإجازات'!$G$5:$G$104="معتمد")*ROW('حجز الإجازات'!$B$5:$B$104)))-5+1))</f>
        <v/>
      </c>
      <c r="KF8" s="62">
        <f>IF(SUMPRODUCT(('حجز الإجازات'!$B$5:$B$104='الموظفون'!$B$6)*('حجز الإجازات'!$D$5:$D$104&lt;=KF$3)*(('حجز الإجازات'!$E$5:$E$104)&gt;=KF$3)*('حجز الإجازات'!$G$5:$G$104="معتمد")*ROW('حجز الإجازات'!$B$5:$B$104))=0,"",INDEX('حجز الإجازات'!$C$5:$C$104,(SUMPRODUCT(('حجز الإجازات'!$B$5:$B$104='الموظفون'!$B$6)*('حجز الإجازات'!$D$5:$D$104&lt;=KF$3)*(('حجز الإجازات'!$E$5:$E$104)&gt;=KF$3)*('حجز الإجازات'!$G$5:$G$104="معتمد")*ROW('حجز الإجازات'!$B$5:$B$104)))-5+1))</f>
        <v/>
      </c>
      <c r="KG8" s="62">
        <f>IF(SUMPRODUCT(('حجز الإجازات'!$B$5:$B$104='الموظفون'!$B$6)*('حجز الإجازات'!$D$5:$D$104&lt;=KG$3)*(('حجز الإجازات'!$E$5:$E$104)&gt;=KG$3)*('حجز الإجازات'!$G$5:$G$104="معتمد")*ROW('حجز الإجازات'!$B$5:$B$104))=0,"",INDEX('حجز الإجازات'!$C$5:$C$104,(SUMPRODUCT(('حجز الإجازات'!$B$5:$B$104='الموظفون'!$B$6)*('حجز الإجازات'!$D$5:$D$104&lt;=KG$3)*(('حجز الإجازات'!$E$5:$E$104)&gt;=KG$3)*('حجز الإجازات'!$G$5:$G$104="معتمد")*ROW('حجز الإجازات'!$B$5:$B$104)))-5+1))</f>
        <v/>
      </c>
      <c r="KH8" s="62">
        <f>IF(SUMPRODUCT(('حجز الإجازات'!$B$5:$B$104='الموظفون'!$B$6)*('حجز الإجازات'!$D$5:$D$104&lt;=KH$3)*(('حجز الإجازات'!$E$5:$E$104)&gt;=KH$3)*('حجز الإجازات'!$G$5:$G$104="معتمد")*ROW('حجز الإجازات'!$B$5:$B$104))=0,"",INDEX('حجز الإجازات'!$C$5:$C$104,(SUMPRODUCT(('حجز الإجازات'!$B$5:$B$104='الموظفون'!$B$6)*('حجز الإجازات'!$D$5:$D$104&lt;=KH$3)*(('حجز الإجازات'!$E$5:$E$104)&gt;=KH$3)*('حجز الإجازات'!$G$5:$G$104="معتمد")*ROW('حجز الإجازات'!$B$5:$B$104)))-5+1))</f>
        <v/>
      </c>
      <c r="KI8" s="62">
        <f>IF(SUMPRODUCT(('حجز الإجازات'!$B$5:$B$104='الموظفون'!$B$6)*('حجز الإجازات'!$D$5:$D$104&lt;=KI$3)*(('حجز الإجازات'!$E$5:$E$104)&gt;=KI$3)*('حجز الإجازات'!$G$5:$G$104="معتمد")*ROW('حجز الإجازات'!$B$5:$B$104))=0,"",INDEX('حجز الإجازات'!$C$5:$C$104,(SUMPRODUCT(('حجز الإجازات'!$B$5:$B$104='الموظفون'!$B$6)*('حجز الإجازات'!$D$5:$D$104&lt;=KI$3)*(('حجز الإجازات'!$E$5:$E$104)&gt;=KI$3)*('حجز الإجازات'!$G$5:$G$104="معتمد")*ROW('حجز الإجازات'!$B$5:$B$104)))-5+1))</f>
        <v/>
      </c>
      <c r="KJ8" s="62">
        <f>IF(SUMPRODUCT(('حجز الإجازات'!$B$5:$B$104='الموظفون'!$B$6)*('حجز الإجازات'!$D$5:$D$104&lt;=KJ$3)*(('حجز الإجازات'!$E$5:$E$104)&gt;=KJ$3)*('حجز الإجازات'!$G$5:$G$104="معتمد")*ROW('حجز الإجازات'!$B$5:$B$104))=0,"",INDEX('حجز الإجازات'!$C$5:$C$104,(SUMPRODUCT(('حجز الإجازات'!$B$5:$B$104='الموظفون'!$B$6)*('حجز الإجازات'!$D$5:$D$104&lt;=KJ$3)*(('حجز الإجازات'!$E$5:$E$104)&gt;=KJ$3)*('حجز الإجازات'!$G$5:$G$104="معتمد")*ROW('حجز الإجازات'!$B$5:$B$104)))-5+1))</f>
        <v/>
      </c>
      <c r="KK8" s="62">
        <f>IF(SUMPRODUCT(('حجز الإجازات'!$B$5:$B$104='الموظفون'!$B$6)*('حجز الإجازات'!$D$5:$D$104&lt;=KK$3)*(('حجز الإجازات'!$E$5:$E$104)&gt;=KK$3)*('حجز الإجازات'!$G$5:$G$104="معتمد")*ROW('حجز الإجازات'!$B$5:$B$104))=0,"",INDEX('حجز الإجازات'!$C$5:$C$104,(SUMPRODUCT(('حجز الإجازات'!$B$5:$B$104='الموظفون'!$B$6)*('حجز الإجازات'!$D$5:$D$104&lt;=KK$3)*(('حجز الإجازات'!$E$5:$E$104)&gt;=KK$3)*('حجز الإجازات'!$G$5:$G$104="معتمد")*ROW('حجز الإجازات'!$B$5:$B$104)))-5+1))</f>
        <v/>
      </c>
      <c r="KL8" s="62">
        <f>IF(SUMPRODUCT(('حجز الإجازات'!$B$5:$B$104='الموظفون'!$B$6)*('حجز الإجازات'!$D$5:$D$104&lt;=KL$3)*(('حجز الإجازات'!$E$5:$E$104)&gt;=KL$3)*('حجز الإجازات'!$G$5:$G$104="معتمد")*ROW('حجز الإجازات'!$B$5:$B$104))=0,"",INDEX('حجز الإجازات'!$C$5:$C$104,(SUMPRODUCT(('حجز الإجازات'!$B$5:$B$104='الموظفون'!$B$6)*('حجز الإجازات'!$D$5:$D$104&lt;=KL$3)*(('حجز الإجازات'!$E$5:$E$104)&gt;=KL$3)*('حجز الإجازات'!$G$5:$G$104="معتمد")*ROW('حجز الإجازات'!$B$5:$B$104)))-5+1))</f>
        <v/>
      </c>
      <c r="KM8" s="62">
        <f>IF(SUMPRODUCT(('حجز الإجازات'!$B$5:$B$104='الموظفون'!$B$6)*('حجز الإجازات'!$D$5:$D$104&lt;=KM$3)*(('حجز الإجازات'!$E$5:$E$104)&gt;=KM$3)*('حجز الإجازات'!$G$5:$G$104="معتمد")*ROW('حجز الإجازات'!$B$5:$B$104))=0,"",INDEX('حجز الإجازات'!$C$5:$C$104,(SUMPRODUCT(('حجز الإجازات'!$B$5:$B$104='الموظفون'!$B$6)*('حجز الإجازات'!$D$5:$D$104&lt;=KM$3)*(('حجز الإجازات'!$E$5:$E$104)&gt;=KM$3)*('حجز الإجازات'!$G$5:$G$104="معتمد")*ROW('حجز الإجازات'!$B$5:$B$104)))-5+1))</f>
        <v/>
      </c>
      <c r="KN8" s="62">
        <f>IF(SUMPRODUCT(('حجز الإجازات'!$B$5:$B$104='الموظفون'!$B$6)*('حجز الإجازات'!$D$5:$D$104&lt;=KN$3)*(('حجز الإجازات'!$E$5:$E$104)&gt;=KN$3)*('حجز الإجازات'!$G$5:$G$104="معتمد")*ROW('حجز الإجازات'!$B$5:$B$104))=0,"",INDEX('حجز الإجازات'!$C$5:$C$104,(SUMPRODUCT(('حجز الإجازات'!$B$5:$B$104='الموظفون'!$B$6)*('حجز الإجازات'!$D$5:$D$104&lt;=KN$3)*(('حجز الإجازات'!$E$5:$E$104)&gt;=KN$3)*('حجز الإجازات'!$G$5:$G$104="معتمد")*ROW('حجز الإجازات'!$B$5:$B$104)))-5+1))</f>
        <v/>
      </c>
      <c r="KO8" s="62">
        <f>IF(SUMPRODUCT(('حجز الإجازات'!$B$5:$B$104='الموظفون'!$B$6)*('حجز الإجازات'!$D$5:$D$104&lt;=KO$3)*(('حجز الإجازات'!$E$5:$E$104)&gt;=KO$3)*('حجز الإجازات'!$G$5:$G$104="معتمد")*ROW('حجز الإجازات'!$B$5:$B$104))=0,"",INDEX('حجز الإجازات'!$C$5:$C$104,(SUMPRODUCT(('حجز الإجازات'!$B$5:$B$104='الموظفون'!$B$6)*('حجز الإجازات'!$D$5:$D$104&lt;=KO$3)*(('حجز الإجازات'!$E$5:$E$104)&gt;=KO$3)*('حجز الإجازات'!$G$5:$G$104="معتمد")*ROW('حجز الإجازات'!$B$5:$B$104)))-5+1))</f>
        <v/>
      </c>
      <c r="KP8" s="62">
        <f>IF(SUMPRODUCT(('حجز الإجازات'!$B$5:$B$104='الموظفون'!$B$6)*('حجز الإجازات'!$D$5:$D$104&lt;=KP$3)*(('حجز الإجازات'!$E$5:$E$104)&gt;=KP$3)*('حجز الإجازات'!$G$5:$G$104="معتمد")*ROW('حجز الإجازات'!$B$5:$B$104))=0,"",INDEX('حجز الإجازات'!$C$5:$C$104,(SUMPRODUCT(('حجز الإجازات'!$B$5:$B$104='الموظفون'!$B$6)*('حجز الإجازات'!$D$5:$D$104&lt;=KP$3)*(('حجز الإجازات'!$E$5:$E$104)&gt;=KP$3)*('حجز الإجازات'!$G$5:$G$104="معتمد")*ROW('حجز الإجازات'!$B$5:$B$104)))-5+1))</f>
        <v/>
      </c>
      <c r="KQ8" s="62">
        <f>IF(SUMPRODUCT(('حجز الإجازات'!$B$5:$B$104='الموظفون'!$B$6)*('حجز الإجازات'!$D$5:$D$104&lt;=KQ$3)*(('حجز الإجازات'!$E$5:$E$104)&gt;=KQ$3)*('حجز الإجازات'!$G$5:$G$104="معتمد")*ROW('حجز الإجازات'!$B$5:$B$104))=0,"",INDEX('حجز الإجازات'!$C$5:$C$104,(SUMPRODUCT(('حجز الإجازات'!$B$5:$B$104='الموظفون'!$B$6)*('حجز الإجازات'!$D$5:$D$104&lt;=KQ$3)*(('حجز الإجازات'!$E$5:$E$104)&gt;=KQ$3)*('حجز الإجازات'!$G$5:$G$104="معتمد")*ROW('حجز الإجازات'!$B$5:$B$104)))-5+1))</f>
        <v/>
      </c>
      <c r="KR8" s="62">
        <f>IF(SUMPRODUCT(('حجز الإجازات'!$B$5:$B$104='الموظفون'!$B$6)*('حجز الإجازات'!$D$5:$D$104&lt;=KR$3)*(('حجز الإجازات'!$E$5:$E$104)&gt;=KR$3)*('حجز الإجازات'!$G$5:$G$104="معتمد")*ROW('حجز الإجازات'!$B$5:$B$104))=0,"",INDEX('حجز الإجازات'!$C$5:$C$104,(SUMPRODUCT(('حجز الإجازات'!$B$5:$B$104='الموظفون'!$B$6)*('حجز الإجازات'!$D$5:$D$104&lt;=KR$3)*(('حجز الإجازات'!$E$5:$E$104)&gt;=KR$3)*('حجز الإجازات'!$G$5:$G$104="معتمد")*ROW('حجز الإجازات'!$B$5:$B$104)))-5+1))</f>
        <v/>
      </c>
      <c r="KS8" s="62">
        <f>IF(SUMPRODUCT(('حجز الإجازات'!$B$5:$B$104='الموظفون'!$B$6)*('حجز الإجازات'!$D$5:$D$104&lt;=KS$3)*(('حجز الإجازات'!$E$5:$E$104)&gt;=KS$3)*('حجز الإجازات'!$G$5:$G$104="معتمد")*ROW('حجز الإجازات'!$B$5:$B$104))=0,"",INDEX('حجز الإجازات'!$C$5:$C$104,(SUMPRODUCT(('حجز الإجازات'!$B$5:$B$104='الموظفون'!$B$6)*('حجز الإجازات'!$D$5:$D$104&lt;=KS$3)*(('حجز الإجازات'!$E$5:$E$104)&gt;=KS$3)*('حجز الإجازات'!$G$5:$G$104="معتمد")*ROW('حجز الإجازات'!$B$5:$B$104)))-5+1))</f>
        <v/>
      </c>
      <c r="KT8" s="62">
        <f>IF(SUMPRODUCT(('حجز الإجازات'!$B$5:$B$104='الموظفون'!$B$6)*('حجز الإجازات'!$D$5:$D$104&lt;=KT$3)*(('حجز الإجازات'!$E$5:$E$104)&gt;=KT$3)*('حجز الإجازات'!$G$5:$G$104="معتمد")*ROW('حجز الإجازات'!$B$5:$B$104))=0,"",INDEX('حجز الإجازات'!$C$5:$C$104,(SUMPRODUCT(('حجز الإجازات'!$B$5:$B$104='الموظفون'!$B$6)*('حجز الإجازات'!$D$5:$D$104&lt;=KT$3)*(('حجز الإجازات'!$E$5:$E$104)&gt;=KT$3)*('حجز الإجازات'!$G$5:$G$104="معتمد")*ROW('حجز الإجازات'!$B$5:$B$104)))-5+1))</f>
        <v/>
      </c>
      <c r="KU8" s="62">
        <f>IF(SUMPRODUCT(('حجز الإجازات'!$B$5:$B$104='الموظفون'!$B$6)*('حجز الإجازات'!$D$5:$D$104&lt;=KU$3)*(('حجز الإجازات'!$E$5:$E$104)&gt;=KU$3)*('حجز الإجازات'!$G$5:$G$104="معتمد")*ROW('حجز الإجازات'!$B$5:$B$104))=0,"",INDEX('حجز الإجازات'!$C$5:$C$104,(SUMPRODUCT(('حجز الإجازات'!$B$5:$B$104='الموظفون'!$B$6)*('حجز الإجازات'!$D$5:$D$104&lt;=KU$3)*(('حجز الإجازات'!$E$5:$E$104)&gt;=KU$3)*('حجز الإجازات'!$G$5:$G$104="معتمد")*ROW('حجز الإجازات'!$B$5:$B$104)))-5+1))</f>
        <v/>
      </c>
      <c r="KV8" s="62">
        <f>IF(SUMPRODUCT(('حجز الإجازات'!$B$5:$B$104='الموظفون'!$B$6)*('حجز الإجازات'!$D$5:$D$104&lt;=KV$3)*(('حجز الإجازات'!$E$5:$E$104)&gt;=KV$3)*('حجز الإجازات'!$G$5:$G$104="معتمد")*ROW('حجز الإجازات'!$B$5:$B$104))=0,"",INDEX('حجز الإجازات'!$C$5:$C$104,(SUMPRODUCT(('حجز الإجازات'!$B$5:$B$104='الموظفون'!$B$6)*('حجز الإجازات'!$D$5:$D$104&lt;=KV$3)*(('حجز الإجازات'!$E$5:$E$104)&gt;=KV$3)*('حجز الإجازات'!$G$5:$G$104="معتمد")*ROW('حجز الإجازات'!$B$5:$B$104)))-5+1))</f>
        <v/>
      </c>
      <c r="KW8" s="62">
        <f>IF(SUMPRODUCT(('حجز الإجازات'!$B$5:$B$104='الموظفون'!$B$6)*('حجز الإجازات'!$D$5:$D$104&lt;=KW$3)*(('حجز الإجازات'!$E$5:$E$104)&gt;=KW$3)*('حجز الإجازات'!$G$5:$G$104="معتمد")*ROW('حجز الإجازات'!$B$5:$B$104))=0,"",INDEX('حجز الإجازات'!$C$5:$C$104,(SUMPRODUCT(('حجز الإجازات'!$B$5:$B$104='الموظفون'!$B$6)*('حجز الإجازات'!$D$5:$D$104&lt;=KW$3)*(('حجز الإجازات'!$E$5:$E$104)&gt;=KW$3)*('حجز الإجازات'!$G$5:$G$104="معتمد")*ROW('حجز الإجازات'!$B$5:$B$104)))-5+1))</f>
        <v/>
      </c>
      <c r="KX8" s="62">
        <f>IF(SUMPRODUCT(('حجز الإجازات'!$B$5:$B$104='الموظفون'!$B$6)*('حجز الإجازات'!$D$5:$D$104&lt;=KX$3)*(('حجز الإجازات'!$E$5:$E$104)&gt;=KX$3)*('حجز الإجازات'!$G$5:$G$104="معتمد")*ROW('حجز الإجازات'!$B$5:$B$104))=0,"",INDEX('حجز الإجازات'!$C$5:$C$104,(SUMPRODUCT(('حجز الإجازات'!$B$5:$B$104='الموظفون'!$B$6)*('حجز الإجازات'!$D$5:$D$104&lt;=KX$3)*(('حجز الإجازات'!$E$5:$E$104)&gt;=KX$3)*('حجز الإجازات'!$G$5:$G$104="معتمد")*ROW('حجز الإجازات'!$B$5:$B$104)))-5+1))</f>
        <v/>
      </c>
      <c r="KY8" s="62">
        <f>IF(SUMPRODUCT(('حجز الإجازات'!$B$5:$B$104='الموظفون'!$B$6)*('حجز الإجازات'!$D$5:$D$104&lt;=KY$3)*(('حجز الإجازات'!$E$5:$E$104)&gt;=KY$3)*('حجز الإجازات'!$G$5:$G$104="معتمد")*ROW('حجز الإجازات'!$B$5:$B$104))=0,"",INDEX('حجز الإجازات'!$C$5:$C$104,(SUMPRODUCT(('حجز الإجازات'!$B$5:$B$104='الموظفون'!$B$6)*('حجز الإجازات'!$D$5:$D$104&lt;=KY$3)*(('حجز الإجازات'!$E$5:$E$104)&gt;=KY$3)*('حجز الإجازات'!$G$5:$G$104="معتمد")*ROW('حجز الإجازات'!$B$5:$B$104)))-5+1))</f>
        <v/>
      </c>
      <c r="KZ8" s="62">
        <f>IF(SUMPRODUCT(('حجز الإجازات'!$B$5:$B$104='الموظفون'!$B$6)*('حجز الإجازات'!$D$5:$D$104&lt;=KZ$3)*(('حجز الإجازات'!$E$5:$E$104)&gt;=KZ$3)*('حجز الإجازات'!$G$5:$G$104="معتمد")*ROW('حجز الإجازات'!$B$5:$B$104))=0,"",INDEX('حجز الإجازات'!$C$5:$C$104,(SUMPRODUCT(('حجز الإجازات'!$B$5:$B$104='الموظفون'!$B$6)*('حجز الإجازات'!$D$5:$D$104&lt;=KZ$3)*(('حجز الإجازات'!$E$5:$E$104)&gt;=KZ$3)*('حجز الإجازات'!$G$5:$G$104="معتمد")*ROW('حجز الإجازات'!$B$5:$B$104)))-5+1))</f>
        <v/>
      </c>
      <c r="LA8" s="62">
        <f>IF(SUMPRODUCT(('حجز الإجازات'!$B$5:$B$104='الموظفون'!$B$6)*('حجز الإجازات'!$D$5:$D$104&lt;=LA$3)*(('حجز الإجازات'!$E$5:$E$104)&gt;=LA$3)*('حجز الإجازات'!$G$5:$G$104="معتمد")*ROW('حجز الإجازات'!$B$5:$B$104))=0,"",INDEX('حجز الإجازات'!$C$5:$C$104,(SUMPRODUCT(('حجز الإجازات'!$B$5:$B$104='الموظفون'!$B$6)*('حجز الإجازات'!$D$5:$D$104&lt;=LA$3)*(('حجز الإجازات'!$E$5:$E$104)&gt;=LA$3)*('حجز الإجازات'!$G$5:$G$104="معتمد")*ROW('حجز الإجازات'!$B$5:$B$104)))-5+1))</f>
        <v/>
      </c>
      <c r="LB8" s="62">
        <f>IF(SUMPRODUCT(('حجز الإجازات'!$B$5:$B$104='الموظفون'!$B$6)*('حجز الإجازات'!$D$5:$D$104&lt;=LB$3)*(('حجز الإجازات'!$E$5:$E$104)&gt;=LB$3)*('حجز الإجازات'!$G$5:$G$104="معتمد")*ROW('حجز الإجازات'!$B$5:$B$104))=0,"",INDEX('حجز الإجازات'!$C$5:$C$104,(SUMPRODUCT(('حجز الإجازات'!$B$5:$B$104='الموظفون'!$B$6)*('حجز الإجازات'!$D$5:$D$104&lt;=LB$3)*(('حجز الإجازات'!$E$5:$E$104)&gt;=LB$3)*('حجز الإجازات'!$G$5:$G$104="معتمد")*ROW('حجز الإجازات'!$B$5:$B$104)))-5+1))</f>
        <v/>
      </c>
      <c r="LC8" s="62">
        <f>IF(SUMPRODUCT(('حجز الإجازات'!$B$5:$B$104='الموظفون'!$B$6)*('حجز الإجازات'!$D$5:$D$104&lt;=LC$3)*(('حجز الإجازات'!$E$5:$E$104)&gt;=LC$3)*('حجز الإجازات'!$G$5:$G$104="معتمد")*ROW('حجز الإجازات'!$B$5:$B$104))=0,"",INDEX('حجز الإجازات'!$C$5:$C$104,(SUMPRODUCT(('حجز الإجازات'!$B$5:$B$104='الموظفون'!$B$6)*('حجز الإجازات'!$D$5:$D$104&lt;=LC$3)*(('حجز الإجازات'!$E$5:$E$104)&gt;=LC$3)*('حجز الإجازات'!$G$5:$G$104="معتمد")*ROW('حجز الإجازات'!$B$5:$B$104)))-5+1))</f>
        <v/>
      </c>
      <c r="LD8" s="62">
        <f>IF(SUMPRODUCT(('حجز الإجازات'!$B$5:$B$104='الموظفون'!$B$6)*('حجز الإجازات'!$D$5:$D$104&lt;=LD$3)*(('حجز الإجازات'!$E$5:$E$104)&gt;=LD$3)*('حجز الإجازات'!$G$5:$G$104="معتمد")*ROW('حجز الإجازات'!$B$5:$B$104))=0,"",INDEX('حجز الإجازات'!$C$5:$C$104,(SUMPRODUCT(('حجز الإجازات'!$B$5:$B$104='الموظفون'!$B$6)*('حجز الإجازات'!$D$5:$D$104&lt;=LD$3)*(('حجز الإجازات'!$E$5:$E$104)&gt;=LD$3)*('حجز الإجازات'!$G$5:$G$104="معتمد")*ROW('حجز الإجازات'!$B$5:$B$104)))-5+1))</f>
        <v/>
      </c>
      <c r="LE8" s="62">
        <f>IF(SUMPRODUCT(('حجز الإجازات'!$B$5:$B$104='الموظفون'!$B$6)*('حجز الإجازات'!$D$5:$D$104&lt;=LE$3)*(('حجز الإجازات'!$E$5:$E$104)&gt;=LE$3)*('حجز الإجازات'!$G$5:$G$104="معتمد")*ROW('حجز الإجازات'!$B$5:$B$104))=0,"",INDEX('حجز الإجازات'!$C$5:$C$104,(SUMPRODUCT(('حجز الإجازات'!$B$5:$B$104='الموظفون'!$B$6)*('حجز الإجازات'!$D$5:$D$104&lt;=LE$3)*(('حجز الإجازات'!$E$5:$E$104)&gt;=LE$3)*('حجز الإجازات'!$G$5:$G$104="معتمد")*ROW('حجز الإجازات'!$B$5:$B$104)))-5+1))</f>
        <v/>
      </c>
      <c r="LF8" s="62">
        <f>IF(SUMPRODUCT(('حجز الإجازات'!$B$5:$B$104='الموظفون'!$B$6)*('حجز الإجازات'!$D$5:$D$104&lt;=LF$3)*(('حجز الإجازات'!$E$5:$E$104)&gt;=LF$3)*('حجز الإجازات'!$G$5:$G$104="معتمد")*ROW('حجز الإجازات'!$B$5:$B$104))=0,"",INDEX('حجز الإجازات'!$C$5:$C$104,(SUMPRODUCT(('حجز الإجازات'!$B$5:$B$104='الموظفون'!$B$6)*('حجز الإجازات'!$D$5:$D$104&lt;=LF$3)*(('حجز الإجازات'!$E$5:$E$104)&gt;=LF$3)*('حجز الإجازات'!$G$5:$G$104="معتمد")*ROW('حجز الإجازات'!$B$5:$B$104)))-5+1))</f>
        <v/>
      </c>
      <c r="LG8" s="62">
        <f>IF(SUMPRODUCT(('حجز الإجازات'!$B$5:$B$104='الموظفون'!$B$6)*('حجز الإجازات'!$D$5:$D$104&lt;=LG$3)*(('حجز الإجازات'!$E$5:$E$104)&gt;=LG$3)*('حجز الإجازات'!$G$5:$G$104="معتمد")*ROW('حجز الإجازات'!$B$5:$B$104))=0,"",INDEX('حجز الإجازات'!$C$5:$C$104,(SUMPRODUCT(('حجز الإجازات'!$B$5:$B$104='الموظفون'!$B$6)*('حجز الإجازات'!$D$5:$D$104&lt;=LG$3)*(('حجز الإجازات'!$E$5:$E$104)&gt;=LG$3)*('حجز الإجازات'!$G$5:$G$104="معتمد")*ROW('حجز الإجازات'!$B$5:$B$104)))-5+1))</f>
        <v/>
      </c>
      <c r="LH8" s="62">
        <f>IF(SUMPRODUCT(('حجز الإجازات'!$B$5:$B$104='الموظفون'!$B$6)*('حجز الإجازات'!$D$5:$D$104&lt;=LH$3)*(('حجز الإجازات'!$E$5:$E$104)&gt;=LH$3)*('حجز الإجازات'!$G$5:$G$104="معتمد")*ROW('حجز الإجازات'!$B$5:$B$104))=0,"",INDEX('حجز الإجازات'!$C$5:$C$104,(SUMPRODUCT(('حجز الإجازات'!$B$5:$B$104='الموظفون'!$B$6)*('حجز الإجازات'!$D$5:$D$104&lt;=LH$3)*(('حجز الإجازات'!$E$5:$E$104)&gt;=LH$3)*('حجز الإجازات'!$G$5:$G$104="معتمد")*ROW('حجز الإجازات'!$B$5:$B$104)))-5+1))</f>
        <v/>
      </c>
      <c r="LI8" s="62">
        <f>IF(SUMPRODUCT(('حجز الإجازات'!$B$5:$B$104='الموظفون'!$B$6)*('حجز الإجازات'!$D$5:$D$104&lt;=LI$3)*(('حجز الإجازات'!$E$5:$E$104)&gt;=LI$3)*('حجز الإجازات'!$G$5:$G$104="معتمد")*ROW('حجز الإجازات'!$B$5:$B$104))=0,"",INDEX('حجز الإجازات'!$C$5:$C$104,(SUMPRODUCT(('حجز الإجازات'!$B$5:$B$104='الموظفون'!$B$6)*('حجز الإجازات'!$D$5:$D$104&lt;=LI$3)*(('حجز الإجازات'!$E$5:$E$104)&gt;=LI$3)*('حجز الإجازات'!$G$5:$G$104="معتمد")*ROW('حجز الإجازات'!$B$5:$B$104)))-5+1))</f>
        <v/>
      </c>
      <c r="LJ8" s="62">
        <f>IF(SUMPRODUCT(('حجز الإجازات'!$B$5:$B$104='الموظفون'!$B$6)*('حجز الإجازات'!$D$5:$D$104&lt;=LJ$3)*(('حجز الإجازات'!$E$5:$E$104)&gt;=LJ$3)*('حجز الإجازات'!$G$5:$G$104="معتمد")*ROW('حجز الإجازات'!$B$5:$B$104))=0,"",INDEX('حجز الإجازات'!$C$5:$C$104,(SUMPRODUCT(('حجز الإجازات'!$B$5:$B$104='الموظفون'!$B$6)*('حجز الإجازات'!$D$5:$D$104&lt;=LJ$3)*(('حجز الإجازات'!$E$5:$E$104)&gt;=LJ$3)*('حجز الإجازات'!$G$5:$G$104="معتمد")*ROW('حجز الإجازات'!$B$5:$B$104)))-5+1))</f>
        <v/>
      </c>
      <c r="LK8" s="62">
        <f>IF(SUMPRODUCT(('حجز الإجازات'!$B$5:$B$104='الموظفون'!$B$6)*('حجز الإجازات'!$D$5:$D$104&lt;=LK$3)*(('حجز الإجازات'!$E$5:$E$104)&gt;=LK$3)*('حجز الإجازات'!$G$5:$G$104="معتمد")*ROW('حجز الإجازات'!$B$5:$B$104))=0,"",INDEX('حجز الإجازات'!$C$5:$C$104,(SUMPRODUCT(('حجز الإجازات'!$B$5:$B$104='الموظفون'!$B$6)*('حجز الإجازات'!$D$5:$D$104&lt;=LK$3)*(('حجز الإجازات'!$E$5:$E$104)&gt;=LK$3)*('حجز الإجازات'!$G$5:$G$104="معتمد")*ROW('حجز الإجازات'!$B$5:$B$104)))-5+1))</f>
        <v/>
      </c>
      <c r="LL8" s="62">
        <f>IF(SUMPRODUCT(('حجز الإجازات'!$B$5:$B$104='الموظفون'!$B$6)*('حجز الإجازات'!$D$5:$D$104&lt;=LL$3)*(('حجز الإجازات'!$E$5:$E$104)&gt;=LL$3)*('حجز الإجازات'!$G$5:$G$104="معتمد")*ROW('حجز الإجازات'!$B$5:$B$104))=0,"",INDEX('حجز الإجازات'!$C$5:$C$104,(SUMPRODUCT(('حجز الإجازات'!$B$5:$B$104='الموظفون'!$B$6)*('حجز الإجازات'!$D$5:$D$104&lt;=LL$3)*(('حجز الإجازات'!$E$5:$E$104)&gt;=LL$3)*('حجز الإجازات'!$G$5:$G$104="معتمد")*ROW('حجز الإجازات'!$B$5:$B$104)))-5+1))</f>
        <v/>
      </c>
      <c r="LM8" s="62">
        <f>IF(SUMPRODUCT(('حجز الإجازات'!$B$5:$B$104='الموظفون'!$B$6)*('حجز الإجازات'!$D$5:$D$104&lt;=LM$3)*(('حجز الإجازات'!$E$5:$E$104)&gt;=LM$3)*('حجز الإجازات'!$G$5:$G$104="معتمد")*ROW('حجز الإجازات'!$B$5:$B$104))=0,"",INDEX('حجز الإجازات'!$C$5:$C$104,(SUMPRODUCT(('حجز الإجازات'!$B$5:$B$104='الموظفون'!$B$6)*('حجز الإجازات'!$D$5:$D$104&lt;=LM$3)*(('حجز الإجازات'!$E$5:$E$104)&gt;=LM$3)*('حجز الإجازات'!$G$5:$G$104="معتمد")*ROW('حجز الإجازات'!$B$5:$B$104)))-5+1))</f>
        <v/>
      </c>
      <c r="LN8" s="62">
        <f>IF(SUMPRODUCT(('حجز الإجازات'!$B$5:$B$104='الموظفون'!$B$6)*('حجز الإجازات'!$D$5:$D$104&lt;=LN$3)*(('حجز الإجازات'!$E$5:$E$104)&gt;=LN$3)*('حجز الإجازات'!$G$5:$G$104="معتمد")*ROW('حجز الإجازات'!$B$5:$B$104))=0,"",INDEX('حجز الإجازات'!$C$5:$C$104,(SUMPRODUCT(('حجز الإجازات'!$B$5:$B$104='الموظفون'!$B$6)*('حجز الإجازات'!$D$5:$D$104&lt;=LN$3)*(('حجز الإجازات'!$E$5:$E$104)&gt;=LN$3)*('حجز الإجازات'!$G$5:$G$104="معتمد")*ROW('حجز الإجازات'!$B$5:$B$104)))-5+1))</f>
        <v/>
      </c>
      <c r="LO8" s="62">
        <f>IF(SUMPRODUCT(('حجز الإجازات'!$B$5:$B$104='الموظفون'!$B$6)*('حجز الإجازات'!$D$5:$D$104&lt;=LO$3)*(('حجز الإجازات'!$E$5:$E$104)&gt;=LO$3)*('حجز الإجازات'!$G$5:$G$104="معتمد")*ROW('حجز الإجازات'!$B$5:$B$104))=0,"",INDEX('حجز الإجازات'!$C$5:$C$104,(SUMPRODUCT(('حجز الإجازات'!$B$5:$B$104='الموظفون'!$B$6)*('حجز الإجازات'!$D$5:$D$104&lt;=LO$3)*(('حجز الإجازات'!$E$5:$E$104)&gt;=LO$3)*('حجز الإجازات'!$G$5:$G$104="معتمد")*ROW('حجز الإجازات'!$B$5:$B$104)))-5+1))</f>
        <v/>
      </c>
      <c r="LP8" s="62">
        <f>IF(SUMPRODUCT(('حجز الإجازات'!$B$5:$B$104='الموظفون'!$B$6)*('حجز الإجازات'!$D$5:$D$104&lt;=LP$3)*(('حجز الإجازات'!$E$5:$E$104)&gt;=LP$3)*('حجز الإجازات'!$G$5:$G$104="معتمد")*ROW('حجز الإجازات'!$B$5:$B$104))=0,"",INDEX('حجز الإجازات'!$C$5:$C$104,(SUMPRODUCT(('حجز الإجازات'!$B$5:$B$104='الموظفون'!$B$6)*('حجز الإجازات'!$D$5:$D$104&lt;=LP$3)*(('حجز الإجازات'!$E$5:$E$104)&gt;=LP$3)*('حجز الإجازات'!$G$5:$G$104="معتمد")*ROW('حجز الإجازات'!$B$5:$B$104)))-5+1))</f>
        <v/>
      </c>
      <c r="LQ8" s="62">
        <f>IF(SUMPRODUCT(('حجز الإجازات'!$B$5:$B$104='الموظفون'!$B$6)*('حجز الإجازات'!$D$5:$D$104&lt;=LQ$3)*(('حجز الإجازات'!$E$5:$E$104)&gt;=LQ$3)*('حجز الإجازات'!$G$5:$G$104="معتمد")*ROW('حجز الإجازات'!$B$5:$B$104))=0,"",INDEX('حجز الإجازات'!$C$5:$C$104,(SUMPRODUCT(('حجز الإجازات'!$B$5:$B$104='الموظفون'!$B$6)*('حجز الإجازات'!$D$5:$D$104&lt;=LQ$3)*(('حجز الإجازات'!$E$5:$E$104)&gt;=LQ$3)*('حجز الإجازات'!$G$5:$G$104="معتمد")*ROW('حجز الإجازات'!$B$5:$B$104)))-5+1))</f>
        <v/>
      </c>
      <c r="LR8" s="62">
        <f>IF(SUMPRODUCT(('حجز الإجازات'!$B$5:$B$104='الموظفون'!$B$6)*('حجز الإجازات'!$D$5:$D$104&lt;=LR$3)*(('حجز الإجازات'!$E$5:$E$104)&gt;=LR$3)*('حجز الإجازات'!$G$5:$G$104="معتمد")*ROW('حجز الإجازات'!$B$5:$B$104))=0,"",INDEX('حجز الإجازات'!$C$5:$C$104,(SUMPRODUCT(('حجز الإجازات'!$B$5:$B$104='الموظفون'!$B$6)*('حجز الإجازات'!$D$5:$D$104&lt;=LR$3)*(('حجز الإجازات'!$E$5:$E$104)&gt;=LR$3)*('حجز الإجازات'!$G$5:$G$104="معتمد")*ROW('حجز الإجازات'!$B$5:$B$104)))-5+1))</f>
        <v/>
      </c>
      <c r="LS8" s="62">
        <f>IF(SUMPRODUCT(('حجز الإجازات'!$B$5:$B$104='الموظفون'!$B$6)*('حجز الإجازات'!$D$5:$D$104&lt;=LS$3)*(('حجز الإجازات'!$E$5:$E$104)&gt;=LS$3)*('حجز الإجازات'!$G$5:$G$104="معتمد")*ROW('حجز الإجازات'!$B$5:$B$104))=0,"",INDEX('حجز الإجازات'!$C$5:$C$104,(SUMPRODUCT(('حجز الإجازات'!$B$5:$B$104='الموظفون'!$B$6)*('حجز الإجازات'!$D$5:$D$104&lt;=LS$3)*(('حجز الإجازات'!$E$5:$E$104)&gt;=LS$3)*('حجز الإجازات'!$G$5:$G$104="معتمد")*ROW('حجز الإجازات'!$B$5:$B$104)))-5+1))</f>
        <v/>
      </c>
      <c r="LT8" s="62">
        <f>IF(SUMPRODUCT(('حجز الإجازات'!$B$5:$B$104='الموظفون'!$B$6)*('حجز الإجازات'!$D$5:$D$104&lt;=LT$3)*(('حجز الإجازات'!$E$5:$E$104)&gt;=LT$3)*('حجز الإجازات'!$G$5:$G$104="معتمد")*ROW('حجز الإجازات'!$B$5:$B$104))=0,"",INDEX('حجز الإجازات'!$C$5:$C$104,(SUMPRODUCT(('حجز الإجازات'!$B$5:$B$104='الموظفون'!$B$6)*('حجز الإجازات'!$D$5:$D$104&lt;=LT$3)*(('حجز الإجازات'!$E$5:$E$104)&gt;=LT$3)*('حجز الإجازات'!$G$5:$G$104="معتمد")*ROW('حجز الإجازات'!$B$5:$B$104)))-5+1))</f>
        <v/>
      </c>
      <c r="LU8" s="62">
        <f>IF(SUMPRODUCT(('حجز الإجازات'!$B$5:$B$104='الموظفون'!$B$6)*('حجز الإجازات'!$D$5:$D$104&lt;=LU$3)*(('حجز الإجازات'!$E$5:$E$104)&gt;=LU$3)*('حجز الإجازات'!$G$5:$G$104="معتمد")*ROW('حجز الإجازات'!$B$5:$B$104))=0,"",INDEX('حجز الإجازات'!$C$5:$C$104,(SUMPRODUCT(('حجز الإجازات'!$B$5:$B$104='الموظفون'!$B$6)*('حجز الإجازات'!$D$5:$D$104&lt;=LU$3)*(('حجز الإجازات'!$E$5:$E$104)&gt;=LU$3)*('حجز الإجازات'!$G$5:$G$104="معتمد")*ROW('حجز الإجازات'!$B$5:$B$104)))-5+1))</f>
        <v/>
      </c>
      <c r="LV8" s="62">
        <f>IF(SUMPRODUCT(('حجز الإجازات'!$B$5:$B$104='الموظفون'!$B$6)*('حجز الإجازات'!$D$5:$D$104&lt;=LV$3)*(('حجز الإجازات'!$E$5:$E$104)&gt;=LV$3)*('حجز الإجازات'!$G$5:$G$104="معتمد")*ROW('حجز الإجازات'!$B$5:$B$104))=0,"",INDEX('حجز الإجازات'!$C$5:$C$104,(SUMPRODUCT(('حجز الإجازات'!$B$5:$B$104='الموظفون'!$B$6)*('حجز الإجازات'!$D$5:$D$104&lt;=LV$3)*(('حجز الإجازات'!$E$5:$E$104)&gt;=LV$3)*('حجز الإجازات'!$G$5:$G$104="معتمد")*ROW('حجز الإجازات'!$B$5:$B$104)))-5+1))</f>
        <v/>
      </c>
      <c r="LW8" s="62">
        <f>IF(SUMPRODUCT(('حجز الإجازات'!$B$5:$B$104='الموظفون'!$B$6)*('حجز الإجازات'!$D$5:$D$104&lt;=LW$3)*(('حجز الإجازات'!$E$5:$E$104)&gt;=LW$3)*('حجز الإجازات'!$G$5:$G$104="معتمد")*ROW('حجز الإجازات'!$B$5:$B$104))=0,"",INDEX('حجز الإجازات'!$C$5:$C$104,(SUMPRODUCT(('حجز الإجازات'!$B$5:$B$104='الموظفون'!$B$6)*('حجز الإجازات'!$D$5:$D$104&lt;=LW$3)*(('حجز الإجازات'!$E$5:$E$104)&gt;=LW$3)*('حجز الإجازات'!$G$5:$G$104="معتمد")*ROW('حجز الإجازات'!$B$5:$B$104)))-5+1))</f>
        <v/>
      </c>
      <c r="LX8" s="62">
        <f>IF(SUMPRODUCT(('حجز الإجازات'!$B$5:$B$104='الموظفون'!$B$6)*('حجز الإجازات'!$D$5:$D$104&lt;=LX$3)*(('حجز الإجازات'!$E$5:$E$104)&gt;=LX$3)*('حجز الإجازات'!$G$5:$G$104="معتمد")*ROW('حجز الإجازات'!$B$5:$B$104))=0,"",INDEX('حجز الإجازات'!$C$5:$C$104,(SUMPRODUCT(('حجز الإجازات'!$B$5:$B$104='الموظفون'!$B$6)*('حجز الإجازات'!$D$5:$D$104&lt;=LX$3)*(('حجز الإجازات'!$E$5:$E$104)&gt;=LX$3)*('حجز الإجازات'!$G$5:$G$104="معتمد")*ROW('حجز الإجازات'!$B$5:$B$104)))-5+1))</f>
        <v/>
      </c>
      <c r="LY8" s="62">
        <f>IF(SUMPRODUCT(('حجز الإجازات'!$B$5:$B$104='الموظفون'!$B$6)*('حجز الإجازات'!$D$5:$D$104&lt;=LY$3)*(('حجز الإجازات'!$E$5:$E$104)&gt;=LY$3)*('حجز الإجازات'!$G$5:$G$104="معتمد")*ROW('حجز الإجازات'!$B$5:$B$104))=0,"",INDEX('حجز الإجازات'!$C$5:$C$104,(SUMPRODUCT(('حجز الإجازات'!$B$5:$B$104='الموظفون'!$B$6)*('حجز الإجازات'!$D$5:$D$104&lt;=LY$3)*(('حجز الإجازات'!$E$5:$E$104)&gt;=LY$3)*('حجز الإجازات'!$G$5:$G$104="معتمد")*ROW('حجز الإجازات'!$B$5:$B$104)))-5+1))</f>
        <v/>
      </c>
      <c r="LZ8" s="62">
        <f>IF(SUMPRODUCT(('حجز الإجازات'!$B$5:$B$104='الموظفون'!$B$6)*('حجز الإجازات'!$D$5:$D$104&lt;=LZ$3)*(('حجز الإجازات'!$E$5:$E$104)&gt;=LZ$3)*('حجز الإجازات'!$G$5:$G$104="معتمد")*ROW('حجز الإجازات'!$B$5:$B$104))=0,"",INDEX('حجز الإجازات'!$C$5:$C$104,(SUMPRODUCT(('حجز الإجازات'!$B$5:$B$104='الموظفون'!$B$6)*('حجز الإجازات'!$D$5:$D$104&lt;=LZ$3)*(('حجز الإجازات'!$E$5:$E$104)&gt;=LZ$3)*('حجز الإجازات'!$G$5:$G$104="معتمد")*ROW('حجز الإجازات'!$B$5:$B$104)))-5+1))</f>
        <v/>
      </c>
      <c r="MA8" s="62">
        <f>IF(SUMPRODUCT(('حجز الإجازات'!$B$5:$B$104='الموظفون'!$B$6)*('حجز الإجازات'!$D$5:$D$104&lt;=MA$3)*(('حجز الإجازات'!$E$5:$E$104)&gt;=MA$3)*('حجز الإجازات'!$G$5:$G$104="معتمد")*ROW('حجز الإجازات'!$B$5:$B$104))=0,"",INDEX('حجز الإجازات'!$C$5:$C$104,(SUMPRODUCT(('حجز الإجازات'!$B$5:$B$104='الموظفون'!$B$6)*('حجز الإجازات'!$D$5:$D$104&lt;=MA$3)*(('حجز الإجازات'!$E$5:$E$104)&gt;=MA$3)*('حجز الإجازات'!$G$5:$G$104="معتمد")*ROW('حجز الإجازات'!$B$5:$B$104)))-5+1))</f>
        <v/>
      </c>
      <c r="MB8" s="62">
        <f>IF(SUMPRODUCT(('حجز الإجازات'!$B$5:$B$104='الموظفون'!$B$6)*('حجز الإجازات'!$D$5:$D$104&lt;=MB$3)*(('حجز الإجازات'!$E$5:$E$104)&gt;=MB$3)*('حجز الإجازات'!$G$5:$G$104="معتمد")*ROW('حجز الإجازات'!$B$5:$B$104))=0,"",INDEX('حجز الإجازات'!$C$5:$C$104,(SUMPRODUCT(('حجز الإجازات'!$B$5:$B$104='الموظفون'!$B$6)*('حجز الإجازات'!$D$5:$D$104&lt;=MB$3)*(('حجز الإجازات'!$E$5:$E$104)&gt;=MB$3)*('حجز الإجازات'!$G$5:$G$104="معتمد")*ROW('حجز الإجازات'!$B$5:$B$104)))-5+1))</f>
        <v/>
      </c>
      <c r="MC8" s="62">
        <f>IF(SUMPRODUCT(('حجز الإجازات'!$B$5:$B$104='الموظفون'!$B$6)*('حجز الإجازات'!$D$5:$D$104&lt;=MC$3)*(('حجز الإجازات'!$E$5:$E$104)&gt;=MC$3)*('حجز الإجازات'!$G$5:$G$104="معتمد")*ROW('حجز الإجازات'!$B$5:$B$104))=0,"",INDEX('حجز الإجازات'!$C$5:$C$104,(SUMPRODUCT(('حجز الإجازات'!$B$5:$B$104='الموظفون'!$B$6)*('حجز الإجازات'!$D$5:$D$104&lt;=MC$3)*(('حجز الإجازات'!$E$5:$E$104)&gt;=MC$3)*('حجز الإجازات'!$G$5:$G$104="معتمد")*ROW('حجز الإجازات'!$B$5:$B$104)))-5+1))</f>
        <v/>
      </c>
      <c r="MD8" s="62">
        <f>IF(SUMPRODUCT(('حجز الإجازات'!$B$5:$B$104='الموظفون'!$B$6)*('حجز الإجازات'!$D$5:$D$104&lt;=MD$3)*(('حجز الإجازات'!$E$5:$E$104)&gt;=MD$3)*('حجز الإجازات'!$G$5:$G$104="معتمد")*ROW('حجز الإجازات'!$B$5:$B$104))=0,"",INDEX('حجز الإجازات'!$C$5:$C$104,(SUMPRODUCT(('حجز الإجازات'!$B$5:$B$104='الموظفون'!$B$6)*('حجز الإجازات'!$D$5:$D$104&lt;=MD$3)*(('حجز الإجازات'!$E$5:$E$104)&gt;=MD$3)*('حجز الإجازات'!$G$5:$G$104="معتمد")*ROW('حجز الإجازات'!$B$5:$B$104)))-5+1))</f>
        <v/>
      </c>
      <c r="ME8" s="62">
        <f>IF(SUMPRODUCT(('حجز الإجازات'!$B$5:$B$104='الموظفون'!$B$6)*('حجز الإجازات'!$D$5:$D$104&lt;=ME$3)*(('حجز الإجازات'!$E$5:$E$104)&gt;=ME$3)*('حجز الإجازات'!$G$5:$G$104="معتمد")*ROW('حجز الإجازات'!$B$5:$B$104))=0,"",INDEX('حجز الإجازات'!$C$5:$C$104,(SUMPRODUCT(('حجز الإجازات'!$B$5:$B$104='الموظفون'!$B$6)*('حجز الإجازات'!$D$5:$D$104&lt;=ME$3)*(('حجز الإجازات'!$E$5:$E$104)&gt;=ME$3)*('حجز الإجازات'!$G$5:$G$104="معتمد")*ROW('حجز الإجازات'!$B$5:$B$104)))-5+1))</f>
        <v/>
      </c>
      <c r="MF8" s="62">
        <f>IF(SUMPRODUCT(('حجز الإجازات'!$B$5:$B$104='الموظفون'!$B$6)*('حجز الإجازات'!$D$5:$D$104&lt;=MF$3)*(('حجز الإجازات'!$E$5:$E$104)&gt;=MF$3)*('حجز الإجازات'!$G$5:$G$104="معتمد")*ROW('حجز الإجازات'!$B$5:$B$104))=0,"",INDEX('حجز الإجازات'!$C$5:$C$104,(SUMPRODUCT(('حجز الإجازات'!$B$5:$B$104='الموظفون'!$B$6)*('حجز الإجازات'!$D$5:$D$104&lt;=MF$3)*(('حجز الإجازات'!$E$5:$E$104)&gt;=MF$3)*('حجز الإجازات'!$G$5:$G$104="معتمد")*ROW('حجز الإجازات'!$B$5:$B$104)))-5+1))</f>
        <v/>
      </c>
      <c r="MG8" s="62">
        <f>IF(SUMPRODUCT(('حجز الإجازات'!$B$5:$B$104='الموظفون'!$B$6)*('حجز الإجازات'!$D$5:$D$104&lt;=MG$3)*(('حجز الإجازات'!$E$5:$E$104)&gt;=MG$3)*('حجز الإجازات'!$G$5:$G$104="معتمد")*ROW('حجز الإجازات'!$B$5:$B$104))=0,"",INDEX('حجز الإجازات'!$C$5:$C$104,(SUMPRODUCT(('حجز الإجازات'!$B$5:$B$104='الموظفون'!$B$6)*('حجز الإجازات'!$D$5:$D$104&lt;=MG$3)*(('حجز الإجازات'!$E$5:$E$104)&gt;=MG$3)*('حجز الإجازات'!$G$5:$G$104="معتمد")*ROW('حجز الإجازات'!$B$5:$B$104)))-5+1))</f>
        <v/>
      </c>
      <c r="MH8" s="62">
        <f>IF(SUMPRODUCT(('حجز الإجازات'!$B$5:$B$104='الموظفون'!$B$6)*('حجز الإجازات'!$D$5:$D$104&lt;=MH$3)*(('حجز الإجازات'!$E$5:$E$104)&gt;=MH$3)*('حجز الإجازات'!$G$5:$G$104="معتمد")*ROW('حجز الإجازات'!$B$5:$B$104))=0,"",INDEX('حجز الإجازات'!$C$5:$C$104,(SUMPRODUCT(('حجز الإجازات'!$B$5:$B$104='الموظفون'!$B$6)*('حجز الإجازات'!$D$5:$D$104&lt;=MH$3)*(('حجز الإجازات'!$E$5:$E$104)&gt;=MH$3)*('حجز الإجازات'!$G$5:$G$104="معتمد")*ROW('حجز الإجازات'!$B$5:$B$104)))-5+1))</f>
        <v/>
      </c>
      <c r="MI8" s="62">
        <f>IF(SUMPRODUCT(('حجز الإجازات'!$B$5:$B$104='الموظفون'!$B$6)*('حجز الإجازات'!$D$5:$D$104&lt;=MI$3)*(('حجز الإجازات'!$E$5:$E$104)&gt;=MI$3)*('حجز الإجازات'!$G$5:$G$104="معتمد")*ROW('حجز الإجازات'!$B$5:$B$104))=0,"",INDEX('حجز الإجازات'!$C$5:$C$104,(SUMPRODUCT(('حجز الإجازات'!$B$5:$B$104='الموظفون'!$B$6)*('حجز الإجازات'!$D$5:$D$104&lt;=MI$3)*(('حجز الإجازات'!$E$5:$E$104)&gt;=MI$3)*('حجز الإجازات'!$G$5:$G$104="معتمد")*ROW('حجز الإجازات'!$B$5:$B$104)))-5+1))</f>
        <v/>
      </c>
      <c r="MJ8" s="62">
        <f>IF(SUMPRODUCT(('حجز الإجازات'!$B$5:$B$104='الموظفون'!$B$6)*('حجز الإجازات'!$D$5:$D$104&lt;=MJ$3)*(('حجز الإجازات'!$E$5:$E$104)&gt;=MJ$3)*('حجز الإجازات'!$G$5:$G$104="معتمد")*ROW('حجز الإجازات'!$B$5:$B$104))=0,"",INDEX('حجز الإجازات'!$C$5:$C$104,(SUMPRODUCT(('حجز الإجازات'!$B$5:$B$104='الموظفون'!$B$6)*('حجز الإجازات'!$D$5:$D$104&lt;=MJ$3)*(('حجز الإجازات'!$E$5:$E$104)&gt;=MJ$3)*('حجز الإجازات'!$G$5:$G$104="معتمد")*ROW('حجز الإجازات'!$B$5:$B$104)))-5+1))</f>
        <v/>
      </c>
      <c r="MK8" s="62">
        <f>IF(SUMPRODUCT(('حجز الإجازات'!$B$5:$B$104='الموظفون'!$B$6)*('حجز الإجازات'!$D$5:$D$104&lt;=MK$3)*(('حجز الإجازات'!$E$5:$E$104)&gt;=MK$3)*('حجز الإجازات'!$G$5:$G$104="معتمد")*ROW('حجز الإجازات'!$B$5:$B$104))=0,"",INDEX('حجز الإجازات'!$C$5:$C$104,(SUMPRODUCT(('حجز الإجازات'!$B$5:$B$104='الموظفون'!$B$6)*('حجز الإجازات'!$D$5:$D$104&lt;=MK$3)*(('حجز الإجازات'!$E$5:$E$104)&gt;=MK$3)*('حجز الإجازات'!$G$5:$G$104="معتمد")*ROW('حجز الإجازات'!$B$5:$B$104)))-5+1))</f>
        <v/>
      </c>
      <c r="ML8" s="62">
        <f>IF(SUMPRODUCT(('حجز الإجازات'!$B$5:$B$104='الموظفون'!$B$6)*('حجز الإجازات'!$D$5:$D$104&lt;=ML$3)*(('حجز الإجازات'!$E$5:$E$104)&gt;=ML$3)*('حجز الإجازات'!$G$5:$G$104="معتمد")*ROW('حجز الإجازات'!$B$5:$B$104))=0,"",INDEX('حجز الإجازات'!$C$5:$C$104,(SUMPRODUCT(('حجز الإجازات'!$B$5:$B$104='الموظفون'!$B$6)*('حجز الإجازات'!$D$5:$D$104&lt;=ML$3)*(('حجز الإجازات'!$E$5:$E$104)&gt;=ML$3)*('حجز الإجازات'!$G$5:$G$104="معتمد")*ROW('حجز الإجازات'!$B$5:$B$104)))-5+1))</f>
        <v/>
      </c>
      <c r="MM8" s="62">
        <f>IF(SUMPRODUCT(('حجز الإجازات'!$B$5:$B$104='الموظفون'!$B$6)*('حجز الإجازات'!$D$5:$D$104&lt;=MM$3)*(('حجز الإجازات'!$E$5:$E$104)&gt;=MM$3)*('حجز الإجازات'!$G$5:$G$104="معتمد")*ROW('حجز الإجازات'!$B$5:$B$104))=0,"",INDEX('حجز الإجازات'!$C$5:$C$104,(SUMPRODUCT(('حجز الإجازات'!$B$5:$B$104='الموظفون'!$B$6)*('حجز الإجازات'!$D$5:$D$104&lt;=MM$3)*(('حجز الإجازات'!$E$5:$E$104)&gt;=MM$3)*('حجز الإجازات'!$G$5:$G$104="معتمد")*ROW('حجز الإجازات'!$B$5:$B$104)))-5+1))</f>
        <v/>
      </c>
      <c r="MN8" s="62">
        <f>IF(SUMPRODUCT(('حجز الإجازات'!$B$5:$B$104='الموظفون'!$B$6)*('حجز الإجازات'!$D$5:$D$104&lt;=MN$3)*(('حجز الإجازات'!$E$5:$E$104)&gt;=MN$3)*('حجز الإجازات'!$G$5:$G$104="معتمد")*ROW('حجز الإجازات'!$B$5:$B$104))=0,"",INDEX('حجز الإجازات'!$C$5:$C$104,(SUMPRODUCT(('حجز الإجازات'!$B$5:$B$104='الموظفون'!$B$6)*('حجز الإجازات'!$D$5:$D$104&lt;=MN$3)*(('حجز الإجازات'!$E$5:$E$104)&gt;=MN$3)*('حجز الإجازات'!$G$5:$G$104="معتمد")*ROW('حجز الإجازات'!$B$5:$B$104)))-5+1))</f>
        <v/>
      </c>
      <c r="MO8" s="62">
        <f>IF(SUMPRODUCT(('حجز الإجازات'!$B$5:$B$104='الموظفون'!$B$6)*('حجز الإجازات'!$D$5:$D$104&lt;=MO$3)*(('حجز الإجازات'!$E$5:$E$104)&gt;=MO$3)*('حجز الإجازات'!$G$5:$G$104="معتمد")*ROW('حجز الإجازات'!$B$5:$B$104))=0,"",INDEX('حجز الإجازات'!$C$5:$C$104,(SUMPRODUCT(('حجز الإجازات'!$B$5:$B$104='الموظفون'!$B$6)*('حجز الإجازات'!$D$5:$D$104&lt;=MO$3)*(('حجز الإجازات'!$E$5:$E$104)&gt;=MO$3)*('حجز الإجازات'!$G$5:$G$104="معتمد")*ROW('حجز الإجازات'!$B$5:$B$104)))-5+1))</f>
        <v/>
      </c>
      <c r="MP8" s="62">
        <f>IF(SUMPRODUCT(('حجز الإجازات'!$B$5:$B$104='الموظفون'!$B$6)*('حجز الإجازات'!$D$5:$D$104&lt;=MP$3)*(('حجز الإجازات'!$E$5:$E$104)&gt;=MP$3)*('حجز الإجازات'!$G$5:$G$104="معتمد")*ROW('حجز الإجازات'!$B$5:$B$104))=0,"",INDEX('حجز الإجازات'!$C$5:$C$104,(SUMPRODUCT(('حجز الإجازات'!$B$5:$B$104='الموظفون'!$B$6)*('حجز الإجازات'!$D$5:$D$104&lt;=MP$3)*(('حجز الإجازات'!$E$5:$E$104)&gt;=MP$3)*('حجز الإجازات'!$G$5:$G$104="معتمد")*ROW('حجز الإجازات'!$B$5:$B$104)))-5+1))</f>
        <v/>
      </c>
      <c r="MQ8" s="62">
        <f>IF(SUMPRODUCT(('حجز الإجازات'!$B$5:$B$104='الموظفون'!$B$6)*('حجز الإجازات'!$D$5:$D$104&lt;=MQ$3)*(('حجز الإجازات'!$E$5:$E$104)&gt;=MQ$3)*('حجز الإجازات'!$G$5:$G$104="معتمد")*ROW('حجز الإجازات'!$B$5:$B$104))=0,"",INDEX('حجز الإجازات'!$C$5:$C$104,(SUMPRODUCT(('حجز الإجازات'!$B$5:$B$104='الموظفون'!$B$6)*('حجز الإجازات'!$D$5:$D$104&lt;=MQ$3)*(('حجز الإجازات'!$E$5:$E$104)&gt;=MQ$3)*('حجز الإجازات'!$G$5:$G$104="معتمد")*ROW('حجز الإجازات'!$B$5:$B$104)))-5+1))</f>
        <v/>
      </c>
      <c r="MR8" s="62">
        <f>IF(SUMPRODUCT(('حجز الإجازات'!$B$5:$B$104='الموظفون'!$B$6)*('حجز الإجازات'!$D$5:$D$104&lt;=MR$3)*(('حجز الإجازات'!$E$5:$E$104)&gt;=MR$3)*('حجز الإجازات'!$G$5:$G$104="معتمد")*ROW('حجز الإجازات'!$B$5:$B$104))=0,"",INDEX('حجز الإجازات'!$C$5:$C$104,(SUMPRODUCT(('حجز الإجازات'!$B$5:$B$104='الموظفون'!$B$6)*('حجز الإجازات'!$D$5:$D$104&lt;=MR$3)*(('حجز الإجازات'!$E$5:$E$104)&gt;=MR$3)*('حجز الإجازات'!$G$5:$G$104="معتمد")*ROW('حجز الإجازات'!$B$5:$B$104)))-5+1))</f>
        <v/>
      </c>
      <c r="MS8" s="62">
        <f>IF(SUMPRODUCT(('حجز الإجازات'!$B$5:$B$104='الموظفون'!$B$6)*('حجز الإجازات'!$D$5:$D$104&lt;=MS$3)*(('حجز الإجازات'!$E$5:$E$104)&gt;=MS$3)*('حجز الإجازات'!$G$5:$G$104="معتمد")*ROW('حجز الإجازات'!$B$5:$B$104))=0,"",INDEX('حجز الإجازات'!$C$5:$C$104,(SUMPRODUCT(('حجز الإجازات'!$B$5:$B$104='الموظفون'!$B$6)*('حجز الإجازات'!$D$5:$D$104&lt;=MS$3)*(('حجز الإجازات'!$E$5:$E$104)&gt;=MS$3)*('حجز الإجازات'!$G$5:$G$104="معتمد")*ROW('حجز الإجازات'!$B$5:$B$104)))-5+1))</f>
        <v/>
      </c>
      <c r="MT8" s="62">
        <f>IF(SUMPRODUCT(('حجز الإجازات'!$B$5:$B$104='الموظفون'!$B$6)*('حجز الإجازات'!$D$5:$D$104&lt;=MT$3)*(('حجز الإجازات'!$E$5:$E$104)&gt;=MT$3)*('حجز الإجازات'!$G$5:$G$104="معتمد")*ROW('حجز الإجازات'!$B$5:$B$104))=0,"",INDEX('حجز الإجازات'!$C$5:$C$104,(SUMPRODUCT(('حجز الإجازات'!$B$5:$B$104='الموظفون'!$B$6)*('حجز الإجازات'!$D$5:$D$104&lt;=MT$3)*(('حجز الإجازات'!$E$5:$E$104)&gt;=MT$3)*('حجز الإجازات'!$G$5:$G$104="معتمد")*ROW('حجز الإجازات'!$B$5:$B$104)))-5+1))</f>
        <v/>
      </c>
      <c r="MU8" s="62">
        <f>IF(SUMPRODUCT(('حجز الإجازات'!$B$5:$B$104='الموظفون'!$B$6)*('حجز الإجازات'!$D$5:$D$104&lt;=MU$3)*(('حجز الإجازات'!$E$5:$E$104)&gt;=MU$3)*('حجز الإجازات'!$G$5:$G$104="معتمد")*ROW('حجز الإجازات'!$B$5:$B$104))=0,"",INDEX('حجز الإجازات'!$C$5:$C$104,(SUMPRODUCT(('حجز الإجازات'!$B$5:$B$104='الموظفون'!$B$6)*('حجز الإجازات'!$D$5:$D$104&lt;=MU$3)*(('حجز الإجازات'!$E$5:$E$104)&gt;=MU$3)*('حجز الإجازات'!$G$5:$G$104="معتمد")*ROW('حجز الإجازات'!$B$5:$B$104)))-5+1))</f>
        <v/>
      </c>
      <c r="MV8" s="62">
        <f>IF(SUMPRODUCT(('حجز الإجازات'!$B$5:$B$104='الموظفون'!$B$6)*('حجز الإجازات'!$D$5:$D$104&lt;=MV$3)*(('حجز الإجازات'!$E$5:$E$104)&gt;=MV$3)*('حجز الإجازات'!$G$5:$G$104="معتمد")*ROW('حجز الإجازات'!$B$5:$B$104))=0,"",INDEX('حجز الإجازات'!$C$5:$C$104,(SUMPRODUCT(('حجز الإجازات'!$B$5:$B$104='الموظفون'!$B$6)*('حجز الإجازات'!$D$5:$D$104&lt;=MV$3)*(('حجز الإجازات'!$E$5:$E$104)&gt;=MV$3)*('حجز الإجازات'!$G$5:$G$104="معتمد")*ROW('حجز الإجازات'!$B$5:$B$104)))-5+1))</f>
        <v/>
      </c>
      <c r="MW8" s="62">
        <f>IF(SUMPRODUCT(('حجز الإجازات'!$B$5:$B$104='الموظفون'!$B$6)*('حجز الإجازات'!$D$5:$D$104&lt;=MW$3)*(('حجز الإجازات'!$E$5:$E$104)&gt;=MW$3)*('حجز الإجازات'!$G$5:$G$104="معتمد")*ROW('حجز الإجازات'!$B$5:$B$104))=0,"",INDEX('حجز الإجازات'!$C$5:$C$104,(SUMPRODUCT(('حجز الإجازات'!$B$5:$B$104='الموظفون'!$B$6)*('حجز الإجازات'!$D$5:$D$104&lt;=MW$3)*(('حجز الإجازات'!$E$5:$E$104)&gt;=MW$3)*('حجز الإجازات'!$G$5:$G$104="معتمد")*ROW('حجز الإجازات'!$B$5:$B$104)))-5+1))</f>
        <v/>
      </c>
      <c r="MX8" s="62">
        <f>IF(SUMPRODUCT(('حجز الإجازات'!$B$5:$B$104='الموظفون'!$B$6)*('حجز الإجازات'!$D$5:$D$104&lt;=MX$3)*(('حجز الإجازات'!$E$5:$E$104)&gt;=MX$3)*('حجز الإجازات'!$G$5:$G$104="معتمد")*ROW('حجز الإجازات'!$B$5:$B$104))=0,"",INDEX('حجز الإجازات'!$C$5:$C$104,(SUMPRODUCT(('حجز الإجازات'!$B$5:$B$104='الموظفون'!$B$6)*('حجز الإجازات'!$D$5:$D$104&lt;=MX$3)*(('حجز الإجازات'!$E$5:$E$104)&gt;=MX$3)*('حجز الإجازات'!$G$5:$G$104="معتمد")*ROW('حجز الإجازات'!$B$5:$B$104)))-5+1))</f>
        <v/>
      </c>
      <c r="MY8" s="62">
        <f>IF(SUMPRODUCT(('حجز الإجازات'!$B$5:$B$104='الموظفون'!$B$6)*('حجز الإجازات'!$D$5:$D$104&lt;=MY$3)*(('حجز الإجازات'!$E$5:$E$104)&gt;=MY$3)*('حجز الإجازات'!$G$5:$G$104="معتمد")*ROW('حجز الإجازات'!$B$5:$B$104))=0,"",INDEX('حجز الإجازات'!$C$5:$C$104,(SUMPRODUCT(('حجز الإجازات'!$B$5:$B$104='الموظفون'!$B$6)*('حجز الإجازات'!$D$5:$D$104&lt;=MY$3)*(('حجز الإجازات'!$E$5:$E$104)&gt;=MY$3)*('حجز الإجازات'!$G$5:$G$104="معتمد")*ROW('حجز الإجازات'!$B$5:$B$104)))-5+1))</f>
        <v/>
      </c>
      <c r="MZ8" s="62">
        <f>IF(SUMPRODUCT(('حجز الإجازات'!$B$5:$B$104='الموظفون'!$B$6)*('حجز الإجازات'!$D$5:$D$104&lt;=MZ$3)*(('حجز الإجازات'!$E$5:$E$104)&gt;=MZ$3)*('حجز الإجازات'!$G$5:$G$104="معتمد")*ROW('حجز الإجازات'!$B$5:$B$104))=0,"",INDEX('حجز الإجازات'!$C$5:$C$104,(SUMPRODUCT(('حجز الإجازات'!$B$5:$B$104='الموظفون'!$B$6)*('حجز الإجازات'!$D$5:$D$104&lt;=MZ$3)*(('حجز الإجازات'!$E$5:$E$104)&gt;=MZ$3)*('حجز الإجازات'!$G$5:$G$104="معتمد")*ROW('حجز الإجازات'!$B$5:$B$104)))-5+1))</f>
        <v/>
      </c>
      <c r="NA8" s="62">
        <f>IF(SUMPRODUCT(('حجز الإجازات'!$B$5:$B$104='الموظفون'!$B$6)*('حجز الإجازات'!$D$5:$D$104&lt;=NA$3)*(('حجز الإجازات'!$E$5:$E$104)&gt;=NA$3)*('حجز الإجازات'!$G$5:$G$104="معتمد")*ROW('حجز الإجازات'!$B$5:$B$104))=0,"",INDEX('حجز الإجازات'!$C$5:$C$104,(SUMPRODUCT(('حجز الإجازات'!$B$5:$B$104='الموظفون'!$B$6)*('حجز الإجازات'!$D$5:$D$104&lt;=NA$3)*(('حجز الإجازات'!$E$5:$E$104)&gt;=NA$3)*('حجز الإجازات'!$G$5:$G$104="معتمد")*ROW('حجز الإجازات'!$B$5:$B$104)))-5+1))</f>
        <v/>
      </c>
      <c r="NB8" s="62">
        <f>IF(SUMPRODUCT(('حجز الإجازات'!$B$5:$B$104='الموظفون'!$B$6)*('حجز الإجازات'!$D$5:$D$104&lt;=NB$3)*(('حجز الإجازات'!$E$5:$E$104)&gt;=NB$3)*('حجز الإجازات'!$G$5:$G$104="معتمد")*ROW('حجز الإجازات'!$B$5:$B$104))=0,"",INDEX('حجز الإجازات'!$C$5:$C$104,(SUMPRODUCT(('حجز الإجازات'!$B$5:$B$104='الموظفون'!$B$6)*('حجز الإجازات'!$D$5:$D$104&lt;=NB$3)*(('حجز الإجازات'!$E$5:$E$104)&gt;=NB$3)*('حجز الإجازات'!$G$5:$G$104="معتمد")*ROW('حجز الإجازات'!$B$5:$B$104)))-5+1))</f>
        <v/>
      </c>
      <c r="NC8" s="62">
        <f>IF(SUMPRODUCT(('حجز الإجازات'!$B$5:$B$104='الموظفون'!$B$6)*('حجز الإجازات'!$D$5:$D$104&lt;=NC$3)*(('حجز الإجازات'!$E$5:$E$104)&gt;=NC$3)*('حجز الإجازات'!$G$5:$G$104="معتمد")*ROW('حجز الإجازات'!$B$5:$B$104))=0,"",INDEX('حجز الإجازات'!$C$5:$C$104,(SUMPRODUCT(('حجز الإجازات'!$B$5:$B$104='الموظفون'!$B$6)*('حجز الإجازات'!$D$5:$D$104&lt;=NC$3)*(('حجز الإجازات'!$E$5:$E$104)&gt;=NC$3)*('حجز الإجازات'!$G$5:$G$104="معتمد")*ROW('حجز الإجازات'!$B$5:$B$104)))-5+1))</f>
        <v/>
      </c>
      <c r="ND8" s="62">
        <f>IF(SUMPRODUCT(('حجز الإجازات'!$B$5:$B$104='الموظفون'!$B$6)*('حجز الإجازات'!$D$5:$D$104&lt;=ND$3)*(('حجز الإجازات'!$E$5:$E$104)&gt;=ND$3)*('حجز الإجازات'!$G$5:$G$104="معتمد")*ROW('حجز الإجازات'!$B$5:$B$104))=0,"",INDEX('حجز الإجازات'!$C$5:$C$104,(SUMPRODUCT(('حجز الإجازات'!$B$5:$B$104='الموظفون'!$B$6)*('حجز الإجازات'!$D$5:$D$104&lt;=ND$3)*(('حجز الإجازات'!$E$5:$E$104)&gt;=ND$3)*('حجز الإجازات'!$G$5:$G$104="معتمد")*ROW('حجز الإجازات'!$B$5:$B$104)))-5+1))</f>
        <v/>
      </c>
      <c r="NE8" s="74">
        <f>SUMPRODUCT(--(D8:ND8&lt;&gt;""))</f>
        <v/>
      </c>
    </row>
    <row r="9">
      <c r="A9" s="16" t="n">
        <v>6</v>
      </c>
      <c r="B9" s="22">
        <f>'الموظفون'!B7</f>
        <v/>
      </c>
      <c r="C9" s="16">
        <f>'الموظفون'!C7</f>
        <v/>
      </c>
      <c r="D9" s="62">
        <f>IF(SUMPRODUCT(('حجز الإجازات'!$B$5:$B$104='الموظفون'!$B$7)*('حجز الإجازات'!$D$5:$D$104&lt;=D$3)*(('حجز الإجازات'!$E$5:$E$104)&gt;=D$3)*('حجز الإجازات'!$G$5:$G$104="معتمد")*ROW('حجز الإجازات'!$B$5:$B$104))=0,"",INDEX('حجز الإجازات'!$C$5:$C$104,(SUMPRODUCT(('حجز الإجازات'!$B$5:$B$104='الموظفون'!$B$7)*('حجز الإجازات'!$D$5:$D$104&lt;=D$3)*(('حجز الإجازات'!$E$5:$E$104)&gt;=D$3)*('حجز الإجازات'!$G$5:$G$104="معتمد")*ROW('حجز الإجازات'!$B$5:$B$104)))-5+1))</f>
        <v/>
      </c>
      <c r="E9" s="62">
        <f>IF(SUMPRODUCT(('حجز الإجازات'!$B$5:$B$104='الموظفون'!$B$7)*('حجز الإجازات'!$D$5:$D$104&lt;=E$3)*(('حجز الإجازات'!$E$5:$E$104)&gt;=E$3)*('حجز الإجازات'!$G$5:$G$104="معتمد")*ROW('حجز الإجازات'!$B$5:$B$104))=0,"",INDEX('حجز الإجازات'!$C$5:$C$104,(SUMPRODUCT(('حجز الإجازات'!$B$5:$B$104='الموظفون'!$B$7)*('حجز الإجازات'!$D$5:$D$104&lt;=E$3)*(('حجز الإجازات'!$E$5:$E$104)&gt;=E$3)*('حجز الإجازات'!$G$5:$G$104="معتمد")*ROW('حجز الإجازات'!$B$5:$B$104)))-5+1))</f>
        <v/>
      </c>
      <c r="F9" s="62">
        <f>IF(SUMPRODUCT(('حجز الإجازات'!$B$5:$B$104='الموظفون'!$B$7)*('حجز الإجازات'!$D$5:$D$104&lt;=F$3)*(('حجز الإجازات'!$E$5:$E$104)&gt;=F$3)*('حجز الإجازات'!$G$5:$G$104="معتمد")*ROW('حجز الإجازات'!$B$5:$B$104))=0,"",INDEX('حجز الإجازات'!$C$5:$C$104,(SUMPRODUCT(('حجز الإجازات'!$B$5:$B$104='الموظفون'!$B$7)*('حجز الإجازات'!$D$5:$D$104&lt;=F$3)*(('حجز الإجازات'!$E$5:$E$104)&gt;=F$3)*('حجز الإجازات'!$G$5:$G$104="معتمد")*ROW('حجز الإجازات'!$B$5:$B$104)))-5+1))</f>
        <v/>
      </c>
      <c r="G9" s="62">
        <f>IF(SUMPRODUCT(('حجز الإجازات'!$B$5:$B$104='الموظفون'!$B$7)*('حجز الإجازات'!$D$5:$D$104&lt;=G$3)*(('حجز الإجازات'!$E$5:$E$104)&gt;=G$3)*('حجز الإجازات'!$G$5:$G$104="معتمد")*ROW('حجز الإجازات'!$B$5:$B$104))=0,"",INDEX('حجز الإجازات'!$C$5:$C$104,(SUMPRODUCT(('حجز الإجازات'!$B$5:$B$104='الموظفون'!$B$7)*('حجز الإجازات'!$D$5:$D$104&lt;=G$3)*(('حجز الإجازات'!$E$5:$E$104)&gt;=G$3)*('حجز الإجازات'!$G$5:$G$104="معتمد")*ROW('حجز الإجازات'!$B$5:$B$104)))-5+1))</f>
        <v/>
      </c>
      <c r="H9" s="62">
        <f>IF(SUMPRODUCT(('حجز الإجازات'!$B$5:$B$104='الموظفون'!$B$7)*('حجز الإجازات'!$D$5:$D$104&lt;=H$3)*(('حجز الإجازات'!$E$5:$E$104)&gt;=H$3)*('حجز الإجازات'!$G$5:$G$104="معتمد")*ROW('حجز الإجازات'!$B$5:$B$104))=0,"",INDEX('حجز الإجازات'!$C$5:$C$104,(SUMPRODUCT(('حجز الإجازات'!$B$5:$B$104='الموظفون'!$B$7)*('حجز الإجازات'!$D$5:$D$104&lt;=H$3)*(('حجز الإجازات'!$E$5:$E$104)&gt;=H$3)*('حجز الإجازات'!$G$5:$G$104="معتمد")*ROW('حجز الإجازات'!$B$5:$B$104)))-5+1))</f>
        <v/>
      </c>
      <c r="I9" s="62">
        <f>IF(SUMPRODUCT(('حجز الإجازات'!$B$5:$B$104='الموظفون'!$B$7)*('حجز الإجازات'!$D$5:$D$104&lt;=I$3)*(('حجز الإجازات'!$E$5:$E$104)&gt;=I$3)*('حجز الإجازات'!$G$5:$G$104="معتمد")*ROW('حجز الإجازات'!$B$5:$B$104))=0,"",INDEX('حجز الإجازات'!$C$5:$C$104,(SUMPRODUCT(('حجز الإجازات'!$B$5:$B$104='الموظفون'!$B$7)*('حجز الإجازات'!$D$5:$D$104&lt;=I$3)*(('حجز الإجازات'!$E$5:$E$104)&gt;=I$3)*('حجز الإجازات'!$G$5:$G$104="معتمد")*ROW('حجز الإجازات'!$B$5:$B$104)))-5+1))</f>
        <v/>
      </c>
      <c r="J9" s="62">
        <f>IF(SUMPRODUCT(('حجز الإجازات'!$B$5:$B$104='الموظفون'!$B$7)*('حجز الإجازات'!$D$5:$D$104&lt;=J$3)*(('حجز الإجازات'!$E$5:$E$104)&gt;=J$3)*('حجز الإجازات'!$G$5:$G$104="معتمد")*ROW('حجز الإجازات'!$B$5:$B$104))=0,"",INDEX('حجز الإجازات'!$C$5:$C$104,(SUMPRODUCT(('حجز الإجازات'!$B$5:$B$104='الموظفون'!$B$7)*('حجز الإجازات'!$D$5:$D$104&lt;=J$3)*(('حجز الإجازات'!$E$5:$E$104)&gt;=J$3)*('حجز الإجازات'!$G$5:$G$104="معتمد")*ROW('حجز الإجازات'!$B$5:$B$104)))-5+1))</f>
        <v/>
      </c>
      <c r="K9" s="62">
        <f>IF(SUMPRODUCT(('حجز الإجازات'!$B$5:$B$104='الموظفون'!$B$7)*('حجز الإجازات'!$D$5:$D$104&lt;=K$3)*(('حجز الإجازات'!$E$5:$E$104)&gt;=K$3)*('حجز الإجازات'!$G$5:$G$104="معتمد")*ROW('حجز الإجازات'!$B$5:$B$104))=0,"",INDEX('حجز الإجازات'!$C$5:$C$104,(SUMPRODUCT(('حجز الإجازات'!$B$5:$B$104='الموظفون'!$B$7)*('حجز الإجازات'!$D$5:$D$104&lt;=K$3)*(('حجز الإجازات'!$E$5:$E$104)&gt;=K$3)*('حجز الإجازات'!$G$5:$G$104="معتمد")*ROW('حجز الإجازات'!$B$5:$B$104)))-5+1))</f>
        <v/>
      </c>
      <c r="L9" s="62">
        <f>IF(SUMPRODUCT(('حجز الإجازات'!$B$5:$B$104='الموظفون'!$B$7)*('حجز الإجازات'!$D$5:$D$104&lt;=L$3)*(('حجز الإجازات'!$E$5:$E$104)&gt;=L$3)*('حجز الإجازات'!$G$5:$G$104="معتمد")*ROW('حجز الإجازات'!$B$5:$B$104))=0,"",INDEX('حجز الإجازات'!$C$5:$C$104,(SUMPRODUCT(('حجز الإجازات'!$B$5:$B$104='الموظفون'!$B$7)*('حجز الإجازات'!$D$5:$D$104&lt;=L$3)*(('حجز الإجازات'!$E$5:$E$104)&gt;=L$3)*('حجز الإجازات'!$G$5:$G$104="معتمد")*ROW('حجز الإجازات'!$B$5:$B$104)))-5+1))</f>
        <v/>
      </c>
      <c r="M9" s="62">
        <f>IF(SUMPRODUCT(('حجز الإجازات'!$B$5:$B$104='الموظفون'!$B$7)*('حجز الإجازات'!$D$5:$D$104&lt;=M$3)*(('حجز الإجازات'!$E$5:$E$104)&gt;=M$3)*('حجز الإجازات'!$G$5:$G$104="معتمد")*ROW('حجز الإجازات'!$B$5:$B$104))=0,"",INDEX('حجز الإجازات'!$C$5:$C$104,(SUMPRODUCT(('حجز الإجازات'!$B$5:$B$104='الموظفون'!$B$7)*('حجز الإجازات'!$D$5:$D$104&lt;=M$3)*(('حجز الإجازات'!$E$5:$E$104)&gt;=M$3)*('حجز الإجازات'!$G$5:$G$104="معتمد")*ROW('حجز الإجازات'!$B$5:$B$104)))-5+1))</f>
        <v/>
      </c>
      <c r="N9" s="62">
        <f>IF(SUMPRODUCT(('حجز الإجازات'!$B$5:$B$104='الموظفون'!$B$7)*('حجز الإجازات'!$D$5:$D$104&lt;=N$3)*(('حجز الإجازات'!$E$5:$E$104)&gt;=N$3)*('حجز الإجازات'!$G$5:$G$104="معتمد")*ROW('حجز الإجازات'!$B$5:$B$104))=0,"",INDEX('حجز الإجازات'!$C$5:$C$104,(SUMPRODUCT(('حجز الإجازات'!$B$5:$B$104='الموظفون'!$B$7)*('حجز الإجازات'!$D$5:$D$104&lt;=N$3)*(('حجز الإجازات'!$E$5:$E$104)&gt;=N$3)*('حجز الإجازات'!$G$5:$G$104="معتمد")*ROW('حجز الإجازات'!$B$5:$B$104)))-5+1))</f>
        <v/>
      </c>
      <c r="O9" s="62">
        <f>IF(SUMPRODUCT(('حجز الإجازات'!$B$5:$B$104='الموظفون'!$B$7)*('حجز الإجازات'!$D$5:$D$104&lt;=O$3)*(('حجز الإجازات'!$E$5:$E$104)&gt;=O$3)*('حجز الإجازات'!$G$5:$G$104="معتمد")*ROW('حجز الإجازات'!$B$5:$B$104))=0,"",INDEX('حجز الإجازات'!$C$5:$C$104,(SUMPRODUCT(('حجز الإجازات'!$B$5:$B$104='الموظفون'!$B$7)*('حجز الإجازات'!$D$5:$D$104&lt;=O$3)*(('حجز الإجازات'!$E$5:$E$104)&gt;=O$3)*('حجز الإجازات'!$G$5:$G$104="معتمد")*ROW('حجز الإجازات'!$B$5:$B$104)))-5+1))</f>
        <v/>
      </c>
      <c r="P9" s="62">
        <f>IF(SUMPRODUCT(('حجز الإجازات'!$B$5:$B$104='الموظفون'!$B$7)*('حجز الإجازات'!$D$5:$D$104&lt;=P$3)*(('حجز الإجازات'!$E$5:$E$104)&gt;=P$3)*('حجز الإجازات'!$G$5:$G$104="معتمد")*ROW('حجز الإجازات'!$B$5:$B$104))=0,"",INDEX('حجز الإجازات'!$C$5:$C$104,(SUMPRODUCT(('حجز الإجازات'!$B$5:$B$104='الموظفون'!$B$7)*('حجز الإجازات'!$D$5:$D$104&lt;=P$3)*(('حجز الإجازات'!$E$5:$E$104)&gt;=P$3)*('حجز الإجازات'!$G$5:$G$104="معتمد")*ROW('حجز الإجازات'!$B$5:$B$104)))-5+1))</f>
        <v/>
      </c>
      <c r="Q9" s="62">
        <f>IF(SUMPRODUCT(('حجز الإجازات'!$B$5:$B$104='الموظفون'!$B$7)*('حجز الإجازات'!$D$5:$D$104&lt;=Q$3)*(('حجز الإجازات'!$E$5:$E$104)&gt;=Q$3)*('حجز الإجازات'!$G$5:$G$104="معتمد")*ROW('حجز الإجازات'!$B$5:$B$104))=0,"",INDEX('حجز الإجازات'!$C$5:$C$104,(SUMPRODUCT(('حجز الإجازات'!$B$5:$B$104='الموظفون'!$B$7)*('حجز الإجازات'!$D$5:$D$104&lt;=Q$3)*(('حجز الإجازات'!$E$5:$E$104)&gt;=Q$3)*('حجز الإجازات'!$G$5:$G$104="معتمد")*ROW('حجز الإجازات'!$B$5:$B$104)))-5+1))</f>
        <v/>
      </c>
      <c r="R9" s="62">
        <f>IF(SUMPRODUCT(('حجز الإجازات'!$B$5:$B$104='الموظفون'!$B$7)*('حجز الإجازات'!$D$5:$D$104&lt;=R$3)*(('حجز الإجازات'!$E$5:$E$104)&gt;=R$3)*('حجز الإجازات'!$G$5:$G$104="معتمد")*ROW('حجز الإجازات'!$B$5:$B$104))=0,"",INDEX('حجز الإجازات'!$C$5:$C$104,(SUMPRODUCT(('حجز الإجازات'!$B$5:$B$104='الموظفون'!$B$7)*('حجز الإجازات'!$D$5:$D$104&lt;=R$3)*(('حجز الإجازات'!$E$5:$E$104)&gt;=R$3)*('حجز الإجازات'!$G$5:$G$104="معتمد")*ROW('حجز الإجازات'!$B$5:$B$104)))-5+1))</f>
        <v/>
      </c>
      <c r="S9" s="62">
        <f>IF(SUMPRODUCT(('حجز الإجازات'!$B$5:$B$104='الموظفون'!$B$7)*('حجز الإجازات'!$D$5:$D$104&lt;=S$3)*(('حجز الإجازات'!$E$5:$E$104)&gt;=S$3)*('حجز الإجازات'!$G$5:$G$104="معتمد")*ROW('حجز الإجازات'!$B$5:$B$104))=0,"",INDEX('حجز الإجازات'!$C$5:$C$104,(SUMPRODUCT(('حجز الإجازات'!$B$5:$B$104='الموظفون'!$B$7)*('حجز الإجازات'!$D$5:$D$104&lt;=S$3)*(('حجز الإجازات'!$E$5:$E$104)&gt;=S$3)*('حجز الإجازات'!$G$5:$G$104="معتمد")*ROW('حجز الإجازات'!$B$5:$B$104)))-5+1))</f>
        <v/>
      </c>
      <c r="T9" s="62">
        <f>IF(SUMPRODUCT(('حجز الإجازات'!$B$5:$B$104='الموظفون'!$B$7)*('حجز الإجازات'!$D$5:$D$104&lt;=T$3)*(('حجز الإجازات'!$E$5:$E$104)&gt;=T$3)*('حجز الإجازات'!$G$5:$G$104="معتمد")*ROW('حجز الإجازات'!$B$5:$B$104))=0,"",INDEX('حجز الإجازات'!$C$5:$C$104,(SUMPRODUCT(('حجز الإجازات'!$B$5:$B$104='الموظفون'!$B$7)*('حجز الإجازات'!$D$5:$D$104&lt;=T$3)*(('حجز الإجازات'!$E$5:$E$104)&gt;=T$3)*('حجز الإجازات'!$G$5:$G$104="معتمد")*ROW('حجز الإجازات'!$B$5:$B$104)))-5+1))</f>
        <v/>
      </c>
      <c r="U9" s="62">
        <f>IF(SUMPRODUCT(('حجز الإجازات'!$B$5:$B$104='الموظفون'!$B$7)*('حجز الإجازات'!$D$5:$D$104&lt;=U$3)*(('حجز الإجازات'!$E$5:$E$104)&gt;=U$3)*('حجز الإجازات'!$G$5:$G$104="معتمد")*ROW('حجز الإجازات'!$B$5:$B$104))=0,"",INDEX('حجز الإجازات'!$C$5:$C$104,(SUMPRODUCT(('حجز الإجازات'!$B$5:$B$104='الموظفون'!$B$7)*('حجز الإجازات'!$D$5:$D$104&lt;=U$3)*(('حجز الإجازات'!$E$5:$E$104)&gt;=U$3)*('حجز الإجازات'!$G$5:$G$104="معتمد")*ROW('حجز الإجازات'!$B$5:$B$104)))-5+1))</f>
        <v/>
      </c>
      <c r="V9" s="62">
        <f>IF(SUMPRODUCT(('حجز الإجازات'!$B$5:$B$104='الموظفون'!$B$7)*('حجز الإجازات'!$D$5:$D$104&lt;=V$3)*(('حجز الإجازات'!$E$5:$E$104)&gt;=V$3)*('حجز الإجازات'!$G$5:$G$104="معتمد")*ROW('حجز الإجازات'!$B$5:$B$104))=0,"",INDEX('حجز الإجازات'!$C$5:$C$104,(SUMPRODUCT(('حجز الإجازات'!$B$5:$B$104='الموظفون'!$B$7)*('حجز الإجازات'!$D$5:$D$104&lt;=V$3)*(('حجز الإجازات'!$E$5:$E$104)&gt;=V$3)*('حجز الإجازات'!$G$5:$G$104="معتمد")*ROW('حجز الإجازات'!$B$5:$B$104)))-5+1))</f>
        <v/>
      </c>
      <c r="W9" s="62">
        <f>IF(SUMPRODUCT(('حجز الإجازات'!$B$5:$B$104='الموظفون'!$B$7)*('حجز الإجازات'!$D$5:$D$104&lt;=W$3)*(('حجز الإجازات'!$E$5:$E$104)&gt;=W$3)*('حجز الإجازات'!$G$5:$G$104="معتمد")*ROW('حجز الإجازات'!$B$5:$B$104))=0,"",INDEX('حجز الإجازات'!$C$5:$C$104,(SUMPRODUCT(('حجز الإجازات'!$B$5:$B$104='الموظفون'!$B$7)*('حجز الإجازات'!$D$5:$D$104&lt;=W$3)*(('حجز الإجازات'!$E$5:$E$104)&gt;=W$3)*('حجز الإجازات'!$G$5:$G$104="معتمد")*ROW('حجز الإجازات'!$B$5:$B$104)))-5+1))</f>
        <v/>
      </c>
      <c r="X9" s="62">
        <f>IF(SUMPRODUCT(('حجز الإجازات'!$B$5:$B$104='الموظفون'!$B$7)*('حجز الإجازات'!$D$5:$D$104&lt;=X$3)*(('حجز الإجازات'!$E$5:$E$104)&gt;=X$3)*('حجز الإجازات'!$G$5:$G$104="معتمد")*ROW('حجز الإجازات'!$B$5:$B$104))=0,"",INDEX('حجز الإجازات'!$C$5:$C$104,(SUMPRODUCT(('حجز الإجازات'!$B$5:$B$104='الموظفون'!$B$7)*('حجز الإجازات'!$D$5:$D$104&lt;=X$3)*(('حجز الإجازات'!$E$5:$E$104)&gt;=X$3)*('حجز الإجازات'!$G$5:$G$104="معتمد")*ROW('حجز الإجازات'!$B$5:$B$104)))-5+1))</f>
        <v/>
      </c>
      <c r="Y9" s="62">
        <f>IF(SUMPRODUCT(('حجز الإجازات'!$B$5:$B$104='الموظفون'!$B$7)*('حجز الإجازات'!$D$5:$D$104&lt;=Y$3)*(('حجز الإجازات'!$E$5:$E$104)&gt;=Y$3)*('حجز الإجازات'!$G$5:$G$104="معتمد")*ROW('حجز الإجازات'!$B$5:$B$104))=0,"",INDEX('حجز الإجازات'!$C$5:$C$104,(SUMPRODUCT(('حجز الإجازات'!$B$5:$B$104='الموظفون'!$B$7)*('حجز الإجازات'!$D$5:$D$104&lt;=Y$3)*(('حجز الإجازات'!$E$5:$E$104)&gt;=Y$3)*('حجز الإجازات'!$G$5:$G$104="معتمد")*ROW('حجز الإجازات'!$B$5:$B$104)))-5+1))</f>
        <v/>
      </c>
      <c r="Z9" s="62">
        <f>IF(SUMPRODUCT(('حجز الإجازات'!$B$5:$B$104='الموظفون'!$B$7)*('حجز الإجازات'!$D$5:$D$104&lt;=Z$3)*(('حجز الإجازات'!$E$5:$E$104)&gt;=Z$3)*('حجز الإجازات'!$G$5:$G$104="معتمد")*ROW('حجز الإجازات'!$B$5:$B$104))=0,"",INDEX('حجز الإجازات'!$C$5:$C$104,(SUMPRODUCT(('حجز الإجازات'!$B$5:$B$104='الموظفون'!$B$7)*('حجز الإجازات'!$D$5:$D$104&lt;=Z$3)*(('حجز الإجازات'!$E$5:$E$104)&gt;=Z$3)*('حجز الإجازات'!$G$5:$G$104="معتمد")*ROW('حجز الإجازات'!$B$5:$B$104)))-5+1))</f>
        <v/>
      </c>
      <c r="AA9" s="62">
        <f>IF(SUMPRODUCT(('حجز الإجازات'!$B$5:$B$104='الموظفون'!$B$7)*('حجز الإجازات'!$D$5:$D$104&lt;=AA$3)*(('حجز الإجازات'!$E$5:$E$104)&gt;=AA$3)*('حجز الإجازات'!$G$5:$G$104="معتمد")*ROW('حجز الإجازات'!$B$5:$B$104))=0,"",INDEX('حجز الإجازات'!$C$5:$C$104,(SUMPRODUCT(('حجز الإجازات'!$B$5:$B$104='الموظفون'!$B$7)*('حجز الإجازات'!$D$5:$D$104&lt;=AA$3)*(('حجز الإجازات'!$E$5:$E$104)&gt;=AA$3)*('حجز الإجازات'!$G$5:$G$104="معتمد")*ROW('حجز الإجازات'!$B$5:$B$104)))-5+1))</f>
        <v/>
      </c>
      <c r="AB9" s="62">
        <f>IF(SUMPRODUCT(('حجز الإجازات'!$B$5:$B$104='الموظفون'!$B$7)*('حجز الإجازات'!$D$5:$D$104&lt;=AB$3)*(('حجز الإجازات'!$E$5:$E$104)&gt;=AB$3)*('حجز الإجازات'!$G$5:$G$104="معتمد")*ROW('حجز الإجازات'!$B$5:$B$104))=0,"",INDEX('حجز الإجازات'!$C$5:$C$104,(SUMPRODUCT(('حجز الإجازات'!$B$5:$B$104='الموظفون'!$B$7)*('حجز الإجازات'!$D$5:$D$104&lt;=AB$3)*(('حجز الإجازات'!$E$5:$E$104)&gt;=AB$3)*('حجز الإجازات'!$G$5:$G$104="معتمد")*ROW('حجز الإجازات'!$B$5:$B$104)))-5+1))</f>
        <v/>
      </c>
      <c r="AC9" s="62">
        <f>IF(SUMPRODUCT(('حجز الإجازات'!$B$5:$B$104='الموظفون'!$B$7)*('حجز الإجازات'!$D$5:$D$104&lt;=AC$3)*(('حجز الإجازات'!$E$5:$E$104)&gt;=AC$3)*('حجز الإجازات'!$G$5:$G$104="معتمد")*ROW('حجز الإجازات'!$B$5:$B$104))=0,"",INDEX('حجز الإجازات'!$C$5:$C$104,(SUMPRODUCT(('حجز الإجازات'!$B$5:$B$104='الموظفون'!$B$7)*('حجز الإجازات'!$D$5:$D$104&lt;=AC$3)*(('حجز الإجازات'!$E$5:$E$104)&gt;=AC$3)*('حجز الإجازات'!$G$5:$G$104="معتمد")*ROW('حجز الإجازات'!$B$5:$B$104)))-5+1))</f>
        <v/>
      </c>
      <c r="AD9" s="62">
        <f>IF(SUMPRODUCT(('حجز الإجازات'!$B$5:$B$104='الموظفون'!$B$7)*('حجز الإجازات'!$D$5:$D$104&lt;=AD$3)*(('حجز الإجازات'!$E$5:$E$104)&gt;=AD$3)*('حجز الإجازات'!$G$5:$G$104="معتمد")*ROW('حجز الإجازات'!$B$5:$B$104))=0,"",INDEX('حجز الإجازات'!$C$5:$C$104,(SUMPRODUCT(('حجز الإجازات'!$B$5:$B$104='الموظفون'!$B$7)*('حجز الإجازات'!$D$5:$D$104&lt;=AD$3)*(('حجز الإجازات'!$E$5:$E$104)&gt;=AD$3)*('حجز الإجازات'!$G$5:$G$104="معتمد")*ROW('حجز الإجازات'!$B$5:$B$104)))-5+1))</f>
        <v/>
      </c>
      <c r="AE9" s="62">
        <f>IF(SUMPRODUCT(('حجز الإجازات'!$B$5:$B$104='الموظفون'!$B$7)*('حجز الإجازات'!$D$5:$D$104&lt;=AE$3)*(('حجز الإجازات'!$E$5:$E$104)&gt;=AE$3)*('حجز الإجازات'!$G$5:$G$104="معتمد")*ROW('حجز الإجازات'!$B$5:$B$104))=0,"",INDEX('حجز الإجازات'!$C$5:$C$104,(SUMPRODUCT(('حجز الإجازات'!$B$5:$B$104='الموظفون'!$B$7)*('حجز الإجازات'!$D$5:$D$104&lt;=AE$3)*(('حجز الإجازات'!$E$5:$E$104)&gt;=AE$3)*('حجز الإجازات'!$G$5:$G$104="معتمد")*ROW('حجز الإجازات'!$B$5:$B$104)))-5+1))</f>
        <v/>
      </c>
      <c r="AF9" s="62">
        <f>IF(SUMPRODUCT(('حجز الإجازات'!$B$5:$B$104='الموظفون'!$B$7)*('حجز الإجازات'!$D$5:$D$104&lt;=AF$3)*(('حجز الإجازات'!$E$5:$E$104)&gt;=AF$3)*('حجز الإجازات'!$G$5:$G$104="معتمد")*ROW('حجز الإجازات'!$B$5:$B$104))=0,"",INDEX('حجز الإجازات'!$C$5:$C$104,(SUMPRODUCT(('حجز الإجازات'!$B$5:$B$104='الموظفون'!$B$7)*('حجز الإجازات'!$D$5:$D$104&lt;=AF$3)*(('حجز الإجازات'!$E$5:$E$104)&gt;=AF$3)*('حجز الإجازات'!$G$5:$G$104="معتمد")*ROW('حجز الإجازات'!$B$5:$B$104)))-5+1))</f>
        <v/>
      </c>
      <c r="AG9" s="62">
        <f>IF(SUMPRODUCT(('حجز الإجازات'!$B$5:$B$104='الموظفون'!$B$7)*('حجز الإجازات'!$D$5:$D$104&lt;=AG$3)*(('حجز الإجازات'!$E$5:$E$104)&gt;=AG$3)*('حجز الإجازات'!$G$5:$G$104="معتمد")*ROW('حجز الإجازات'!$B$5:$B$104))=0,"",INDEX('حجز الإجازات'!$C$5:$C$104,(SUMPRODUCT(('حجز الإجازات'!$B$5:$B$104='الموظفون'!$B$7)*('حجز الإجازات'!$D$5:$D$104&lt;=AG$3)*(('حجز الإجازات'!$E$5:$E$104)&gt;=AG$3)*('حجز الإجازات'!$G$5:$G$104="معتمد")*ROW('حجز الإجازات'!$B$5:$B$104)))-5+1))</f>
        <v/>
      </c>
      <c r="AH9" s="62">
        <f>IF(SUMPRODUCT(('حجز الإجازات'!$B$5:$B$104='الموظفون'!$B$7)*('حجز الإجازات'!$D$5:$D$104&lt;=AH$3)*(('حجز الإجازات'!$E$5:$E$104)&gt;=AH$3)*('حجز الإجازات'!$G$5:$G$104="معتمد")*ROW('حجز الإجازات'!$B$5:$B$104))=0,"",INDEX('حجز الإجازات'!$C$5:$C$104,(SUMPRODUCT(('حجز الإجازات'!$B$5:$B$104='الموظفون'!$B$7)*('حجز الإجازات'!$D$5:$D$104&lt;=AH$3)*(('حجز الإجازات'!$E$5:$E$104)&gt;=AH$3)*('حجز الإجازات'!$G$5:$G$104="معتمد")*ROW('حجز الإجازات'!$B$5:$B$104)))-5+1))</f>
        <v/>
      </c>
      <c r="AI9" s="62">
        <f>IF(SUMPRODUCT(('حجز الإجازات'!$B$5:$B$104='الموظفون'!$B$7)*('حجز الإجازات'!$D$5:$D$104&lt;=AI$3)*(('حجز الإجازات'!$E$5:$E$104)&gt;=AI$3)*('حجز الإجازات'!$G$5:$G$104="معتمد")*ROW('حجز الإجازات'!$B$5:$B$104))=0,"",INDEX('حجز الإجازات'!$C$5:$C$104,(SUMPRODUCT(('حجز الإجازات'!$B$5:$B$104='الموظفون'!$B$7)*('حجز الإجازات'!$D$5:$D$104&lt;=AI$3)*(('حجز الإجازات'!$E$5:$E$104)&gt;=AI$3)*('حجز الإجازات'!$G$5:$G$104="معتمد")*ROW('حجز الإجازات'!$B$5:$B$104)))-5+1))</f>
        <v/>
      </c>
      <c r="AJ9" s="62">
        <f>IF(SUMPRODUCT(('حجز الإجازات'!$B$5:$B$104='الموظفون'!$B$7)*('حجز الإجازات'!$D$5:$D$104&lt;=AJ$3)*(('حجز الإجازات'!$E$5:$E$104)&gt;=AJ$3)*('حجز الإجازات'!$G$5:$G$104="معتمد")*ROW('حجز الإجازات'!$B$5:$B$104))=0,"",INDEX('حجز الإجازات'!$C$5:$C$104,(SUMPRODUCT(('حجز الإجازات'!$B$5:$B$104='الموظفون'!$B$7)*('حجز الإجازات'!$D$5:$D$104&lt;=AJ$3)*(('حجز الإجازات'!$E$5:$E$104)&gt;=AJ$3)*('حجز الإجازات'!$G$5:$G$104="معتمد")*ROW('حجز الإجازات'!$B$5:$B$104)))-5+1))</f>
        <v/>
      </c>
      <c r="AK9" s="62">
        <f>IF(SUMPRODUCT(('حجز الإجازات'!$B$5:$B$104='الموظفون'!$B$7)*('حجز الإجازات'!$D$5:$D$104&lt;=AK$3)*(('حجز الإجازات'!$E$5:$E$104)&gt;=AK$3)*('حجز الإجازات'!$G$5:$G$104="معتمد")*ROW('حجز الإجازات'!$B$5:$B$104))=0,"",INDEX('حجز الإجازات'!$C$5:$C$104,(SUMPRODUCT(('حجز الإجازات'!$B$5:$B$104='الموظفون'!$B$7)*('حجز الإجازات'!$D$5:$D$104&lt;=AK$3)*(('حجز الإجازات'!$E$5:$E$104)&gt;=AK$3)*('حجز الإجازات'!$G$5:$G$104="معتمد")*ROW('حجز الإجازات'!$B$5:$B$104)))-5+1))</f>
        <v/>
      </c>
      <c r="AL9" s="62">
        <f>IF(SUMPRODUCT(('حجز الإجازات'!$B$5:$B$104='الموظفون'!$B$7)*('حجز الإجازات'!$D$5:$D$104&lt;=AL$3)*(('حجز الإجازات'!$E$5:$E$104)&gt;=AL$3)*('حجز الإجازات'!$G$5:$G$104="معتمد")*ROW('حجز الإجازات'!$B$5:$B$104))=0,"",INDEX('حجز الإجازات'!$C$5:$C$104,(SUMPRODUCT(('حجز الإجازات'!$B$5:$B$104='الموظفون'!$B$7)*('حجز الإجازات'!$D$5:$D$104&lt;=AL$3)*(('حجز الإجازات'!$E$5:$E$104)&gt;=AL$3)*('حجز الإجازات'!$G$5:$G$104="معتمد")*ROW('حجز الإجازات'!$B$5:$B$104)))-5+1))</f>
        <v/>
      </c>
      <c r="AM9" s="62">
        <f>IF(SUMPRODUCT(('حجز الإجازات'!$B$5:$B$104='الموظفون'!$B$7)*('حجز الإجازات'!$D$5:$D$104&lt;=AM$3)*(('حجز الإجازات'!$E$5:$E$104)&gt;=AM$3)*('حجز الإجازات'!$G$5:$G$104="معتمد")*ROW('حجز الإجازات'!$B$5:$B$104))=0,"",INDEX('حجز الإجازات'!$C$5:$C$104,(SUMPRODUCT(('حجز الإجازات'!$B$5:$B$104='الموظفون'!$B$7)*('حجز الإجازات'!$D$5:$D$104&lt;=AM$3)*(('حجز الإجازات'!$E$5:$E$104)&gt;=AM$3)*('حجز الإجازات'!$G$5:$G$104="معتمد")*ROW('حجز الإجازات'!$B$5:$B$104)))-5+1))</f>
        <v/>
      </c>
      <c r="AN9" s="62">
        <f>IF(SUMPRODUCT(('حجز الإجازات'!$B$5:$B$104='الموظفون'!$B$7)*('حجز الإجازات'!$D$5:$D$104&lt;=AN$3)*(('حجز الإجازات'!$E$5:$E$104)&gt;=AN$3)*('حجز الإجازات'!$G$5:$G$104="معتمد")*ROW('حجز الإجازات'!$B$5:$B$104))=0,"",INDEX('حجز الإجازات'!$C$5:$C$104,(SUMPRODUCT(('حجز الإجازات'!$B$5:$B$104='الموظفون'!$B$7)*('حجز الإجازات'!$D$5:$D$104&lt;=AN$3)*(('حجز الإجازات'!$E$5:$E$104)&gt;=AN$3)*('حجز الإجازات'!$G$5:$G$104="معتمد")*ROW('حجز الإجازات'!$B$5:$B$104)))-5+1))</f>
        <v/>
      </c>
      <c r="AO9" s="62">
        <f>IF(SUMPRODUCT(('حجز الإجازات'!$B$5:$B$104='الموظفون'!$B$7)*('حجز الإجازات'!$D$5:$D$104&lt;=AO$3)*(('حجز الإجازات'!$E$5:$E$104)&gt;=AO$3)*('حجز الإجازات'!$G$5:$G$104="معتمد")*ROW('حجز الإجازات'!$B$5:$B$104))=0,"",INDEX('حجز الإجازات'!$C$5:$C$104,(SUMPRODUCT(('حجز الإجازات'!$B$5:$B$104='الموظفون'!$B$7)*('حجز الإجازات'!$D$5:$D$104&lt;=AO$3)*(('حجز الإجازات'!$E$5:$E$104)&gt;=AO$3)*('حجز الإجازات'!$G$5:$G$104="معتمد")*ROW('حجز الإجازات'!$B$5:$B$104)))-5+1))</f>
        <v/>
      </c>
      <c r="AP9" s="62">
        <f>IF(SUMPRODUCT(('حجز الإجازات'!$B$5:$B$104='الموظفون'!$B$7)*('حجز الإجازات'!$D$5:$D$104&lt;=AP$3)*(('حجز الإجازات'!$E$5:$E$104)&gt;=AP$3)*('حجز الإجازات'!$G$5:$G$104="معتمد")*ROW('حجز الإجازات'!$B$5:$B$104))=0,"",INDEX('حجز الإجازات'!$C$5:$C$104,(SUMPRODUCT(('حجز الإجازات'!$B$5:$B$104='الموظفون'!$B$7)*('حجز الإجازات'!$D$5:$D$104&lt;=AP$3)*(('حجز الإجازات'!$E$5:$E$104)&gt;=AP$3)*('حجز الإجازات'!$G$5:$G$104="معتمد")*ROW('حجز الإجازات'!$B$5:$B$104)))-5+1))</f>
        <v/>
      </c>
      <c r="AQ9" s="62">
        <f>IF(SUMPRODUCT(('حجز الإجازات'!$B$5:$B$104='الموظفون'!$B$7)*('حجز الإجازات'!$D$5:$D$104&lt;=AQ$3)*(('حجز الإجازات'!$E$5:$E$104)&gt;=AQ$3)*('حجز الإجازات'!$G$5:$G$104="معتمد")*ROW('حجز الإجازات'!$B$5:$B$104))=0,"",INDEX('حجز الإجازات'!$C$5:$C$104,(SUMPRODUCT(('حجز الإجازات'!$B$5:$B$104='الموظفون'!$B$7)*('حجز الإجازات'!$D$5:$D$104&lt;=AQ$3)*(('حجز الإجازات'!$E$5:$E$104)&gt;=AQ$3)*('حجز الإجازات'!$G$5:$G$104="معتمد")*ROW('حجز الإجازات'!$B$5:$B$104)))-5+1))</f>
        <v/>
      </c>
      <c r="AR9" s="62">
        <f>IF(SUMPRODUCT(('حجز الإجازات'!$B$5:$B$104='الموظفون'!$B$7)*('حجز الإجازات'!$D$5:$D$104&lt;=AR$3)*(('حجز الإجازات'!$E$5:$E$104)&gt;=AR$3)*('حجز الإجازات'!$G$5:$G$104="معتمد")*ROW('حجز الإجازات'!$B$5:$B$104))=0,"",INDEX('حجز الإجازات'!$C$5:$C$104,(SUMPRODUCT(('حجز الإجازات'!$B$5:$B$104='الموظفون'!$B$7)*('حجز الإجازات'!$D$5:$D$104&lt;=AR$3)*(('حجز الإجازات'!$E$5:$E$104)&gt;=AR$3)*('حجز الإجازات'!$G$5:$G$104="معتمد")*ROW('حجز الإجازات'!$B$5:$B$104)))-5+1))</f>
        <v/>
      </c>
      <c r="AS9" s="62">
        <f>IF(SUMPRODUCT(('حجز الإجازات'!$B$5:$B$104='الموظفون'!$B$7)*('حجز الإجازات'!$D$5:$D$104&lt;=AS$3)*(('حجز الإجازات'!$E$5:$E$104)&gt;=AS$3)*('حجز الإجازات'!$G$5:$G$104="معتمد")*ROW('حجز الإجازات'!$B$5:$B$104))=0,"",INDEX('حجز الإجازات'!$C$5:$C$104,(SUMPRODUCT(('حجز الإجازات'!$B$5:$B$104='الموظفون'!$B$7)*('حجز الإجازات'!$D$5:$D$104&lt;=AS$3)*(('حجز الإجازات'!$E$5:$E$104)&gt;=AS$3)*('حجز الإجازات'!$G$5:$G$104="معتمد")*ROW('حجز الإجازات'!$B$5:$B$104)))-5+1))</f>
        <v/>
      </c>
      <c r="AT9" s="62">
        <f>IF(SUMPRODUCT(('حجز الإجازات'!$B$5:$B$104='الموظفون'!$B$7)*('حجز الإجازات'!$D$5:$D$104&lt;=AT$3)*(('حجز الإجازات'!$E$5:$E$104)&gt;=AT$3)*('حجز الإجازات'!$G$5:$G$104="معتمد")*ROW('حجز الإجازات'!$B$5:$B$104))=0,"",INDEX('حجز الإجازات'!$C$5:$C$104,(SUMPRODUCT(('حجز الإجازات'!$B$5:$B$104='الموظفون'!$B$7)*('حجز الإجازات'!$D$5:$D$104&lt;=AT$3)*(('حجز الإجازات'!$E$5:$E$104)&gt;=AT$3)*('حجز الإجازات'!$G$5:$G$104="معتمد")*ROW('حجز الإجازات'!$B$5:$B$104)))-5+1))</f>
        <v/>
      </c>
      <c r="AU9" s="62">
        <f>IF(SUMPRODUCT(('حجز الإجازات'!$B$5:$B$104='الموظفون'!$B$7)*('حجز الإجازات'!$D$5:$D$104&lt;=AU$3)*(('حجز الإجازات'!$E$5:$E$104)&gt;=AU$3)*('حجز الإجازات'!$G$5:$G$104="معتمد")*ROW('حجز الإجازات'!$B$5:$B$104))=0,"",INDEX('حجز الإجازات'!$C$5:$C$104,(SUMPRODUCT(('حجز الإجازات'!$B$5:$B$104='الموظفون'!$B$7)*('حجز الإجازات'!$D$5:$D$104&lt;=AU$3)*(('حجز الإجازات'!$E$5:$E$104)&gt;=AU$3)*('حجز الإجازات'!$G$5:$G$104="معتمد")*ROW('حجز الإجازات'!$B$5:$B$104)))-5+1))</f>
        <v/>
      </c>
      <c r="AV9" s="62">
        <f>IF(SUMPRODUCT(('حجز الإجازات'!$B$5:$B$104='الموظفون'!$B$7)*('حجز الإجازات'!$D$5:$D$104&lt;=AV$3)*(('حجز الإجازات'!$E$5:$E$104)&gt;=AV$3)*('حجز الإجازات'!$G$5:$G$104="معتمد")*ROW('حجز الإجازات'!$B$5:$B$104))=0,"",INDEX('حجز الإجازات'!$C$5:$C$104,(SUMPRODUCT(('حجز الإجازات'!$B$5:$B$104='الموظفون'!$B$7)*('حجز الإجازات'!$D$5:$D$104&lt;=AV$3)*(('حجز الإجازات'!$E$5:$E$104)&gt;=AV$3)*('حجز الإجازات'!$G$5:$G$104="معتمد")*ROW('حجز الإجازات'!$B$5:$B$104)))-5+1))</f>
        <v/>
      </c>
      <c r="AW9" s="62">
        <f>IF(SUMPRODUCT(('حجز الإجازات'!$B$5:$B$104='الموظفون'!$B$7)*('حجز الإجازات'!$D$5:$D$104&lt;=AW$3)*(('حجز الإجازات'!$E$5:$E$104)&gt;=AW$3)*('حجز الإجازات'!$G$5:$G$104="معتمد")*ROW('حجز الإجازات'!$B$5:$B$104))=0,"",INDEX('حجز الإجازات'!$C$5:$C$104,(SUMPRODUCT(('حجز الإجازات'!$B$5:$B$104='الموظفون'!$B$7)*('حجز الإجازات'!$D$5:$D$104&lt;=AW$3)*(('حجز الإجازات'!$E$5:$E$104)&gt;=AW$3)*('حجز الإجازات'!$G$5:$G$104="معتمد")*ROW('حجز الإجازات'!$B$5:$B$104)))-5+1))</f>
        <v/>
      </c>
      <c r="AX9" s="62">
        <f>IF(SUMPRODUCT(('حجز الإجازات'!$B$5:$B$104='الموظفون'!$B$7)*('حجز الإجازات'!$D$5:$D$104&lt;=AX$3)*(('حجز الإجازات'!$E$5:$E$104)&gt;=AX$3)*('حجز الإجازات'!$G$5:$G$104="معتمد")*ROW('حجز الإجازات'!$B$5:$B$104))=0,"",INDEX('حجز الإجازات'!$C$5:$C$104,(SUMPRODUCT(('حجز الإجازات'!$B$5:$B$104='الموظفون'!$B$7)*('حجز الإجازات'!$D$5:$D$104&lt;=AX$3)*(('حجز الإجازات'!$E$5:$E$104)&gt;=AX$3)*('حجز الإجازات'!$G$5:$G$104="معتمد")*ROW('حجز الإجازات'!$B$5:$B$104)))-5+1))</f>
        <v/>
      </c>
      <c r="AY9" s="62">
        <f>IF(SUMPRODUCT(('حجز الإجازات'!$B$5:$B$104='الموظفون'!$B$7)*('حجز الإجازات'!$D$5:$D$104&lt;=AY$3)*(('حجز الإجازات'!$E$5:$E$104)&gt;=AY$3)*('حجز الإجازات'!$G$5:$G$104="معتمد")*ROW('حجز الإجازات'!$B$5:$B$104))=0,"",INDEX('حجز الإجازات'!$C$5:$C$104,(SUMPRODUCT(('حجز الإجازات'!$B$5:$B$104='الموظفون'!$B$7)*('حجز الإجازات'!$D$5:$D$104&lt;=AY$3)*(('حجز الإجازات'!$E$5:$E$104)&gt;=AY$3)*('حجز الإجازات'!$G$5:$G$104="معتمد")*ROW('حجز الإجازات'!$B$5:$B$104)))-5+1))</f>
        <v/>
      </c>
      <c r="AZ9" s="62">
        <f>IF(SUMPRODUCT(('حجز الإجازات'!$B$5:$B$104='الموظفون'!$B$7)*('حجز الإجازات'!$D$5:$D$104&lt;=AZ$3)*(('حجز الإجازات'!$E$5:$E$104)&gt;=AZ$3)*('حجز الإجازات'!$G$5:$G$104="معتمد")*ROW('حجز الإجازات'!$B$5:$B$104))=0,"",INDEX('حجز الإجازات'!$C$5:$C$104,(SUMPRODUCT(('حجز الإجازات'!$B$5:$B$104='الموظفون'!$B$7)*('حجز الإجازات'!$D$5:$D$104&lt;=AZ$3)*(('حجز الإجازات'!$E$5:$E$104)&gt;=AZ$3)*('حجز الإجازات'!$G$5:$G$104="معتمد")*ROW('حجز الإجازات'!$B$5:$B$104)))-5+1))</f>
        <v/>
      </c>
      <c r="BA9" s="62">
        <f>IF(SUMPRODUCT(('حجز الإجازات'!$B$5:$B$104='الموظفون'!$B$7)*('حجز الإجازات'!$D$5:$D$104&lt;=BA$3)*(('حجز الإجازات'!$E$5:$E$104)&gt;=BA$3)*('حجز الإجازات'!$G$5:$G$104="معتمد")*ROW('حجز الإجازات'!$B$5:$B$104))=0,"",INDEX('حجز الإجازات'!$C$5:$C$104,(SUMPRODUCT(('حجز الإجازات'!$B$5:$B$104='الموظفون'!$B$7)*('حجز الإجازات'!$D$5:$D$104&lt;=BA$3)*(('حجز الإجازات'!$E$5:$E$104)&gt;=BA$3)*('حجز الإجازات'!$G$5:$G$104="معتمد")*ROW('حجز الإجازات'!$B$5:$B$104)))-5+1))</f>
        <v/>
      </c>
      <c r="BB9" s="62">
        <f>IF(SUMPRODUCT(('حجز الإجازات'!$B$5:$B$104='الموظفون'!$B$7)*('حجز الإجازات'!$D$5:$D$104&lt;=BB$3)*(('حجز الإجازات'!$E$5:$E$104)&gt;=BB$3)*('حجز الإجازات'!$G$5:$G$104="معتمد")*ROW('حجز الإجازات'!$B$5:$B$104))=0,"",INDEX('حجز الإجازات'!$C$5:$C$104,(SUMPRODUCT(('حجز الإجازات'!$B$5:$B$104='الموظفون'!$B$7)*('حجز الإجازات'!$D$5:$D$104&lt;=BB$3)*(('حجز الإجازات'!$E$5:$E$104)&gt;=BB$3)*('حجز الإجازات'!$G$5:$G$104="معتمد")*ROW('حجز الإجازات'!$B$5:$B$104)))-5+1))</f>
        <v/>
      </c>
      <c r="BC9" s="62">
        <f>IF(SUMPRODUCT(('حجز الإجازات'!$B$5:$B$104='الموظفون'!$B$7)*('حجز الإجازات'!$D$5:$D$104&lt;=BC$3)*(('حجز الإجازات'!$E$5:$E$104)&gt;=BC$3)*('حجز الإجازات'!$G$5:$G$104="معتمد")*ROW('حجز الإجازات'!$B$5:$B$104))=0,"",INDEX('حجز الإجازات'!$C$5:$C$104,(SUMPRODUCT(('حجز الإجازات'!$B$5:$B$104='الموظفون'!$B$7)*('حجز الإجازات'!$D$5:$D$104&lt;=BC$3)*(('حجز الإجازات'!$E$5:$E$104)&gt;=BC$3)*('حجز الإجازات'!$G$5:$G$104="معتمد")*ROW('حجز الإجازات'!$B$5:$B$104)))-5+1))</f>
        <v/>
      </c>
      <c r="BD9" s="62">
        <f>IF(SUMPRODUCT(('حجز الإجازات'!$B$5:$B$104='الموظفون'!$B$7)*('حجز الإجازات'!$D$5:$D$104&lt;=BD$3)*(('حجز الإجازات'!$E$5:$E$104)&gt;=BD$3)*('حجز الإجازات'!$G$5:$G$104="معتمد")*ROW('حجز الإجازات'!$B$5:$B$104))=0,"",INDEX('حجز الإجازات'!$C$5:$C$104,(SUMPRODUCT(('حجز الإجازات'!$B$5:$B$104='الموظفون'!$B$7)*('حجز الإجازات'!$D$5:$D$104&lt;=BD$3)*(('حجز الإجازات'!$E$5:$E$104)&gt;=BD$3)*('حجز الإجازات'!$G$5:$G$104="معتمد")*ROW('حجز الإجازات'!$B$5:$B$104)))-5+1))</f>
        <v/>
      </c>
      <c r="BE9" s="62">
        <f>IF(SUMPRODUCT(('حجز الإجازات'!$B$5:$B$104='الموظفون'!$B$7)*('حجز الإجازات'!$D$5:$D$104&lt;=BE$3)*(('حجز الإجازات'!$E$5:$E$104)&gt;=BE$3)*('حجز الإجازات'!$G$5:$G$104="معتمد")*ROW('حجز الإجازات'!$B$5:$B$104))=0,"",INDEX('حجز الإجازات'!$C$5:$C$104,(SUMPRODUCT(('حجز الإجازات'!$B$5:$B$104='الموظفون'!$B$7)*('حجز الإجازات'!$D$5:$D$104&lt;=BE$3)*(('حجز الإجازات'!$E$5:$E$104)&gt;=BE$3)*('حجز الإجازات'!$G$5:$G$104="معتمد")*ROW('حجز الإجازات'!$B$5:$B$104)))-5+1))</f>
        <v/>
      </c>
      <c r="BF9" s="62">
        <f>IF(SUMPRODUCT(('حجز الإجازات'!$B$5:$B$104='الموظفون'!$B$7)*('حجز الإجازات'!$D$5:$D$104&lt;=BF$3)*(('حجز الإجازات'!$E$5:$E$104)&gt;=BF$3)*('حجز الإجازات'!$G$5:$G$104="معتمد")*ROW('حجز الإجازات'!$B$5:$B$104))=0,"",INDEX('حجز الإجازات'!$C$5:$C$104,(SUMPRODUCT(('حجز الإجازات'!$B$5:$B$104='الموظفون'!$B$7)*('حجز الإجازات'!$D$5:$D$104&lt;=BF$3)*(('حجز الإجازات'!$E$5:$E$104)&gt;=BF$3)*('حجز الإجازات'!$G$5:$G$104="معتمد")*ROW('حجز الإجازات'!$B$5:$B$104)))-5+1))</f>
        <v/>
      </c>
      <c r="BG9" s="62">
        <f>IF(SUMPRODUCT(('حجز الإجازات'!$B$5:$B$104='الموظفون'!$B$7)*('حجز الإجازات'!$D$5:$D$104&lt;=BG$3)*(('حجز الإجازات'!$E$5:$E$104)&gt;=BG$3)*('حجز الإجازات'!$G$5:$G$104="معتمد")*ROW('حجز الإجازات'!$B$5:$B$104))=0,"",INDEX('حجز الإجازات'!$C$5:$C$104,(SUMPRODUCT(('حجز الإجازات'!$B$5:$B$104='الموظفون'!$B$7)*('حجز الإجازات'!$D$5:$D$104&lt;=BG$3)*(('حجز الإجازات'!$E$5:$E$104)&gt;=BG$3)*('حجز الإجازات'!$G$5:$G$104="معتمد")*ROW('حجز الإجازات'!$B$5:$B$104)))-5+1))</f>
        <v/>
      </c>
      <c r="BH9" s="62">
        <f>IF(SUMPRODUCT(('حجز الإجازات'!$B$5:$B$104='الموظفون'!$B$7)*('حجز الإجازات'!$D$5:$D$104&lt;=BH$3)*(('حجز الإجازات'!$E$5:$E$104)&gt;=BH$3)*('حجز الإجازات'!$G$5:$G$104="معتمد")*ROW('حجز الإجازات'!$B$5:$B$104))=0,"",INDEX('حجز الإجازات'!$C$5:$C$104,(SUMPRODUCT(('حجز الإجازات'!$B$5:$B$104='الموظفون'!$B$7)*('حجز الإجازات'!$D$5:$D$104&lt;=BH$3)*(('حجز الإجازات'!$E$5:$E$104)&gt;=BH$3)*('حجز الإجازات'!$G$5:$G$104="معتمد")*ROW('حجز الإجازات'!$B$5:$B$104)))-5+1))</f>
        <v/>
      </c>
      <c r="BI9" s="62">
        <f>IF(SUMPRODUCT(('حجز الإجازات'!$B$5:$B$104='الموظفون'!$B$7)*('حجز الإجازات'!$D$5:$D$104&lt;=BI$3)*(('حجز الإجازات'!$E$5:$E$104)&gt;=BI$3)*('حجز الإجازات'!$G$5:$G$104="معتمد")*ROW('حجز الإجازات'!$B$5:$B$104))=0,"",INDEX('حجز الإجازات'!$C$5:$C$104,(SUMPRODUCT(('حجز الإجازات'!$B$5:$B$104='الموظفون'!$B$7)*('حجز الإجازات'!$D$5:$D$104&lt;=BI$3)*(('حجز الإجازات'!$E$5:$E$104)&gt;=BI$3)*('حجز الإجازات'!$G$5:$G$104="معتمد")*ROW('حجز الإجازات'!$B$5:$B$104)))-5+1))</f>
        <v/>
      </c>
      <c r="BJ9" s="62">
        <f>IF(SUMPRODUCT(('حجز الإجازات'!$B$5:$B$104='الموظفون'!$B$7)*('حجز الإجازات'!$D$5:$D$104&lt;=BJ$3)*(('حجز الإجازات'!$E$5:$E$104)&gt;=BJ$3)*('حجز الإجازات'!$G$5:$G$104="معتمد")*ROW('حجز الإجازات'!$B$5:$B$104))=0,"",INDEX('حجز الإجازات'!$C$5:$C$104,(SUMPRODUCT(('حجز الإجازات'!$B$5:$B$104='الموظفون'!$B$7)*('حجز الإجازات'!$D$5:$D$104&lt;=BJ$3)*(('حجز الإجازات'!$E$5:$E$104)&gt;=BJ$3)*('حجز الإجازات'!$G$5:$G$104="معتمد")*ROW('حجز الإجازات'!$B$5:$B$104)))-5+1))</f>
        <v/>
      </c>
      <c r="BK9" s="62">
        <f>IF(SUMPRODUCT(('حجز الإجازات'!$B$5:$B$104='الموظفون'!$B$7)*('حجز الإجازات'!$D$5:$D$104&lt;=BK$3)*(('حجز الإجازات'!$E$5:$E$104)&gt;=BK$3)*('حجز الإجازات'!$G$5:$G$104="معتمد")*ROW('حجز الإجازات'!$B$5:$B$104))=0,"",INDEX('حجز الإجازات'!$C$5:$C$104,(SUMPRODUCT(('حجز الإجازات'!$B$5:$B$104='الموظفون'!$B$7)*('حجز الإجازات'!$D$5:$D$104&lt;=BK$3)*(('حجز الإجازات'!$E$5:$E$104)&gt;=BK$3)*('حجز الإجازات'!$G$5:$G$104="معتمد")*ROW('حجز الإجازات'!$B$5:$B$104)))-5+1))</f>
        <v/>
      </c>
      <c r="BL9" s="62">
        <f>IF(SUMPRODUCT(('حجز الإجازات'!$B$5:$B$104='الموظفون'!$B$7)*('حجز الإجازات'!$D$5:$D$104&lt;=BL$3)*(('حجز الإجازات'!$E$5:$E$104)&gt;=BL$3)*('حجز الإجازات'!$G$5:$G$104="معتمد")*ROW('حجز الإجازات'!$B$5:$B$104))=0,"",INDEX('حجز الإجازات'!$C$5:$C$104,(SUMPRODUCT(('حجز الإجازات'!$B$5:$B$104='الموظفون'!$B$7)*('حجز الإجازات'!$D$5:$D$104&lt;=BL$3)*(('حجز الإجازات'!$E$5:$E$104)&gt;=BL$3)*('حجز الإجازات'!$G$5:$G$104="معتمد")*ROW('حجز الإجازات'!$B$5:$B$104)))-5+1))</f>
        <v/>
      </c>
      <c r="BM9" s="62">
        <f>IF(SUMPRODUCT(('حجز الإجازات'!$B$5:$B$104='الموظفون'!$B$7)*('حجز الإجازات'!$D$5:$D$104&lt;=BM$3)*(('حجز الإجازات'!$E$5:$E$104)&gt;=BM$3)*('حجز الإجازات'!$G$5:$G$104="معتمد")*ROW('حجز الإجازات'!$B$5:$B$104))=0,"",INDEX('حجز الإجازات'!$C$5:$C$104,(SUMPRODUCT(('حجز الإجازات'!$B$5:$B$104='الموظفون'!$B$7)*('حجز الإجازات'!$D$5:$D$104&lt;=BM$3)*(('حجز الإجازات'!$E$5:$E$104)&gt;=BM$3)*('حجز الإجازات'!$G$5:$G$104="معتمد")*ROW('حجز الإجازات'!$B$5:$B$104)))-5+1))</f>
        <v/>
      </c>
      <c r="BN9" s="62">
        <f>IF(SUMPRODUCT(('حجز الإجازات'!$B$5:$B$104='الموظفون'!$B$7)*('حجز الإجازات'!$D$5:$D$104&lt;=BN$3)*(('حجز الإجازات'!$E$5:$E$104)&gt;=BN$3)*('حجز الإجازات'!$G$5:$G$104="معتمد")*ROW('حجز الإجازات'!$B$5:$B$104))=0,"",INDEX('حجز الإجازات'!$C$5:$C$104,(SUMPRODUCT(('حجز الإجازات'!$B$5:$B$104='الموظفون'!$B$7)*('حجز الإجازات'!$D$5:$D$104&lt;=BN$3)*(('حجز الإجازات'!$E$5:$E$104)&gt;=BN$3)*('حجز الإجازات'!$G$5:$G$104="معتمد")*ROW('حجز الإجازات'!$B$5:$B$104)))-5+1))</f>
        <v/>
      </c>
      <c r="BO9" s="62">
        <f>IF(SUMPRODUCT(('حجز الإجازات'!$B$5:$B$104='الموظفون'!$B$7)*('حجز الإجازات'!$D$5:$D$104&lt;=BO$3)*(('حجز الإجازات'!$E$5:$E$104)&gt;=BO$3)*('حجز الإجازات'!$G$5:$G$104="معتمد")*ROW('حجز الإجازات'!$B$5:$B$104))=0,"",INDEX('حجز الإجازات'!$C$5:$C$104,(SUMPRODUCT(('حجز الإجازات'!$B$5:$B$104='الموظفون'!$B$7)*('حجز الإجازات'!$D$5:$D$104&lt;=BO$3)*(('حجز الإجازات'!$E$5:$E$104)&gt;=BO$3)*('حجز الإجازات'!$G$5:$G$104="معتمد")*ROW('حجز الإجازات'!$B$5:$B$104)))-5+1))</f>
        <v/>
      </c>
      <c r="BP9" s="62">
        <f>IF(SUMPRODUCT(('حجز الإجازات'!$B$5:$B$104='الموظفون'!$B$7)*('حجز الإجازات'!$D$5:$D$104&lt;=BP$3)*(('حجز الإجازات'!$E$5:$E$104)&gt;=BP$3)*('حجز الإجازات'!$G$5:$G$104="معتمد")*ROW('حجز الإجازات'!$B$5:$B$104))=0,"",INDEX('حجز الإجازات'!$C$5:$C$104,(SUMPRODUCT(('حجز الإجازات'!$B$5:$B$104='الموظفون'!$B$7)*('حجز الإجازات'!$D$5:$D$104&lt;=BP$3)*(('حجز الإجازات'!$E$5:$E$104)&gt;=BP$3)*('حجز الإجازات'!$G$5:$G$104="معتمد")*ROW('حجز الإجازات'!$B$5:$B$104)))-5+1))</f>
        <v/>
      </c>
      <c r="BQ9" s="62">
        <f>IF(SUMPRODUCT(('حجز الإجازات'!$B$5:$B$104='الموظفون'!$B$7)*('حجز الإجازات'!$D$5:$D$104&lt;=BQ$3)*(('حجز الإجازات'!$E$5:$E$104)&gt;=BQ$3)*('حجز الإجازات'!$G$5:$G$104="معتمد")*ROW('حجز الإجازات'!$B$5:$B$104))=0,"",INDEX('حجز الإجازات'!$C$5:$C$104,(SUMPRODUCT(('حجز الإجازات'!$B$5:$B$104='الموظفون'!$B$7)*('حجز الإجازات'!$D$5:$D$104&lt;=BQ$3)*(('حجز الإجازات'!$E$5:$E$104)&gt;=BQ$3)*('حجز الإجازات'!$G$5:$G$104="معتمد")*ROW('حجز الإجازات'!$B$5:$B$104)))-5+1))</f>
        <v/>
      </c>
      <c r="BR9" s="62">
        <f>IF(SUMPRODUCT(('حجز الإجازات'!$B$5:$B$104='الموظفون'!$B$7)*('حجز الإجازات'!$D$5:$D$104&lt;=BR$3)*(('حجز الإجازات'!$E$5:$E$104)&gt;=BR$3)*('حجز الإجازات'!$G$5:$G$104="معتمد")*ROW('حجز الإجازات'!$B$5:$B$104))=0,"",INDEX('حجز الإجازات'!$C$5:$C$104,(SUMPRODUCT(('حجز الإجازات'!$B$5:$B$104='الموظفون'!$B$7)*('حجز الإجازات'!$D$5:$D$104&lt;=BR$3)*(('حجز الإجازات'!$E$5:$E$104)&gt;=BR$3)*('حجز الإجازات'!$G$5:$G$104="معتمد")*ROW('حجز الإجازات'!$B$5:$B$104)))-5+1))</f>
        <v/>
      </c>
      <c r="BS9" s="62">
        <f>IF(SUMPRODUCT(('حجز الإجازات'!$B$5:$B$104='الموظفون'!$B$7)*('حجز الإجازات'!$D$5:$D$104&lt;=BS$3)*(('حجز الإجازات'!$E$5:$E$104)&gt;=BS$3)*('حجز الإجازات'!$G$5:$G$104="معتمد")*ROW('حجز الإجازات'!$B$5:$B$104))=0,"",INDEX('حجز الإجازات'!$C$5:$C$104,(SUMPRODUCT(('حجز الإجازات'!$B$5:$B$104='الموظفون'!$B$7)*('حجز الإجازات'!$D$5:$D$104&lt;=BS$3)*(('حجز الإجازات'!$E$5:$E$104)&gt;=BS$3)*('حجز الإجازات'!$G$5:$G$104="معتمد")*ROW('حجز الإجازات'!$B$5:$B$104)))-5+1))</f>
        <v/>
      </c>
      <c r="BT9" s="62">
        <f>IF(SUMPRODUCT(('حجز الإجازات'!$B$5:$B$104='الموظفون'!$B$7)*('حجز الإجازات'!$D$5:$D$104&lt;=BT$3)*(('حجز الإجازات'!$E$5:$E$104)&gt;=BT$3)*('حجز الإجازات'!$G$5:$G$104="معتمد")*ROW('حجز الإجازات'!$B$5:$B$104))=0,"",INDEX('حجز الإجازات'!$C$5:$C$104,(SUMPRODUCT(('حجز الإجازات'!$B$5:$B$104='الموظفون'!$B$7)*('حجز الإجازات'!$D$5:$D$104&lt;=BT$3)*(('حجز الإجازات'!$E$5:$E$104)&gt;=BT$3)*('حجز الإجازات'!$G$5:$G$104="معتمد")*ROW('حجز الإجازات'!$B$5:$B$104)))-5+1))</f>
        <v/>
      </c>
      <c r="BU9" s="62">
        <f>IF(SUMPRODUCT(('حجز الإجازات'!$B$5:$B$104='الموظفون'!$B$7)*('حجز الإجازات'!$D$5:$D$104&lt;=BU$3)*(('حجز الإجازات'!$E$5:$E$104)&gt;=BU$3)*('حجز الإجازات'!$G$5:$G$104="معتمد")*ROW('حجز الإجازات'!$B$5:$B$104))=0,"",INDEX('حجز الإجازات'!$C$5:$C$104,(SUMPRODUCT(('حجز الإجازات'!$B$5:$B$104='الموظفون'!$B$7)*('حجز الإجازات'!$D$5:$D$104&lt;=BU$3)*(('حجز الإجازات'!$E$5:$E$104)&gt;=BU$3)*('حجز الإجازات'!$G$5:$G$104="معتمد")*ROW('حجز الإجازات'!$B$5:$B$104)))-5+1))</f>
        <v/>
      </c>
      <c r="BV9" s="62">
        <f>IF(SUMPRODUCT(('حجز الإجازات'!$B$5:$B$104='الموظفون'!$B$7)*('حجز الإجازات'!$D$5:$D$104&lt;=BV$3)*(('حجز الإجازات'!$E$5:$E$104)&gt;=BV$3)*('حجز الإجازات'!$G$5:$G$104="معتمد")*ROW('حجز الإجازات'!$B$5:$B$104))=0,"",INDEX('حجز الإجازات'!$C$5:$C$104,(SUMPRODUCT(('حجز الإجازات'!$B$5:$B$104='الموظفون'!$B$7)*('حجز الإجازات'!$D$5:$D$104&lt;=BV$3)*(('حجز الإجازات'!$E$5:$E$104)&gt;=BV$3)*('حجز الإجازات'!$G$5:$G$104="معتمد")*ROW('حجز الإجازات'!$B$5:$B$104)))-5+1))</f>
        <v/>
      </c>
      <c r="BW9" s="62">
        <f>IF(SUMPRODUCT(('حجز الإجازات'!$B$5:$B$104='الموظفون'!$B$7)*('حجز الإجازات'!$D$5:$D$104&lt;=BW$3)*(('حجز الإجازات'!$E$5:$E$104)&gt;=BW$3)*('حجز الإجازات'!$G$5:$G$104="معتمد")*ROW('حجز الإجازات'!$B$5:$B$104))=0,"",INDEX('حجز الإجازات'!$C$5:$C$104,(SUMPRODUCT(('حجز الإجازات'!$B$5:$B$104='الموظفون'!$B$7)*('حجز الإجازات'!$D$5:$D$104&lt;=BW$3)*(('حجز الإجازات'!$E$5:$E$104)&gt;=BW$3)*('حجز الإجازات'!$G$5:$G$104="معتمد")*ROW('حجز الإجازات'!$B$5:$B$104)))-5+1))</f>
        <v/>
      </c>
      <c r="BX9" s="62">
        <f>IF(SUMPRODUCT(('حجز الإجازات'!$B$5:$B$104='الموظفون'!$B$7)*('حجز الإجازات'!$D$5:$D$104&lt;=BX$3)*(('حجز الإجازات'!$E$5:$E$104)&gt;=BX$3)*('حجز الإجازات'!$G$5:$G$104="معتمد")*ROW('حجز الإجازات'!$B$5:$B$104))=0,"",INDEX('حجز الإجازات'!$C$5:$C$104,(SUMPRODUCT(('حجز الإجازات'!$B$5:$B$104='الموظفون'!$B$7)*('حجز الإجازات'!$D$5:$D$104&lt;=BX$3)*(('حجز الإجازات'!$E$5:$E$104)&gt;=BX$3)*('حجز الإجازات'!$G$5:$G$104="معتمد")*ROW('حجز الإجازات'!$B$5:$B$104)))-5+1))</f>
        <v/>
      </c>
      <c r="BY9" s="62">
        <f>IF(SUMPRODUCT(('حجز الإجازات'!$B$5:$B$104='الموظفون'!$B$7)*('حجز الإجازات'!$D$5:$D$104&lt;=BY$3)*(('حجز الإجازات'!$E$5:$E$104)&gt;=BY$3)*('حجز الإجازات'!$G$5:$G$104="معتمد")*ROW('حجز الإجازات'!$B$5:$B$104))=0,"",INDEX('حجز الإجازات'!$C$5:$C$104,(SUMPRODUCT(('حجز الإجازات'!$B$5:$B$104='الموظفون'!$B$7)*('حجز الإجازات'!$D$5:$D$104&lt;=BY$3)*(('حجز الإجازات'!$E$5:$E$104)&gt;=BY$3)*('حجز الإجازات'!$G$5:$G$104="معتمد")*ROW('حجز الإجازات'!$B$5:$B$104)))-5+1))</f>
        <v/>
      </c>
      <c r="BZ9" s="62">
        <f>IF(SUMPRODUCT(('حجز الإجازات'!$B$5:$B$104='الموظفون'!$B$7)*('حجز الإجازات'!$D$5:$D$104&lt;=BZ$3)*(('حجز الإجازات'!$E$5:$E$104)&gt;=BZ$3)*('حجز الإجازات'!$G$5:$G$104="معتمد")*ROW('حجز الإجازات'!$B$5:$B$104))=0,"",INDEX('حجز الإجازات'!$C$5:$C$104,(SUMPRODUCT(('حجز الإجازات'!$B$5:$B$104='الموظفون'!$B$7)*('حجز الإجازات'!$D$5:$D$104&lt;=BZ$3)*(('حجز الإجازات'!$E$5:$E$104)&gt;=BZ$3)*('حجز الإجازات'!$G$5:$G$104="معتمد")*ROW('حجز الإجازات'!$B$5:$B$104)))-5+1))</f>
        <v/>
      </c>
      <c r="CA9" s="62">
        <f>IF(SUMPRODUCT(('حجز الإجازات'!$B$5:$B$104='الموظفون'!$B$7)*('حجز الإجازات'!$D$5:$D$104&lt;=CA$3)*(('حجز الإجازات'!$E$5:$E$104)&gt;=CA$3)*('حجز الإجازات'!$G$5:$G$104="معتمد")*ROW('حجز الإجازات'!$B$5:$B$104))=0,"",INDEX('حجز الإجازات'!$C$5:$C$104,(SUMPRODUCT(('حجز الإجازات'!$B$5:$B$104='الموظفون'!$B$7)*('حجز الإجازات'!$D$5:$D$104&lt;=CA$3)*(('حجز الإجازات'!$E$5:$E$104)&gt;=CA$3)*('حجز الإجازات'!$G$5:$G$104="معتمد")*ROW('حجز الإجازات'!$B$5:$B$104)))-5+1))</f>
        <v/>
      </c>
      <c r="CB9" s="62">
        <f>IF(SUMPRODUCT(('حجز الإجازات'!$B$5:$B$104='الموظفون'!$B$7)*('حجز الإجازات'!$D$5:$D$104&lt;=CB$3)*(('حجز الإجازات'!$E$5:$E$104)&gt;=CB$3)*('حجز الإجازات'!$G$5:$G$104="معتمد")*ROW('حجز الإجازات'!$B$5:$B$104))=0,"",INDEX('حجز الإجازات'!$C$5:$C$104,(SUMPRODUCT(('حجز الإجازات'!$B$5:$B$104='الموظفون'!$B$7)*('حجز الإجازات'!$D$5:$D$104&lt;=CB$3)*(('حجز الإجازات'!$E$5:$E$104)&gt;=CB$3)*('حجز الإجازات'!$G$5:$G$104="معتمد")*ROW('حجز الإجازات'!$B$5:$B$104)))-5+1))</f>
        <v/>
      </c>
      <c r="CC9" s="62">
        <f>IF(SUMPRODUCT(('حجز الإجازات'!$B$5:$B$104='الموظفون'!$B$7)*('حجز الإجازات'!$D$5:$D$104&lt;=CC$3)*(('حجز الإجازات'!$E$5:$E$104)&gt;=CC$3)*('حجز الإجازات'!$G$5:$G$104="معتمد")*ROW('حجز الإجازات'!$B$5:$B$104))=0,"",INDEX('حجز الإجازات'!$C$5:$C$104,(SUMPRODUCT(('حجز الإجازات'!$B$5:$B$104='الموظفون'!$B$7)*('حجز الإجازات'!$D$5:$D$104&lt;=CC$3)*(('حجز الإجازات'!$E$5:$E$104)&gt;=CC$3)*('حجز الإجازات'!$G$5:$G$104="معتمد")*ROW('حجز الإجازات'!$B$5:$B$104)))-5+1))</f>
        <v/>
      </c>
      <c r="CD9" s="62">
        <f>IF(SUMPRODUCT(('حجز الإجازات'!$B$5:$B$104='الموظفون'!$B$7)*('حجز الإجازات'!$D$5:$D$104&lt;=CD$3)*(('حجز الإجازات'!$E$5:$E$104)&gt;=CD$3)*('حجز الإجازات'!$G$5:$G$104="معتمد")*ROW('حجز الإجازات'!$B$5:$B$104))=0,"",INDEX('حجز الإجازات'!$C$5:$C$104,(SUMPRODUCT(('حجز الإجازات'!$B$5:$B$104='الموظفون'!$B$7)*('حجز الإجازات'!$D$5:$D$104&lt;=CD$3)*(('حجز الإجازات'!$E$5:$E$104)&gt;=CD$3)*('حجز الإجازات'!$G$5:$G$104="معتمد")*ROW('حجز الإجازات'!$B$5:$B$104)))-5+1))</f>
        <v/>
      </c>
      <c r="CE9" s="62">
        <f>IF(SUMPRODUCT(('حجز الإجازات'!$B$5:$B$104='الموظفون'!$B$7)*('حجز الإجازات'!$D$5:$D$104&lt;=CE$3)*(('حجز الإجازات'!$E$5:$E$104)&gt;=CE$3)*('حجز الإجازات'!$G$5:$G$104="معتمد")*ROW('حجز الإجازات'!$B$5:$B$104))=0,"",INDEX('حجز الإجازات'!$C$5:$C$104,(SUMPRODUCT(('حجز الإجازات'!$B$5:$B$104='الموظفون'!$B$7)*('حجز الإجازات'!$D$5:$D$104&lt;=CE$3)*(('حجز الإجازات'!$E$5:$E$104)&gt;=CE$3)*('حجز الإجازات'!$G$5:$G$104="معتمد")*ROW('حجز الإجازات'!$B$5:$B$104)))-5+1))</f>
        <v/>
      </c>
      <c r="CF9" s="62">
        <f>IF(SUMPRODUCT(('حجز الإجازات'!$B$5:$B$104='الموظفون'!$B$7)*('حجز الإجازات'!$D$5:$D$104&lt;=CF$3)*(('حجز الإجازات'!$E$5:$E$104)&gt;=CF$3)*('حجز الإجازات'!$G$5:$G$104="معتمد")*ROW('حجز الإجازات'!$B$5:$B$104))=0,"",INDEX('حجز الإجازات'!$C$5:$C$104,(SUMPRODUCT(('حجز الإجازات'!$B$5:$B$104='الموظفون'!$B$7)*('حجز الإجازات'!$D$5:$D$104&lt;=CF$3)*(('حجز الإجازات'!$E$5:$E$104)&gt;=CF$3)*('حجز الإجازات'!$G$5:$G$104="معتمد")*ROW('حجز الإجازات'!$B$5:$B$104)))-5+1))</f>
        <v/>
      </c>
      <c r="CG9" s="62">
        <f>IF(SUMPRODUCT(('حجز الإجازات'!$B$5:$B$104='الموظفون'!$B$7)*('حجز الإجازات'!$D$5:$D$104&lt;=CG$3)*(('حجز الإجازات'!$E$5:$E$104)&gt;=CG$3)*('حجز الإجازات'!$G$5:$G$104="معتمد")*ROW('حجز الإجازات'!$B$5:$B$104))=0,"",INDEX('حجز الإجازات'!$C$5:$C$104,(SUMPRODUCT(('حجز الإجازات'!$B$5:$B$104='الموظفون'!$B$7)*('حجز الإجازات'!$D$5:$D$104&lt;=CG$3)*(('حجز الإجازات'!$E$5:$E$104)&gt;=CG$3)*('حجز الإجازات'!$G$5:$G$104="معتمد")*ROW('حجز الإجازات'!$B$5:$B$104)))-5+1))</f>
        <v/>
      </c>
      <c r="CH9" s="62">
        <f>IF(SUMPRODUCT(('حجز الإجازات'!$B$5:$B$104='الموظفون'!$B$7)*('حجز الإجازات'!$D$5:$D$104&lt;=CH$3)*(('حجز الإجازات'!$E$5:$E$104)&gt;=CH$3)*('حجز الإجازات'!$G$5:$G$104="معتمد")*ROW('حجز الإجازات'!$B$5:$B$104))=0,"",INDEX('حجز الإجازات'!$C$5:$C$104,(SUMPRODUCT(('حجز الإجازات'!$B$5:$B$104='الموظفون'!$B$7)*('حجز الإجازات'!$D$5:$D$104&lt;=CH$3)*(('حجز الإجازات'!$E$5:$E$104)&gt;=CH$3)*('حجز الإجازات'!$G$5:$G$104="معتمد")*ROW('حجز الإجازات'!$B$5:$B$104)))-5+1))</f>
        <v/>
      </c>
      <c r="CI9" s="62">
        <f>IF(SUMPRODUCT(('حجز الإجازات'!$B$5:$B$104='الموظفون'!$B$7)*('حجز الإجازات'!$D$5:$D$104&lt;=CI$3)*(('حجز الإجازات'!$E$5:$E$104)&gt;=CI$3)*('حجز الإجازات'!$G$5:$G$104="معتمد")*ROW('حجز الإجازات'!$B$5:$B$104))=0,"",INDEX('حجز الإجازات'!$C$5:$C$104,(SUMPRODUCT(('حجز الإجازات'!$B$5:$B$104='الموظفون'!$B$7)*('حجز الإجازات'!$D$5:$D$104&lt;=CI$3)*(('حجز الإجازات'!$E$5:$E$104)&gt;=CI$3)*('حجز الإجازات'!$G$5:$G$104="معتمد")*ROW('حجز الإجازات'!$B$5:$B$104)))-5+1))</f>
        <v/>
      </c>
      <c r="CJ9" s="62">
        <f>IF(SUMPRODUCT(('حجز الإجازات'!$B$5:$B$104='الموظفون'!$B$7)*('حجز الإجازات'!$D$5:$D$104&lt;=CJ$3)*(('حجز الإجازات'!$E$5:$E$104)&gt;=CJ$3)*('حجز الإجازات'!$G$5:$G$104="معتمد")*ROW('حجز الإجازات'!$B$5:$B$104))=0,"",INDEX('حجز الإجازات'!$C$5:$C$104,(SUMPRODUCT(('حجز الإجازات'!$B$5:$B$104='الموظفون'!$B$7)*('حجز الإجازات'!$D$5:$D$104&lt;=CJ$3)*(('حجز الإجازات'!$E$5:$E$104)&gt;=CJ$3)*('حجز الإجازات'!$G$5:$G$104="معتمد")*ROW('حجز الإجازات'!$B$5:$B$104)))-5+1))</f>
        <v/>
      </c>
      <c r="CK9" s="62">
        <f>IF(SUMPRODUCT(('حجز الإجازات'!$B$5:$B$104='الموظفون'!$B$7)*('حجز الإجازات'!$D$5:$D$104&lt;=CK$3)*(('حجز الإجازات'!$E$5:$E$104)&gt;=CK$3)*('حجز الإجازات'!$G$5:$G$104="معتمد")*ROW('حجز الإجازات'!$B$5:$B$104))=0,"",INDEX('حجز الإجازات'!$C$5:$C$104,(SUMPRODUCT(('حجز الإجازات'!$B$5:$B$104='الموظفون'!$B$7)*('حجز الإجازات'!$D$5:$D$104&lt;=CK$3)*(('حجز الإجازات'!$E$5:$E$104)&gt;=CK$3)*('حجز الإجازات'!$G$5:$G$104="معتمد")*ROW('حجز الإجازات'!$B$5:$B$104)))-5+1))</f>
        <v/>
      </c>
      <c r="CL9" s="62">
        <f>IF(SUMPRODUCT(('حجز الإجازات'!$B$5:$B$104='الموظفون'!$B$7)*('حجز الإجازات'!$D$5:$D$104&lt;=CL$3)*(('حجز الإجازات'!$E$5:$E$104)&gt;=CL$3)*('حجز الإجازات'!$G$5:$G$104="معتمد")*ROW('حجز الإجازات'!$B$5:$B$104))=0,"",INDEX('حجز الإجازات'!$C$5:$C$104,(SUMPRODUCT(('حجز الإجازات'!$B$5:$B$104='الموظفون'!$B$7)*('حجز الإجازات'!$D$5:$D$104&lt;=CL$3)*(('حجز الإجازات'!$E$5:$E$104)&gt;=CL$3)*('حجز الإجازات'!$G$5:$G$104="معتمد")*ROW('حجز الإجازات'!$B$5:$B$104)))-5+1))</f>
        <v/>
      </c>
      <c r="CM9" s="62">
        <f>IF(SUMPRODUCT(('حجز الإجازات'!$B$5:$B$104='الموظفون'!$B$7)*('حجز الإجازات'!$D$5:$D$104&lt;=CM$3)*(('حجز الإجازات'!$E$5:$E$104)&gt;=CM$3)*('حجز الإجازات'!$G$5:$G$104="معتمد")*ROW('حجز الإجازات'!$B$5:$B$104))=0,"",INDEX('حجز الإجازات'!$C$5:$C$104,(SUMPRODUCT(('حجز الإجازات'!$B$5:$B$104='الموظفون'!$B$7)*('حجز الإجازات'!$D$5:$D$104&lt;=CM$3)*(('حجز الإجازات'!$E$5:$E$104)&gt;=CM$3)*('حجز الإجازات'!$G$5:$G$104="معتمد")*ROW('حجز الإجازات'!$B$5:$B$104)))-5+1))</f>
        <v/>
      </c>
      <c r="CN9" s="62">
        <f>IF(SUMPRODUCT(('حجز الإجازات'!$B$5:$B$104='الموظفون'!$B$7)*('حجز الإجازات'!$D$5:$D$104&lt;=CN$3)*(('حجز الإجازات'!$E$5:$E$104)&gt;=CN$3)*('حجز الإجازات'!$G$5:$G$104="معتمد")*ROW('حجز الإجازات'!$B$5:$B$104))=0,"",INDEX('حجز الإجازات'!$C$5:$C$104,(SUMPRODUCT(('حجز الإجازات'!$B$5:$B$104='الموظفون'!$B$7)*('حجز الإجازات'!$D$5:$D$104&lt;=CN$3)*(('حجز الإجازات'!$E$5:$E$104)&gt;=CN$3)*('حجز الإجازات'!$G$5:$G$104="معتمد")*ROW('حجز الإجازات'!$B$5:$B$104)))-5+1))</f>
        <v/>
      </c>
      <c r="CO9" s="62">
        <f>IF(SUMPRODUCT(('حجز الإجازات'!$B$5:$B$104='الموظفون'!$B$7)*('حجز الإجازات'!$D$5:$D$104&lt;=CO$3)*(('حجز الإجازات'!$E$5:$E$104)&gt;=CO$3)*('حجز الإجازات'!$G$5:$G$104="معتمد")*ROW('حجز الإجازات'!$B$5:$B$104))=0,"",INDEX('حجز الإجازات'!$C$5:$C$104,(SUMPRODUCT(('حجز الإجازات'!$B$5:$B$104='الموظفون'!$B$7)*('حجز الإجازات'!$D$5:$D$104&lt;=CO$3)*(('حجز الإجازات'!$E$5:$E$104)&gt;=CO$3)*('حجز الإجازات'!$G$5:$G$104="معتمد")*ROW('حجز الإجازات'!$B$5:$B$104)))-5+1))</f>
        <v/>
      </c>
      <c r="CP9" s="62">
        <f>IF(SUMPRODUCT(('حجز الإجازات'!$B$5:$B$104='الموظفون'!$B$7)*('حجز الإجازات'!$D$5:$D$104&lt;=CP$3)*(('حجز الإجازات'!$E$5:$E$104)&gt;=CP$3)*('حجز الإجازات'!$G$5:$G$104="معتمد")*ROW('حجز الإجازات'!$B$5:$B$104))=0,"",INDEX('حجز الإجازات'!$C$5:$C$104,(SUMPRODUCT(('حجز الإجازات'!$B$5:$B$104='الموظفون'!$B$7)*('حجز الإجازات'!$D$5:$D$104&lt;=CP$3)*(('حجز الإجازات'!$E$5:$E$104)&gt;=CP$3)*('حجز الإجازات'!$G$5:$G$104="معتمد")*ROW('حجز الإجازات'!$B$5:$B$104)))-5+1))</f>
        <v/>
      </c>
      <c r="CQ9" s="62">
        <f>IF(SUMPRODUCT(('حجز الإجازات'!$B$5:$B$104='الموظفون'!$B$7)*('حجز الإجازات'!$D$5:$D$104&lt;=CQ$3)*(('حجز الإجازات'!$E$5:$E$104)&gt;=CQ$3)*('حجز الإجازات'!$G$5:$G$104="معتمد")*ROW('حجز الإجازات'!$B$5:$B$104))=0,"",INDEX('حجز الإجازات'!$C$5:$C$104,(SUMPRODUCT(('حجز الإجازات'!$B$5:$B$104='الموظفون'!$B$7)*('حجز الإجازات'!$D$5:$D$104&lt;=CQ$3)*(('حجز الإجازات'!$E$5:$E$104)&gt;=CQ$3)*('حجز الإجازات'!$G$5:$G$104="معتمد")*ROW('حجز الإجازات'!$B$5:$B$104)))-5+1))</f>
        <v/>
      </c>
      <c r="CR9" s="62">
        <f>IF(SUMPRODUCT(('حجز الإجازات'!$B$5:$B$104='الموظفون'!$B$7)*('حجز الإجازات'!$D$5:$D$104&lt;=CR$3)*(('حجز الإجازات'!$E$5:$E$104)&gt;=CR$3)*('حجز الإجازات'!$G$5:$G$104="معتمد")*ROW('حجز الإجازات'!$B$5:$B$104))=0,"",INDEX('حجز الإجازات'!$C$5:$C$104,(SUMPRODUCT(('حجز الإجازات'!$B$5:$B$104='الموظفون'!$B$7)*('حجز الإجازات'!$D$5:$D$104&lt;=CR$3)*(('حجز الإجازات'!$E$5:$E$104)&gt;=CR$3)*('حجز الإجازات'!$G$5:$G$104="معتمد")*ROW('حجز الإجازات'!$B$5:$B$104)))-5+1))</f>
        <v/>
      </c>
      <c r="CS9" s="62">
        <f>IF(SUMPRODUCT(('حجز الإجازات'!$B$5:$B$104='الموظفون'!$B$7)*('حجز الإجازات'!$D$5:$D$104&lt;=CS$3)*(('حجز الإجازات'!$E$5:$E$104)&gt;=CS$3)*('حجز الإجازات'!$G$5:$G$104="معتمد")*ROW('حجز الإجازات'!$B$5:$B$104))=0,"",INDEX('حجز الإجازات'!$C$5:$C$104,(SUMPRODUCT(('حجز الإجازات'!$B$5:$B$104='الموظفون'!$B$7)*('حجز الإجازات'!$D$5:$D$104&lt;=CS$3)*(('حجز الإجازات'!$E$5:$E$104)&gt;=CS$3)*('حجز الإجازات'!$G$5:$G$104="معتمد")*ROW('حجز الإجازات'!$B$5:$B$104)))-5+1))</f>
        <v/>
      </c>
      <c r="CT9" s="62">
        <f>IF(SUMPRODUCT(('حجز الإجازات'!$B$5:$B$104='الموظفون'!$B$7)*('حجز الإجازات'!$D$5:$D$104&lt;=CT$3)*(('حجز الإجازات'!$E$5:$E$104)&gt;=CT$3)*('حجز الإجازات'!$G$5:$G$104="معتمد")*ROW('حجز الإجازات'!$B$5:$B$104))=0,"",INDEX('حجز الإجازات'!$C$5:$C$104,(SUMPRODUCT(('حجز الإجازات'!$B$5:$B$104='الموظفون'!$B$7)*('حجز الإجازات'!$D$5:$D$104&lt;=CT$3)*(('حجز الإجازات'!$E$5:$E$104)&gt;=CT$3)*('حجز الإجازات'!$G$5:$G$104="معتمد")*ROW('حجز الإجازات'!$B$5:$B$104)))-5+1))</f>
        <v/>
      </c>
      <c r="CU9" s="62">
        <f>IF(SUMPRODUCT(('حجز الإجازات'!$B$5:$B$104='الموظفون'!$B$7)*('حجز الإجازات'!$D$5:$D$104&lt;=CU$3)*(('حجز الإجازات'!$E$5:$E$104)&gt;=CU$3)*('حجز الإجازات'!$G$5:$G$104="معتمد")*ROW('حجز الإجازات'!$B$5:$B$104))=0,"",INDEX('حجز الإجازات'!$C$5:$C$104,(SUMPRODUCT(('حجز الإجازات'!$B$5:$B$104='الموظفون'!$B$7)*('حجز الإجازات'!$D$5:$D$104&lt;=CU$3)*(('حجز الإجازات'!$E$5:$E$104)&gt;=CU$3)*('حجز الإجازات'!$G$5:$G$104="معتمد")*ROW('حجز الإجازات'!$B$5:$B$104)))-5+1))</f>
        <v/>
      </c>
      <c r="CV9" s="62">
        <f>IF(SUMPRODUCT(('حجز الإجازات'!$B$5:$B$104='الموظفون'!$B$7)*('حجز الإجازات'!$D$5:$D$104&lt;=CV$3)*(('حجز الإجازات'!$E$5:$E$104)&gt;=CV$3)*('حجز الإجازات'!$G$5:$G$104="معتمد")*ROW('حجز الإجازات'!$B$5:$B$104))=0,"",INDEX('حجز الإجازات'!$C$5:$C$104,(SUMPRODUCT(('حجز الإجازات'!$B$5:$B$104='الموظفون'!$B$7)*('حجز الإجازات'!$D$5:$D$104&lt;=CV$3)*(('حجز الإجازات'!$E$5:$E$104)&gt;=CV$3)*('حجز الإجازات'!$G$5:$G$104="معتمد")*ROW('حجز الإجازات'!$B$5:$B$104)))-5+1))</f>
        <v/>
      </c>
      <c r="CW9" s="62">
        <f>IF(SUMPRODUCT(('حجز الإجازات'!$B$5:$B$104='الموظفون'!$B$7)*('حجز الإجازات'!$D$5:$D$104&lt;=CW$3)*(('حجز الإجازات'!$E$5:$E$104)&gt;=CW$3)*('حجز الإجازات'!$G$5:$G$104="معتمد")*ROW('حجز الإجازات'!$B$5:$B$104))=0,"",INDEX('حجز الإجازات'!$C$5:$C$104,(SUMPRODUCT(('حجز الإجازات'!$B$5:$B$104='الموظفون'!$B$7)*('حجز الإجازات'!$D$5:$D$104&lt;=CW$3)*(('حجز الإجازات'!$E$5:$E$104)&gt;=CW$3)*('حجز الإجازات'!$G$5:$G$104="معتمد")*ROW('حجز الإجازات'!$B$5:$B$104)))-5+1))</f>
        <v/>
      </c>
      <c r="CX9" s="62">
        <f>IF(SUMPRODUCT(('حجز الإجازات'!$B$5:$B$104='الموظفون'!$B$7)*('حجز الإجازات'!$D$5:$D$104&lt;=CX$3)*(('حجز الإجازات'!$E$5:$E$104)&gt;=CX$3)*('حجز الإجازات'!$G$5:$G$104="معتمد")*ROW('حجز الإجازات'!$B$5:$B$104))=0,"",INDEX('حجز الإجازات'!$C$5:$C$104,(SUMPRODUCT(('حجز الإجازات'!$B$5:$B$104='الموظفون'!$B$7)*('حجز الإجازات'!$D$5:$D$104&lt;=CX$3)*(('حجز الإجازات'!$E$5:$E$104)&gt;=CX$3)*('حجز الإجازات'!$G$5:$G$104="معتمد")*ROW('حجز الإجازات'!$B$5:$B$104)))-5+1))</f>
        <v/>
      </c>
      <c r="CY9" s="62">
        <f>IF(SUMPRODUCT(('حجز الإجازات'!$B$5:$B$104='الموظفون'!$B$7)*('حجز الإجازات'!$D$5:$D$104&lt;=CY$3)*(('حجز الإجازات'!$E$5:$E$104)&gt;=CY$3)*('حجز الإجازات'!$G$5:$G$104="معتمد")*ROW('حجز الإجازات'!$B$5:$B$104))=0,"",INDEX('حجز الإجازات'!$C$5:$C$104,(SUMPRODUCT(('حجز الإجازات'!$B$5:$B$104='الموظفون'!$B$7)*('حجز الإجازات'!$D$5:$D$104&lt;=CY$3)*(('حجز الإجازات'!$E$5:$E$104)&gt;=CY$3)*('حجز الإجازات'!$G$5:$G$104="معتمد")*ROW('حجز الإجازات'!$B$5:$B$104)))-5+1))</f>
        <v/>
      </c>
      <c r="CZ9" s="62">
        <f>IF(SUMPRODUCT(('حجز الإجازات'!$B$5:$B$104='الموظفون'!$B$7)*('حجز الإجازات'!$D$5:$D$104&lt;=CZ$3)*(('حجز الإجازات'!$E$5:$E$104)&gt;=CZ$3)*('حجز الإجازات'!$G$5:$G$104="معتمد")*ROW('حجز الإجازات'!$B$5:$B$104))=0,"",INDEX('حجز الإجازات'!$C$5:$C$104,(SUMPRODUCT(('حجز الإجازات'!$B$5:$B$104='الموظفون'!$B$7)*('حجز الإجازات'!$D$5:$D$104&lt;=CZ$3)*(('حجز الإجازات'!$E$5:$E$104)&gt;=CZ$3)*('حجز الإجازات'!$G$5:$G$104="معتمد")*ROW('حجز الإجازات'!$B$5:$B$104)))-5+1))</f>
        <v/>
      </c>
      <c r="DA9" s="62">
        <f>IF(SUMPRODUCT(('حجز الإجازات'!$B$5:$B$104='الموظفون'!$B$7)*('حجز الإجازات'!$D$5:$D$104&lt;=DA$3)*(('حجز الإجازات'!$E$5:$E$104)&gt;=DA$3)*('حجز الإجازات'!$G$5:$G$104="معتمد")*ROW('حجز الإجازات'!$B$5:$B$104))=0,"",INDEX('حجز الإجازات'!$C$5:$C$104,(SUMPRODUCT(('حجز الإجازات'!$B$5:$B$104='الموظفون'!$B$7)*('حجز الإجازات'!$D$5:$D$104&lt;=DA$3)*(('حجز الإجازات'!$E$5:$E$104)&gt;=DA$3)*('حجز الإجازات'!$G$5:$G$104="معتمد")*ROW('حجز الإجازات'!$B$5:$B$104)))-5+1))</f>
        <v/>
      </c>
      <c r="DB9" s="62">
        <f>IF(SUMPRODUCT(('حجز الإجازات'!$B$5:$B$104='الموظفون'!$B$7)*('حجز الإجازات'!$D$5:$D$104&lt;=DB$3)*(('حجز الإجازات'!$E$5:$E$104)&gt;=DB$3)*('حجز الإجازات'!$G$5:$G$104="معتمد")*ROW('حجز الإجازات'!$B$5:$B$104))=0,"",INDEX('حجز الإجازات'!$C$5:$C$104,(SUMPRODUCT(('حجز الإجازات'!$B$5:$B$104='الموظفون'!$B$7)*('حجز الإجازات'!$D$5:$D$104&lt;=DB$3)*(('حجز الإجازات'!$E$5:$E$104)&gt;=DB$3)*('حجز الإجازات'!$G$5:$G$104="معتمد")*ROW('حجز الإجازات'!$B$5:$B$104)))-5+1))</f>
        <v/>
      </c>
      <c r="DC9" s="62">
        <f>IF(SUMPRODUCT(('حجز الإجازات'!$B$5:$B$104='الموظفون'!$B$7)*('حجز الإجازات'!$D$5:$D$104&lt;=DC$3)*(('حجز الإجازات'!$E$5:$E$104)&gt;=DC$3)*('حجز الإجازات'!$G$5:$G$104="معتمد")*ROW('حجز الإجازات'!$B$5:$B$104))=0,"",INDEX('حجز الإجازات'!$C$5:$C$104,(SUMPRODUCT(('حجز الإجازات'!$B$5:$B$104='الموظفون'!$B$7)*('حجز الإجازات'!$D$5:$D$104&lt;=DC$3)*(('حجز الإجازات'!$E$5:$E$104)&gt;=DC$3)*('حجز الإجازات'!$G$5:$G$104="معتمد")*ROW('حجز الإجازات'!$B$5:$B$104)))-5+1))</f>
        <v/>
      </c>
      <c r="DD9" s="62">
        <f>IF(SUMPRODUCT(('حجز الإجازات'!$B$5:$B$104='الموظفون'!$B$7)*('حجز الإجازات'!$D$5:$D$104&lt;=DD$3)*(('حجز الإجازات'!$E$5:$E$104)&gt;=DD$3)*('حجز الإجازات'!$G$5:$G$104="معتمد")*ROW('حجز الإجازات'!$B$5:$B$104))=0,"",INDEX('حجز الإجازات'!$C$5:$C$104,(SUMPRODUCT(('حجز الإجازات'!$B$5:$B$104='الموظفون'!$B$7)*('حجز الإجازات'!$D$5:$D$104&lt;=DD$3)*(('حجز الإجازات'!$E$5:$E$104)&gt;=DD$3)*('حجز الإجازات'!$G$5:$G$104="معتمد")*ROW('حجز الإجازات'!$B$5:$B$104)))-5+1))</f>
        <v/>
      </c>
      <c r="DE9" s="62">
        <f>IF(SUMPRODUCT(('حجز الإجازات'!$B$5:$B$104='الموظفون'!$B$7)*('حجز الإجازات'!$D$5:$D$104&lt;=DE$3)*(('حجز الإجازات'!$E$5:$E$104)&gt;=DE$3)*('حجز الإجازات'!$G$5:$G$104="معتمد")*ROW('حجز الإجازات'!$B$5:$B$104))=0,"",INDEX('حجز الإجازات'!$C$5:$C$104,(SUMPRODUCT(('حجز الإجازات'!$B$5:$B$104='الموظفون'!$B$7)*('حجز الإجازات'!$D$5:$D$104&lt;=DE$3)*(('حجز الإجازات'!$E$5:$E$104)&gt;=DE$3)*('حجز الإجازات'!$G$5:$G$104="معتمد")*ROW('حجز الإجازات'!$B$5:$B$104)))-5+1))</f>
        <v/>
      </c>
      <c r="DF9" s="62">
        <f>IF(SUMPRODUCT(('حجز الإجازات'!$B$5:$B$104='الموظفون'!$B$7)*('حجز الإجازات'!$D$5:$D$104&lt;=DF$3)*(('حجز الإجازات'!$E$5:$E$104)&gt;=DF$3)*('حجز الإجازات'!$G$5:$G$104="معتمد")*ROW('حجز الإجازات'!$B$5:$B$104))=0,"",INDEX('حجز الإجازات'!$C$5:$C$104,(SUMPRODUCT(('حجز الإجازات'!$B$5:$B$104='الموظفون'!$B$7)*('حجز الإجازات'!$D$5:$D$104&lt;=DF$3)*(('حجز الإجازات'!$E$5:$E$104)&gt;=DF$3)*('حجز الإجازات'!$G$5:$G$104="معتمد")*ROW('حجز الإجازات'!$B$5:$B$104)))-5+1))</f>
        <v/>
      </c>
      <c r="DG9" s="62">
        <f>IF(SUMPRODUCT(('حجز الإجازات'!$B$5:$B$104='الموظفون'!$B$7)*('حجز الإجازات'!$D$5:$D$104&lt;=DG$3)*(('حجز الإجازات'!$E$5:$E$104)&gt;=DG$3)*('حجز الإجازات'!$G$5:$G$104="معتمد")*ROW('حجز الإجازات'!$B$5:$B$104))=0,"",INDEX('حجز الإجازات'!$C$5:$C$104,(SUMPRODUCT(('حجز الإجازات'!$B$5:$B$104='الموظفون'!$B$7)*('حجز الإجازات'!$D$5:$D$104&lt;=DG$3)*(('حجز الإجازات'!$E$5:$E$104)&gt;=DG$3)*('حجز الإجازات'!$G$5:$G$104="معتمد")*ROW('حجز الإجازات'!$B$5:$B$104)))-5+1))</f>
        <v/>
      </c>
      <c r="DH9" s="62">
        <f>IF(SUMPRODUCT(('حجز الإجازات'!$B$5:$B$104='الموظفون'!$B$7)*('حجز الإجازات'!$D$5:$D$104&lt;=DH$3)*(('حجز الإجازات'!$E$5:$E$104)&gt;=DH$3)*('حجز الإجازات'!$G$5:$G$104="معتمد")*ROW('حجز الإجازات'!$B$5:$B$104))=0,"",INDEX('حجز الإجازات'!$C$5:$C$104,(SUMPRODUCT(('حجز الإجازات'!$B$5:$B$104='الموظفون'!$B$7)*('حجز الإجازات'!$D$5:$D$104&lt;=DH$3)*(('حجز الإجازات'!$E$5:$E$104)&gt;=DH$3)*('حجز الإجازات'!$G$5:$G$104="معتمد")*ROW('حجز الإجازات'!$B$5:$B$104)))-5+1))</f>
        <v/>
      </c>
      <c r="DI9" s="62">
        <f>IF(SUMPRODUCT(('حجز الإجازات'!$B$5:$B$104='الموظفون'!$B$7)*('حجز الإجازات'!$D$5:$D$104&lt;=DI$3)*(('حجز الإجازات'!$E$5:$E$104)&gt;=DI$3)*('حجز الإجازات'!$G$5:$G$104="معتمد")*ROW('حجز الإجازات'!$B$5:$B$104))=0,"",INDEX('حجز الإجازات'!$C$5:$C$104,(SUMPRODUCT(('حجز الإجازات'!$B$5:$B$104='الموظفون'!$B$7)*('حجز الإجازات'!$D$5:$D$104&lt;=DI$3)*(('حجز الإجازات'!$E$5:$E$104)&gt;=DI$3)*('حجز الإجازات'!$G$5:$G$104="معتمد")*ROW('حجز الإجازات'!$B$5:$B$104)))-5+1))</f>
        <v/>
      </c>
      <c r="DJ9" s="62">
        <f>IF(SUMPRODUCT(('حجز الإجازات'!$B$5:$B$104='الموظفون'!$B$7)*('حجز الإجازات'!$D$5:$D$104&lt;=DJ$3)*(('حجز الإجازات'!$E$5:$E$104)&gt;=DJ$3)*('حجز الإجازات'!$G$5:$G$104="معتمد")*ROW('حجز الإجازات'!$B$5:$B$104))=0,"",INDEX('حجز الإجازات'!$C$5:$C$104,(SUMPRODUCT(('حجز الإجازات'!$B$5:$B$104='الموظفون'!$B$7)*('حجز الإجازات'!$D$5:$D$104&lt;=DJ$3)*(('حجز الإجازات'!$E$5:$E$104)&gt;=DJ$3)*('حجز الإجازات'!$G$5:$G$104="معتمد")*ROW('حجز الإجازات'!$B$5:$B$104)))-5+1))</f>
        <v/>
      </c>
      <c r="DK9" s="62">
        <f>IF(SUMPRODUCT(('حجز الإجازات'!$B$5:$B$104='الموظفون'!$B$7)*('حجز الإجازات'!$D$5:$D$104&lt;=DK$3)*(('حجز الإجازات'!$E$5:$E$104)&gt;=DK$3)*('حجز الإجازات'!$G$5:$G$104="معتمد")*ROW('حجز الإجازات'!$B$5:$B$104))=0,"",INDEX('حجز الإجازات'!$C$5:$C$104,(SUMPRODUCT(('حجز الإجازات'!$B$5:$B$104='الموظفون'!$B$7)*('حجز الإجازات'!$D$5:$D$104&lt;=DK$3)*(('حجز الإجازات'!$E$5:$E$104)&gt;=DK$3)*('حجز الإجازات'!$G$5:$G$104="معتمد")*ROW('حجز الإجازات'!$B$5:$B$104)))-5+1))</f>
        <v/>
      </c>
      <c r="DL9" s="62">
        <f>IF(SUMPRODUCT(('حجز الإجازات'!$B$5:$B$104='الموظفون'!$B$7)*('حجز الإجازات'!$D$5:$D$104&lt;=DL$3)*(('حجز الإجازات'!$E$5:$E$104)&gt;=DL$3)*('حجز الإجازات'!$G$5:$G$104="معتمد")*ROW('حجز الإجازات'!$B$5:$B$104))=0,"",INDEX('حجز الإجازات'!$C$5:$C$104,(SUMPRODUCT(('حجز الإجازات'!$B$5:$B$104='الموظفون'!$B$7)*('حجز الإجازات'!$D$5:$D$104&lt;=DL$3)*(('حجز الإجازات'!$E$5:$E$104)&gt;=DL$3)*('حجز الإجازات'!$G$5:$G$104="معتمد")*ROW('حجز الإجازات'!$B$5:$B$104)))-5+1))</f>
        <v/>
      </c>
      <c r="DM9" s="62">
        <f>IF(SUMPRODUCT(('حجز الإجازات'!$B$5:$B$104='الموظفون'!$B$7)*('حجز الإجازات'!$D$5:$D$104&lt;=DM$3)*(('حجز الإجازات'!$E$5:$E$104)&gt;=DM$3)*('حجز الإجازات'!$G$5:$G$104="معتمد")*ROW('حجز الإجازات'!$B$5:$B$104))=0,"",INDEX('حجز الإجازات'!$C$5:$C$104,(SUMPRODUCT(('حجز الإجازات'!$B$5:$B$104='الموظفون'!$B$7)*('حجز الإجازات'!$D$5:$D$104&lt;=DM$3)*(('حجز الإجازات'!$E$5:$E$104)&gt;=DM$3)*('حجز الإجازات'!$G$5:$G$104="معتمد")*ROW('حجز الإجازات'!$B$5:$B$104)))-5+1))</f>
        <v/>
      </c>
      <c r="DN9" s="62">
        <f>IF(SUMPRODUCT(('حجز الإجازات'!$B$5:$B$104='الموظفون'!$B$7)*('حجز الإجازات'!$D$5:$D$104&lt;=DN$3)*(('حجز الإجازات'!$E$5:$E$104)&gt;=DN$3)*('حجز الإجازات'!$G$5:$G$104="معتمد")*ROW('حجز الإجازات'!$B$5:$B$104))=0,"",INDEX('حجز الإجازات'!$C$5:$C$104,(SUMPRODUCT(('حجز الإجازات'!$B$5:$B$104='الموظفون'!$B$7)*('حجز الإجازات'!$D$5:$D$104&lt;=DN$3)*(('حجز الإجازات'!$E$5:$E$104)&gt;=DN$3)*('حجز الإجازات'!$G$5:$G$104="معتمد")*ROW('حجز الإجازات'!$B$5:$B$104)))-5+1))</f>
        <v/>
      </c>
      <c r="DO9" s="62">
        <f>IF(SUMPRODUCT(('حجز الإجازات'!$B$5:$B$104='الموظفون'!$B$7)*('حجز الإجازات'!$D$5:$D$104&lt;=DO$3)*(('حجز الإجازات'!$E$5:$E$104)&gt;=DO$3)*('حجز الإجازات'!$G$5:$G$104="معتمد")*ROW('حجز الإجازات'!$B$5:$B$104))=0,"",INDEX('حجز الإجازات'!$C$5:$C$104,(SUMPRODUCT(('حجز الإجازات'!$B$5:$B$104='الموظفون'!$B$7)*('حجز الإجازات'!$D$5:$D$104&lt;=DO$3)*(('حجز الإجازات'!$E$5:$E$104)&gt;=DO$3)*('حجز الإجازات'!$G$5:$G$104="معتمد")*ROW('حجز الإجازات'!$B$5:$B$104)))-5+1))</f>
        <v/>
      </c>
      <c r="DP9" s="62">
        <f>IF(SUMPRODUCT(('حجز الإجازات'!$B$5:$B$104='الموظفون'!$B$7)*('حجز الإجازات'!$D$5:$D$104&lt;=DP$3)*(('حجز الإجازات'!$E$5:$E$104)&gt;=DP$3)*('حجز الإجازات'!$G$5:$G$104="معتمد")*ROW('حجز الإجازات'!$B$5:$B$104))=0,"",INDEX('حجز الإجازات'!$C$5:$C$104,(SUMPRODUCT(('حجز الإجازات'!$B$5:$B$104='الموظفون'!$B$7)*('حجز الإجازات'!$D$5:$D$104&lt;=DP$3)*(('حجز الإجازات'!$E$5:$E$104)&gt;=DP$3)*('حجز الإجازات'!$G$5:$G$104="معتمد")*ROW('حجز الإجازات'!$B$5:$B$104)))-5+1))</f>
        <v/>
      </c>
      <c r="DQ9" s="62">
        <f>IF(SUMPRODUCT(('حجز الإجازات'!$B$5:$B$104='الموظفون'!$B$7)*('حجز الإجازات'!$D$5:$D$104&lt;=DQ$3)*(('حجز الإجازات'!$E$5:$E$104)&gt;=DQ$3)*('حجز الإجازات'!$G$5:$G$104="معتمد")*ROW('حجز الإجازات'!$B$5:$B$104))=0,"",INDEX('حجز الإجازات'!$C$5:$C$104,(SUMPRODUCT(('حجز الإجازات'!$B$5:$B$104='الموظفون'!$B$7)*('حجز الإجازات'!$D$5:$D$104&lt;=DQ$3)*(('حجز الإجازات'!$E$5:$E$104)&gt;=DQ$3)*('حجز الإجازات'!$G$5:$G$104="معتمد")*ROW('حجز الإجازات'!$B$5:$B$104)))-5+1))</f>
        <v/>
      </c>
      <c r="DR9" s="62">
        <f>IF(SUMPRODUCT(('حجز الإجازات'!$B$5:$B$104='الموظفون'!$B$7)*('حجز الإجازات'!$D$5:$D$104&lt;=DR$3)*(('حجز الإجازات'!$E$5:$E$104)&gt;=DR$3)*('حجز الإجازات'!$G$5:$G$104="معتمد")*ROW('حجز الإجازات'!$B$5:$B$104))=0,"",INDEX('حجز الإجازات'!$C$5:$C$104,(SUMPRODUCT(('حجز الإجازات'!$B$5:$B$104='الموظفون'!$B$7)*('حجز الإجازات'!$D$5:$D$104&lt;=DR$3)*(('حجز الإجازات'!$E$5:$E$104)&gt;=DR$3)*('حجز الإجازات'!$G$5:$G$104="معتمد")*ROW('حجز الإجازات'!$B$5:$B$104)))-5+1))</f>
        <v/>
      </c>
      <c r="DS9" s="62">
        <f>IF(SUMPRODUCT(('حجز الإجازات'!$B$5:$B$104='الموظفون'!$B$7)*('حجز الإجازات'!$D$5:$D$104&lt;=DS$3)*(('حجز الإجازات'!$E$5:$E$104)&gt;=DS$3)*('حجز الإجازات'!$G$5:$G$104="معتمد")*ROW('حجز الإجازات'!$B$5:$B$104))=0,"",INDEX('حجز الإجازات'!$C$5:$C$104,(SUMPRODUCT(('حجز الإجازات'!$B$5:$B$104='الموظفون'!$B$7)*('حجز الإجازات'!$D$5:$D$104&lt;=DS$3)*(('حجز الإجازات'!$E$5:$E$104)&gt;=DS$3)*('حجز الإجازات'!$G$5:$G$104="معتمد")*ROW('حجز الإجازات'!$B$5:$B$104)))-5+1))</f>
        <v/>
      </c>
      <c r="DT9" s="62">
        <f>IF(SUMPRODUCT(('حجز الإجازات'!$B$5:$B$104='الموظفون'!$B$7)*('حجز الإجازات'!$D$5:$D$104&lt;=DT$3)*(('حجز الإجازات'!$E$5:$E$104)&gt;=DT$3)*('حجز الإجازات'!$G$5:$G$104="معتمد")*ROW('حجز الإجازات'!$B$5:$B$104))=0,"",INDEX('حجز الإجازات'!$C$5:$C$104,(SUMPRODUCT(('حجز الإجازات'!$B$5:$B$104='الموظفون'!$B$7)*('حجز الإجازات'!$D$5:$D$104&lt;=DT$3)*(('حجز الإجازات'!$E$5:$E$104)&gt;=DT$3)*('حجز الإجازات'!$G$5:$G$104="معتمد")*ROW('حجز الإجازات'!$B$5:$B$104)))-5+1))</f>
        <v/>
      </c>
      <c r="DU9" s="62">
        <f>IF(SUMPRODUCT(('حجز الإجازات'!$B$5:$B$104='الموظفون'!$B$7)*('حجز الإجازات'!$D$5:$D$104&lt;=DU$3)*(('حجز الإجازات'!$E$5:$E$104)&gt;=DU$3)*('حجز الإجازات'!$G$5:$G$104="معتمد")*ROW('حجز الإجازات'!$B$5:$B$104))=0,"",INDEX('حجز الإجازات'!$C$5:$C$104,(SUMPRODUCT(('حجز الإجازات'!$B$5:$B$104='الموظفون'!$B$7)*('حجز الإجازات'!$D$5:$D$104&lt;=DU$3)*(('حجز الإجازات'!$E$5:$E$104)&gt;=DU$3)*('حجز الإجازات'!$G$5:$G$104="معتمد")*ROW('حجز الإجازات'!$B$5:$B$104)))-5+1))</f>
        <v/>
      </c>
      <c r="DV9" s="62">
        <f>IF(SUMPRODUCT(('حجز الإجازات'!$B$5:$B$104='الموظفون'!$B$7)*('حجز الإجازات'!$D$5:$D$104&lt;=DV$3)*(('حجز الإجازات'!$E$5:$E$104)&gt;=DV$3)*('حجز الإجازات'!$G$5:$G$104="معتمد")*ROW('حجز الإجازات'!$B$5:$B$104))=0,"",INDEX('حجز الإجازات'!$C$5:$C$104,(SUMPRODUCT(('حجز الإجازات'!$B$5:$B$104='الموظفون'!$B$7)*('حجز الإجازات'!$D$5:$D$104&lt;=DV$3)*(('حجز الإجازات'!$E$5:$E$104)&gt;=DV$3)*('حجز الإجازات'!$G$5:$G$104="معتمد")*ROW('حجز الإجازات'!$B$5:$B$104)))-5+1))</f>
        <v/>
      </c>
      <c r="DW9" s="62">
        <f>IF(SUMPRODUCT(('حجز الإجازات'!$B$5:$B$104='الموظفون'!$B$7)*('حجز الإجازات'!$D$5:$D$104&lt;=DW$3)*(('حجز الإجازات'!$E$5:$E$104)&gt;=DW$3)*('حجز الإجازات'!$G$5:$G$104="معتمد")*ROW('حجز الإجازات'!$B$5:$B$104))=0,"",INDEX('حجز الإجازات'!$C$5:$C$104,(SUMPRODUCT(('حجز الإجازات'!$B$5:$B$104='الموظفون'!$B$7)*('حجز الإجازات'!$D$5:$D$104&lt;=DW$3)*(('حجز الإجازات'!$E$5:$E$104)&gt;=DW$3)*('حجز الإجازات'!$G$5:$G$104="معتمد")*ROW('حجز الإجازات'!$B$5:$B$104)))-5+1))</f>
        <v/>
      </c>
      <c r="DX9" s="62">
        <f>IF(SUMPRODUCT(('حجز الإجازات'!$B$5:$B$104='الموظفون'!$B$7)*('حجز الإجازات'!$D$5:$D$104&lt;=DX$3)*(('حجز الإجازات'!$E$5:$E$104)&gt;=DX$3)*('حجز الإجازات'!$G$5:$G$104="معتمد")*ROW('حجز الإجازات'!$B$5:$B$104))=0,"",INDEX('حجز الإجازات'!$C$5:$C$104,(SUMPRODUCT(('حجز الإجازات'!$B$5:$B$104='الموظفون'!$B$7)*('حجز الإجازات'!$D$5:$D$104&lt;=DX$3)*(('حجز الإجازات'!$E$5:$E$104)&gt;=DX$3)*('حجز الإجازات'!$G$5:$G$104="معتمد")*ROW('حجز الإجازات'!$B$5:$B$104)))-5+1))</f>
        <v/>
      </c>
      <c r="DY9" s="62">
        <f>IF(SUMPRODUCT(('حجز الإجازات'!$B$5:$B$104='الموظفون'!$B$7)*('حجز الإجازات'!$D$5:$D$104&lt;=DY$3)*(('حجز الإجازات'!$E$5:$E$104)&gt;=DY$3)*('حجز الإجازات'!$G$5:$G$104="معتمد")*ROW('حجز الإجازات'!$B$5:$B$104))=0,"",INDEX('حجز الإجازات'!$C$5:$C$104,(SUMPRODUCT(('حجز الإجازات'!$B$5:$B$104='الموظفون'!$B$7)*('حجز الإجازات'!$D$5:$D$104&lt;=DY$3)*(('حجز الإجازات'!$E$5:$E$104)&gt;=DY$3)*('حجز الإجازات'!$G$5:$G$104="معتمد")*ROW('حجز الإجازات'!$B$5:$B$104)))-5+1))</f>
        <v/>
      </c>
      <c r="DZ9" s="62">
        <f>IF(SUMPRODUCT(('حجز الإجازات'!$B$5:$B$104='الموظفون'!$B$7)*('حجز الإجازات'!$D$5:$D$104&lt;=DZ$3)*(('حجز الإجازات'!$E$5:$E$104)&gt;=DZ$3)*('حجز الإجازات'!$G$5:$G$104="معتمد")*ROW('حجز الإجازات'!$B$5:$B$104))=0,"",INDEX('حجز الإجازات'!$C$5:$C$104,(SUMPRODUCT(('حجز الإجازات'!$B$5:$B$104='الموظفون'!$B$7)*('حجز الإجازات'!$D$5:$D$104&lt;=DZ$3)*(('حجز الإجازات'!$E$5:$E$104)&gt;=DZ$3)*('حجز الإجازات'!$G$5:$G$104="معتمد")*ROW('حجز الإجازات'!$B$5:$B$104)))-5+1))</f>
        <v/>
      </c>
      <c r="EA9" s="62">
        <f>IF(SUMPRODUCT(('حجز الإجازات'!$B$5:$B$104='الموظفون'!$B$7)*('حجز الإجازات'!$D$5:$D$104&lt;=EA$3)*(('حجز الإجازات'!$E$5:$E$104)&gt;=EA$3)*('حجز الإجازات'!$G$5:$G$104="معتمد")*ROW('حجز الإجازات'!$B$5:$B$104))=0,"",INDEX('حجز الإجازات'!$C$5:$C$104,(SUMPRODUCT(('حجز الإجازات'!$B$5:$B$104='الموظفون'!$B$7)*('حجز الإجازات'!$D$5:$D$104&lt;=EA$3)*(('حجز الإجازات'!$E$5:$E$104)&gt;=EA$3)*('حجز الإجازات'!$G$5:$G$104="معتمد")*ROW('حجز الإجازات'!$B$5:$B$104)))-5+1))</f>
        <v/>
      </c>
      <c r="EB9" s="62">
        <f>IF(SUMPRODUCT(('حجز الإجازات'!$B$5:$B$104='الموظفون'!$B$7)*('حجز الإجازات'!$D$5:$D$104&lt;=EB$3)*(('حجز الإجازات'!$E$5:$E$104)&gt;=EB$3)*('حجز الإجازات'!$G$5:$G$104="معتمد")*ROW('حجز الإجازات'!$B$5:$B$104))=0,"",INDEX('حجز الإجازات'!$C$5:$C$104,(SUMPRODUCT(('حجز الإجازات'!$B$5:$B$104='الموظفون'!$B$7)*('حجز الإجازات'!$D$5:$D$104&lt;=EB$3)*(('حجز الإجازات'!$E$5:$E$104)&gt;=EB$3)*('حجز الإجازات'!$G$5:$G$104="معتمد")*ROW('حجز الإجازات'!$B$5:$B$104)))-5+1))</f>
        <v/>
      </c>
      <c r="EC9" s="62">
        <f>IF(SUMPRODUCT(('حجز الإجازات'!$B$5:$B$104='الموظفون'!$B$7)*('حجز الإجازات'!$D$5:$D$104&lt;=EC$3)*(('حجز الإجازات'!$E$5:$E$104)&gt;=EC$3)*('حجز الإجازات'!$G$5:$G$104="معتمد")*ROW('حجز الإجازات'!$B$5:$B$104))=0,"",INDEX('حجز الإجازات'!$C$5:$C$104,(SUMPRODUCT(('حجز الإجازات'!$B$5:$B$104='الموظفون'!$B$7)*('حجز الإجازات'!$D$5:$D$104&lt;=EC$3)*(('حجز الإجازات'!$E$5:$E$104)&gt;=EC$3)*('حجز الإجازات'!$G$5:$G$104="معتمد")*ROW('حجز الإجازات'!$B$5:$B$104)))-5+1))</f>
        <v/>
      </c>
      <c r="ED9" s="62">
        <f>IF(SUMPRODUCT(('حجز الإجازات'!$B$5:$B$104='الموظفون'!$B$7)*('حجز الإجازات'!$D$5:$D$104&lt;=ED$3)*(('حجز الإجازات'!$E$5:$E$104)&gt;=ED$3)*('حجز الإجازات'!$G$5:$G$104="معتمد")*ROW('حجز الإجازات'!$B$5:$B$104))=0,"",INDEX('حجز الإجازات'!$C$5:$C$104,(SUMPRODUCT(('حجز الإجازات'!$B$5:$B$104='الموظفون'!$B$7)*('حجز الإجازات'!$D$5:$D$104&lt;=ED$3)*(('حجز الإجازات'!$E$5:$E$104)&gt;=ED$3)*('حجز الإجازات'!$G$5:$G$104="معتمد")*ROW('حجز الإجازات'!$B$5:$B$104)))-5+1))</f>
        <v/>
      </c>
      <c r="EE9" s="62">
        <f>IF(SUMPRODUCT(('حجز الإجازات'!$B$5:$B$104='الموظفون'!$B$7)*('حجز الإجازات'!$D$5:$D$104&lt;=EE$3)*(('حجز الإجازات'!$E$5:$E$104)&gt;=EE$3)*('حجز الإجازات'!$G$5:$G$104="معتمد")*ROW('حجز الإجازات'!$B$5:$B$104))=0,"",INDEX('حجز الإجازات'!$C$5:$C$104,(SUMPRODUCT(('حجز الإجازات'!$B$5:$B$104='الموظفون'!$B$7)*('حجز الإجازات'!$D$5:$D$104&lt;=EE$3)*(('حجز الإجازات'!$E$5:$E$104)&gt;=EE$3)*('حجز الإجازات'!$G$5:$G$104="معتمد")*ROW('حجز الإجازات'!$B$5:$B$104)))-5+1))</f>
        <v/>
      </c>
      <c r="EF9" s="62">
        <f>IF(SUMPRODUCT(('حجز الإجازات'!$B$5:$B$104='الموظفون'!$B$7)*('حجز الإجازات'!$D$5:$D$104&lt;=EF$3)*(('حجز الإجازات'!$E$5:$E$104)&gt;=EF$3)*('حجز الإجازات'!$G$5:$G$104="معتمد")*ROW('حجز الإجازات'!$B$5:$B$104))=0,"",INDEX('حجز الإجازات'!$C$5:$C$104,(SUMPRODUCT(('حجز الإجازات'!$B$5:$B$104='الموظفون'!$B$7)*('حجز الإجازات'!$D$5:$D$104&lt;=EF$3)*(('حجز الإجازات'!$E$5:$E$104)&gt;=EF$3)*('حجز الإجازات'!$G$5:$G$104="معتمد")*ROW('حجز الإجازات'!$B$5:$B$104)))-5+1))</f>
        <v/>
      </c>
      <c r="EG9" s="62">
        <f>IF(SUMPRODUCT(('حجز الإجازات'!$B$5:$B$104='الموظفون'!$B$7)*('حجز الإجازات'!$D$5:$D$104&lt;=EG$3)*(('حجز الإجازات'!$E$5:$E$104)&gt;=EG$3)*('حجز الإجازات'!$G$5:$G$104="معتمد")*ROW('حجز الإجازات'!$B$5:$B$104))=0,"",INDEX('حجز الإجازات'!$C$5:$C$104,(SUMPRODUCT(('حجز الإجازات'!$B$5:$B$104='الموظفون'!$B$7)*('حجز الإجازات'!$D$5:$D$104&lt;=EG$3)*(('حجز الإجازات'!$E$5:$E$104)&gt;=EG$3)*('حجز الإجازات'!$G$5:$G$104="معتمد")*ROW('حجز الإجازات'!$B$5:$B$104)))-5+1))</f>
        <v/>
      </c>
      <c r="EH9" s="62">
        <f>IF(SUMPRODUCT(('حجز الإجازات'!$B$5:$B$104='الموظفون'!$B$7)*('حجز الإجازات'!$D$5:$D$104&lt;=EH$3)*(('حجز الإجازات'!$E$5:$E$104)&gt;=EH$3)*('حجز الإجازات'!$G$5:$G$104="معتمد")*ROW('حجز الإجازات'!$B$5:$B$104))=0,"",INDEX('حجز الإجازات'!$C$5:$C$104,(SUMPRODUCT(('حجز الإجازات'!$B$5:$B$104='الموظفون'!$B$7)*('حجز الإجازات'!$D$5:$D$104&lt;=EH$3)*(('حجز الإجازات'!$E$5:$E$104)&gt;=EH$3)*('حجز الإجازات'!$G$5:$G$104="معتمد")*ROW('حجز الإجازات'!$B$5:$B$104)))-5+1))</f>
        <v/>
      </c>
      <c r="EI9" s="62">
        <f>IF(SUMPRODUCT(('حجز الإجازات'!$B$5:$B$104='الموظفون'!$B$7)*('حجز الإجازات'!$D$5:$D$104&lt;=EI$3)*(('حجز الإجازات'!$E$5:$E$104)&gt;=EI$3)*('حجز الإجازات'!$G$5:$G$104="معتمد")*ROW('حجز الإجازات'!$B$5:$B$104))=0,"",INDEX('حجز الإجازات'!$C$5:$C$104,(SUMPRODUCT(('حجز الإجازات'!$B$5:$B$104='الموظفون'!$B$7)*('حجز الإجازات'!$D$5:$D$104&lt;=EI$3)*(('حجز الإجازات'!$E$5:$E$104)&gt;=EI$3)*('حجز الإجازات'!$G$5:$G$104="معتمد")*ROW('حجز الإجازات'!$B$5:$B$104)))-5+1))</f>
        <v/>
      </c>
      <c r="EJ9" s="62">
        <f>IF(SUMPRODUCT(('حجز الإجازات'!$B$5:$B$104='الموظفون'!$B$7)*('حجز الإجازات'!$D$5:$D$104&lt;=EJ$3)*(('حجز الإجازات'!$E$5:$E$104)&gt;=EJ$3)*('حجز الإجازات'!$G$5:$G$104="معتمد")*ROW('حجز الإجازات'!$B$5:$B$104))=0,"",INDEX('حجز الإجازات'!$C$5:$C$104,(SUMPRODUCT(('حجز الإجازات'!$B$5:$B$104='الموظفون'!$B$7)*('حجز الإجازات'!$D$5:$D$104&lt;=EJ$3)*(('حجز الإجازات'!$E$5:$E$104)&gt;=EJ$3)*('حجز الإجازات'!$G$5:$G$104="معتمد")*ROW('حجز الإجازات'!$B$5:$B$104)))-5+1))</f>
        <v/>
      </c>
      <c r="EK9" s="62">
        <f>IF(SUMPRODUCT(('حجز الإجازات'!$B$5:$B$104='الموظفون'!$B$7)*('حجز الإجازات'!$D$5:$D$104&lt;=EK$3)*(('حجز الإجازات'!$E$5:$E$104)&gt;=EK$3)*('حجز الإجازات'!$G$5:$G$104="معتمد")*ROW('حجز الإجازات'!$B$5:$B$104))=0,"",INDEX('حجز الإجازات'!$C$5:$C$104,(SUMPRODUCT(('حجز الإجازات'!$B$5:$B$104='الموظفون'!$B$7)*('حجز الإجازات'!$D$5:$D$104&lt;=EK$3)*(('حجز الإجازات'!$E$5:$E$104)&gt;=EK$3)*('حجز الإجازات'!$G$5:$G$104="معتمد")*ROW('حجز الإجازات'!$B$5:$B$104)))-5+1))</f>
        <v/>
      </c>
      <c r="EL9" s="62">
        <f>IF(SUMPRODUCT(('حجز الإجازات'!$B$5:$B$104='الموظفون'!$B$7)*('حجز الإجازات'!$D$5:$D$104&lt;=EL$3)*(('حجز الإجازات'!$E$5:$E$104)&gt;=EL$3)*('حجز الإجازات'!$G$5:$G$104="معتمد")*ROW('حجز الإجازات'!$B$5:$B$104))=0,"",INDEX('حجز الإجازات'!$C$5:$C$104,(SUMPRODUCT(('حجز الإجازات'!$B$5:$B$104='الموظفون'!$B$7)*('حجز الإجازات'!$D$5:$D$104&lt;=EL$3)*(('حجز الإجازات'!$E$5:$E$104)&gt;=EL$3)*('حجز الإجازات'!$G$5:$G$104="معتمد")*ROW('حجز الإجازات'!$B$5:$B$104)))-5+1))</f>
        <v/>
      </c>
      <c r="EM9" s="62">
        <f>IF(SUMPRODUCT(('حجز الإجازات'!$B$5:$B$104='الموظفون'!$B$7)*('حجز الإجازات'!$D$5:$D$104&lt;=EM$3)*(('حجز الإجازات'!$E$5:$E$104)&gt;=EM$3)*('حجز الإجازات'!$G$5:$G$104="معتمد")*ROW('حجز الإجازات'!$B$5:$B$104))=0,"",INDEX('حجز الإجازات'!$C$5:$C$104,(SUMPRODUCT(('حجز الإجازات'!$B$5:$B$104='الموظفون'!$B$7)*('حجز الإجازات'!$D$5:$D$104&lt;=EM$3)*(('حجز الإجازات'!$E$5:$E$104)&gt;=EM$3)*('حجز الإجازات'!$G$5:$G$104="معتمد")*ROW('حجز الإجازات'!$B$5:$B$104)))-5+1))</f>
        <v/>
      </c>
      <c r="EN9" s="62">
        <f>IF(SUMPRODUCT(('حجز الإجازات'!$B$5:$B$104='الموظفون'!$B$7)*('حجز الإجازات'!$D$5:$D$104&lt;=EN$3)*(('حجز الإجازات'!$E$5:$E$104)&gt;=EN$3)*('حجز الإجازات'!$G$5:$G$104="معتمد")*ROW('حجز الإجازات'!$B$5:$B$104))=0,"",INDEX('حجز الإجازات'!$C$5:$C$104,(SUMPRODUCT(('حجز الإجازات'!$B$5:$B$104='الموظفون'!$B$7)*('حجز الإجازات'!$D$5:$D$104&lt;=EN$3)*(('حجز الإجازات'!$E$5:$E$104)&gt;=EN$3)*('حجز الإجازات'!$G$5:$G$104="معتمد")*ROW('حجز الإجازات'!$B$5:$B$104)))-5+1))</f>
        <v/>
      </c>
      <c r="EO9" s="62">
        <f>IF(SUMPRODUCT(('حجز الإجازات'!$B$5:$B$104='الموظفون'!$B$7)*('حجز الإجازات'!$D$5:$D$104&lt;=EO$3)*(('حجز الإجازات'!$E$5:$E$104)&gt;=EO$3)*('حجز الإجازات'!$G$5:$G$104="معتمد")*ROW('حجز الإجازات'!$B$5:$B$104))=0,"",INDEX('حجز الإجازات'!$C$5:$C$104,(SUMPRODUCT(('حجز الإجازات'!$B$5:$B$104='الموظفون'!$B$7)*('حجز الإجازات'!$D$5:$D$104&lt;=EO$3)*(('حجز الإجازات'!$E$5:$E$104)&gt;=EO$3)*('حجز الإجازات'!$G$5:$G$104="معتمد")*ROW('حجز الإجازات'!$B$5:$B$104)))-5+1))</f>
        <v/>
      </c>
      <c r="EP9" s="62">
        <f>IF(SUMPRODUCT(('حجز الإجازات'!$B$5:$B$104='الموظفون'!$B$7)*('حجز الإجازات'!$D$5:$D$104&lt;=EP$3)*(('حجز الإجازات'!$E$5:$E$104)&gt;=EP$3)*('حجز الإجازات'!$G$5:$G$104="معتمد")*ROW('حجز الإجازات'!$B$5:$B$104))=0,"",INDEX('حجز الإجازات'!$C$5:$C$104,(SUMPRODUCT(('حجز الإجازات'!$B$5:$B$104='الموظفون'!$B$7)*('حجز الإجازات'!$D$5:$D$104&lt;=EP$3)*(('حجز الإجازات'!$E$5:$E$104)&gt;=EP$3)*('حجز الإجازات'!$G$5:$G$104="معتمد")*ROW('حجز الإجازات'!$B$5:$B$104)))-5+1))</f>
        <v/>
      </c>
      <c r="EQ9" s="62">
        <f>IF(SUMPRODUCT(('حجز الإجازات'!$B$5:$B$104='الموظفون'!$B$7)*('حجز الإجازات'!$D$5:$D$104&lt;=EQ$3)*(('حجز الإجازات'!$E$5:$E$104)&gt;=EQ$3)*('حجز الإجازات'!$G$5:$G$104="معتمد")*ROW('حجز الإجازات'!$B$5:$B$104))=0,"",INDEX('حجز الإجازات'!$C$5:$C$104,(SUMPRODUCT(('حجز الإجازات'!$B$5:$B$104='الموظفون'!$B$7)*('حجز الإجازات'!$D$5:$D$104&lt;=EQ$3)*(('حجز الإجازات'!$E$5:$E$104)&gt;=EQ$3)*('حجز الإجازات'!$G$5:$G$104="معتمد")*ROW('حجز الإجازات'!$B$5:$B$104)))-5+1))</f>
        <v/>
      </c>
      <c r="ER9" s="62">
        <f>IF(SUMPRODUCT(('حجز الإجازات'!$B$5:$B$104='الموظفون'!$B$7)*('حجز الإجازات'!$D$5:$D$104&lt;=ER$3)*(('حجز الإجازات'!$E$5:$E$104)&gt;=ER$3)*('حجز الإجازات'!$G$5:$G$104="معتمد")*ROW('حجز الإجازات'!$B$5:$B$104))=0,"",INDEX('حجز الإجازات'!$C$5:$C$104,(SUMPRODUCT(('حجز الإجازات'!$B$5:$B$104='الموظفون'!$B$7)*('حجز الإجازات'!$D$5:$D$104&lt;=ER$3)*(('حجز الإجازات'!$E$5:$E$104)&gt;=ER$3)*('حجز الإجازات'!$G$5:$G$104="معتمد")*ROW('حجز الإجازات'!$B$5:$B$104)))-5+1))</f>
        <v/>
      </c>
      <c r="ES9" s="62">
        <f>IF(SUMPRODUCT(('حجز الإجازات'!$B$5:$B$104='الموظفون'!$B$7)*('حجز الإجازات'!$D$5:$D$104&lt;=ES$3)*(('حجز الإجازات'!$E$5:$E$104)&gt;=ES$3)*('حجز الإجازات'!$G$5:$G$104="معتمد")*ROW('حجز الإجازات'!$B$5:$B$104))=0,"",INDEX('حجز الإجازات'!$C$5:$C$104,(SUMPRODUCT(('حجز الإجازات'!$B$5:$B$104='الموظفون'!$B$7)*('حجز الإجازات'!$D$5:$D$104&lt;=ES$3)*(('حجز الإجازات'!$E$5:$E$104)&gt;=ES$3)*('حجز الإجازات'!$G$5:$G$104="معتمد")*ROW('حجز الإجازات'!$B$5:$B$104)))-5+1))</f>
        <v/>
      </c>
      <c r="ET9" s="62">
        <f>IF(SUMPRODUCT(('حجز الإجازات'!$B$5:$B$104='الموظفون'!$B$7)*('حجز الإجازات'!$D$5:$D$104&lt;=ET$3)*(('حجز الإجازات'!$E$5:$E$104)&gt;=ET$3)*('حجز الإجازات'!$G$5:$G$104="معتمد")*ROW('حجز الإجازات'!$B$5:$B$104))=0,"",INDEX('حجز الإجازات'!$C$5:$C$104,(SUMPRODUCT(('حجز الإجازات'!$B$5:$B$104='الموظفون'!$B$7)*('حجز الإجازات'!$D$5:$D$104&lt;=ET$3)*(('حجز الإجازات'!$E$5:$E$104)&gt;=ET$3)*('حجز الإجازات'!$G$5:$G$104="معتمد")*ROW('حجز الإجازات'!$B$5:$B$104)))-5+1))</f>
        <v/>
      </c>
      <c r="EU9" s="62">
        <f>IF(SUMPRODUCT(('حجز الإجازات'!$B$5:$B$104='الموظفون'!$B$7)*('حجز الإجازات'!$D$5:$D$104&lt;=EU$3)*(('حجز الإجازات'!$E$5:$E$104)&gt;=EU$3)*('حجز الإجازات'!$G$5:$G$104="معتمد")*ROW('حجز الإجازات'!$B$5:$B$104))=0,"",INDEX('حجز الإجازات'!$C$5:$C$104,(SUMPRODUCT(('حجز الإجازات'!$B$5:$B$104='الموظفون'!$B$7)*('حجز الإجازات'!$D$5:$D$104&lt;=EU$3)*(('حجز الإجازات'!$E$5:$E$104)&gt;=EU$3)*('حجز الإجازات'!$G$5:$G$104="معتمد")*ROW('حجز الإجازات'!$B$5:$B$104)))-5+1))</f>
        <v/>
      </c>
      <c r="EV9" s="62">
        <f>IF(SUMPRODUCT(('حجز الإجازات'!$B$5:$B$104='الموظفون'!$B$7)*('حجز الإجازات'!$D$5:$D$104&lt;=EV$3)*(('حجز الإجازات'!$E$5:$E$104)&gt;=EV$3)*('حجز الإجازات'!$G$5:$G$104="معتمد")*ROW('حجز الإجازات'!$B$5:$B$104))=0,"",INDEX('حجز الإجازات'!$C$5:$C$104,(SUMPRODUCT(('حجز الإجازات'!$B$5:$B$104='الموظفون'!$B$7)*('حجز الإجازات'!$D$5:$D$104&lt;=EV$3)*(('حجز الإجازات'!$E$5:$E$104)&gt;=EV$3)*('حجز الإجازات'!$G$5:$G$104="معتمد")*ROW('حجز الإجازات'!$B$5:$B$104)))-5+1))</f>
        <v/>
      </c>
      <c r="EW9" s="62">
        <f>IF(SUMPRODUCT(('حجز الإجازات'!$B$5:$B$104='الموظفون'!$B$7)*('حجز الإجازات'!$D$5:$D$104&lt;=EW$3)*(('حجز الإجازات'!$E$5:$E$104)&gt;=EW$3)*('حجز الإجازات'!$G$5:$G$104="معتمد")*ROW('حجز الإجازات'!$B$5:$B$104))=0,"",INDEX('حجز الإجازات'!$C$5:$C$104,(SUMPRODUCT(('حجز الإجازات'!$B$5:$B$104='الموظفون'!$B$7)*('حجز الإجازات'!$D$5:$D$104&lt;=EW$3)*(('حجز الإجازات'!$E$5:$E$104)&gt;=EW$3)*('حجز الإجازات'!$G$5:$G$104="معتمد")*ROW('حجز الإجازات'!$B$5:$B$104)))-5+1))</f>
        <v/>
      </c>
      <c r="EX9" s="62">
        <f>IF(SUMPRODUCT(('حجز الإجازات'!$B$5:$B$104='الموظفون'!$B$7)*('حجز الإجازات'!$D$5:$D$104&lt;=EX$3)*(('حجز الإجازات'!$E$5:$E$104)&gt;=EX$3)*('حجز الإجازات'!$G$5:$G$104="معتمد")*ROW('حجز الإجازات'!$B$5:$B$104))=0,"",INDEX('حجز الإجازات'!$C$5:$C$104,(SUMPRODUCT(('حجز الإجازات'!$B$5:$B$104='الموظفون'!$B$7)*('حجز الإجازات'!$D$5:$D$104&lt;=EX$3)*(('حجز الإجازات'!$E$5:$E$104)&gt;=EX$3)*('حجز الإجازات'!$G$5:$G$104="معتمد")*ROW('حجز الإجازات'!$B$5:$B$104)))-5+1))</f>
        <v/>
      </c>
      <c r="EY9" s="62">
        <f>IF(SUMPRODUCT(('حجز الإجازات'!$B$5:$B$104='الموظفون'!$B$7)*('حجز الإجازات'!$D$5:$D$104&lt;=EY$3)*(('حجز الإجازات'!$E$5:$E$104)&gt;=EY$3)*('حجز الإجازات'!$G$5:$G$104="معتمد")*ROW('حجز الإجازات'!$B$5:$B$104))=0,"",INDEX('حجز الإجازات'!$C$5:$C$104,(SUMPRODUCT(('حجز الإجازات'!$B$5:$B$104='الموظفون'!$B$7)*('حجز الإجازات'!$D$5:$D$104&lt;=EY$3)*(('حجز الإجازات'!$E$5:$E$104)&gt;=EY$3)*('حجز الإجازات'!$G$5:$G$104="معتمد")*ROW('حجز الإجازات'!$B$5:$B$104)))-5+1))</f>
        <v/>
      </c>
      <c r="EZ9" s="62">
        <f>IF(SUMPRODUCT(('حجز الإجازات'!$B$5:$B$104='الموظفون'!$B$7)*('حجز الإجازات'!$D$5:$D$104&lt;=EZ$3)*(('حجز الإجازات'!$E$5:$E$104)&gt;=EZ$3)*('حجز الإجازات'!$G$5:$G$104="معتمد")*ROW('حجز الإجازات'!$B$5:$B$104))=0,"",INDEX('حجز الإجازات'!$C$5:$C$104,(SUMPRODUCT(('حجز الإجازات'!$B$5:$B$104='الموظفون'!$B$7)*('حجز الإجازات'!$D$5:$D$104&lt;=EZ$3)*(('حجز الإجازات'!$E$5:$E$104)&gt;=EZ$3)*('حجز الإجازات'!$G$5:$G$104="معتمد")*ROW('حجز الإجازات'!$B$5:$B$104)))-5+1))</f>
        <v/>
      </c>
      <c r="FA9" s="62">
        <f>IF(SUMPRODUCT(('حجز الإجازات'!$B$5:$B$104='الموظفون'!$B$7)*('حجز الإجازات'!$D$5:$D$104&lt;=FA$3)*(('حجز الإجازات'!$E$5:$E$104)&gt;=FA$3)*('حجز الإجازات'!$G$5:$G$104="معتمد")*ROW('حجز الإجازات'!$B$5:$B$104))=0,"",INDEX('حجز الإجازات'!$C$5:$C$104,(SUMPRODUCT(('حجز الإجازات'!$B$5:$B$104='الموظفون'!$B$7)*('حجز الإجازات'!$D$5:$D$104&lt;=FA$3)*(('حجز الإجازات'!$E$5:$E$104)&gt;=FA$3)*('حجز الإجازات'!$G$5:$G$104="معتمد")*ROW('حجز الإجازات'!$B$5:$B$104)))-5+1))</f>
        <v/>
      </c>
      <c r="FB9" s="62">
        <f>IF(SUMPRODUCT(('حجز الإجازات'!$B$5:$B$104='الموظفون'!$B$7)*('حجز الإجازات'!$D$5:$D$104&lt;=FB$3)*(('حجز الإجازات'!$E$5:$E$104)&gt;=FB$3)*('حجز الإجازات'!$G$5:$G$104="معتمد")*ROW('حجز الإجازات'!$B$5:$B$104))=0,"",INDEX('حجز الإجازات'!$C$5:$C$104,(SUMPRODUCT(('حجز الإجازات'!$B$5:$B$104='الموظفون'!$B$7)*('حجز الإجازات'!$D$5:$D$104&lt;=FB$3)*(('حجز الإجازات'!$E$5:$E$104)&gt;=FB$3)*('حجز الإجازات'!$G$5:$G$104="معتمد")*ROW('حجز الإجازات'!$B$5:$B$104)))-5+1))</f>
        <v/>
      </c>
      <c r="FC9" s="62">
        <f>IF(SUMPRODUCT(('حجز الإجازات'!$B$5:$B$104='الموظفون'!$B$7)*('حجز الإجازات'!$D$5:$D$104&lt;=FC$3)*(('حجز الإجازات'!$E$5:$E$104)&gt;=FC$3)*('حجز الإجازات'!$G$5:$G$104="معتمد")*ROW('حجز الإجازات'!$B$5:$B$104))=0,"",INDEX('حجز الإجازات'!$C$5:$C$104,(SUMPRODUCT(('حجز الإجازات'!$B$5:$B$104='الموظفون'!$B$7)*('حجز الإجازات'!$D$5:$D$104&lt;=FC$3)*(('حجز الإجازات'!$E$5:$E$104)&gt;=FC$3)*('حجز الإجازات'!$G$5:$G$104="معتمد")*ROW('حجز الإجازات'!$B$5:$B$104)))-5+1))</f>
        <v/>
      </c>
      <c r="FD9" s="62">
        <f>IF(SUMPRODUCT(('حجز الإجازات'!$B$5:$B$104='الموظفون'!$B$7)*('حجز الإجازات'!$D$5:$D$104&lt;=FD$3)*(('حجز الإجازات'!$E$5:$E$104)&gt;=FD$3)*('حجز الإجازات'!$G$5:$G$104="معتمد")*ROW('حجز الإجازات'!$B$5:$B$104))=0,"",INDEX('حجز الإجازات'!$C$5:$C$104,(SUMPRODUCT(('حجز الإجازات'!$B$5:$B$104='الموظفون'!$B$7)*('حجز الإجازات'!$D$5:$D$104&lt;=FD$3)*(('حجز الإجازات'!$E$5:$E$104)&gt;=FD$3)*('حجز الإجازات'!$G$5:$G$104="معتمد")*ROW('حجز الإجازات'!$B$5:$B$104)))-5+1))</f>
        <v/>
      </c>
      <c r="FE9" s="62">
        <f>IF(SUMPRODUCT(('حجز الإجازات'!$B$5:$B$104='الموظفون'!$B$7)*('حجز الإجازات'!$D$5:$D$104&lt;=FE$3)*(('حجز الإجازات'!$E$5:$E$104)&gt;=FE$3)*('حجز الإجازات'!$G$5:$G$104="معتمد")*ROW('حجز الإجازات'!$B$5:$B$104))=0,"",INDEX('حجز الإجازات'!$C$5:$C$104,(SUMPRODUCT(('حجز الإجازات'!$B$5:$B$104='الموظفون'!$B$7)*('حجز الإجازات'!$D$5:$D$104&lt;=FE$3)*(('حجز الإجازات'!$E$5:$E$104)&gt;=FE$3)*('حجز الإجازات'!$G$5:$G$104="معتمد")*ROW('حجز الإجازات'!$B$5:$B$104)))-5+1))</f>
        <v/>
      </c>
      <c r="FF9" s="62">
        <f>IF(SUMPRODUCT(('حجز الإجازات'!$B$5:$B$104='الموظفون'!$B$7)*('حجز الإجازات'!$D$5:$D$104&lt;=FF$3)*(('حجز الإجازات'!$E$5:$E$104)&gt;=FF$3)*('حجز الإجازات'!$G$5:$G$104="معتمد")*ROW('حجز الإجازات'!$B$5:$B$104))=0,"",INDEX('حجز الإجازات'!$C$5:$C$104,(SUMPRODUCT(('حجز الإجازات'!$B$5:$B$104='الموظفون'!$B$7)*('حجز الإجازات'!$D$5:$D$104&lt;=FF$3)*(('حجز الإجازات'!$E$5:$E$104)&gt;=FF$3)*('حجز الإجازات'!$G$5:$G$104="معتمد")*ROW('حجز الإجازات'!$B$5:$B$104)))-5+1))</f>
        <v/>
      </c>
      <c r="FG9" s="62">
        <f>IF(SUMPRODUCT(('حجز الإجازات'!$B$5:$B$104='الموظفون'!$B$7)*('حجز الإجازات'!$D$5:$D$104&lt;=FG$3)*(('حجز الإجازات'!$E$5:$E$104)&gt;=FG$3)*('حجز الإجازات'!$G$5:$G$104="معتمد")*ROW('حجز الإجازات'!$B$5:$B$104))=0,"",INDEX('حجز الإجازات'!$C$5:$C$104,(SUMPRODUCT(('حجز الإجازات'!$B$5:$B$104='الموظفون'!$B$7)*('حجز الإجازات'!$D$5:$D$104&lt;=FG$3)*(('حجز الإجازات'!$E$5:$E$104)&gt;=FG$3)*('حجز الإجازات'!$G$5:$G$104="معتمد")*ROW('حجز الإجازات'!$B$5:$B$104)))-5+1))</f>
        <v/>
      </c>
      <c r="FH9" s="62">
        <f>IF(SUMPRODUCT(('حجز الإجازات'!$B$5:$B$104='الموظفون'!$B$7)*('حجز الإجازات'!$D$5:$D$104&lt;=FH$3)*(('حجز الإجازات'!$E$5:$E$104)&gt;=FH$3)*('حجز الإجازات'!$G$5:$G$104="معتمد")*ROW('حجز الإجازات'!$B$5:$B$104))=0,"",INDEX('حجز الإجازات'!$C$5:$C$104,(SUMPRODUCT(('حجز الإجازات'!$B$5:$B$104='الموظفون'!$B$7)*('حجز الإجازات'!$D$5:$D$104&lt;=FH$3)*(('حجز الإجازات'!$E$5:$E$104)&gt;=FH$3)*('حجز الإجازات'!$G$5:$G$104="معتمد")*ROW('حجز الإجازات'!$B$5:$B$104)))-5+1))</f>
        <v/>
      </c>
      <c r="FI9" s="62">
        <f>IF(SUMPRODUCT(('حجز الإجازات'!$B$5:$B$104='الموظفون'!$B$7)*('حجز الإجازات'!$D$5:$D$104&lt;=FI$3)*(('حجز الإجازات'!$E$5:$E$104)&gt;=FI$3)*('حجز الإجازات'!$G$5:$G$104="معتمد")*ROW('حجز الإجازات'!$B$5:$B$104))=0,"",INDEX('حجز الإجازات'!$C$5:$C$104,(SUMPRODUCT(('حجز الإجازات'!$B$5:$B$104='الموظفون'!$B$7)*('حجز الإجازات'!$D$5:$D$104&lt;=FI$3)*(('حجز الإجازات'!$E$5:$E$104)&gt;=FI$3)*('حجز الإجازات'!$G$5:$G$104="معتمد")*ROW('حجز الإجازات'!$B$5:$B$104)))-5+1))</f>
        <v/>
      </c>
      <c r="FJ9" s="62">
        <f>IF(SUMPRODUCT(('حجز الإجازات'!$B$5:$B$104='الموظفون'!$B$7)*('حجز الإجازات'!$D$5:$D$104&lt;=FJ$3)*(('حجز الإجازات'!$E$5:$E$104)&gt;=FJ$3)*('حجز الإجازات'!$G$5:$G$104="معتمد")*ROW('حجز الإجازات'!$B$5:$B$104))=0,"",INDEX('حجز الإجازات'!$C$5:$C$104,(SUMPRODUCT(('حجز الإجازات'!$B$5:$B$104='الموظفون'!$B$7)*('حجز الإجازات'!$D$5:$D$104&lt;=FJ$3)*(('حجز الإجازات'!$E$5:$E$104)&gt;=FJ$3)*('حجز الإجازات'!$G$5:$G$104="معتمد")*ROW('حجز الإجازات'!$B$5:$B$104)))-5+1))</f>
        <v/>
      </c>
      <c r="FK9" s="62">
        <f>IF(SUMPRODUCT(('حجز الإجازات'!$B$5:$B$104='الموظفون'!$B$7)*('حجز الإجازات'!$D$5:$D$104&lt;=FK$3)*(('حجز الإجازات'!$E$5:$E$104)&gt;=FK$3)*('حجز الإجازات'!$G$5:$G$104="معتمد")*ROW('حجز الإجازات'!$B$5:$B$104))=0,"",INDEX('حجز الإجازات'!$C$5:$C$104,(SUMPRODUCT(('حجز الإجازات'!$B$5:$B$104='الموظفون'!$B$7)*('حجز الإجازات'!$D$5:$D$104&lt;=FK$3)*(('حجز الإجازات'!$E$5:$E$104)&gt;=FK$3)*('حجز الإجازات'!$G$5:$G$104="معتمد")*ROW('حجز الإجازات'!$B$5:$B$104)))-5+1))</f>
        <v/>
      </c>
      <c r="FL9" s="62">
        <f>IF(SUMPRODUCT(('حجز الإجازات'!$B$5:$B$104='الموظفون'!$B$7)*('حجز الإجازات'!$D$5:$D$104&lt;=FL$3)*(('حجز الإجازات'!$E$5:$E$104)&gt;=FL$3)*('حجز الإجازات'!$G$5:$G$104="معتمد")*ROW('حجز الإجازات'!$B$5:$B$104))=0,"",INDEX('حجز الإجازات'!$C$5:$C$104,(SUMPRODUCT(('حجز الإجازات'!$B$5:$B$104='الموظفون'!$B$7)*('حجز الإجازات'!$D$5:$D$104&lt;=FL$3)*(('حجز الإجازات'!$E$5:$E$104)&gt;=FL$3)*('حجز الإجازات'!$G$5:$G$104="معتمد")*ROW('حجز الإجازات'!$B$5:$B$104)))-5+1))</f>
        <v/>
      </c>
      <c r="FM9" s="62">
        <f>IF(SUMPRODUCT(('حجز الإجازات'!$B$5:$B$104='الموظفون'!$B$7)*('حجز الإجازات'!$D$5:$D$104&lt;=FM$3)*(('حجز الإجازات'!$E$5:$E$104)&gt;=FM$3)*('حجز الإجازات'!$G$5:$G$104="معتمد")*ROW('حجز الإجازات'!$B$5:$B$104))=0,"",INDEX('حجز الإجازات'!$C$5:$C$104,(SUMPRODUCT(('حجز الإجازات'!$B$5:$B$104='الموظفون'!$B$7)*('حجز الإجازات'!$D$5:$D$104&lt;=FM$3)*(('حجز الإجازات'!$E$5:$E$104)&gt;=FM$3)*('حجز الإجازات'!$G$5:$G$104="معتمد")*ROW('حجز الإجازات'!$B$5:$B$104)))-5+1))</f>
        <v/>
      </c>
      <c r="FN9" s="62">
        <f>IF(SUMPRODUCT(('حجز الإجازات'!$B$5:$B$104='الموظفون'!$B$7)*('حجز الإجازات'!$D$5:$D$104&lt;=FN$3)*(('حجز الإجازات'!$E$5:$E$104)&gt;=FN$3)*('حجز الإجازات'!$G$5:$G$104="معتمد")*ROW('حجز الإجازات'!$B$5:$B$104))=0,"",INDEX('حجز الإجازات'!$C$5:$C$104,(SUMPRODUCT(('حجز الإجازات'!$B$5:$B$104='الموظفون'!$B$7)*('حجز الإجازات'!$D$5:$D$104&lt;=FN$3)*(('حجز الإجازات'!$E$5:$E$104)&gt;=FN$3)*('حجز الإجازات'!$G$5:$G$104="معتمد")*ROW('حجز الإجازات'!$B$5:$B$104)))-5+1))</f>
        <v/>
      </c>
      <c r="FO9" s="62">
        <f>IF(SUMPRODUCT(('حجز الإجازات'!$B$5:$B$104='الموظفون'!$B$7)*('حجز الإجازات'!$D$5:$D$104&lt;=FO$3)*(('حجز الإجازات'!$E$5:$E$104)&gt;=FO$3)*('حجز الإجازات'!$G$5:$G$104="معتمد")*ROW('حجز الإجازات'!$B$5:$B$104))=0,"",INDEX('حجز الإجازات'!$C$5:$C$104,(SUMPRODUCT(('حجز الإجازات'!$B$5:$B$104='الموظفون'!$B$7)*('حجز الإجازات'!$D$5:$D$104&lt;=FO$3)*(('حجز الإجازات'!$E$5:$E$104)&gt;=FO$3)*('حجز الإجازات'!$G$5:$G$104="معتمد")*ROW('حجز الإجازات'!$B$5:$B$104)))-5+1))</f>
        <v/>
      </c>
      <c r="FP9" s="62">
        <f>IF(SUMPRODUCT(('حجز الإجازات'!$B$5:$B$104='الموظفون'!$B$7)*('حجز الإجازات'!$D$5:$D$104&lt;=FP$3)*(('حجز الإجازات'!$E$5:$E$104)&gt;=FP$3)*('حجز الإجازات'!$G$5:$G$104="معتمد")*ROW('حجز الإجازات'!$B$5:$B$104))=0,"",INDEX('حجز الإجازات'!$C$5:$C$104,(SUMPRODUCT(('حجز الإجازات'!$B$5:$B$104='الموظفون'!$B$7)*('حجز الإجازات'!$D$5:$D$104&lt;=FP$3)*(('حجز الإجازات'!$E$5:$E$104)&gt;=FP$3)*('حجز الإجازات'!$G$5:$G$104="معتمد")*ROW('حجز الإجازات'!$B$5:$B$104)))-5+1))</f>
        <v/>
      </c>
      <c r="FQ9" s="62">
        <f>IF(SUMPRODUCT(('حجز الإجازات'!$B$5:$B$104='الموظفون'!$B$7)*('حجز الإجازات'!$D$5:$D$104&lt;=FQ$3)*(('حجز الإجازات'!$E$5:$E$104)&gt;=FQ$3)*('حجز الإجازات'!$G$5:$G$104="معتمد")*ROW('حجز الإجازات'!$B$5:$B$104))=0,"",INDEX('حجز الإجازات'!$C$5:$C$104,(SUMPRODUCT(('حجز الإجازات'!$B$5:$B$104='الموظفون'!$B$7)*('حجز الإجازات'!$D$5:$D$104&lt;=FQ$3)*(('حجز الإجازات'!$E$5:$E$104)&gt;=FQ$3)*('حجز الإجازات'!$G$5:$G$104="معتمد")*ROW('حجز الإجازات'!$B$5:$B$104)))-5+1))</f>
        <v/>
      </c>
      <c r="FR9" s="62">
        <f>IF(SUMPRODUCT(('حجز الإجازات'!$B$5:$B$104='الموظفون'!$B$7)*('حجز الإجازات'!$D$5:$D$104&lt;=FR$3)*(('حجز الإجازات'!$E$5:$E$104)&gt;=FR$3)*('حجز الإجازات'!$G$5:$G$104="معتمد")*ROW('حجز الإجازات'!$B$5:$B$104))=0,"",INDEX('حجز الإجازات'!$C$5:$C$104,(SUMPRODUCT(('حجز الإجازات'!$B$5:$B$104='الموظفون'!$B$7)*('حجز الإجازات'!$D$5:$D$104&lt;=FR$3)*(('حجز الإجازات'!$E$5:$E$104)&gt;=FR$3)*('حجز الإجازات'!$G$5:$G$104="معتمد")*ROW('حجز الإجازات'!$B$5:$B$104)))-5+1))</f>
        <v/>
      </c>
      <c r="FS9" s="62">
        <f>IF(SUMPRODUCT(('حجز الإجازات'!$B$5:$B$104='الموظفون'!$B$7)*('حجز الإجازات'!$D$5:$D$104&lt;=FS$3)*(('حجز الإجازات'!$E$5:$E$104)&gt;=FS$3)*('حجز الإجازات'!$G$5:$G$104="معتمد")*ROW('حجز الإجازات'!$B$5:$B$104))=0,"",INDEX('حجز الإجازات'!$C$5:$C$104,(SUMPRODUCT(('حجز الإجازات'!$B$5:$B$104='الموظفون'!$B$7)*('حجز الإجازات'!$D$5:$D$104&lt;=FS$3)*(('حجز الإجازات'!$E$5:$E$104)&gt;=FS$3)*('حجز الإجازات'!$G$5:$G$104="معتمد")*ROW('حجز الإجازات'!$B$5:$B$104)))-5+1))</f>
        <v/>
      </c>
      <c r="FT9" s="62">
        <f>IF(SUMPRODUCT(('حجز الإجازات'!$B$5:$B$104='الموظفون'!$B$7)*('حجز الإجازات'!$D$5:$D$104&lt;=FT$3)*(('حجز الإجازات'!$E$5:$E$104)&gt;=FT$3)*('حجز الإجازات'!$G$5:$G$104="معتمد")*ROW('حجز الإجازات'!$B$5:$B$104))=0,"",INDEX('حجز الإجازات'!$C$5:$C$104,(SUMPRODUCT(('حجز الإجازات'!$B$5:$B$104='الموظفون'!$B$7)*('حجز الإجازات'!$D$5:$D$104&lt;=FT$3)*(('حجز الإجازات'!$E$5:$E$104)&gt;=FT$3)*('حجز الإجازات'!$G$5:$G$104="معتمد")*ROW('حجز الإجازات'!$B$5:$B$104)))-5+1))</f>
        <v/>
      </c>
      <c r="FU9" s="62">
        <f>IF(SUMPRODUCT(('حجز الإجازات'!$B$5:$B$104='الموظفون'!$B$7)*('حجز الإجازات'!$D$5:$D$104&lt;=FU$3)*(('حجز الإجازات'!$E$5:$E$104)&gt;=FU$3)*('حجز الإجازات'!$G$5:$G$104="معتمد")*ROW('حجز الإجازات'!$B$5:$B$104))=0,"",INDEX('حجز الإجازات'!$C$5:$C$104,(SUMPRODUCT(('حجز الإجازات'!$B$5:$B$104='الموظفون'!$B$7)*('حجز الإجازات'!$D$5:$D$104&lt;=FU$3)*(('حجز الإجازات'!$E$5:$E$104)&gt;=FU$3)*('حجز الإجازات'!$G$5:$G$104="معتمد")*ROW('حجز الإجازات'!$B$5:$B$104)))-5+1))</f>
        <v/>
      </c>
      <c r="FV9" s="62">
        <f>IF(SUMPRODUCT(('حجز الإجازات'!$B$5:$B$104='الموظفون'!$B$7)*('حجز الإجازات'!$D$5:$D$104&lt;=FV$3)*(('حجز الإجازات'!$E$5:$E$104)&gt;=FV$3)*('حجز الإجازات'!$G$5:$G$104="معتمد")*ROW('حجز الإجازات'!$B$5:$B$104))=0,"",INDEX('حجز الإجازات'!$C$5:$C$104,(SUMPRODUCT(('حجز الإجازات'!$B$5:$B$104='الموظفون'!$B$7)*('حجز الإجازات'!$D$5:$D$104&lt;=FV$3)*(('حجز الإجازات'!$E$5:$E$104)&gt;=FV$3)*('حجز الإجازات'!$G$5:$G$104="معتمد")*ROW('حجز الإجازات'!$B$5:$B$104)))-5+1))</f>
        <v/>
      </c>
      <c r="FW9" s="62">
        <f>IF(SUMPRODUCT(('حجز الإجازات'!$B$5:$B$104='الموظفون'!$B$7)*('حجز الإجازات'!$D$5:$D$104&lt;=FW$3)*(('حجز الإجازات'!$E$5:$E$104)&gt;=FW$3)*('حجز الإجازات'!$G$5:$G$104="معتمد")*ROW('حجز الإجازات'!$B$5:$B$104))=0,"",INDEX('حجز الإجازات'!$C$5:$C$104,(SUMPRODUCT(('حجز الإجازات'!$B$5:$B$104='الموظفون'!$B$7)*('حجز الإجازات'!$D$5:$D$104&lt;=FW$3)*(('حجز الإجازات'!$E$5:$E$104)&gt;=FW$3)*('حجز الإجازات'!$G$5:$G$104="معتمد")*ROW('حجز الإجازات'!$B$5:$B$104)))-5+1))</f>
        <v/>
      </c>
      <c r="FX9" s="62">
        <f>IF(SUMPRODUCT(('حجز الإجازات'!$B$5:$B$104='الموظفون'!$B$7)*('حجز الإجازات'!$D$5:$D$104&lt;=FX$3)*(('حجز الإجازات'!$E$5:$E$104)&gt;=FX$3)*('حجز الإجازات'!$G$5:$G$104="معتمد")*ROW('حجز الإجازات'!$B$5:$B$104))=0,"",INDEX('حجز الإجازات'!$C$5:$C$104,(SUMPRODUCT(('حجز الإجازات'!$B$5:$B$104='الموظفون'!$B$7)*('حجز الإجازات'!$D$5:$D$104&lt;=FX$3)*(('حجز الإجازات'!$E$5:$E$104)&gt;=FX$3)*('حجز الإجازات'!$G$5:$G$104="معتمد")*ROW('حجز الإجازات'!$B$5:$B$104)))-5+1))</f>
        <v/>
      </c>
      <c r="FY9" s="62">
        <f>IF(SUMPRODUCT(('حجز الإجازات'!$B$5:$B$104='الموظفون'!$B$7)*('حجز الإجازات'!$D$5:$D$104&lt;=FY$3)*(('حجز الإجازات'!$E$5:$E$104)&gt;=FY$3)*('حجز الإجازات'!$G$5:$G$104="معتمد")*ROW('حجز الإجازات'!$B$5:$B$104))=0,"",INDEX('حجز الإجازات'!$C$5:$C$104,(SUMPRODUCT(('حجز الإجازات'!$B$5:$B$104='الموظفون'!$B$7)*('حجز الإجازات'!$D$5:$D$104&lt;=FY$3)*(('حجز الإجازات'!$E$5:$E$104)&gt;=FY$3)*('حجز الإجازات'!$G$5:$G$104="معتمد")*ROW('حجز الإجازات'!$B$5:$B$104)))-5+1))</f>
        <v/>
      </c>
      <c r="FZ9" s="62">
        <f>IF(SUMPRODUCT(('حجز الإجازات'!$B$5:$B$104='الموظفون'!$B$7)*('حجز الإجازات'!$D$5:$D$104&lt;=FZ$3)*(('حجز الإجازات'!$E$5:$E$104)&gt;=FZ$3)*('حجز الإجازات'!$G$5:$G$104="معتمد")*ROW('حجز الإجازات'!$B$5:$B$104))=0,"",INDEX('حجز الإجازات'!$C$5:$C$104,(SUMPRODUCT(('حجز الإجازات'!$B$5:$B$104='الموظفون'!$B$7)*('حجز الإجازات'!$D$5:$D$104&lt;=FZ$3)*(('حجز الإجازات'!$E$5:$E$104)&gt;=FZ$3)*('حجز الإجازات'!$G$5:$G$104="معتمد")*ROW('حجز الإجازات'!$B$5:$B$104)))-5+1))</f>
        <v/>
      </c>
      <c r="GA9" s="62">
        <f>IF(SUMPRODUCT(('حجز الإجازات'!$B$5:$B$104='الموظفون'!$B$7)*('حجز الإجازات'!$D$5:$D$104&lt;=GA$3)*(('حجز الإجازات'!$E$5:$E$104)&gt;=GA$3)*('حجز الإجازات'!$G$5:$G$104="معتمد")*ROW('حجز الإجازات'!$B$5:$B$104))=0,"",INDEX('حجز الإجازات'!$C$5:$C$104,(SUMPRODUCT(('حجز الإجازات'!$B$5:$B$104='الموظفون'!$B$7)*('حجز الإجازات'!$D$5:$D$104&lt;=GA$3)*(('حجز الإجازات'!$E$5:$E$104)&gt;=GA$3)*('حجز الإجازات'!$G$5:$G$104="معتمد")*ROW('حجز الإجازات'!$B$5:$B$104)))-5+1))</f>
        <v/>
      </c>
      <c r="GB9" s="62">
        <f>IF(SUMPRODUCT(('حجز الإجازات'!$B$5:$B$104='الموظفون'!$B$7)*('حجز الإجازات'!$D$5:$D$104&lt;=GB$3)*(('حجز الإجازات'!$E$5:$E$104)&gt;=GB$3)*('حجز الإجازات'!$G$5:$G$104="معتمد")*ROW('حجز الإجازات'!$B$5:$B$104))=0,"",INDEX('حجز الإجازات'!$C$5:$C$104,(SUMPRODUCT(('حجز الإجازات'!$B$5:$B$104='الموظفون'!$B$7)*('حجز الإجازات'!$D$5:$D$104&lt;=GB$3)*(('حجز الإجازات'!$E$5:$E$104)&gt;=GB$3)*('حجز الإجازات'!$G$5:$G$104="معتمد")*ROW('حجز الإجازات'!$B$5:$B$104)))-5+1))</f>
        <v/>
      </c>
      <c r="GC9" s="62">
        <f>IF(SUMPRODUCT(('حجز الإجازات'!$B$5:$B$104='الموظفون'!$B$7)*('حجز الإجازات'!$D$5:$D$104&lt;=GC$3)*(('حجز الإجازات'!$E$5:$E$104)&gt;=GC$3)*('حجز الإجازات'!$G$5:$G$104="معتمد")*ROW('حجز الإجازات'!$B$5:$B$104))=0,"",INDEX('حجز الإجازات'!$C$5:$C$104,(SUMPRODUCT(('حجز الإجازات'!$B$5:$B$104='الموظفون'!$B$7)*('حجز الإجازات'!$D$5:$D$104&lt;=GC$3)*(('حجز الإجازات'!$E$5:$E$104)&gt;=GC$3)*('حجز الإجازات'!$G$5:$G$104="معتمد")*ROW('حجز الإجازات'!$B$5:$B$104)))-5+1))</f>
        <v/>
      </c>
      <c r="GD9" s="62">
        <f>IF(SUMPRODUCT(('حجز الإجازات'!$B$5:$B$104='الموظفون'!$B$7)*('حجز الإجازات'!$D$5:$D$104&lt;=GD$3)*(('حجز الإجازات'!$E$5:$E$104)&gt;=GD$3)*('حجز الإجازات'!$G$5:$G$104="معتمد")*ROW('حجز الإجازات'!$B$5:$B$104))=0,"",INDEX('حجز الإجازات'!$C$5:$C$104,(SUMPRODUCT(('حجز الإجازات'!$B$5:$B$104='الموظفون'!$B$7)*('حجز الإجازات'!$D$5:$D$104&lt;=GD$3)*(('حجز الإجازات'!$E$5:$E$104)&gt;=GD$3)*('حجز الإجازات'!$G$5:$G$104="معتمد")*ROW('حجز الإجازات'!$B$5:$B$104)))-5+1))</f>
        <v/>
      </c>
      <c r="GE9" s="62">
        <f>IF(SUMPRODUCT(('حجز الإجازات'!$B$5:$B$104='الموظفون'!$B$7)*('حجز الإجازات'!$D$5:$D$104&lt;=GE$3)*(('حجز الإجازات'!$E$5:$E$104)&gt;=GE$3)*('حجز الإجازات'!$G$5:$G$104="معتمد")*ROW('حجز الإجازات'!$B$5:$B$104))=0,"",INDEX('حجز الإجازات'!$C$5:$C$104,(SUMPRODUCT(('حجز الإجازات'!$B$5:$B$104='الموظفون'!$B$7)*('حجز الإجازات'!$D$5:$D$104&lt;=GE$3)*(('حجز الإجازات'!$E$5:$E$104)&gt;=GE$3)*('حجز الإجازات'!$G$5:$G$104="معتمد")*ROW('حجز الإجازات'!$B$5:$B$104)))-5+1))</f>
        <v/>
      </c>
      <c r="GF9" s="62">
        <f>IF(SUMPRODUCT(('حجز الإجازات'!$B$5:$B$104='الموظفون'!$B$7)*('حجز الإجازات'!$D$5:$D$104&lt;=GF$3)*(('حجز الإجازات'!$E$5:$E$104)&gt;=GF$3)*('حجز الإجازات'!$G$5:$G$104="معتمد")*ROW('حجز الإجازات'!$B$5:$B$104))=0,"",INDEX('حجز الإجازات'!$C$5:$C$104,(SUMPRODUCT(('حجز الإجازات'!$B$5:$B$104='الموظفون'!$B$7)*('حجز الإجازات'!$D$5:$D$104&lt;=GF$3)*(('حجز الإجازات'!$E$5:$E$104)&gt;=GF$3)*('حجز الإجازات'!$G$5:$G$104="معتمد")*ROW('حجز الإجازات'!$B$5:$B$104)))-5+1))</f>
        <v/>
      </c>
      <c r="GG9" s="62">
        <f>IF(SUMPRODUCT(('حجز الإجازات'!$B$5:$B$104='الموظفون'!$B$7)*('حجز الإجازات'!$D$5:$D$104&lt;=GG$3)*(('حجز الإجازات'!$E$5:$E$104)&gt;=GG$3)*('حجز الإجازات'!$G$5:$G$104="معتمد")*ROW('حجز الإجازات'!$B$5:$B$104))=0,"",INDEX('حجز الإجازات'!$C$5:$C$104,(SUMPRODUCT(('حجز الإجازات'!$B$5:$B$104='الموظفون'!$B$7)*('حجز الإجازات'!$D$5:$D$104&lt;=GG$3)*(('حجز الإجازات'!$E$5:$E$104)&gt;=GG$3)*('حجز الإجازات'!$G$5:$G$104="معتمد")*ROW('حجز الإجازات'!$B$5:$B$104)))-5+1))</f>
        <v/>
      </c>
      <c r="GH9" s="62">
        <f>IF(SUMPRODUCT(('حجز الإجازات'!$B$5:$B$104='الموظفون'!$B$7)*('حجز الإجازات'!$D$5:$D$104&lt;=GH$3)*(('حجز الإجازات'!$E$5:$E$104)&gt;=GH$3)*('حجز الإجازات'!$G$5:$G$104="معتمد")*ROW('حجز الإجازات'!$B$5:$B$104))=0,"",INDEX('حجز الإجازات'!$C$5:$C$104,(SUMPRODUCT(('حجز الإجازات'!$B$5:$B$104='الموظفون'!$B$7)*('حجز الإجازات'!$D$5:$D$104&lt;=GH$3)*(('حجز الإجازات'!$E$5:$E$104)&gt;=GH$3)*('حجز الإجازات'!$G$5:$G$104="معتمد")*ROW('حجز الإجازات'!$B$5:$B$104)))-5+1))</f>
        <v/>
      </c>
      <c r="GI9" s="62">
        <f>IF(SUMPRODUCT(('حجز الإجازات'!$B$5:$B$104='الموظفون'!$B$7)*('حجز الإجازات'!$D$5:$D$104&lt;=GI$3)*(('حجز الإجازات'!$E$5:$E$104)&gt;=GI$3)*('حجز الإجازات'!$G$5:$G$104="معتمد")*ROW('حجز الإجازات'!$B$5:$B$104))=0,"",INDEX('حجز الإجازات'!$C$5:$C$104,(SUMPRODUCT(('حجز الإجازات'!$B$5:$B$104='الموظفون'!$B$7)*('حجز الإجازات'!$D$5:$D$104&lt;=GI$3)*(('حجز الإجازات'!$E$5:$E$104)&gt;=GI$3)*('حجز الإجازات'!$G$5:$G$104="معتمد")*ROW('حجز الإجازات'!$B$5:$B$104)))-5+1))</f>
        <v/>
      </c>
      <c r="GJ9" s="62">
        <f>IF(SUMPRODUCT(('حجز الإجازات'!$B$5:$B$104='الموظفون'!$B$7)*('حجز الإجازات'!$D$5:$D$104&lt;=GJ$3)*(('حجز الإجازات'!$E$5:$E$104)&gt;=GJ$3)*('حجز الإجازات'!$G$5:$G$104="معتمد")*ROW('حجز الإجازات'!$B$5:$B$104))=0,"",INDEX('حجز الإجازات'!$C$5:$C$104,(SUMPRODUCT(('حجز الإجازات'!$B$5:$B$104='الموظفون'!$B$7)*('حجز الإجازات'!$D$5:$D$104&lt;=GJ$3)*(('حجز الإجازات'!$E$5:$E$104)&gt;=GJ$3)*('حجز الإجازات'!$G$5:$G$104="معتمد")*ROW('حجز الإجازات'!$B$5:$B$104)))-5+1))</f>
        <v/>
      </c>
      <c r="GK9" s="62">
        <f>IF(SUMPRODUCT(('حجز الإجازات'!$B$5:$B$104='الموظفون'!$B$7)*('حجز الإجازات'!$D$5:$D$104&lt;=GK$3)*(('حجز الإجازات'!$E$5:$E$104)&gt;=GK$3)*('حجز الإجازات'!$G$5:$G$104="معتمد")*ROW('حجز الإجازات'!$B$5:$B$104))=0,"",INDEX('حجز الإجازات'!$C$5:$C$104,(SUMPRODUCT(('حجز الإجازات'!$B$5:$B$104='الموظفون'!$B$7)*('حجز الإجازات'!$D$5:$D$104&lt;=GK$3)*(('حجز الإجازات'!$E$5:$E$104)&gt;=GK$3)*('حجز الإجازات'!$G$5:$G$104="معتمد")*ROW('حجز الإجازات'!$B$5:$B$104)))-5+1))</f>
        <v/>
      </c>
      <c r="GL9" s="62">
        <f>IF(SUMPRODUCT(('حجز الإجازات'!$B$5:$B$104='الموظفون'!$B$7)*('حجز الإجازات'!$D$5:$D$104&lt;=GL$3)*(('حجز الإجازات'!$E$5:$E$104)&gt;=GL$3)*('حجز الإجازات'!$G$5:$G$104="معتمد")*ROW('حجز الإجازات'!$B$5:$B$104))=0,"",INDEX('حجز الإجازات'!$C$5:$C$104,(SUMPRODUCT(('حجز الإجازات'!$B$5:$B$104='الموظفون'!$B$7)*('حجز الإجازات'!$D$5:$D$104&lt;=GL$3)*(('حجز الإجازات'!$E$5:$E$104)&gt;=GL$3)*('حجز الإجازات'!$G$5:$G$104="معتمد")*ROW('حجز الإجازات'!$B$5:$B$104)))-5+1))</f>
        <v/>
      </c>
      <c r="GM9" s="62">
        <f>IF(SUMPRODUCT(('حجز الإجازات'!$B$5:$B$104='الموظفون'!$B$7)*('حجز الإجازات'!$D$5:$D$104&lt;=GM$3)*(('حجز الإجازات'!$E$5:$E$104)&gt;=GM$3)*('حجز الإجازات'!$G$5:$G$104="معتمد")*ROW('حجز الإجازات'!$B$5:$B$104))=0,"",INDEX('حجز الإجازات'!$C$5:$C$104,(SUMPRODUCT(('حجز الإجازات'!$B$5:$B$104='الموظفون'!$B$7)*('حجز الإجازات'!$D$5:$D$104&lt;=GM$3)*(('حجز الإجازات'!$E$5:$E$104)&gt;=GM$3)*('حجز الإجازات'!$G$5:$G$104="معتمد")*ROW('حجز الإجازات'!$B$5:$B$104)))-5+1))</f>
        <v/>
      </c>
      <c r="GN9" s="62">
        <f>IF(SUMPRODUCT(('حجز الإجازات'!$B$5:$B$104='الموظفون'!$B$7)*('حجز الإجازات'!$D$5:$D$104&lt;=GN$3)*(('حجز الإجازات'!$E$5:$E$104)&gt;=GN$3)*('حجز الإجازات'!$G$5:$G$104="معتمد")*ROW('حجز الإجازات'!$B$5:$B$104))=0,"",INDEX('حجز الإجازات'!$C$5:$C$104,(SUMPRODUCT(('حجز الإجازات'!$B$5:$B$104='الموظفون'!$B$7)*('حجز الإجازات'!$D$5:$D$104&lt;=GN$3)*(('حجز الإجازات'!$E$5:$E$104)&gt;=GN$3)*('حجز الإجازات'!$G$5:$G$104="معتمد")*ROW('حجز الإجازات'!$B$5:$B$104)))-5+1))</f>
        <v/>
      </c>
      <c r="GO9" s="62">
        <f>IF(SUMPRODUCT(('حجز الإجازات'!$B$5:$B$104='الموظفون'!$B$7)*('حجز الإجازات'!$D$5:$D$104&lt;=GO$3)*(('حجز الإجازات'!$E$5:$E$104)&gt;=GO$3)*('حجز الإجازات'!$G$5:$G$104="معتمد")*ROW('حجز الإجازات'!$B$5:$B$104))=0,"",INDEX('حجز الإجازات'!$C$5:$C$104,(SUMPRODUCT(('حجز الإجازات'!$B$5:$B$104='الموظفون'!$B$7)*('حجز الإجازات'!$D$5:$D$104&lt;=GO$3)*(('حجز الإجازات'!$E$5:$E$104)&gt;=GO$3)*('حجز الإجازات'!$G$5:$G$104="معتمد")*ROW('حجز الإجازات'!$B$5:$B$104)))-5+1))</f>
        <v/>
      </c>
      <c r="GP9" s="62">
        <f>IF(SUMPRODUCT(('حجز الإجازات'!$B$5:$B$104='الموظفون'!$B$7)*('حجز الإجازات'!$D$5:$D$104&lt;=GP$3)*(('حجز الإجازات'!$E$5:$E$104)&gt;=GP$3)*('حجز الإجازات'!$G$5:$G$104="معتمد")*ROW('حجز الإجازات'!$B$5:$B$104))=0,"",INDEX('حجز الإجازات'!$C$5:$C$104,(SUMPRODUCT(('حجز الإجازات'!$B$5:$B$104='الموظفون'!$B$7)*('حجز الإجازات'!$D$5:$D$104&lt;=GP$3)*(('حجز الإجازات'!$E$5:$E$104)&gt;=GP$3)*('حجز الإجازات'!$G$5:$G$104="معتمد")*ROW('حجز الإجازات'!$B$5:$B$104)))-5+1))</f>
        <v/>
      </c>
      <c r="GQ9" s="62">
        <f>IF(SUMPRODUCT(('حجز الإجازات'!$B$5:$B$104='الموظفون'!$B$7)*('حجز الإجازات'!$D$5:$D$104&lt;=GQ$3)*(('حجز الإجازات'!$E$5:$E$104)&gt;=GQ$3)*('حجز الإجازات'!$G$5:$G$104="معتمد")*ROW('حجز الإجازات'!$B$5:$B$104))=0,"",INDEX('حجز الإجازات'!$C$5:$C$104,(SUMPRODUCT(('حجز الإجازات'!$B$5:$B$104='الموظفون'!$B$7)*('حجز الإجازات'!$D$5:$D$104&lt;=GQ$3)*(('حجز الإجازات'!$E$5:$E$104)&gt;=GQ$3)*('حجز الإجازات'!$G$5:$G$104="معتمد")*ROW('حجز الإجازات'!$B$5:$B$104)))-5+1))</f>
        <v/>
      </c>
      <c r="GR9" s="62">
        <f>IF(SUMPRODUCT(('حجز الإجازات'!$B$5:$B$104='الموظفون'!$B$7)*('حجز الإجازات'!$D$5:$D$104&lt;=GR$3)*(('حجز الإجازات'!$E$5:$E$104)&gt;=GR$3)*('حجز الإجازات'!$G$5:$G$104="معتمد")*ROW('حجز الإجازات'!$B$5:$B$104))=0,"",INDEX('حجز الإجازات'!$C$5:$C$104,(SUMPRODUCT(('حجز الإجازات'!$B$5:$B$104='الموظفون'!$B$7)*('حجز الإجازات'!$D$5:$D$104&lt;=GR$3)*(('حجز الإجازات'!$E$5:$E$104)&gt;=GR$3)*('حجز الإجازات'!$G$5:$G$104="معتمد")*ROW('حجز الإجازات'!$B$5:$B$104)))-5+1))</f>
        <v/>
      </c>
      <c r="GS9" s="62">
        <f>IF(SUMPRODUCT(('حجز الإجازات'!$B$5:$B$104='الموظفون'!$B$7)*('حجز الإجازات'!$D$5:$D$104&lt;=GS$3)*(('حجز الإجازات'!$E$5:$E$104)&gt;=GS$3)*('حجز الإجازات'!$G$5:$G$104="معتمد")*ROW('حجز الإجازات'!$B$5:$B$104))=0,"",INDEX('حجز الإجازات'!$C$5:$C$104,(SUMPRODUCT(('حجز الإجازات'!$B$5:$B$104='الموظفون'!$B$7)*('حجز الإجازات'!$D$5:$D$104&lt;=GS$3)*(('حجز الإجازات'!$E$5:$E$104)&gt;=GS$3)*('حجز الإجازات'!$G$5:$G$104="معتمد")*ROW('حجز الإجازات'!$B$5:$B$104)))-5+1))</f>
        <v/>
      </c>
      <c r="GT9" s="62">
        <f>IF(SUMPRODUCT(('حجز الإجازات'!$B$5:$B$104='الموظفون'!$B$7)*('حجز الإجازات'!$D$5:$D$104&lt;=GT$3)*(('حجز الإجازات'!$E$5:$E$104)&gt;=GT$3)*('حجز الإجازات'!$G$5:$G$104="معتمد")*ROW('حجز الإجازات'!$B$5:$B$104))=0,"",INDEX('حجز الإجازات'!$C$5:$C$104,(SUMPRODUCT(('حجز الإجازات'!$B$5:$B$104='الموظفون'!$B$7)*('حجز الإجازات'!$D$5:$D$104&lt;=GT$3)*(('حجز الإجازات'!$E$5:$E$104)&gt;=GT$3)*('حجز الإجازات'!$G$5:$G$104="معتمد")*ROW('حجز الإجازات'!$B$5:$B$104)))-5+1))</f>
        <v/>
      </c>
      <c r="GU9" s="62">
        <f>IF(SUMPRODUCT(('حجز الإجازات'!$B$5:$B$104='الموظفون'!$B$7)*('حجز الإجازات'!$D$5:$D$104&lt;=GU$3)*(('حجز الإجازات'!$E$5:$E$104)&gt;=GU$3)*('حجز الإجازات'!$G$5:$G$104="معتمد")*ROW('حجز الإجازات'!$B$5:$B$104))=0,"",INDEX('حجز الإجازات'!$C$5:$C$104,(SUMPRODUCT(('حجز الإجازات'!$B$5:$B$104='الموظفون'!$B$7)*('حجز الإجازات'!$D$5:$D$104&lt;=GU$3)*(('حجز الإجازات'!$E$5:$E$104)&gt;=GU$3)*('حجز الإجازات'!$G$5:$G$104="معتمد")*ROW('حجز الإجازات'!$B$5:$B$104)))-5+1))</f>
        <v/>
      </c>
      <c r="GV9" s="62">
        <f>IF(SUMPRODUCT(('حجز الإجازات'!$B$5:$B$104='الموظفون'!$B$7)*('حجز الإجازات'!$D$5:$D$104&lt;=GV$3)*(('حجز الإجازات'!$E$5:$E$104)&gt;=GV$3)*('حجز الإجازات'!$G$5:$G$104="معتمد")*ROW('حجز الإجازات'!$B$5:$B$104))=0,"",INDEX('حجز الإجازات'!$C$5:$C$104,(SUMPRODUCT(('حجز الإجازات'!$B$5:$B$104='الموظفون'!$B$7)*('حجز الإجازات'!$D$5:$D$104&lt;=GV$3)*(('حجز الإجازات'!$E$5:$E$104)&gt;=GV$3)*('حجز الإجازات'!$G$5:$G$104="معتمد")*ROW('حجز الإجازات'!$B$5:$B$104)))-5+1))</f>
        <v/>
      </c>
      <c r="GW9" s="62">
        <f>IF(SUMPRODUCT(('حجز الإجازات'!$B$5:$B$104='الموظفون'!$B$7)*('حجز الإجازات'!$D$5:$D$104&lt;=GW$3)*(('حجز الإجازات'!$E$5:$E$104)&gt;=GW$3)*('حجز الإجازات'!$G$5:$G$104="معتمد")*ROW('حجز الإجازات'!$B$5:$B$104))=0,"",INDEX('حجز الإجازات'!$C$5:$C$104,(SUMPRODUCT(('حجز الإجازات'!$B$5:$B$104='الموظفون'!$B$7)*('حجز الإجازات'!$D$5:$D$104&lt;=GW$3)*(('حجز الإجازات'!$E$5:$E$104)&gt;=GW$3)*('حجز الإجازات'!$G$5:$G$104="معتمد")*ROW('حجز الإجازات'!$B$5:$B$104)))-5+1))</f>
        <v/>
      </c>
      <c r="GX9" s="62">
        <f>IF(SUMPRODUCT(('حجز الإجازات'!$B$5:$B$104='الموظفون'!$B$7)*('حجز الإجازات'!$D$5:$D$104&lt;=GX$3)*(('حجز الإجازات'!$E$5:$E$104)&gt;=GX$3)*('حجز الإجازات'!$G$5:$G$104="معتمد")*ROW('حجز الإجازات'!$B$5:$B$104))=0,"",INDEX('حجز الإجازات'!$C$5:$C$104,(SUMPRODUCT(('حجز الإجازات'!$B$5:$B$104='الموظفون'!$B$7)*('حجز الإجازات'!$D$5:$D$104&lt;=GX$3)*(('حجز الإجازات'!$E$5:$E$104)&gt;=GX$3)*('حجز الإجازات'!$G$5:$G$104="معتمد")*ROW('حجز الإجازات'!$B$5:$B$104)))-5+1))</f>
        <v/>
      </c>
      <c r="GY9" s="62">
        <f>IF(SUMPRODUCT(('حجز الإجازات'!$B$5:$B$104='الموظفون'!$B$7)*('حجز الإجازات'!$D$5:$D$104&lt;=GY$3)*(('حجز الإجازات'!$E$5:$E$104)&gt;=GY$3)*('حجز الإجازات'!$G$5:$G$104="معتمد")*ROW('حجز الإجازات'!$B$5:$B$104))=0,"",INDEX('حجز الإجازات'!$C$5:$C$104,(SUMPRODUCT(('حجز الإجازات'!$B$5:$B$104='الموظفون'!$B$7)*('حجز الإجازات'!$D$5:$D$104&lt;=GY$3)*(('حجز الإجازات'!$E$5:$E$104)&gt;=GY$3)*('حجز الإجازات'!$G$5:$G$104="معتمد")*ROW('حجز الإجازات'!$B$5:$B$104)))-5+1))</f>
        <v/>
      </c>
      <c r="GZ9" s="62">
        <f>IF(SUMPRODUCT(('حجز الإجازات'!$B$5:$B$104='الموظفون'!$B$7)*('حجز الإجازات'!$D$5:$D$104&lt;=GZ$3)*(('حجز الإجازات'!$E$5:$E$104)&gt;=GZ$3)*('حجز الإجازات'!$G$5:$G$104="معتمد")*ROW('حجز الإجازات'!$B$5:$B$104))=0,"",INDEX('حجز الإجازات'!$C$5:$C$104,(SUMPRODUCT(('حجز الإجازات'!$B$5:$B$104='الموظفون'!$B$7)*('حجز الإجازات'!$D$5:$D$104&lt;=GZ$3)*(('حجز الإجازات'!$E$5:$E$104)&gt;=GZ$3)*('حجز الإجازات'!$G$5:$G$104="معتمد")*ROW('حجز الإجازات'!$B$5:$B$104)))-5+1))</f>
        <v/>
      </c>
      <c r="HA9" s="62">
        <f>IF(SUMPRODUCT(('حجز الإجازات'!$B$5:$B$104='الموظفون'!$B$7)*('حجز الإجازات'!$D$5:$D$104&lt;=HA$3)*(('حجز الإجازات'!$E$5:$E$104)&gt;=HA$3)*('حجز الإجازات'!$G$5:$G$104="معتمد")*ROW('حجز الإجازات'!$B$5:$B$104))=0,"",INDEX('حجز الإجازات'!$C$5:$C$104,(SUMPRODUCT(('حجز الإجازات'!$B$5:$B$104='الموظفون'!$B$7)*('حجز الإجازات'!$D$5:$D$104&lt;=HA$3)*(('حجز الإجازات'!$E$5:$E$104)&gt;=HA$3)*('حجز الإجازات'!$G$5:$G$104="معتمد")*ROW('حجز الإجازات'!$B$5:$B$104)))-5+1))</f>
        <v/>
      </c>
      <c r="HB9" s="62">
        <f>IF(SUMPRODUCT(('حجز الإجازات'!$B$5:$B$104='الموظفون'!$B$7)*('حجز الإجازات'!$D$5:$D$104&lt;=HB$3)*(('حجز الإجازات'!$E$5:$E$104)&gt;=HB$3)*('حجز الإجازات'!$G$5:$G$104="معتمد")*ROW('حجز الإجازات'!$B$5:$B$104))=0,"",INDEX('حجز الإجازات'!$C$5:$C$104,(SUMPRODUCT(('حجز الإجازات'!$B$5:$B$104='الموظفون'!$B$7)*('حجز الإجازات'!$D$5:$D$104&lt;=HB$3)*(('حجز الإجازات'!$E$5:$E$104)&gt;=HB$3)*('حجز الإجازات'!$G$5:$G$104="معتمد")*ROW('حجز الإجازات'!$B$5:$B$104)))-5+1))</f>
        <v/>
      </c>
      <c r="HC9" s="62">
        <f>IF(SUMPRODUCT(('حجز الإجازات'!$B$5:$B$104='الموظفون'!$B$7)*('حجز الإجازات'!$D$5:$D$104&lt;=HC$3)*(('حجز الإجازات'!$E$5:$E$104)&gt;=HC$3)*('حجز الإجازات'!$G$5:$G$104="معتمد")*ROW('حجز الإجازات'!$B$5:$B$104))=0,"",INDEX('حجز الإجازات'!$C$5:$C$104,(SUMPRODUCT(('حجز الإجازات'!$B$5:$B$104='الموظفون'!$B$7)*('حجز الإجازات'!$D$5:$D$104&lt;=HC$3)*(('حجز الإجازات'!$E$5:$E$104)&gt;=HC$3)*('حجز الإجازات'!$G$5:$G$104="معتمد")*ROW('حجز الإجازات'!$B$5:$B$104)))-5+1))</f>
        <v/>
      </c>
      <c r="HD9" s="62">
        <f>IF(SUMPRODUCT(('حجز الإجازات'!$B$5:$B$104='الموظفون'!$B$7)*('حجز الإجازات'!$D$5:$D$104&lt;=HD$3)*(('حجز الإجازات'!$E$5:$E$104)&gt;=HD$3)*('حجز الإجازات'!$G$5:$G$104="معتمد")*ROW('حجز الإجازات'!$B$5:$B$104))=0,"",INDEX('حجز الإجازات'!$C$5:$C$104,(SUMPRODUCT(('حجز الإجازات'!$B$5:$B$104='الموظفون'!$B$7)*('حجز الإجازات'!$D$5:$D$104&lt;=HD$3)*(('حجز الإجازات'!$E$5:$E$104)&gt;=HD$3)*('حجز الإجازات'!$G$5:$G$104="معتمد")*ROW('حجز الإجازات'!$B$5:$B$104)))-5+1))</f>
        <v/>
      </c>
      <c r="HE9" s="62">
        <f>IF(SUMPRODUCT(('حجز الإجازات'!$B$5:$B$104='الموظفون'!$B$7)*('حجز الإجازات'!$D$5:$D$104&lt;=HE$3)*(('حجز الإجازات'!$E$5:$E$104)&gt;=HE$3)*('حجز الإجازات'!$G$5:$G$104="معتمد")*ROW('حجز الإجازات'!$B$5:$B$104))=0,"",INDEX('حجز الإجازات'!$C$5:$C$104,(SUMPRODUCT(('حجز الإجازات'!$B$5:$B$104='الموظفون'!$B$7)*('حجز الإجازات'!$D$5:$D$104&lt;=HE$3)*(('حجز الإجازات'!$E$5:$E$104)&gt;=HE$3)*('حجز الإجازات'!$G$5:$G$104="معتمد")*ROW('حجز الإجازات'!$B$5:$B$104)))-5+1))</f>
        <v/>
      </c>
      <c r="HF9" s="62">
        <f>IF(SUMPRODUCT(('حجز الإجازات'!$B$5:$B$104='الموظفون'!$B$7)*('حجز الإجازات'!$D$5:$D$104&lt;=HF$3)*(('حجز الإجازات'!$E$5:$E$104)&gt;=HF$3)*('حجز الإجازات'!$G$5:$G$104="معتمد")*ROW('حجز الإجازات'!$B$5:$B$104))=0,"",INDEX('حجز الإجازات'!$C$5:$C$104,(SUMPRODUCT(('حجز الإجازات'!$B$5:$B$104='الموظفون'!$B$7)*('حجز الإجازات'!$D$5:$D$104&lt;=HF$3)*(('حجز الإجازات'!$E$5:$E$104)&gt;=HF$3)*('حجز الإجازات'!$G$5:$G$104="معتمد")*ROW('حجز الإجازات'!$B$5:$B$104)))-5+1))</f>
        <v/>
      </c>
      <c r="HG9" s="62">
        <f>IF(SUMPRODUCT(('حجز الإجازات'!$B$5:$B$104='الموظفون'!$B$7)*('حجز الإجازات'!$D$5:$D$104&lt;=HG$3)*(('حجز الإجازات'!$E$5:$E$104)&gt;=HG$3)*('حجز الإجازات'!$G$5:$G$104="معتمد")*ROW('حجز الإجازات'!$B$5:$B$104))=0,"",INDEX('حجز الإجازات'!$C$5:$C$104,(SUMPRODUCT(('حجز الإجازات'!$B$5:$B$104='الموظفون'!$B$7)*('حجز الإجازات'!$D$5:$D$104&lt;=HG$3)*(('حجز الإجازات'!$E$5:$E$104)&gt;=HG$3)*('حجز الإجازات'!$G$5:$G$104="معتمد")*ROW('حجز الإجازات'!$B$5:$B$104)))-5+1))</f>
        <v/>
      </c>
      <c r="HH9" s="62">
        <f>IF(SUMPRODUCT(('حجز الإجازات'!$B$5:$B$104='الموظفون'!$B$7)*('حجز الإجازات'!$D$5:$D$104&lt;=HH$3)*(('حجز الإجازات'!$E$5:$E$104)&gt;=HH$3)*('حجز الإجازات'!$G$5:$G$104="معتمد")*ROW('حجز الإجازات'!$B$5:$B$104))=0,"",INDEX('حجز الإجازات'!$C$5:$C$104,(SUMPRODUCT(('حجز الإجازات'!$B$5:$B$104='الموظفون'!$B$7)*('حجز الإجازات'!$D$5:$D$104&lt;=HH$3)*(('حجز الإجازات'!$E$5:$E$104)&gt;=HH$3)*('حجز الإجازات'!$G$5:$G$104="معتمد")*ROW('حجز الإجازات'!$B$5:$B$104)))-5+1))</f>
        <v/>
      </c>
      <c r="HI9" s="62">
        <f>IF(SUMPRODUCT(('حجز الإجازات'!$B$5:$B$104='الموظفون'!$B$7)*('حجز الإجازات'!$D$5:$D$104&lt;=HI$3)*(('حجز الإجازات'!$E$5:$E$104)&gt;=HI$3)*('حجز الإجازات'!$G$5:$G$104="معتمد")*ROW('حجز الإجازات'!$B$5:$B$104))=0,"",INDEX('حجز الإجازات'!$C$5:$C$104,(SUMPRODUCT(('حجز الإجازات'!$B$5:$B$104='الموظفون'!$B$7)*('حجز الإجازات'!$D$5:$D$104&lt;=HI$3)*(('حجز الإجازات'!$E$5:$E$104)&gt;=HI$3)*('حجز الإجازات'!$G$5:$G$104="معتمد")*ROW('حجز الإجازات'!$B$5:$B$104)))-5+1))</f>
        <v/>
      </c>
      <c r="HJ9" s="62">
        <f>IF(SUMPRODUCT(('حجز الإجازات'!$B$5:$B$104='الموظفون'!$B$7)*('حجز الإجازات'!$D$5:$D$104&lt;=HJ$3)*(('حجز الإجازات'!$E$5:$E$104)&gt;=HJ$3)*('حجز الإجازات'!$G$5:$G$104="معتمد")*ROW('حجز الإجازات'!$B$5:$B$104))=0,"",INDEX('حجز الإجازات'!$C$5:$C$104,(SUMPRODUCT(('حجز الإجازات'!$B$5:$B$104='الموظفون'!$B$7)*('حجز الإجازات'!$D$5:$D$104&lt;=HJ$3)*(('حجز الإجازات'!$E$5:$E$104)&gt;=HJ$3)*('حجز الإجازات'!$G$5:$G$104="معتمد")*ROW('حجز الإجازات'!$B$5:$B$104)))-5+1))</f>
        <v/>
      </c>
      <c r="HK9" s="62">
        <f>IF(SUMPRODUCT(('حجز الإجازات'!$B$5:$B$104='الموظفون'!$B$7)*('حجز الإجازات'!$D$5:$D$104&lt;=HK$3)*(('حجز الإجازات'!$E$5:$E$104)&gt;=HK$3)*('حجز الإجازات'!$G$5:$G$104="معتمد")*ROW('حجز الإجازات'!$B$5:$B$104))=0,"",INDEX('حجز الإجازات'!$C$5:$C$104,(SUMPRODUCT(('حجز الإجازات'!$B$5:$B$104='الموظفون'!$B$7)*('حجز الإجازات'!$D$5:$D$104&lt;=HK$3)*(('حجز الإجازات'!$E$5:$E$104)&gt;=HK$3)*('حجز الإجازات'!$G$5:$G$104="معتمد")*ROW('حجز الإجازات'!$B$5:$B$104)))-5+1))</f>
        <v/>
      </c>
      <c r="HL9" s="62">
        <f>IF(SUMPRODUCT(('حجز الإجازات'!$B$5:$B$104='الموظفون'!$B$7)*('حجز الإجازات'!$D$5:$D$104&lt;=HL$3)*(('حجز الإجازات'!$E$5:$E$104)&gt;=HL$3)*('حجز الإجازات'!$G$5:$G$104="معتمد")*ROW('حجز الإجازات'!$B$5:$B$104))=0,"",INDEX('حجز الإجازات'!$C$5:$C$104,(SUMPRODUCT(('حجز الإجازات'!$B$5:$B$104='الموظفون'!$B$7)*('حجز الإجازات'!$D$5:$D$104&lt;=HL$3)*(('حجز الإجازات'!$E$5:$E$104)&gt;=HL$3)*('حجز الإجازات'!$G$5:$G$104="معتمد")*ROW('حجز الإجازات'!$B$5:$B$104)))-5+1))</f>
        <v/>
      </c>
      <c r="HM9" s="62">
        <f>IF(SUMPRODUCT(('حجز الإجازات'!$B$5:$B$104='الموظفون'!$B$7)*('حجز الإجازات'!$D$5:$D$104&lt;=HM$3)*(('حجز الإجازات'!$E$5:$E$104)&gt;=HM$3)*('حجز الإجازات'!$G$5:$G$104="معتمد")*ROW('حجز الإجازات'!$B$5:$B$104))=0,"",INDEX('حجز الإجازات'!$C$5:$C$104,(SUMPRODUCT(('حجز الإجازات'!$B$5:$B$104='الموظفون'!$B$7)*('حجز الإجازات'!$D$5:$D$104&lt;=HM$3)*(('حجز الإجازات'!$E$5:$E$104)&gt;=HM$3)*('حجز الإجازات'!$G$5:$G$104="معتمد")*ROW('حجز الإجازات'!$B$5:$B$104)))-5+1))</f>
        <v/>
      </c>
      <c r="HN9" s="62">
        <f>IF(SUMPRODUCT(('حجز الإجازات'!$B$5:$B$104='الموظفون'!$B$7)*('حجز الإجازات'!$D$5:$D$104&lt;=HN$3)*(('حجز الإجازات'!$E$5:$E$104)&gt;=HN$3)*('حجز الإجازات'!$G$5:$G$104="معتمد")*ROW('حجز الإجازات'!$B$5:$B$104))=0,"",INDEX('حجز الإجازات'!$C$5:$C$104,(SUMPRODUCT(('حجز الإجازات'!$B$5:$B$104='الموظفون'!$B$7)*('حجز الإجازات'!$D$5:$D$104&lt;=HN$3)*(('حجز الإجازات'!$E$5:$E$104)&gt;=HN$3)*('حجز الإجازات'!$G$5:$G$104="معتمد")*ROW('حجز الإجازات'!$B$5:$B$104)))-5+1))</f>
        <v/>
      </c>
      <c r="HO9" s="62">
        <f>IF(SUMPRODUCT(('حجز الإجازات'!$B$5:$B$104='الموظفون'!$B$7)*('حجز الإجازات'!$D$5:$D$104&lt;=HO$3)*(('حجز الإجازات'!$E$5:$E$104)&gt;=HO$3)*('حجز الإجازات'!$G$5:$G$104="معتمد")*ROW('حجز الإجازات'!$B$5:$B$104))=0,"",INDEX('حجز الإجازات'!$C$5:$C$104,(SUMPRODUCT(('حجز الإجازات'!$B$5:$B$104='الموظفون'!$B$7)*('حجز الإجازات'!$D$5:$D$104&lt;=HO$3)*(('حجز الإجازات'!$E$5:$E$104)&gt;=HO$3)*('حجز الإجازات'!$G$5:$G$104="معتمد")*ROW('حجز الإجازات'!$B$5:$B$104)))-5+1))</f>
        <v/>
      </c>
      <c r="HP9" s="62">
        <f>IF(SUMPRODUCT(('حجز الإجازات'!$B$5:$B$104='الموظفون'!$B$7)*('حجز الإجازات'!$D$5:$D$104&lt;=HP$3)*(('حجز الإجازات'!$E$5:$E$104)&gt;=HP$3)*('حجز الإجازات'!$G$5:$G$104="معتمد")*ROW('حجز الإجازات'!$B$5:$B$104))=0,"",INDEX('حجز الإجازات'!$C$5:$C$104,(SUMPRODUCT(('حجز الإجازات'!$B$5:$B$104='الموظفون'!$B$7)*('حجز الإجازات'!$D$5:$D$104&lt;=HP$3)*(('حجز الإجازات'!$E$5:$E$104)&gt;=HP$3)*('حجز الإجازات'!$G$5:$G$104="معتمد")*ROW('حجز الإجازات'!$B$5:$B$104)))-5+1))</f>
        <v/>
      </c>
      <c r="HQ9" s="62">
        <f>IF(SUMPRODUCT(('حجز الإجازات'!$B$5:$B$104='الموظفون'!$B$7)*('حجز الإجازات'!$D$5:$D$104&lt;=HQ$3)*(('حجز الإجازات'!$E$5:$E$104)&gt;=HQ$3)*('حجز الإجازات'!$G$5:$G$104="معتمد")*ROW('حجز الإجازات'!$B$5:$B$104))=0,"",INDEX('حجز الإجازات'!$C$5:$C$104,(SUMPRODUCT(('حجز الإجازات'!$B$5:$B$104='الموظفون'!$B$7)*('حجز الإجازات'!$D$5:$D$104&lt;=HQ$3)*(('حجز الإجازات'!$E$5:$E$104)&gt;=HQ$3)*('حجز الإجازات'!$G$5:$G$104="معتمد")*ROW('حجز الإجازات'!$B$5:$B$104)))-5+1))</f>
        <v/>
      </c>
      <c r="HR9" s="62">
        <f>IF(SUMPRODUCT(('حجز الإجازات'!$B$5:$B$104='الموظفون'!$B$7)*('حجز الإجازات'!$D$5:$D$104&lt;=HR$3)*(('حجز الإجازات'!$E$5:$E$104)&gt;=HR$3)*('حجز الإجازات'!$G$5:$G$104="معتمد")*ROW('حجز الإجازات'!$B$5:$B$104))=0,"",INDEX('حجز الإجازات'!$C$5:$C$104,(SUMPRODUCT(('حجز الإجازات'!$B$5:$B$104='الموظفون'!$B$7)*('حجز الإجازات'!$D$5:$D$104&lt;=HR$3)*(('حجز الإجازات'!$E$5:$E$104)&gt;=HR$3)*('حجز الإجازات'!$G$5:$G$104="معتمد")*ROW('حجز الإجازات'!$B$5:$B$104)))-5+1))</f>
        <v/>
      </c>
      <c r="HS9" s="62">
        <f>IF(SUMPRODUCT(('حجز الإجازات'!$B$5:$B$104='الموظفون'!$B$7)*('حجز الإجازات'!$D$5:$D$104&lt;=HS$3)*(('حجز الإجازات'!$E$5:$E$104)&gt;=HS$3)*('حجز الإجازات'!$G$5:$G$104="معتمد")*ROW('حجز الإجازات'!$B$5:$B$104))=0,"",INDEX('حجز الإجازات'!$C$5:$C$104,(SUMPRODUCT(('حجز الإجازات'!$B$5:$B$104='الموظفون'!$B$7)*('حجز الإجازات'!$D$5:$D$104&lt;=HS$3)*(('حجز الإجازات'!$E$5:$E$104)&gt;=HS$3)*('حجز الإجازات'!$G$5:$G$104="معتمد")*ROW('حجز الإجازات'!$B$5:$B$104)))-5+1))</f>
        <v/>
      </c>
      <c r="HT9" s="62">
        <f>IF(SUMPRODUCT(('حجز الإجازات'!$B$5:$B$104='الموظفون'!$B$7)*('حجز الإجازات'!$D$5:$D$104&lt;=HT$3)*(('حجز الإجازات'!$E$5:$E$104)&gt;=HT$3)*('حجز الإجازات'!$G$5:$G$104="معتمد")*ROW('حجز الإجازات'!$B$5:$B$104))=0,"",INDEX('حجز الإجازات'!$C$5:$C$104,(SUMPRODUCT(('حجز الإجازات'!$B$5:$B$104='الموظفون'!$B$7)*('حجز الإجازات'!$D$5:$D$104&lt;=HT$3)*(('حجز الإجازات'!$E$5:$E$104)&gt;=HT$3)*('حجز الإجازات'!$G$5:$G$104="معتمد")*ROW('حجز الإجازات'!$B$5:$B$104)))-5+1))</f>
        <v/>
      </c>
      <c r="HU9" s="62">
        <f>IF(SUMPRODUCT(('حجز الإجازات'!$B$5:$B$104='الموظفون'!$B$7)*('حجز الإجازات'!$D$5:$D$104&lt;=HU$3)*(('حجز الإجازات'!$E$5:$E$104)&gt;=HU$3)*('حجز الإجازات'!$G$5:$G$104="معتمد")*ROW('حجز الإجازات'!$B$5:$B$104))=0,"",INDEX('حجز الإجازات'!$C$5:$C$104,(SUMPRODUCT(('حجز الإجازات'!$B$5:$B$104='الموظفون'!$B$7)*('حجز الإجازات'!$D$5:$D$104&lt;=HU$3)*(('حجز الإجازات'!$E$5:$E$104)&gt;=HU$3)*('حجز الإجازات'!$G$5:$G$104="معتمد")*ROW('حجز الإجازات'!$B$5:$B$104)))-5+1))</f>
        <v/>
      </c>
      <c r="HV9" s="62">
        <f>IF(SUMPRODUCT(('حجز الإجازات'!$B$5:$B$104='الموظفون'!$B$7)*('حجز الإجازات'!$D$5:$D$104&lt;=HV$3)*(('حجز الإجازات'!$E$5:$E$104)&gt;=HV$3)*('حجز الإجازات'!$G$5:$G$104="معتمد")*ROW('حجز الإجازات'!$B$5:$B$104))=0,"",INDEX('حجز الإجازات'!$C$5:$C$104,(SUMPRODUCT(('حجز الإجازات'!$B$5:$B$104='الموظفون'!$B$7)*('حجز الإجازات'!$D$5:$D$104&lt;=HV$3)*(('حجز الإجازات'!$E$5:$E$104)&gt;=HV$3)*('حجز الإجازات'!$G$5:$G$104="معتمد")*ROW('حجز الإجازات'!$B$5:$B$104)))-5+1))</f>
        <v/>
      </c>
      <c r="HW9" s="62">
        <f>IF(SUMPRODUCT(('حجز الإجازات'!$B$5:$B$104='الموظفون'!$B$7)*('حجز الإجازات'!$D$5:$D$104&lt;=HW$3)*(('حجز الإجازات'!$E$5:$E$104)&gt;=HW$3)*('حجز الإجازات'!$G$5:$G$104="معتمد")*ROW('حجز الإجازات'!$B$5:$B$104))=0,"",INDEX('حجز الإجازات'!$C$5:$C$104,(SUMPRODUCT(('حجز الإجازات'!$B$5:$B$104='الموظفون'!$B$7)*('حجز الإجازات'!$D$5:$D$104&lt;=HW$3)*(('حجز الإجازات'!$E$5:$E$104)&gt;=HW$3)*('حجز الإجازات'!$G$5:$G$104="معتمد")*ROW('حجز الإجازات'!$B$5:$B$104)))-5+1))</f>
        <v/>
      </c>
      <c r="HX9" s="62">
        <f>IF(SUMPRODUCT(('حجز الإجازات'!$B$5:$B$104='الموظفون'!$B$7)*('حجز الإجازات'!$D$5:$D$104&lt;=HX$3)*(('حجز الإجازات'!$E$5:$E$104)&gt;=HX$3)*('حجز الإجازات'!$G$5:$G$104="معتمد")*ROW('حجز الإجازات'!$B$5:$B$104))=0,"",INDEX('حجز الإجازات'!$C$5:$C$104,(SUMPRODUCT(('حجز الإجازات'!$B$5:$B$104='الموظفون'!$B$7)*('حجز الإجازات'!$D$5:$D$104&lt;=HX$3)*(('حجز الإجازات'!$E$5:$E$104)&gt;=HX$3)*('حجز الإجازات'!$G$5:$G$104="معتمد")*ROW('حجز الإجازات'!$B$5:$B$104)))-5+1))</f>
        <v/>
      </c>
      <c r="HY9" s="62">
        <f>IF(SUMPRODUCT(('حجز الإجازات'!$B$5:$B$104='الموظفون'!$B$7)*('حجز الإجازات'!$D$5:$D$104&lt;=HY$3)*(('حجز الإجازات'!$E$5:$E$104)&gt;=HY$3)*('حجز الإجازات'!$G$5:$G$104="معتمد")*ROW('حجز الإجازات'!$B$5:$B$104))=0,"",INDEX('حجز الإجازات'!$C$5:$C$104,(SUMPRODUCT(('حجز الإجازات'!$B$5:$B$104='الموظفون'!$B$7)*('حجز الإجازات'!$D$5:$D$104&lt;=HY$3)*(('حجز الإجازات'!$E$5:$E$104)&gt;=HY$3)*('حجز الإجازات'!$G$5:$G$104="معتمد")*ROW('حجز الإجازات'!$B$5:$B$104)))-5+1))</f>
        <v/>
      </c>
      <c r="HZ9" s="62">
        <f>IF(SUMPRODUCT(('حجز الإجازات'!$B$5:$B$104='الموظفون'!$B$7)*('حجز الإجازات'!$D$5:$D$104&lt;=HZ$3)*(('حجز الإجازات'!$E$5:$E$104)&gt;=HZ$3)*('حجز الإجازات'!$G$5:$G$104="معتمد")*ROW('حجز الإجازات'!$B$5:$B$104))=0,"",INDEX('حجز الإجازات'!$C$5:$C$104,(SUMPRODUCT(('حجز الإجازات'!$B$5:$B$104='الموظفون'!$B$7)*('حجز الإجازات'!$D$5:$D$104&lt;=HZ$3)*(('حجز الإجازات'!$E$5:$E$104)&gt;=HZ$3)*('حجز الإجازات'!$G$5:$G$104="معتمد")*ROW('حجز الإجازات'!$B$5:$B$104)))-5+1))</f>
        <v/>
      </c>
      <c r="IA9" s="62">
        <f>IF(SUMPRODUCT(('حجز الإجازات'!$B$5:$B$104='الموظفون'!$B$7)*('حجز الإجازات'!$D$5:$D$104&lt;=IA$3)*(('حجز الإجازات'!$E$5:$E$104)&gt;=IA$3)*('حجز الإجازات'!$G$5:$G$104="معتمد")*ROW('حجز الإجازات'!$B$5:$B$104))=0,"",INDEX('حجز الإجازات'!$C$5:$C$104,(SUMPRODUCT(('حجز الإجازات'!$B$5:$B$104='الموظفون'!$B$7)*('حجز الإجازات'!$D$5:$D$104&lt;=IA$3)*(('حجز الإجازات'!$E$5:$E$104)&gt;=IA$3)*('حجز الإجازات'!$G$5:$G$104="معتمد")*ROW('حجز الإجازات'!$B$5:$B$104)))-5+1))</f>
        <v/>
      </c>
      <c r="IB9" s="62">
        <f>IF(SUMPRODUCT(('حجز الإجازات'!$B$5:$B$104='الموظفون'!$B$7)*('حجز الإجازات'!$D$5:$D$104&lt;=IB$3)*(('حجز الإجازات'!$E$5:$E$104)&gt;=IB$3)*('حجز الإجازات'!$G$5:$G$104="معتمد")*ROW('حجز الإجازات'!$B$5:$B$104))=0,"",INDEX('حجز الإجازات'!$C$5:$C$104,(SUMPRODUCT(('حجز الإجازات'!$B$5:$B$104='الموظفون'!$B$7)*('حجز الإجازات'!$D$5:$D$104&lt;=IB$3)*(('حجز الإجازات'!$E$5:$E$104)&gt;=IB$3)*('حجز الإجازات'!$G$5:$G$104="معتمد")*ROW('حجز الإجازات'!$B$5:$B$104)))-5+1))</f>
        <v/>
      </c>
      <c r="IC9" s="62">
        <f>IF(SUMPRODUCT(('حجز الإجازات'!$B$5:$B$104='الموظفون'!$B$7)*('حجز الإجازات'!$D$5:$D$104&lt;=IC$3)*(('حجز الإجازات'!$E$5:$E$104)&gt;=IC$3)*('حجز الإجازات'!$G$5:$G$104="معتمد")*ROW('حجز الإجازات'!$B$5:$B$104))=0,"",INDEX('حجز الإجازات'!$C$5:$C$104,(SUMPRODUCT(('حجز الإجازات'!$B$5:$B$104='الموظفون'!$B$7)*('حجز الإجازات'!$D$5:$D$104&lt;=IC$3)*(('حجز الإجازات'!$E$5:$E$104)&gt;=IC$3)*('حجز الإجازات'!$G$5:$G$104="معتمد")*ROW('حجز الإجازات'!$B$5:$B$104)))-5+1))</f>
        <v/>
      </c>
      <c r="ID9" s="62">
        <f>IF(SUMPRODUCT(('حجز الإجازات'!$B$5:$B$104='الموظفون'!$B$7)*('حجز الإجازات'!$D$5:$D$104&lt;=ID$3)*(('حجز الإجازات'!$E$5:$E$104)&gt;=ID$3)*('حجز الإجازات'!$G$5:$G$104="معتمد")*ROW('حجز الإجازات'!$B$5:$B$104))=0,"",INDEX('حجز الإجازات'!$C$5:$C$104,(SUMPRODUCT(('حجز الإجازات'!$B$5:$B$104='الموظفون'!$B$7)*('حجز الإجازات'!$D$5:$D$104&lt;=ID$3)*(('حجز الإجازات'!$E$5:$E$104)&gt;=ID$3)*('حجز الإجازات'!$G$5:$G$104="معتمد")*ROW('حجز الإجازات'!$B$5:$B$104)))-5+1))</f>
        <v/>
      </c>
      <c r="IE9" s="62">
        <f>IF(SUMPRODUCT(('حجز الإجازات'!$B$5:$B$104='الموظفون'!$B$7)*('حجز الإجازات'!$D$5:$D$104&lt;=IE$3)*(('حجز الإجازات'!$E$5:$E$104)&gt;=IE$3)*('حجز الإجازات'!$G$5:$G$104="معتمد")*ROW('حجز الإجازات'!$B$5:$B$104))=0,"",INDEX('حجز الإجازات'!$C$5:$C$104,(SUMPRODUCT(('حجز الإجازات'!$B$5:$B$104='الموظفون'!$B$7)*('حجز الإجازات'!$D$5:$D$104&lt;=IE$3)*(('حجز الإجازات'!$E$5:$E$104)&gt;=IE$3)*('حجز الإجازات'!$G$5:$G$104="معتمد")*ROW('حجز الإجازات'!$B$5:$B$104)))-5+1))</f>
        <v/>
      </c>
      <c r="IF9" s="62">
        <f>IF(SUMPRODUCT(('حجز الإجازات'!$B$5:$B$104='الموظفون'!$B$7)*('حجز الإجازات'!$D$5:$D$104&lt;=IF$3)*(('حجز الإجازات'!$E$5:$E$104)&gt;=IF$3)*('حجز الإجازات'!$G$5:$G$104="معتمد")*ROW('حجز الإجازات'!$B$5:$B$104))=0,"",INDEX('حجز الإجازات'!$C$5:$C$104,(SUMPRODUCT(('حجز الإجازات'!$B$5:$B$104='الموظفون'!$B$7)*('حجز الإجازات'!$D$5:$D$104&lt;=IF$3)*(('حجز الإجازات'!$E$5:$E$104)&gt;=IF$3)*('حجز الإجازات'!$G$5:$G$104="معتمد")*ROW('حجز الإجازات'!$B$5:$B$104)))-5+1))</f>
        <v/>
      </c>
      <c r="IG9" s="62">
        <f>IF(SUMPRODUCT(('حجز الإجازات'!$B$5:$B$104='الموظفون'!$B$7)*('حجز الإجازات'!$D$5:$D$104&lt;=IG$3)*(('حجز الإجازات'!$E$5:$E$104)&gt;=IG$3)*('حجز الإجازات'!$G$5:$G$104="معتمد")*ROW('حجز الإجازات'!$B$5:$B$104))=0,"",INDEX('حجز الإجازات'!$C$5:$C$104,(SUMPRODUCT(('حجز الإجازات'!$B$5:$B$104='الموظفون'!$B$7)*('حجز الإجازات'!$D$5:$D$104&lt;=IG$3)*(('حجز الإجازات'!$E$5:$E$104)&gt;=IG$3)*('حجز الإجازات'!$G$5:$G$104="معتمد")*ROW('حجز الإجازات'!$B$5:$B$104)))-5+1))</f>
        <v/>
      </c>
      <c r="IH9" s="62">
        <f>IF(SUMPRODUCT(('حجز الإجازات'!$B$5:$B$104='الموظفون'!$B$7)*('حجز الإجازات'!$D$5:$D$104&lt;=IH$3)*(('حجز الإجازات'!$E$5:$E$104)&gt;=IH$3)*('حجز الإجازات'!$G$5:$G$104="معتمد")*ROW('حجز الإجازات'!$B$5:$B$104))=0,"",INDEX('حجز الإجازات'!$C$5:$C$104,(SUMPRODUCT(('حجز الإجازات'!$B$5:$B$104='الموظفون'!$B$7)*('حجز الإجازات'!$D$5:$D$104&lt;=IH$3)*(('حجز الإجازات'!$E$5:$E$104)&gt;=IH$3)*('حجز الإجازات'!$G$5:$G$104="معتمد")*ROW('حجز الإجازات'!$B$5:$B$104)))-5+1))</f>
        <v/>
      </c>
      <c r="II9" s="62">
        <f>IF(SUMPRODUCT(('حجز الإجازات'!$B$5:$B$104='الموظفون'!$B$7)*('حجز الإجازات'!$D$5:$D$104&lt;=II$3)*(('حجز الإجازات'!$E$5:$E$104)&gt;=II$3)*('حجز الإجازات'!$G$5:$G$104="معتمد")*ROW('حجز الإجازات'!$B$5:$B$104))=0,"",INDEX('حجز الإجازات'!$C$5:$C$104,(SUMPRODUCT(('حجز الإجازات'!$B$5:$B$104='الموظفون'!$B$7)*('حجز الإجازات'!$D$5:$D$104&lt;=II$3)*(('حجز الإجازات'!$E$5:$E$104)&gt;=II$3)*('حجز الإجازات'!$G$5:$G$104="معتمد")*ROW('حجز الإجازات'!$B$5:$B$104)))-5+1))</f>
        <v/>
      </c>
      <c r="IJ9" s="62">
        <f>IF(SUMPRODUCT(('حجز الإجازات'!$B$5:$B$104='الموظفون'!$B$7)*('حجز الإجازات'!$D$5:$D$104&lt;=IJ$3)*(('حجز الإجازات'!$E$5:$E$104)&gt;=IJ$3)*('حجز الإجازات'!$G$5:$G$104="معتمد")*ROW('حجز الإجازات'!$B$5:$B$104))=0,"",INDEX('حجز الإجازات'!$C$5:$C$104,(SUMPRODUCT(('حجز الإجازات'!$B$5:$B$104='الموظفون'!$B$7)*('حجز الإجازات'!$D$5:$D$104&lt;=IJ$3)*(('حجز الإجازات'!$E$5:$E$104)&gt;=IJ$3)*('حجز الإجازات'!$G$5:$G$104="معتمد")*ROW('حجز الإجازات'!$B$5:$B$104)))-5+1))</f>
        <v/>
      </c>
      <c r="IK9" s="62">
        <f>IF(SUMPRODUCT(('حجز الإجازات'!$B$5:$B$104='الموظفون'!$B$7)*('حجز الإجازات'!$D$5:$D$104&lt;=IK$3)*(('حجز الإجازات'!$E$5:$E$104)&gt;=IK$3)*('حجز الإجازات'!$G$5:$G$104="معتمد")*ROW('حجز الإجازات'!$B$5:$B$104))=0,"",INDEX('حجز الإجازات'!$C$5:$C$104,(SUMPRODUCT(('حجز الإجازات'!$B$5:$B$104='الموظفون'!$B$7)*('حجز الإجازات'!$D$5:$D$104&lt;=IK$3)*(('حجز الإجازات'!$E$5:$E$104)&gt;=IK$3)*('حجز الإجازات'!$G$5:$G$104="معتمد")*ROW('حجز الإجازات'!$B$5:$B$104)))-5+1))</f>
        <v/>
      </c>
      <c r="IL9" s="62">
        <f>IF(SUMPRODUCT(('حجز الإجازات'!$B$5:$B$104='الموظفون'!$B$7)*('حجز الإجازات'!$D$5:$D$104&lt;=IL$3)*(('حجز الإجازات'!$E$5:$E$104)&gt;=IL$3)*('حجز الإجازات'!$G$5:$G$104="معتمد")*ROW('حجز الإجازات'!$B$5:$B$104))=0,"",INDEX('حجز الإجازات'!$C$5:$C$104,(SUMPRODUCT(('حجز الإجازات'!$B$5:$B$104='الموظفون'!$B$7)*('حجز الإجازات'!$D$5:$D$104&lt;=IL$3)*(('حجز الإجازات'!$E$5:$E$104)&gt;=IL$3)*('حجز الإجازات'!$G$5:$G$104="معتمد")*ROW('حجز الإجازات'!$B$5:$B$104)))-5+1))</f>
        <v/>
      </c>
      <c r="IM9" s="62">
        <f>IF(SUMPRODUCT(('حجز الإجازات'!$B$5:$B$104='الموظفون'!$B$7)*('حجز الإجازات'!$D$5:$D$104&lt;=IM$3)*(('حجز الإجازات'!$E$5:$E$104)&gt;=IM$3)*('حجز الإجازات'!$G$5:$G$104="معتمد")*ROW('حجز الإجازات'!$B$5:$B$104))=0,"",INDEX('حجز الإجازات'!$C$5:$C$104,(SUMPRODUCT(('حجز الإجازات'!$B$5:$B$104='الموظفون'!$B$7)*('حجز الإجازات'!$D$5:$D$104&lt;=IM$3)*(('حجز الإجازات'!$E$5:$E$104)&gt;=IM$3)*('حجز الإجازات'!$G$5:$G$104="معتمد")*ROW('حجز الإجازات'!$B$5:$B$104)))-5+1))</f>
        <v/>
      </c>
      <c r="IN9" s="62">
        <f>IF(SUMPRODUCT(('حجز الإجازات'!$B$5:$B$104='الموظفون'!$B$7)*('حجز الإجازات'!$D$5:$D$104&lt;=IN$3)*(('حجز الإجازات'!$E$5:$E$104)&gt;=IN$3)*('حجز الإجازات'!$G$5:$G$104="معتمد")*ROW('حجز الإجازات'!$B$5:$B$104))=0,"",INDEX('حجز الإجازات'!$C$5:$C$104,(SUMPRODUCT(('حجز الإجازات'!$B$5:$B$104='الموظفون'!$B$7)*('حجز الإجازات'!$D$5:$D$104&lt;=IN$3)*(('حجز الإجازات'!$E$5:$E$104)&gt;=IN$3)*('حجز الإجازات'!$G$5:$G$104="معتمد")*ROW('حجز الإجازات'!$B$5:$B$104)))-5+1))</f>
        <v/>
      </c>
      <c r="IO9" s="62">
        <f>IF(SUMPRODUCT(('حجز الإجازات'!$B$5:$B$104='الموظفون'!$B$7)*('حجز الإجازات'!$D$5:$D$104&lt;=IO$3)*(('حجز الإجازات'!$E$5:$E$104)&gt;=IO$3)*('حجز الإجازات'!$G$5:$G$104="معتمد")*ROW('حجز الإجازات'!$B$5:$B$104))=0,"",INDEX('حجز الإجازات'!$C$5:$C$104,(SUMPRODUCT(('حجز الإجازات'!$B$5:$B$104='الموظفون'!$B$7)*('حجز الإجازات'!$D$5:$D$104&lt;=IO$3)*(('حجز الإجازات'!$E$5:$E$104)&gt;=IO$3)*('حجز الإجازات'!$G$5:$G$104="معتمد")*ROW('حجز الإجازات'!$B$5:$B$104)))-5+1))</f>
        <v/>
      </c>
      <c r="IP9" s="62">
        <f>IF(SUMPRODUCT(('حجز الإجازات'!$B$5:$B$104='الموظفون'!$B$7)*('حجز الإجازات'!$D$5:$D$104&lt;=IP$3)*(('حجز الإجازات'!$E$5:$E$104)&gt;=IP$3)*('حجز الإجازات'!$G$5:$G$104="معتمد")*ROW('حجز الإجازات'!$B$5:$B$104))=0,"",INDEX('حجز الإجازات'!$C$5:$C$104,(SUMPRODUCT(('حجز الإجازات'!$B$5:$B$104='الموظفون'!$B$7)*('حجز الإجازات'!$D$5:$D$104&lt;=IP$3)*(('حجز الإجازات'!$E$5:$E$104)&gt;=IP$3)*('حجز الإجازات'!$G$5:$G$104="معتمد")*ROW('حجز الإجازات'!$B$5:$B$104)))-5+1))</f>
        <v/>
      </c>
      <c r="IQ9" s="62">
        <f>IF(SUMPRODUCT(('حجز الإجازات'!$B$5:$B$104='الموظفون'!$B$7)*('حجز الإجازات'!$D$5:$D$104&lt;=IQ$3)*(('حجز الإجازات'!$E$5:$E$104)&gt;=IQ$3)*('حجز الإجازات'!$G$5:$G$104="معتمد")*ROW('حجز الإجازات'!$B$5:$B$104))=0,"",INDEX('حجز الإجازات'!$C$5:$C$104,(SUMPRODUCT(('حجز الإجازات'!$B$5:$B$104='الموظفون'!$B$7)*('حجز الإجازات'!$D$5:$D$104&lt;=IQ$3)*(('حجز الإجازات'!$E$5:$E$104)&gt;=IQ$3)*('حجز الإجازات'!$G$5:$G$104="معتمد")*ROW('حجز الإجازات'!$B$5:$B$104)))-5+1))</f>
        <v/>
      </c>
      <c r="IR9" s="62">
        <f>IF(SUMPRODUCT(('حجز الإجازات'!$B$5:$B$104='الموظفون'!$B$7)*('حجز الإجازات'!$D$5:$D$104&lt;=IR$3)*(('حجز الإجازات'!$E$5:$E$104)&gt;=IR$3)*('حجز الإجازات'!$G$5:$G$104="معتمد")*ROW('حجز الإجازات'!$B$5:$B$104))=0,"",INDEX('حجز الإجازات'!$C$5:$C$104,(SUMPRODUCT(('حجز الإجازات'!$B$5:$B$104='الموظفون'!$B$7)*('حجز الإجازات'!$D$5:$D$104&lt;=IR$3)*(('حجز الإجازات'!$E$5:$E$104)&gt;=IR$3)*('حجز الإجازات'!$G$5:$G$104="معتمد")*ROW('حجز الإجازات'!$B$5:$B$104)))-5+1))</f>
        <v/>
      </c>
      <c r="IS9" s="62">
        <f>IF(SUMPRODUCT(('حجز الإجازات'!$B$5:$B$104='الموظفون'!$B$7)*('حجز الإجازات'!$D$5:$D$104&lt;=IS$3)*(('حجز الإجازات'!$E$5:$E$104)&gt;=IS$3)*('حجز الإجازات'!$G$5:$G$104="معتمد")*ROW('حجز الإجازات'!$B$5:$B$104))=0,"",INDEX('حجز الإجازات'!$C$5:$C$104,(SUMPRODUCT(('حجز الإجازات'!$B$5:$B$104='الموظفون'!$B$7)*('حجز الإجازات'!$D$5:$D$104&lt;=IS$3)*(('حجز الإجازات'!$E$5:$E$104)&gt;=IS$3)*('حجز الإجازات'!$G$5:$G$104="معتمد")*ROW('حجز الإجازات'!$B$5:$B$104)))-5+1))</f>
        <v/>
      </c>
      <c r="IT9" s="62">
        <f>IF(SUMPRODUCT(('حجز الإجازات'!$B$5:$B$104='الموظفون'!$B$7)*('حجز الإجازات'!$D$5:$D$104&lt;=IT$3)*(('حجز الإجازات'!$E$5:$E$104)&gt;=IT$3)*('حجز الإجازات'!$G$5:$G$104="معتمد")*ROW('حجز الإجازات'!$B$5:$B$104))=0,"",INDEX('حجز الإجازات'!$C$5:$C$104,(SUMPRODUCT(('حجز الإجازات'!$B$5:$B$104='الموظفون'!$B$7)*('حجز الإجازات'!$D$5:$D$104&lt;=IT$3)*(('حجز الإجازات'!$E$5:$E$104)&gt;=IT$3)*('حجز الإجازات'!$G$5:$G$104="معتمد")*ROW('حجز الإجازات'!$B$5:$B$104)))-5+1))</f>
        <v/>
      </c>
      <c r="IU9" s="62">
        <f>IF(SUMPRODUCT(('حجز الإجازات'!$B$5:$B$104='الموظفون'!$B$7)*('حجز الإجازات'!$D$5:$D$104&lt;=IU$3)*(('حجز الإجازات'!$E$5:$E$104)&gt;=IU$3)*('حجز الإجازات'!$G$5:$G$104="معتمد")*ROW('حجز الإجازات'!$B$5:$B$104))=0,"",INDEX('حجز الإجازات'!$C$5:$C$104,(SUMPRODUCT(('حجز الإجازات'!$B$5:$B$104='الموظفون'!$B$7)*('حجز الإجازات'!$D$5:$D$104&lt;=IU$3)*(('حجز الإجازات'!$E$5:$E$104)&gt;=IU$3)*('حجز الإجازات'!$G$5:$G$104="معتمد")*ROW('حجز الإجازات'!$B$5:$B$104)))-5+1))</f>
        <v/>
      </c>
      <c r="IV9" s="62">
        <f>IF(SUMPRODUCT(('حجز الإجازات'!$B$5:$B$104='الموظفون'!$B$7)*('حجز الإجازات'!$D$5:$D$104&lt;=IV$3)*(('حجز الإجازات'!$E$5:$E$104)&gt;=IV$3)*('حجز الإجازات'!$G$5:$G$104="معتمد")*ROW('حجز الإجازات'!$B$5:$B$104))=0,"",INDEX('حجز الإجازات'!$C$5:$C$104,(SUMPRODUCT(('حجز الإجازات'!$B$5:$B$104='الموظفون'!$B$7)*('حجز الإجازات'!$D$5:$D$104&lt;=IV$3)*(('حجز الإجازات'!$E$5:$E$104)&gt;=IV$3)*('حجز الإجازات'!$G$5:$G$104="معتمد")*ROW('حجز الإجازات'!$B$5:$B$104)))-5+1))</f>
        <v/>
      </c>
      <c r="IW9" s="62">
        <f>IF(SUMPRODUCT(('حجز الإجازات'!$B$5:$B$104='الموظفون'!$B$7)*('حجز الإجازات'!$D$5:$D$104&lt;=IW$3)*(('حجز الإجازات'!$E$5:$E$104)&gt;=IW$3)*('حجز الإجازات'!$G$5:$G$104="معتمد")*ROW('حجز الإجازات'!$B$5:$B$104))=0,"",INDEX('حجز الإجازات'!$C$5:$C$104,(SUMPRODUCT(('حجز الإجازات'!$B$5:$B$104='الموظفون'!$B$7)*('حجز الإجازات'!$D$5:$D$104&lt;=IW$3)*(('حجز الإجازات'!$E$5:$E$104)&gt;=IW$3)*('حجز الإجازات'!$G$5:$G$104="معتمد")*ROW('حجز الإجازات'!$B$5:$B$104)))-5+1))</f>
        <v/>
      </c>
      <c r="IX9" s="62">
        <f>IF(SUMPRODUCT(('حجز الإجازات'!$B$5:$B$104='الموظفون'!$B$7)*('حجز الإجازات'!$D$5:$D$104&lt;=IX$3)*(('حجز الإجازات'!$E$5:$E$104)&gt;=IX$3)*('حجز الإجازات'!$G$5:$G$104="معتمد")*ROW('حجز الإجازات'!$B$5:$B$104))=0,"",INDEX('حجز الإجازات'!$C$5:$C$104,(SUMPRODUCT(('حجز الإجازات'!$B$5:$B$104='الموظفون'!$B$7)*('حجز الإجازات'!$D$5:$D$104&lt;=IX$3)*(('حجز الإجازات'!$E$5:$E$104)&gt;=IX$3)*('حجز الإجازات'!$G$5:$G$104="معتمد")*ROW('حجز الإجازات'!$B$5:$B$104)))-5+1))</f>
        <v/>
      </c>
      <c r="IY9" s="62">
        <f>IF(SUMPRODUCT(('حجز الإجازات'!$B$5:$B$104='الموظفون'!$B$7)*('حجز الإجازات'!$D$5:$D$104&lt;=IY$3)*(('حجز الإجازات'!$E$5:$E$104)&gt;=IY$3)*('حجز الإجازات'!$G$5:$G$104="معتمد")*ROW('حجز الإجازات'!$B$5:$B$104))=0,"",INDEX('حجز الإجازات'!$C$5:$C$104,(SUMPRODUCT(('حجز الإجازات'!$B$5:$B$104='الموظفون'!$B$7)*('حجز الإجازات'!$D$5:$D$104&lt;=IY$3)*(('حجز الإجازات'!$E$5:$E$104)&gt;=IY$3)*('حجز الإجازات'!$G$5:$G$104="معتمد")*ROW('حجز الإجازات'!$B$5:$B$104)))-5+1))</f>
        <v/>
      </c>
      <c r="IZ9" s="62">
        <f>IF(SUMPRODUCT(('حجز الإجازات'!$B$5:$B$104='الموظفون'!$B$7)*('حجز الإجازات'!$D$5:$D$104&lt;=IZ$3)*(('حجز الإجازات'!$E$5:$E$104)&gt;=IZ$3)*('حجز الإجازات'!$G$5:$G$104="معتمد")*ROW('حجز الإجازات'!$B$5:$B$104))=0,"",INDEX('حجز الإجازات'!$C$5:$C$104,(SUMPRODUCT(('حجز الإجازات'!$B$5:$B$104='الموظفون'!$B$7)*('حجز الإجازات'!$D$5:$D$104&lt;=IZ$3)*(('حجز الإجازات'!$E$5:$E$104)&gt;=IZ$3)*('حجز الإجازات'!$G$5:$G$104="معتمد")*ROW('حجز الإجازات'!$B$5:$B$104)))-5+1))</f>
        <v/>
      </c>
      <c r="JA9" s="62">
        <f>IF(SUMPRODUCT(('حجز الإجازات'!$B$5:$B$104='الموظفون'!$B$7)*('حجز الإجازات'!$D$5:$D$104&lt;=JA$3)*(('حجز الإجازات'!$E$5:$E$104)&gt;=JA$3)*('حجز الإجازات'!$G$5:$G$104="معتمد")*ROW('حجز الإجازات'!$B$5:$B$104))=0,"",INDEX('حجز الإجازات'!$C$5:$C$104,(SUMPRODUCT(('حجز الإجازات'!$B$5:$B$104='الموظفون'!$B$7)*('حجز الإجازات'!$D$5:$D$104&lt;=JA$3)*(('حجز الإجازات'!$E$5:$E$104)&gt;=JA$3)*('حجز الإجازات'!$G$5:$G$104="معتمد")*ROW('حجز الإجازات'!$B$5:$B$104)))-5+1))</f>
        <v/>
      </c>
      <c r="JB9" s="62">
        <f>IF(SUMPRODUCT(('حجز الإجازات'!$B$5:$B$104='الموظفون'!$B$7)*('حجز الإجازات'!$D$5:$D$104&lt;=JB$3)*(('حجز الإجازات'!$E$5:$E$104)&gt;=JB$3)*('حجز الإجازات'!$G$5:$G$104="معتمد")*ROW('حجز الإجازات'!$B$5:$B$104))=0,"",INDEX('حجز الإجازات'!$C$5:$C$104,(SUMPRODUCT(('حجز الإجازات'!$B$5:$B$104='الموظفون'!$B$7)*('حجز الإجازات'!$D$5:$D$104&lt;=JB$3)*(('حجز الإجازات'!$E$5:$E$104)&gt;=JB$3)*('حجز الإجازات'!$G$5:$G$104="معتمد")*ROW('حجز الإجازات'!$B$5:$B$104)))-5+1))</f>
        <v/>
      </c>
      <c r="JC9" s="62">
        <f>IF(SUMPRODUCT(('حجز الإجازات'!$B$5:$B$104='الموظفون'!$B$7)*('حجز الإجازات'!$D$5:$D$104&lt;=JC$3)*(('حجز الإجازات'!$E$5:$E$104)&gt;=JC$3)*('حجز الإجازات'!$G$5:$G$104="معتمد")*ROW('حجز الإجازات'!$B$5:$B$104))=0,"",INDEX('حجز الإجازات'!$C$5:$C$104,(SUMPRODUCT(('حجز الإجازات'!$B$5:$B$104='الموظفون'!$B$7)*('حجز الإجازات'!$D$5:$D$104&lt;=JC$3)*(('حجز الإجازات'!$E$5:$E$104)&gt;=JC$3)*('حجز الإجازات'!$G$5:$G$104="معتمد")*ROW('حجز الإجازات'!$B$5:$B$104)))-5+1))</f>
        <v/>
      </c>
      <c r="JD9" s="62">
        <f>IF(SUMPRODUCT(('حجز الإجازات'!$B$5:$B$104='الموظفون'!$B$7)*('حجز الإجازات'!$D$5:$D$104&lt;=JD$3)*(('حجز الإجازات'!$E$5:$E$104)&gt;=JD$3)*('حجز الإجازات'!$G$5:$G$104="معتمد")*ROW('حجز الإجازات'!$B$5:$B$104))=0,"",INDEX('حجز الإجازات'!$C$5:$C$104,(SUMPRODUCT(('حجز الإجازات'!$B$5:$B$104='الموظفون'!$B$7)*('حجز الإجازات'!$D$5:$D$104&lt;=JD$3)*(('حجز الإجازات'!$E$5:$E$104)&gt;=JD$3)*('حجز الإجازات'!$G$5:$G$104="معتمد")*ROW('حجز الإجازات'!$B$5:$B$104)))-5+1))</f>
        <v/>
      </c>
      <c r="JE9" s="62">
        <f>IF(SUMPRODUCT(('حجز الإجازات'!$B$5:$B$104='الموظفون'!$B$7)*('حجز الإجازات'!$D$5:$D$104&lt;=JE$3)*(('حجز الإجازات'!$E$5:$E$104)&gt;=JE$3)*('حجز الإجازات'!$G$5:$G$104="معتمد")*ROW('حجز الإجازات'!$B$5:$B$104))=0,"",INDEX('حجز الإجازات'!$C$5:$C$104,(SUMPRODUCT(('حجز الإجازات'!$B$5:$B$104='الموظفون'!$B$7)*('حجز الإجازات'!$D$5:$D$104&lt;=JE$3)*(('حجز الإجازات'!$E$5:$E$104)&gt;=JE$3)*('حجز الإجازات'!$G$5:$G$104="معتمد")*ROW('حجز الإجازات'!$B$5:$B$104)))-5+1))</f>
        <v/>
      </c>
      <c r="JF9" s="62">
        <f>IF(SUMPRODUCT(('حجز الإجازات'!$B$5:$B$104='الموظفون'!$B$7)*('حجز الإجازات'!$D$5:$D$104&lt;=JF$3)*(('حجز الإجازات'!$E$5:$E$104)&gt;=JF$3)*('حجز الإجازات'!$G$5:$G$104="معتمد")*ROW('حجز الإجازات'!$B$5:$B$104))=0,"",INDEX('حجز الإجازات'!$C$5:$C$104,(SUMPRODUCT(('حجز الإجازات'!$B$5:$B$104='الموظفون'!$B$7)*('حجز الإجازات'!$D$5:$D$104&lt;=JF$3)*(('حجز الإجازات'!$E$5:$E$104)&gt;=JF$3)*('حجز الإجازات'!$G$5:$G$104="معتمد")*ROW('حجز الإجازات'!$B$5:$B$104)))-5+1))</f>
        <v/>
      </c>
      <c r="JG9" s="62">
        <f>IF(SUMPRODUCT(('حجز الإجازات'!$B$5:$B$104='الموظفون'!$B$7)*('حجز الإجازات'!$D$5:$D$104&lt;=JG$3)*(('حجز الإجازات'!$E$5:$E$104)&gt;=JG$3)*('حجز الإجازات'!$G$5:$G$104="معتمد")*ROW('حجز الإجازات'!$B$5:$B$104))=0,"",INDEX('حجز الإجازات'!$C$5:$C$104,(SUMPRODUCT(('حجز الإجازات'!$B$5:$B$104='الموظفون'!$B$7)*('حجز الإجازات'!$D$5:$D$104&lt;=JG$3)*(('حجز الإجازات'!$E$5:$E$104)&gt;=JG$3)*('حجز الإجازات'!$G$5:$G$104="معتمد")*ROW('حجز الإجازات'!$B$5:$B$104)))-5+1))</f>
        <v/>
      </c>
      <c r="JH9" s="62">
        <f>IF(SUMPRODUCT(('حجز الإجازات'!$B$5:$B$104='الموظفون'!$B$7)*('حجز الإجازات'!$D$5:$D$104&lt;=JH$3)*(('حجز الإجازات'!$E$5:$E$104)&gt;=JH$3)*('حجز الإجازات'!$G$5:$G$104="معتمد")*ROW('حجز الإجازات'!$B$5:$B$104))=0,"",INDEX('حجز الإجازات'!$C$5:$C$104,(SUMPRODUCT(('حجز الإجازات'!$B$5:$B$104='الموظفون'!$B$7)*('حجز الإجازات'!$D$5:$D$104&lt;=JH$3)*(('حجز الإجازات'!$E$5:$E$104)&gt;=JH$3)*('حجز الإجازات'!$G$5:$G$104="معتمد")*ROW('حجز الإجازات'!$B$5:$B$104)))-5+1))</f>
        <v/>
      </c>
      <c r="JI9" s="62">
        <f>IF(SUMPRODUCT(('حجز الإجازات'!$B$5:$B$104='الموظفون'!$B$7)*('حجز الإجازات'!$D$5:$D$104&lt;=JI$3)*(('حجز الإجازات'!$E$5:$E$104)&gt;=JI$3)*('حجز الإجازات'!$G$5:$G$104="معتمد")*ROW('حجز الإجازات'!$B$5:$B$104))=0,"",INDEX('حجز الإجازات'!$C$5:$C$104,(SUMPRODUCT(('حجز الإجازات'!$B$5:$B$104='الموظفون'!$B$7)*('حجز الإجازات'!$D$5:$D$104&lt;=JI$3)*(('حجز الإجازات'!$E$5:$E$104)&gt;=JI$3)*('حجز الإجازات'!$G$5:$G$104="معتمد")*ROW('حجز الإجازات'!$B$5:$B$104)))-5+1))</f>
        <v/>
      </c>
      <c r="JJ9" s="62">
        <f>IF(SUMPRODUCT(('حجز الإجازات'!$B$5:$B$104='الموظفون'!$B$7)*('حجز الإجازات'!$D$5:$D$104&lt;=JJ$3)*(('حجز الإجازات'!$E$5:$E$104)&gt;=JJ$3)*('حجز الإجازات'!$G$5:$G$104="معتمد")*ROW('حجز الإجازات'!$B$5:$B$104))=0,"",INDEX('حجز الإجازات'!$C$5:$C$104,(SUMPRODUCT(('حجز الإجازات'!$B$5:$B$104='الموظفون'!$B$7)*('حجز الإجازات'!$D$5:$D$104&lt;=JJ$3)*(('حجز الإجازات'!$E$5:$E$104)&gt;=JJ$3)*('حجز الإجازات'!$G$5:$G$104="معتمد")*ROW('حجز الإجازات'!$B$5:$B$104)))-5+1))</f>
        <v/>
      </c>
      <c r="JK9" s="62">
        <f>IF(SUMPRODUCT(('حجز الإجازات'!$B$5:$B$104='الموظفون'!$B$7)*('حجز الإجازات'!$D$5:$D$104&lt;=JK$3)*(('حجز الإجازات'!$E$5:$E$104)&gt;=JK$3)*('حجز الإجازات'!$G$5:$G$104="معتمد")*ROW('حجز الإجازات'!$B$5:$B$104))=0,"",INDEX('حجز الإجازات'!$C$5:$C$104,(SUMPRODUCT(('حجز الإجازات'!$B$5:$B$104='الموظفون'!$B$7)*('حجز الإجازات'!$D$5:$D$104&lt;=JK$3)*(('حجز الإجازات'!$E$5:$E$104)&gt;=JK$3)*('حجز الإجازات'!$G$5:$G$104="معتمد")*ROW('حجز الإجازات'!$B$5:$B$104)))-5+1))</f>
        <v/>
      </c>
      <c r="JL9" s="62">
        <f>IF(SUMPRODUCT(('حجز الإجازات'!$B$5:$B$104='الموظفون'!$B$7)*('حجز الإجازات'!$D$5:$D$104&lt;=JL$3)*(('حجز الإجازات'!$E$5:$E$104)&gt;=JL$3)*('حجز الإجازات'!$G$5:$G$104="معتمد")*ROW('حجز الإجازات'!$B$5:$B$104))=0,"",INDEX('حجز الإجازات'!$C$5:$C$104,(SUMPRODUCT(('حجز الإجازات'!$B$5:$B$104='الموظفون'!$B$7)*('حجز الإجازات'!$D$5:$D$104&lt;=JL$3)*(('حجز الإجازات'!$E$5:$E$104)&gt;=JL$3)*('حجز الإجازات'!$G$5:$G$104="معتمد")*ROW('حجز الإجازات'!$B$5:$B$104)))-5+1))</f>
        <v/>
      </c>
      <c r="JM9" s="62">
        <f>IF(SUMPRODUCT(('حجز الإجازات'!$B$5:$B$104='الموظفون'!$B$7)*('حجز الإجازات'!$D$5:$D$104&lt;=JM$3)*(('حجز الإجازات'!$E$5:$E$104)&gt;=JM$3)*('حجز الإجازات'!$G$5:$G$104="معتمد")*ROW('حجز الإجازات'!$B$5:$B$104))=0,"",INDEX('حجز الإجازات'!$C$5:$C$104,(SUMPRODUCT(('حجز الإجازات'!$B$5:$B$104='الموظفون'!$B$7)*('حجز الإجازات'!$D$5:$D$104&lt;=JM$3)*(('حجز الإجازات'!$E$5:$E$104)&gt;=JM$3)*('حجز الإجازات'!$G$5:$G$104="معتمد")*ROW('حجز الإجازات'!$B$5:$B$104)))-5+1))</f>
        <v/>
      </c>
      <c r="JN9" s="62">
        <f>IF(SUMPRODUCT(('حجز الإجازات'!$B$5:$B$104='الموظفون'!$B$7)*('حجز الإجازات'!$D$5:$D$104&lt;=JN$3)*(('حجز الإجازات'!$E$5:$E$104)&gt;=JN$3)*('حجز الإجازات'!$G$5:$G$104="معتمد")*ROW('حجز الإجازات'!$B$5:$B$104))=0,"",INDEX('حجز الإجازات'!$C$5:$C$104,(SUMPRODUCT(('حجز الإجازات'!$B$5:$B$104='الموظفون'!$B$7)*('حجز الإجازات'!$D$5:$D$104&lt;=JN$3)*(('حجز الإجازات'!$E$5:$E$104)&gt;=JN$3)*('حجز الإجازات'!$G$5:$G$104="معتمد")*ROW('حجز الإجازات'!$B$5:$B$104)))-5+1))</f>
        <v/>
      </c>
      <c r="JO9" s="62">
        <f>IF(SUMPRODUCT(('حجز الإجازات'!$B$5:$B$104='الموظفون'!$B$7)*('حجز الإجازات'!$D$5:$D$104&lt;=JO$3)*(('حجز الإجازات'!$E$5:$E$104)&gt;=JO$3)*('حجز الإجازات'!$G$5:$G$104="معتمد")*ROW('حجز الإجازات'!$B$5:$B$104))=0,"",INDEX('حجز الإجازات'!$C$5:$C$104,(SUMPRODUCT(('حجز الإجازات'!$B$5:$B$104='الموظفون'!$B$7)*('حجز الإجازات'!$D$5:$D$104&lt;=JO$3)*(('حجز الإجازات'!$E$5:$E$104)&gt;=JO$3)*('حجز الإجازات'!$G$5:$G$104="معتمد")*ROW('حجز الإجازات'!$B$5:$B$104)))-5+1))</f>
        <v/>
      </c>
      <c r="JP9" s="62">
        <f>IF(SUMPRODUCT(('حجز الإجازات'!$B$5:$B$104='الموظفون'!$B$7)*('حجز الإجازات'!$D$5:$D$104&lt;=JP$3)*(('حجز الإجازات'!$E$5:$E$104)&gt;=JP$3)*('حجز الإجازات'!$G$5:$G$104="معتمد")*ROW('حجز الإجازات'!$B$5:$B$104))=0,"",INDEX('حجز الإجازات'!$C$5:$C$104,(SUMPRODUCT(('حجز الإجازات'!$B$5:$B$104='الموظفون'!$B$7)*('حجز الإجازات'!$D$5:$D$104&lt;=JP$3)*(('حجز الإجازات'!$E$5:$E$104)&gt;=JP$3)*('حجز الإجازات'!$G$5:$G$104="معتمد")*ROW('حجز الإجازات'!$B$5:$B$104)))-5+1))</f>
        <v/>
      </c>
      <c r="JQ9" s="62">
        <f>IF(SUMPRODUCT(('حجز الإجازات'!$B$5:$B$104='الموظفون'!$B$7)*('حجز الإجازات'!$D$5:$D$104&lt;=JQ$3)*(('حجز الإجازات'!$E$5:$E$104)&gt;=JQ$3)*('حجز الإجازات'!$G$5:$G$104="معتمد")*ROW('حجز الإجازات'!$B$5:$B$104))=0,"",INDEX('حجز الإجازات'!$C$5:$C$104,(SUMPRODUCT(('حجز الإجازات'!$B$5:$B$104='الموظفون'!$B$7)*('حجز الإجازات'!$D$5:$D$104&lt;=JQ$3)*(('حجز الإجازات'!$E$5:$E$104)&gt;=JQ$3)*('حجز الإجازات'!$G$5:$G$104="معتمد")*ROW('حجز الإجازات'!$B$5:$B$104)))-5+1))</f>
        <v/>
      </c>
      <c r="JR9" s="62">
        <f>IF(SUMPRODUCT(('حجز الإجازات'!$B$5:$B$104='الموظفون'!$B$7)*('حجز الإجازات'!$D$5:$D$104&lt;=JR$3)*(('حجز الإجازات'!$E$5:$E$104)&gt;=JR$3)*('حجز الإجازات'!$G$5:$G$104="معتمد")*ROW('حجز الإجازات'!$B$5:$B$104))=0,"",INDEX('حجز الإجازات'!$C$5:$C$104,(SUMPRODUCT(('حجز الإجازات'!$B$5:$B$104='الموظفون'!$B$7)*('حجز الإجازات'!$D$5:$D$104&lt;=JR$3)*(('حجز الإجازات'!$E$5:$E$104)&gt;=JR$3)*('حجز الإجازات'!$G$5:$G$104="معتمد")*ROW('حجز الإجازات'!$B$5:$B$104)))-5+1))</f>
        <v/>
      </c>
      <c r="JS9" s="62">
        <f>IF(SUMPRODUCT(('حجز الإجازات'!$B$5:$B$104='الموظفون'!$B$7)*('حجز الإجازات'!$D$5:$D$104&lt;=JS$3)*(('حجز الإجازات'!$E$5:$E$104)&gt;=JS$3)*('حجز الإجازات'!$G$5:$G$104="معتمد")*ROW('حجز الإجازات'!$B$5:$B$104))=0,"",INDEX('حجز الإجازات'!$C$5:$C$104,(SUMPRODUCT(('حجز الإجازات'!$B$5:$B$104='الموظفون'!$B$7)*('حجز الإجازات'!$D$5:$D$104&lt;=JS$3)*(('حجز الإجازات'!$E$5:$E$104)&gt;=JS$3)*('حجز الإجازات'!$G$5:$G$104="معتمد")*ROW('حجز الإجازات'!$B$5:$B$104)))-5+1))</f>
        <v/>
      </c>
      <c r="JT9" s="62">
        <f>IF(SUMPRODUCT(('حجز الإجازات'!$B$5:$B$104='الموظفون'!$B$7)*('حجز الإجازات'!$D$5:$D$104&lt;=JT$3)*(('حجز الإجازات'!$E$5:$E$104)&gt;=JT$3)*('حجز الإجازات'!$G$5:$G$104="معتمد")*ROW('حجز الإجازات'!$B$5:$B$104))=0,"",INDEX('حجز الإجازات'!$C$5:$C$104,(SUMPRODUCT(('حجز الإجازات'!$B$5:$B$104='الموظفون'!$B$7)*('حجز الإجازات'!$D$5:$D$104&lt;=JT$3)*(('حجز الإجازات'!$E$5:$E$104)&gt;=JT$3)*('حجز الإجازات'!$G$5:$G$104="معتمد")*ROW('حجز الإجازات'!$B$5:$B$104)))-5+1))</f>
        <v/>
      </c>
      <c r="JU9" s="62">
        <f>IF(SUMPRODUCT(('حجز الإجازات'!$B$5:$B$104='الموظفون'!$B$7)*('حجز الإجازات'!$D$5:$D$104&lt;=JU$3)*(('حجز الإجازات'!$E$5:$E$104)&gt;=JU$3)*('حجز الإجازات'!$G$5:$G$104="معتمد")*ROW('حجز الإجازات'!$B$5:$B$104))=0,"",INDEX('حجز الإجازات'!$C$5:$C$104,(SUMPRODUCT(('حجز الإجازات'!$B$5:$B$104='الموظفون'!$B$7)*('حجز الإجازات'!$D$5:$D$104&lt;=JU$3)*(('حجز الإجازات'!$E$5:$E$104)&gt;=JU$3)*('حجز الإجازات'!$G$5:$G$104="معتمد")*ROW('حجز الإجازات'!$B$5:$B$104)))-5+1))</f>
        <v/>
      </c>
      <c r="JV9" s="62">
        <f>IF(SUMPRODUCT(('حجز الإجازات'!$B$5:$B$104='الموظفون'!$B$7)*('حجز الإجازات'!$D$5:$D$104&lt;=JV$3)*(('حجز الإجازات'!$E$5:$E$104)&gt;=JV$3)*('حجز الإجازات'!$G$5:$G$104="معتمد")*ROW('حجز الإجازات'!$B$5:$B$104))=0,"",INDEX('حجز الإجازات'!$C$5:$C$104,(SUMPRODUCT(('حجز الإجازات'!$B$5:$B$104='الموظفون'!$B$7)*('حجز الإجازات'!$D$5:$D$104&lt;=JV$3)*(('حجز الإجازات'!$E$5:$E$104)&gt;=JV$3)*('حجز الإجازات'!$G$5:$G$104="معتمد")*ROW('حجز الإجازات'!$B$5:$B$104)))-5+1))</f>
        <v/>
      </c>
      <c r="JW9" s="62">
        <f>IF(SUMPRODUCT(('حجز الإجازات'!$B$5:$B$104='الموظفون'!$B$7)*('حجز الإجازات'!$D$5:$D$104&lt;=JW$3)*(('حجز الإجازات'!$E$5:$E$104)&gt;=JW$3)*('حجز الإجازات'!$G$5:$G$104="معتمد")*ROW('حجز الإجازات'!$B$5:$B$104))=0,"",INDEX('حجز الإجازات'!$C$5:$C$104,(SUMPRODUCT(('حجز الإجازات'!$B$5:$B$104='الموظفون'!$B$7)*('حجز الإجازات'!$D$5:$D$104&lt;=JW$3)*(('حجز الإجازات'!$E$5:$E$104)&gt;=JW$3)*('حجز الإجازات'!$G$5:$G$104="معتمد")*ROW('حجز الإجازات'!$B$5:$B$104)))-5+1))</f>
        <v/>
      </c>
      <c r="JX9" s="62">
        <f>IF(SUMPRODUCT(('حجز الإجازات'!$B$5:$B$104='الموظفون'!$B$7)*('حجز الإجازات'!$D$5:$D$104&lt;=JX$3)*(('حجز الإجازات'!$E$5:$E$104)&gt;=JX$3)*('حجز الإجازات'!$G$5:$G$104="معتمد")*ROW('حجز الإجازات'!$B$5:$B$104))=0,"",INDEX('حجز الإجازات'!$C$5:$C$104,(SUMPRODUCT(('حجز الإجازات'!$B$5:$B$104='الموظفون'!$B$7)*('حجز الإجازات'!$D$5:$D$104&lt;=JX$3)*(('حجز الإجازات'!$E$5:$E$104)&gt;=JX$3)*('حجز الإجازات'!$G$5:$G$104="معتمد")*ROW('حجز الإجازات'!$B$5:$B$104)))-5+1))</f>
        <v/>
      </c>
      <c r="JY9" s="62">
        <f>IF(SUMPRODUCT(('حجز الإجازات'!$B$5:$B$104='الموظفون'!$B$7)*('حجز الإجازات'!$D$5:$D$104&lt;=JY$3)*(('حجز الإجازات'!$E$5:$E$104)&gt;=JY$3)*('حجز الإجازات'!$G$5:$G$104="معتمد")*ROW('حجز الإجازات'!$B$5:$B$104))=0,"",INDEX('حجز الإجازات'!$C$5:$C$104,(SUMPRODUCT(('حجز الإجازات'!$B$5:$B$104='الموظفون'!$B$7)*('حجز الإجازات'!$D$5:$D$104&lt;=JY$3)*(('حجز الإجازات'!$E$5:$E$104)&gt;=JY$3)*('حجز الإجازات'!$G$5:$G$104="معتمد")*ROW('حجز الإجازات'!$B$5:$B$104)))-5+1))</f>
        <v/>
      </c>
      <c r="JZ9" s="62">
        <f>IF(SUMPRODUCT(('حجز الإجازات'!$B$5:$B$104='الموظفون'!$B$7)*('حجز الإجازات'!$D$5:$D$104&lt;=JZ$3)*(('حجز الإجازات'!$E$5:$E$104)&gt;=JZ$3)*('حجز الإجازات'!$G$5:$G$104="معتمد")*ROW('حجز الإجازات'!$B$5:$B$104))=0,"",INDEX('حجز الإجازات'!$C$5:$C$104,(SUMPRODUCT(('حجز الإجازات'!$B$5:$B$104='الموظفون'!$B$7)*('حجز الإجازات'!$D$5:$D$104&lt;=JZ$3)*(('حجز الإجازات'!$E$5:$E$104)&gt;=JZ$3)*('حجز الإجازات'!$G$5:$G$104="معتمد")*ROW('حجز الإجازات'!$B$5:$B$104)))-5+1))</f>
        <v/>
      </c>
      <c r="KA9" s="62">
        <f>IF(SUMPRODUCT(('حجز الإجازات'!$B$5:$B$104='الموظفون'!$B$7)*('حجز الإجازات'!$D$5:$D$104&lt;=KA$3)*(('حجز الإجازات'!$E$5:$E$104)&gt;=KA$3)*('حجز الإجازات'!$G$5:$G$104="معتمد")*ROW('حجز الإجازات'!$B$5:$B$104))=0,"",INDEX('حجز الإجازات'!$C$5:$C$104,(SUMPRODUCT(('حجز الإجازات'!$B$5:$B$104='الموظفون'!$B$7)*('حجز الإجازات'!$D$5:$D$104&lt;=KA$3)*(('حجز الإجازات'!$E$5:$E$104)&gt;=KA$3)*('حجز الإجازات'!$G$5:$G$104="معتمد")*ROW('حجز الإجازات'!$B$5:$B$104)))-5+1))</f>
        <v/>
      </c>
      <c r="KB9" s="62">
        <f>IF(SUMPRODUCT(('حجز الإجازات'!$B$5:$B$104='الموظفون'!$B$7)*('حجز الإجازات'!$D$5:$D$104&lt;=KB$3)*(('حجز الإجازات'!$E$5:$E$104)&gt;=KB$3)*('حجز الإجازات'!$G$5:$G$104="معتمد")*ROW('حجز الإجازات'!$B$5:$B$104))=0,"",INDEX('حجز الإجازات'!$C$5:$C$104,(SUMPRODUCT(('حجز الإجازات'!$B$5:$B$104='الموظفون'!$B$7)*('حجز الإجازات'!$D$5:$D$104&lt;=KB$3)*(('حجز الإجازات'!$E$5:$E$104)&gt;=KB$3)*('حجز الإجازات'!$G$5:$G$104="معتمد")*ROW('حجز الإجازات'!$B$5:$B$104)))-5+1))</f>
        <v/>
      </c>
      <c r="KC9" s="62">
        <f>IF(SUMPRODUCT(('حجز الإجازات'!$B$5:$B$104='الموظفون'!$B$7)*('حجز الإجازات'!$D$5:$D$104&lt;=KC$3)*(('حجز الإجازات'!$E$5:$E$104)&gt;=KC$3)*('حجز الإجازات'!$G$5:$G$104="معتمد")*ROW('حجز الإجازات'!$B$5:$B$104))=0,"",INDEX('حجز الإجازات'!$C$5:$C$104,(SUMPRODUCT(('حجز الإجازات'!$B$5:$B$104='الموظفون'!$B$7)*('حجز الإجازات'!$D$5:$D$104&lt;=KC$3)*(('حجز الإجازات'!$E$5:$E$104)&gt;=KC$3)*('حجز الإجازات'!$G$5:$G$104="معتمد")*ROW('حجز الإجازات'!$B$5:$B$104)))-5+1))</f>
        <v/>
      </c>
      <c r="KD9" s="62">
        <f>IF(SUMPRODUCT(('حجز الإجازات'!$B$5:$B$104='الموظفون'!$B$7)*('حجز الإجازات'!$D$5:$D$104&lt;=KD$3)*(('حجز الإجازات'!$E$5:$E$104)&gt;=KD$3)*('حجز الإجازات'!$G$5:$G$104="معتمد")*ROW('حجز الإجازات'!$B$5:$B$104))=0,"",INDEX('حجز الإجازات'!$C$5:$C$104,(SUMPRODUCT(('حجز الإجازات'!$B$5:$B$104='الموظفون'!$B$7)*('حجز الإجازات'!$D$5:$D$104&lt;=KD$3)*(('حجز الإجازات'!$E$5:$E$104)&gt;=KD$3)*('حجز الإجازات'!$G$5:$G$104="معتمد")*ROW('حجز الإجازات'!$B$5:$B$104)))-5+1))</f>
        <v/>
      </c>
      <c r="KE9" s="62">
        <f>IF(SUMPRODUCT(('حجز الإجازات'!$B$5:$B$104='الموظفون'!$B$7)*('حجز الإجازات'!$D$5:$D$104&lt;=KE$3)*(('حجز الإجازات'!$E$5:$E$104)&gt;=KE$3)*('حجز الإجازات'!$G$5:$G$104="معتمد")*ROW('حجز الإجازات'!$B$5:$B$104))=0,"",INDEX('حجز الإجازات'!$C$5:$C$104,(SUMPRODUCT(('حجز الإجازات'!$B$5:$B$104='الموظفون'!$B$7)*('حجز الإجازات'!$D$5:$D$104&lt;=KE$3)*(('حجز الإجازات'!$E$5:$E$104)&gt;=KE$3)*('حجز الإجازات'!$G$5:$G$104="معتمد")*ROW('حجز الإجازات'!$B$5:$B$104)))-5+1))</f>
        <v/>
      </c>
      <c r="KF9" s="62">
        <f>IF(SUMPRODUCT(('حجز الإجازات'!$B$5:$B$104='الموظفون'!$B$7)*('حجز الإجازات'!$D$5:$D$104&lt;=KF$3)*(('حجز الإجازات'!$E$5:$E$104)&gt;=KF$3)*('حجز الإجازات'!$G$5:$G$104="معتمد")*ROW('حجز الإجازات'!$B$5:$B$104))=0,"",INDEX('حجز الإجازات'!$C$5:$C$104,(SUMPRODUCT(('حجز الإجازات'!$B$5:$B$104='الموظفون'!$B$7)*('حجز الإجازات'!$D$5:$D$104&lt;=KF$3)*(('حجز الإجازات'!$E$5:$E$104)&gt;=KF$3)*('حجز الإجازات'!$G$5:$G$104="معتمد")*ROW('حجز الإجازات'!$B$5:$B$104)))-5+1))</f>
        <v/>
      </c>
      <c r="KG9" s="62">
        <f>IF(SUMPRODUCT(('حجز الإجازات'!$B$5:$B$104='الموظفون'!$B$7)*('حجز الإجازات'!$D$5:$D$104&lt;=KG$3)*(('حجز الإجازات'!$E$5:$E$104)&gt;=KG$3)*('حجز الإجازات'!$G$5:$G$104="معتمد")*ROW('حجز الإجازات'!$B$5:$B$104))=0,"",INDEX('حجز الإجازات'!$C$5:$C$104,(SUMPRODUCT(('حجز الإجازات'!$B$5:$B$104='الموظفون'!$B$7)*('حجز الإجازات'!$D$5:$D$104&lt;=KG$3)*(('حجز الإجازات'!$E$5:$E$104)&gt;=KG$3)*('حجز الإجازات'!$G$5:$G$104="معتمد")*ROW('حجز الإجازات'!$B$5:$B$104)))-5+1))</f>
        <v/>
      </c>
      <c r="KH9" s="62">
        <f>IF(SUMPRODUCT(('حجز الإجازات'!$B$5:$B$104='الموظفون'!$B$7)*('حجز الإجازات'!$D$5:$D$104&lt;=KH$3)*(('حجز الإجازات'!$E$5:$E$104)&gt;=KH$3)*('حجز الإجازات'!$G$5:$G$104="معتمد")*ROW('حجز الإجازات'!$B$5:$B$104))=0,"",INDEX('حجز الإجازات'!$C$5:$C$104,(SUMPRODUCT(('حجز الإجازات'!$B$5:$B$104='الموظفون'!$B$7)*('حجز الإجازات'!$D$5:$D$104&lt;=KH$3)*(('حجز الإجازات'!$E$5:$E$104)&gt;=KH$3)*('حجز الإجازات'!$G$5:$G$104="معتمد")*ROW('حجز الإجازات'!$B$5:$B$104)))-5+1))</f>
        <v/>
      </c>
      <c r="KI9" s="62">
        <f>IF(SUMPRODUCT(('حجز الإجازات'!$B$5:$B$104='الموظفون'!$B$7)*('حجز الإجازات'!$D$5:$D$104&lt;=KI$3)*(('حجز الإجازات'!$E$5:$E$104)&gt;=KI$3)*('حجز الإجازات'!$G$5:$G$104="معتمد")*ROW('حجز الإجازات'!$B$5:$B$104))=0,"",INDEX('حجز الإجازات'!$C$5:$C$104,(SUMPRODUCT(('حجز الإجازات'!$B$5:$B$104='الموظفون'!$B$7)*('حجز الإجازات'!$D$5:$D$104&lt;=KI$3)*(('حجز الإجازات'!$E$5:$E$104)&gt;=KI$3)*('حجز الإجازات'!$G$5:$G$104="معتمد")*ROW('حجز الإجازات'!$B$5:$B$104)))-5+1))</f>
        <v/>
      </c>
      <c r="KJ9" s="62">
        <f>IF(SUMPRODUCT(('حجز الإجازات'!$B$5:$B$104='الموظفون'!$B$7)*('حجز الإجازات'!$D$5:$D$104&lt;=KJ$3)*(('حجز الإجازات'!$E$5:$E$104)&gt;=KJ$3)*('حجز الإجازات'!$G$5:$G$104="معتمد")*ROW('حجز الإجازات'!$B$5:$B$104))=0,"",INDEX('حجز الإجازات'!$C$5:$C$104,(SUMPRODUCT(('حجز الإجازات'!$B$5:$B$104='الموظفون'!$B$7)*('حجز الإجازات'!$D$5:$D$104&lt;=KJ$3)*(('حجز الإجازات'!$E$5:$E$104)&gt;=KJ$3)*('حجز الإجازات'!$G$5:$G$104="معتمد")*ROW('حجز الإجازات'!$B$5:$B$104)))-5+1))</f>
        <v/>
      </c>
      <c r="KK9" s="62">
        <f>IF(SUMPRODUCT(('حجز الإجازات'!$B$5:$B$104='الموظفون'!$B$7)*('حجز الإجازات'!$D$5:$D$104&lt;=KK$3)*(('حجز الإجازات'!$E$5:$E$104)&gt;=KK$3)*('حجز الإجازات'!$G$5:$G$104="معتمد")*ROW('حجز الإجازات'!$B$5:$B$104))=0,"",INDEX('حجز الإجازات'!$C$5:$C$104,(SUMPRODUCT(('حجز الإجازات'!$B$5:$B$104='الموظفون'!$B$7)*('حجز الإجازات'!$D$5:$D$104&lt;=KK$3)*(('حجز الإجازات'!$E$5:$E$104)&gt;=KK$3)*('حجز الإجازات'!$G$5:$G$104="معتمد")*ROW('حجز الإجازات'!$B$5:$B$104)))-5+1))</f>
        <v/>
      </c>
      <c r="KL9" s="62">
        <f>IF(SUMPRODUCT(('حجز الإجازات'!$B$5:$B$104='الموظفون'!$B$7)*('حجز الإجازات'!$D$5:$D$104&lt;=KL$3)*(('حجز الإجازات'!$E$5:$E$104)&gt;=KL$3)*('حجز الإجازات'!$G$5:$G$104="معتمد")*ROW('حجز الإجازات'!$B$5:$B$104))=0,"",INDEX('حجز الإجازات'!$C$5:$C$104,(SUMPRODUCT(('حجز الإجازات'!$B$5:$B$104='الموظفون'!$B$7)*('حجز الإجازات'!$D$5:$D$104&lt;=KL$3)*(('حجز الإجازات'!$E$5:$E$104)&gt;=KL$3)*('حجز الإجازات'!$G$5:$G$104="معتمد")*ROW('حجز الإجازات'!$B$5:$B$104)))-5+1))</f>
        <v/>
      </c>
      <c r="KM9" s="62">
        <f>IF(SUMPRODUCT(('حجز الإجازات'!$B$5:$B$104='الموظفون'!$B$7)*('حجز الإجازات'!$D$5:$D$104&lt;=KM$3)*(('حجز الإجازات'!$E$5:$E$104)&gt;=KM$3)*('حجز الإجازات'!$G$5:$G$104="معتمد")*ROW('حجز الإجازات'!$B$5:$B$104))=0,"",INDEX('حجز الإجازات'!$C$5:$C$104,(SUMPRODUCT(('حجز الإجازات'!$B$5:$B$104='الموظفون'!$B$7)*('حجز الإجازات'!$D$5:$D$104&lt;=KM$3)*(('حجز الإجازات'!$E$5:$E$104)&gt;=KM$3)*('حجز الإجازات'!$G$5:$G$104="معتمد")*ROW('حجز الإجازات'!$B$5:$B$104)))-5+1))</f>
        <v/>
      </c>
      <c r="KN9" s="62">
        <f>IF(SUMPRODUCT(('حجز الإجازات'!$B$5:$B$104='الموظفون'!$B$7)*('حجز الإجازات'!$D$5:$D$104&lt;=KN$3)*(('حجز الإجازات'!$E$5:$E$104)&gt;=KN$3)*('حجز الإجازات'!$G$5:$G$104="معتمد")*ROW('حجز الإجازات'!$B$5:$B$104))=0,"",INDEX('حجز الإجازات'!$C$5:$C$104,(SUMPRODUCT(('حجز الإجازات'!$B$5:$B$104='الموظفون'!$B$7)*('حجز الإجازات'!$D$5:$D$104&lt;=KN$3)*(('حجز الإجازات'!$E$5:$E$104)&gt;=KN$3)*('حجز الإجازات'!$G$5:$G$104="معتمد")*ROW('حجز الإجازات'!$B$5:$B$104)))-5+1))</f>
        <v/>
      </c>
      <c r="KO9" s="62">
        <f>IF(SUMPRODUCT(('حجز الإجازات'!$B$5:$B$104='الموظفون'!$B$7)*('حجز الإجازات'!$D$5:$D$104&lt;=KO$3)*(('حجز الإجازات'!$E$5:$E$104)&gt;=KO$3)*('حجز الإجازات'!$G$5:$G$104="معتمد")*ROW('حجز الإجازات'!$B$5:$B$104))=0,"",INDEX('حجز الإجازات'!$C$5:$C$104,(SUMPRODUCT(('حجز الإجازات'!$B$5:$B$104='الموظفون'!$B$7)*('حجز الإجازات'!$D$5:$D$104&lt;=KO$3)*(('حجز الإجازات'!$E$5:$E$104)&gt;=KO$3)*('حجز الإجازات'!$G$5:$G$104="معتمد")*ROW('حجز الإجازات'!$B$5:$B$104)))-5+1))</f>
        <v/>
      </c>
      <c r="KP9" s="62">
        <f>IF(SUMPRODUCT(('حجز الإجازات'!$B$5:$B$104='الموظفون'!$B$7)*('حجز الإجازات'!$D$5:$D$104&lt;=KP$3)*(('حجز الإجازات'!$E$5:$E$104)&gt;=KP$3)*('حجز الإجازات'!$G$5:$G$104="معتمد")*ROW('حجز الإجازات'!$B$5:$B$104))=0,"",INDEX('حجز الإجازات'!$C$5:$C$104,(SUMPRODUCT(('حجز الإجازات'!$B$5:$B$104='الموظفون'!$B$7)*('حجز الإجازات'!$D$5:$D$104&lt;=KP$3)*(('حجز الإجازات'!$E$5:$E$104)&gt;=KP$3)*('حجز الإجازات'!$G$5:$G$104="معتمد")*ROW('حجز الإجازات'!$B$5:$B$104)))-5+1))</f>
        <v/>
      </c>
      <c r="KQ9" s="62">
        <f>IF(SUMPRODUCT(('حجز الإجازات'!$B$5:$B$104='الموظفون'!$B$7)*('حجز الإجازات'!$D$5:$D$104&lt;=KQ$3)*(('حجز الإجازات'!$E$5:$E$104)&gt;=KQ$3)*('حجز الإجازات'!$G$5:$G$104="معتمد")*ROW('حجز الإجازات'!$B$5:$B$104))=0,"",INDEX('حجز الإجازات'!$C$5:$C$104,(SUMPRODUCT(('حجز الإجازات'!$B$5:$B$104='الموظفون'!$B$7)*('حجز الإجازات'!$D$5:$D$104&lt;=KQ$3)*(('حجز الإجازات'!$E$5:$E$104)&gt;=KQ$3)*('حجز الإجازات'!$G$5:$G$104="معتمد")*ROW('حجز الإجازات'!$B$5:$B$104)))-5+1))</f>
        <v/>
      </c>
      <c r="KR9" s="62">
        <f>IF(SUMPRODUCT(('حجز الإجازات'!$B$5:$B$104='الموظفون'!$B$7)*('حجز الإجازات'!$D$5:$D$104&lt;=KR$3)*(('حجز الإجازات'!$E$5:$E$104)&gt;=KR$3)*('حجز الإجازات'!$G$5:$G$104="معتمد")*ROW('حجز الإجازات'!$B$5:$B$104))=0,"",INDEX('حجز الإجازات'!$C$5:$C$104,(SUMPRODUCT(('حجز الإجازات'!$B$5:$B$104='الموظفون'!$B$7)*('حجز الإجازات'!$D$5:$D$104&lt;=KR$3)*(('حجز الإجازات'!$E$5:$E$104)&gt;=KR$3)*('حجز الإجازات'!$G$5:$G$104="معتمد")*ROW('حجز الإجازات'!$B$5:$B$104)))-5+1))</f>
        <v/>
      </c>
      <c r="KS9" s="62">
        <f>IF(SUMPRODUCT(('حجز الإجازات'!$B$5:$B$104='الموظفون'!$B$7)*('حجز الإجازات'!$D$5:$D$104&lt;=KS$3)*(('حجز الإجازات'!$E$5:$E$104)&gt;=KS$3)*('حجز الإجازات'!$G$5:$G$104="معتمد")*ROW('حجز الإجازات'!$B$5:$B$104))=0,"",INDEX('حجز الإجازات'!$C$5:$C$104,(SUMPRODUCT(('حجز الإجازات'!$B$5:$B$104='الموظفون'!$B$7)*('حجز الإجازات'!$D$5:$D$104&lt;=KS$3)*(('حجز الإجازات'!$E$5:$E$104)&gt;=KS$3)*('حجز الإجازات'!$G$5:$G$104="معتمد")*ROW('حجز الإجازات'!$B$5:$B$104)))-5+1))</f>
        <v/>
      </c>
      <c r="KT9" s="62">
        <f>IF(SUMPRODUCT(('حجز الإجازات'!$B$5:$B$104='الموظفون'!$B$7)*('حجز الإجازات'!$D$5:$D$104&lt;=KT$3)*(('حجز الإجازات'!$E$5:$E$104)&gt;=KT$3)*('حجز الإجازات'!$G$5:$G$104="معتمد")*ROW('حجز الإجازات'!$B$5:$B$104))=0,"",INDEX('حجز الإجازات'!$C$5:$C$104,(SUMPRODUCT(('حجز الإجازات'!$B$5:$B$104='الموظفون'!$B$7)*('حجز الإجازات'!$D$5:$D$104&lt;=KT$3)*(('حجز الإجازات'!$E$5:$E$104)&gt;=KT$3)*('حجز الإجازات'!$G$5:$G$104="معتمد")*ROW('حجز الإجازات'!$B$5:$B$104)))-5+1))</f>
        <v/>
      </c>
      <c r="KU9" s="62">
        <f>IF(SUMPRODUCT(('حجز الإجازات'!$B$5:$B$104='الموظفون'!$B$7)*('حجز الإجازات'!$D$5:$D$104&lt;=KU$3)*(('حجز الإجازات'!$E$5:$E$104)&gt;=KU$3)*('حجز الإجازات'!$G$5:$G$104="معتمد")*ROW('حجز الإجازات'!$B$5:$B$104))=0,"",INDEX('حجز الإجازات'!$C$5:$C$104,(SUMPRODUCT(('حجز الإجازات'!$B$5:$B$104='الموظفون'!$B$7)*('حجز الإجازات'!$D$5:$D$104&lt;=KU$3)*(('حجز الإجازات'!$E$5:$E$104)&gt;=KU$3)*('حجز الإجازات'!$G$5:$G$104="معتمد")*ROW('حجز الإجازات'!$B$5:$B$104)))-5+1))</f>
        <v/>
      </c>
      <c r="KV9" s="62">
        <f>IF(SUMPRODUCT(('حجز الإجازات'!$B$5:$B$104='الموظفون'!$B$7)*('حجز الإجازات'!$D$5:$D$104&lt;=KV$3)*(('حجز الإجازات'!$E$5:$E$104)&gt;=KV$3)*('حجز الإجازات'!$G$5:$G$104="معتمد")*ROW('حجز الإجازات'!$B$5:$B$104))=0,"",INDEX('حجز الإجازات'!$C$5:$C$104,(SUMPRODUCT(('حجز الإجازات'!$B$5:$B$104='الموظفون'!$B$7)*('حجز الإجازات'!$D$5:$D$104&lt;=KV$3)*(('حجز الإجازات'!$E$5:$E$104)&gt;=KV$3)*('حجز الإجازات'!$G$5:$G$104="معتمد")*ROW('حجز الإجازات'!$B$5:$B$104)))-5+1))</f>
        <v/>
      </c>
      <c r="KW9" s="62">
        <f>IF(SUMPRODUCT(('حجز الإجازات'!$B$5:$B$104='الموظفون'!$B$7)*('حجز الإجازات'!$D$5:$D$104&lt;=KW$3)*(('حجز الإجازات'!$E$5:$E$104)&gt;=KW$3)*('حجز الإجازات'!$G$5:$G$104="معتمد")*ROW('حجز الإجازات'!$B$5:$B$104))=0,"",INDEX('حجز الإجازات'!$C$5:$C$104,(SUMPRODUCT(('حجز الإجازات'!$B$5:$B$104='الموظفون'!$B$7)*('حجز الإجازات'!$D$5:$D$104&lt;=KW$3)*(('حجز الإجازات'!$E$5:$E$104)&gt;=KW$3)*('حجز الإجازات'!$G$5:$G$104="معتمد")*ROW('حجز الإجازات'!$B$5:$B$104)))-5+1))</f>
        <v/>
      </c>
      <c r="KX9" s="62">
        <f>IF(SUMPRODUCT(('حجز الإجازات'!$B$5:$B$104='الموظفون'!$B$7)*('حجز الإجازات'!$D$5:$D$104&lt;=KX$3)*(('حجز الإجازات'!$E$5:$E$104)&gt;=KX$3)*('حجز الإجازات'!$G$5:$G$104="معتمد")*ROW('حجز الإجازات'!$B$5:$B$104))=0,"",INDEX('حجز الإجازات'!$C$5:$C$104,(SUMPRODUCT(('حجز الإجازات'!$B$5:$B$104='الموظفون'!$B$7)*('حجز الإجازات'!$D$5:$D$104&lt;=KX$3)*(('حجز الإجازات'!$E$5:$E$104)&gt;=KX$3)*('حجز الإجازات'!$G$5:$G$104="معتمد")*ROW('حجز الإجازات'!$B$5:$B$104)))-5+1))</f>
        <v/>
      </c>
      <c r="KY9" s="62">
        <f>IF(SUMPRODUCT(('حجز الإجازات'!$B$5:$B$104='الموظفون'!$B$7)*('حجز الإجازات'!$D$5:$D$104&lt;=KY$3)*(('حجز الإجازات'!$E$5:$E$104)&gt;=KY$3)*('حجز الإجازات'!$G$5:$G$104="معتمد")*ROW('حجز الإجازات'!$B$5:$B$104))=0,"",INDEX('حجز الإجازات'!$C$5:$C$104,(SUMPRODUCT(('حجز الإجازات'!$B$5:$B$104='الموظفون'!$B$7)*('حجز الإجازات'!$D$5:$D$104&lt;=KY$3)*(('حجز الإجازات'!$E$5:$E$104)&gt;=KY$3)*('حجز الإجازات'!$G$5:$G$104="معتمد")*ROW('حجز الإجازات'!$B$5:$B$104)))-5+1))</f>
        <v/>
      </c>
      <c r="KZ9" s="62">
        <f>IF(SUMPRODUCT(('حجز الإجازات'!$B$5:$B$104='الموظفون'!$B$7)*('حجز الإجازات'!$D$5:$D$104&lt;=KZ$3)*(('حجز الإجازات'!$E$5:$E$104)&gt;=KZ$3)*('حجز الإجازات'!$G$5:$G$104="معتمد")*ROW('حجز الإجازات'!$B$5:$B$104))=0,"",INDEX('حجز الإجازات'!$C$5:$C$104,(SUMPRODUCT(('حجز الإجازات'!$B$5:$B$104='الموظفون'!$B$7)*('حجز الإجازات'!$D$5:$D$104&lt;=KZ$3)*(('حجز الإجازات'!$E$5:$E$104)&gt;=KZ$3)*('حجز الإجازات'!$G$5:$G$104="معتمد")*ROW('حجز الإجازات'!$B$5:$B$104)))-5+1))</f>
        <v/>
      </c>
      <c r="LA9" s="62">
        <f>IF(SUMPRODUCT(('حجز الإجازات'!$B$5:$B$104='الموظفون'!$B$7)*('حجز الإجازات'!$D$5:$D$104&lt;=LA$3)*(('حجز الإجازات'!$E$5:$E$104)&gt;=LA$3)*('حجز الإجازات'!$G$5:$G$104="معتمد")*ROW('حجز الإجازات'!$B$5:$B$104))=0,"",INDEX('حجز الإجازات'!$C$5:$C$104,(SUMPRODUCT(('حجز الإجازات'!$B$5:$B$104='الموظفون'!$B$7)*('حجز الإجازات'!$D$5:$D$104&lt;=LA$3)*(('حجز الإجازات'!$E$5:$E$104)&gt;=LA$3)*('حجز الإجازات'!$G$5:$G$104="معتمد")*ROW('حجز الإجازات'!$B$5:$B$104)))-5+1))</f>
        <v/>
      </c>
      <c r="LB9" s="62">
        <f>IF(SUMPRODUCT(('حجز الإجازات'!$B$5:$B$104='الموظفون'!$B$7)*('حجز الإجازات'!$D$5:$D$104&lt;=LB$3)*(('حجز الإجازات'!$E$5:$E$104)&gt;=LB$3)*('حجز الإجازات'!$G$5:$G$104="معتمد")*ROW('حجز الإجازات'!$B$5:$B$104))=0,"",INDEX('حجز الإجازات'!$C$5:$C$104,(SUMPRODUCT(('حجز الإجازات'!$B$5:$B$104='الموظفون'!$B$7)*('حجز الإجازات'!$D$5:$D$104&lt;=LB$3)*(('حجز الإجازات'!$E$5:$E$104)&gt;=LB$3)*('حجز الإجازات'!$G$5:$G$104="معتمد")*ROW('حجز الإجازات'!$B$5:$B$104)))-5+1))</f>
        <v/>
      </c>
      <c r="LC9" s="62">
        <f>IF(SUMPRODUCT(('حجز الإجازات'!$B$5:$B$104='الموظفون'!$B$7)*('حجز الإجازات'!$D$5:$D$104&lt;=LC$3)*(('حجز الإجازات'!$E$5:$E$104)&gt;=LC$3)*('حجز الإجازات'!$G$5:$G$104="معتمد")*ROW('حجز الإجازات'!$B$5:$B$104))=0,"",INDEX('حجز الإجازات'!$C$5:$C$104,(SUMPRODUCT(('حجز الإجازات'!$B$5:$B$104='الموظفون'!$B$7)*('حجز الإجازات'!$D$5:$D$104&lt;=LC$3)*(('حجز الإجازات'!$E$5:$E$104)&gt;=LC$3)*('حجز الإجازات'!$G$5:$G$104="معتمد")*ROW('حجز الإجازات'!$B$5:$B$104)))-5+1))</f>
        <v/>
      </c>
      <c r="LD9" s="62">
        <f>IF(SUMPRODUCT(('حجز الإجازات'!$B$5:$B$104='الموظفون'!$B$7)*('حجز الإجازات'!$D$5:$D$104&lt;=LD$3)*(('حجز الإجازات'!$E$5:$E$104)&gt;=LD$3)*('حجز الإجازات'!$G$5:$G$104="معتمد")*ROW('حجز الإجازات'!$B$5:$B$104))=0,"",INDEX('حجز الإجازات'!$C$5:$C$104,(SUMPRODUCT(('حجز الإجازات'!$B$5:$B$104='الموظفون'!$B$7)*('حجز الإجازات'!$D$5:$D$104&lt;=LD$3)*(('حجز الإجازات'!$E$5:$E$104)&gt;=LD$3)*('حجز الإجازات'!$G$5:$G$104="معتمد")*ROW('حجز الإجازات'!$B$5:$B$104)))-5+1))</f>
        <v/>
      </c>
      <c r="LE9" s="62">
        <f>IF(SUMPRODUCT(('حجز الإجازات'!$B$5:$B$104='الموظفون'!$B$7)*('حجز الإجازات'!$D$5:$D$104&lt;=LE$3)*(('حجز الإجازات'!$E$5:$E$104)&gt;=LE$3)*('حجز الإجازات'!$G$5:$G$104="معتمد")*ROW('حجز الإجازات'!$B$5:$B$104))=0,"",INDEX('حجز الإجازات'!$C$5:$C$104,(SUMPRODUCT(('حجز الإجازات'!$B$5:$B$104='الموظفون'!$B$7)*('حجز الإجازات'!$D$5:$D$104&lt;=LE$3)*(('حجز الإجازات'!$E$5:$E$104)&gt;=LE$3)*('حجز الإجازات'!$G$5:$G$104="معتمد")*ROW('حجز الإجازات'!$B$5:$B$104)))-5+1))</f>
        <v/>
      </c>
      <c r="LF9" s="62">
        <f>IF(SUMPRODUCT(('حجز الإجازات'!$B$5:$B$104='الموظفون'!$B$7)*('حجز الإجازات'!$D$5:$D$104&lt;=LF$3)*(('حجز الإجازات'!$E$5:$E$104)&gt;=LF$3)*('حجز الإجازات'!$G$5:$G$104="معتمد")*ROW('حجز الإجازات'!$B$5:$B$104))=0,"",INDEX('حجز الإجازات'!$C$5:$C$104,(SUMPRODUCT(('حجز الإجازات'!$B$5:$B$104='الموظفون'!$B$7)*('حجز الإجازات'!$D$5:$D$104&lt;=LF$3)*(('حجز الإجازات'!$E$5:$E$104)&gt;=LF$3)*('حجز الإجازات'!$G$5:$G$104="معتمد")*ROW('حجز الإجازات'!$B$5:$B$104)))-5+1))</f>
        <v/>
      </c>
      <c r="LG9" s="62">
        <f>IF(SUMPRODUCT(('حجز الإجازات'!$B$5:$B$104='الموظفون'!$B$7)*('حجز الإجازات'!$D$5:$D$104&lt;=LG$3)*(('حجز الإجازات'!$E$5:$E$104)&gt;=LG$3)*('حجز الإجازات'!$G$5:$G$104="معتمد")*ROW('حجز الإجازات'!$B$5:$B$104))=0,"",INDEX('حجز الإجازات'!$C$5:$C$104,(SUMPRODUCT(('حجز الإجازات'!$B$5:$B$104='الموظفون'!$B$7)*('حجز الإجازات'!$D$5:$D$104&lt;=LG$3)*(('حجز الإجازات'!$E$5:$E$104)&gt;=LG$3)*('حجز الإجازات'!$G$5:$G$104="معتمد")*ROW('حجز الإجازات'!$B$5:$B$104)))-5+1))</f>
        <v/>
      </c>
      <c r="LH9" s="62">
        <f>IF(SUMPRODUCT(('حجز الإجازات'!$B$5:$B$104='الموظفون'!$B$7)*('حجز الإجازات'!$D$5:$D$104&lt;=LH$3)*(('حجز الإجازات'!$E$5:$E$104)&gt;=LH$3)*('حجز الإجازات'!$G$5:$G$104="معتمد")*ROW('حجز الإجازات'!$B$5:$B$104))=0,"",INDEX('حجز الإجازات'!$C$5:$C$104,(SUMPRODUCT(('حجز الإجازات'!$B$5:$B$104='الموظفون'!$B$7)*('حجز الإجازات'!$D$5:$D$104&lt;=LH$3)*(('حجز الإجازات'!$E$5:$E$104)&gt;=LH$3)*('حجز الإجازات'!$G$5:$G$104="معتمد")*ROW('حجز الإجازات'!$B$5:$B$104)))-5+1))</f>
        <v/>
      </c>
      <c r="LI9" s="62">
        <f>IF(SUMPRODUCT(('حجز الإجازات'!$B$5:$B$104='الموظفون'!$B$7)*('حجز الإجازات'!$D$5:$D$104&lt;=LI$3)*(('حجز الإجازات'!$E$5:$E$104)&gt;=LI$3)*('حجز الإجازات'!$G$5:$G$104="معتمد")*ROW('حجز الإجازات'!$B$5:$B$104))=0,"",INDEX('حجز الإجازات'!$C$5:$C$104,(SUMPRODUCT(('حجز الإجازات'!$B$5:$B$104='الموظفون'!$B$7)*('حجز الإجازات'!$D$5:$D$104&lt;=LI$3)*(('حجز الإجازات'!$E$5:$E$104)&gt;=LI$3)*('حجز الإجازات'!$G$5:$G$104="معتمد")*ROW('حجز الإجازات'!$B$5:$B$104)))-5+1))</f>
        <v/>
      </c>
      <c r="LJ9" s="62">
        <f>IF(SUMPRODUCT(('حجز الإجازات'!$B$5:$B$104='الموظفون'!$B$7)*('حجز الإجازات'!$D$5:$D$104&lt;=LJ$3)*(('حجز الإجازات'!$E$5:$E$104)&gt;=LJ$3)*('حجز الإجازات'!$G$5:$G$104="معتمد")*ROW('حجز الإجازات'!$B$5:$B$104))=0,"",INDEX('حجز الإجازات'!$C$5:$C$104,(SUMPRODUCT(('حجز الإجازات'!$B$5:$B$104='الموظفون'!$B$7)*('حجز الإجازات'!$D$5:$D$104&lt;=LJ$3)*(('حجز الإجازات'!$E$5:$E$104)&gt;=LJ$3)*('حجز الإجازات'!$G$5:$G$104="معتمد")*ROW('حجز الإجازات'!$B$5:$B$104)))-5+1))</f>
        <v/>
      </c>
      <c r="LK9" s="62">
        <f>IF(SUMPRODUCT(('حجز الإجازات'!$B$5:$B$104='الموظفون'!$B$7)*('حجز الإجازات'!$D$5:$D$104&lt;=LK$3)*(('حجز الإجازات'!$E$5:$E$104)&gt;=LK$3)*('حجز الإجازات'!$G$5:$G$104="معتمد")*ROW('حجز الإجازات'!$B$5:$B$104))=0,"",INDEX('حجز الإجازات'!$C$5:$C$104,(SUMPRODUCT(('حجز الإجازات'!$B$5:$B$104='الموظفون'!$B$7)*('حجز الإجازات'!$D$5:$D$104&lt;=LK$3)*(('حجز الإجازات'!$E$5:$E$104)&gt;=LK$3)*('حجز الإجازات'!$G$5:$G$104="معتمد")*ROW('حجز الإجازات'!$B$5:$B$104)))-5+1))</f>
        <v/>
      </c>
      <c r="LL9" s="62">
        <f>IF(SUMPRODUCT(('حجز الإجازات'!$B$5:$B$104='الموظفون'!$B$7)*('حجز الإجازات'!$D$5:$D$104&lt;=LL$3)*(('حجز الإجازات'!$E$5:$E$104)&gt;=LL$3)*('حجز الإجازات'!$G$5:$G$104="معتمد")*ROW('حجز الإجازات'!$B$5:$B$104))=0,"",INDEX('حجز الإجازات'!$C$5:$C$104,(SUMPRODUCT(('حجز الإجازات'!$B$5:$B$104='الموظفون'!$B$7)*('حجز الإجازات'!$D$5:$D$104&lt;=LL$3)*(('حجز الإجازات'!$E$5:$E$104)&gt;=LL$3)*('حجز الإجازات'!$G$5:$G$104="معتمد")*ROW('حجز الإجازات'!$B$5:$B$104)))-5+1))</f>
        <v/>
      </c>
      <c r="LM9" s="62">
        <f>IF(SUMPRODUCT(('حجز الإجازات'!$B$5:$B$104='الموظفون'!$B$7)*('حجز الإجازات'!$D$5:$D$104&lt;=LM$3)*(('حجز الإجازات'!$E$5:$E$104)&gt;=LM$3)*('حجز الإجازات'!$G$5:$G$104="معتمد")*ROW('حجز الإجازات'!$B$5:$B$104))=0,"",INDEX('حجز الإجازات'!$C$5:$C$104,(SUMPRODUCT(('حجز الإجازات'!$B$5:$B$104='الموظفون'!$B$7)*('حجز الإجازات'!$D$5:$D$104&lt;=LM$3)*(('حجز الإجازات'!$E$5:$E$104)&gt;=LM$3)*('حجز الإجازات'!$G$5:$G$104="معتمد")*ROW('حجز الإجازات'!$B$5:$B$104)))-5+1))</f>
        <v/>
      </c>
      <c r="LN9" s="62">
        <f>IF(SUMPRODUCT(('حجز الإجازات'!$B$5:$B$104='الموظفون'!$B$7)*('حجز الإجازات'!$D$5:$D$104&lt;=LN$3)*(('حجز الإجازات'!$E$5:$E$104)&gt;=LN$3)*('حجز الإجازات'!$G$5:$G$104="معتمد")*ROW('حجز الإجازات'!$B$5:$B$104))=0,"",INDEX('حجز الإجازات'!$C$5:$C$104,(SUMPRODUCT(('حجز الإجازات'!$B$5:$B$104='الموظفون'!$B$7)*('حجز الإجازات'!$D$5:$D$104&lt;=LN$3)*(('حجز الإجازات'!$E$5:$E$104)&gt;=LN$3)*('حجز الإجازات'!$G$5:$G$104="معتمد")*ROW('حجز الإجازات'!$B$5:$B$104)))-5+1))</f>
        <v/>
      </c>
      <c r="LO9" s="62">
        <f>IF(SUMPRODUCT(('حجز الإجازات'!$B$5:$B$104='الموظفون'!$B$7)*('حجز الإجازات'!$D$5:$D$104&lt;=LO$3)*(('حجز الإجازات'!$E$5:$E$104)&gt;=LO$3)*('حجز الإجازات'!$G$5:$G$104="معتمد")*ROW('حجز الإجازات'!$B$5:$B$104))=0,"",INDEX('حجز الإجازات'!$C$5:$C$104,(SUMPRODUCT(('حجز الإجازات'!$B$5:$B$104='الموظفون'!$B$7)*('حجز الإجازات'!$D$5:$D$104&lt;=LO$3)*(('حجز الإجازات'!$E$5:$E$104)&gt;=LO$3)*('حجز الإجازات'!$G$5:$G$104="معتمد")*ROW('حجز الإجازات'!$B$5:$B$104)))-5+1))</f>
        <v/>
      </c>
      <c r="LP9" s="62">
        <f>IF(SUMPRODUCT(('حجز الإجازات'!$B$5:$B$104='الموظفون'!$B$7)*('حجز الإجازات'!$D$5:$D$104&lt;=LP$3)*(('حجز الإجازات'!$E$5:$E$104)&gt;=LP$3)*('حجز الإجازات'!$G$5:$G$104="معتمد")*ROW('حجز الإجازات'!$B$5:$B$104))=0,"",INDEX('حجز الإجازات'!$C$5:$C$104,(SUMPRODUCT(('حجز الإجازات'!$B$5:$B$104='الموظفون'!$B$7)*('حجز الإجازات'!$D$5:$D$104&lt;=LP$3)*(('حجز الإجازات'!$E$5:$E$104)&gt;=LP$3)*('حجز الإجازات'!$G$5:$G$104="معتمد")*ROW('حجز الإجازات'!$B$5:$B$104)))-5+1))</f>
        <v/>
      </c>
      <c r="LQ9" s="62">
        <f>IF(SUMPRODUCT(('حجز الإجازات'!$B$5:$B$104='الموظفون'!$B$7)*('حجز الإجازات'!$D$5:$D$104&lt;=LQ$3)*(('حجز الإجازات'!$E$5:$E$104)&gt;=LQ$3)*('حجز الإجازات'!$G$5:$G$104="معتمد")*ROW('حجز الإجازات'!$B$5:$B$104))=0,"",INDEX('حجز الإجازات'!$C$5:$C$104,(SUMPRODUCT(('حجز الإجازات'!$B$5:$B$104='الموظفون'!$B$7)*('حجز الإجازات'!$D$5:$D$104&lt;=LQ$3)*(('حجز الإجازات'!$E$5:$E$104)&gt;=LQ$3)*('حجز الإجازات'!$G$5:$G$104="معتمد")*ROW('حجز الإجازات'!$B$5:$B$104)))-5+1))</f>
        <v/>
      </c>
      <c r="LR9" s="62">
        <f>IF(SUMPRODUCT(('حجز الإجازات'!$B$5:$B$104='الموظفون'!$B$7)*('حجز الإجازات'!$D$5:$D$104&lt;=LR$3)*(('حجز الإجازات'!$E$5:$E$104)&gt;=LR$3)*('حجز الإجازات'!$G$5:$G$104="معتمد")*ROW('حجز الإجازات'!$B$5:$B$104))=0,"",INDEX('حجز الإجازات'!$C$5:$C$104,(SUMPRODUCT(('حجز الإجازات'!$B$5:$B$104='الموظفون'!$B$7)*('حجز الإجازات'!$D$5:$D$104&lt;=LR$3)*(('حجز الإجازات'!$E$5:$E$104)&gt;=LR$3)*('حجز الإجازات'!$G$5:$G$104="معتمد")*ROW('حجز الإجازات'!$B$5:$B$104)))-5+1))</f>
        <v/>
      </c>
      <c r="LS9" s="62">
        <f>IF(SUMPRODUCT(('حجز الإجازات'!$B$5:$B$104='الموظفون'!$B$7)*('حجز الإجازات'!$D$5:$D$104&lt;=LS$3)*(('حجز الإجازات'!$E$5:$E$104)&gt;=LS$3)*('حجز الإجازات'!$G$5:$G$104="معتمد")*ROW('حجز الإجازات'!$B$5:$B$104))=0,"",INDEX('حجز الإجازات'!$C$5:$C$104,(SUMPRODUCT(('حجز الإجازات'!$B$5:$B$104='الموظفون'!$B$7)*('حجز الإجازات'!$D$5:$D$104&lt;=LS$3)*(('حجز الإجازات'!$E$5:$E$104)&gt;=LS$3)*('حجز الإجازات'!$G$5:$G$104="معتمد")*ROW('حجز الإجازات'!$B$5:$B$104)))-5+1))</f>
        <v/>
      </c>
      <c r="LT9" s="62">
        <f>IF(SUMPRODUCT(('حجز الإجازات'!$B$5:$B$104='الموظفون'!$B$7)*('حجز الإجازات'!$D$5:$D$104&lt;=LT$3)*(('حجز الإجازات'!$E$5:$E$104)&gt;=LT$3)*('حجز الإجازات'!$G$5:$G$104="معتمد")*ROW('حجز الإجازات'!$B$5:$B$104))=0,"",INDEX('حجز الإجازات'!$C$5:$C$104,(SUMPRODUCT(('حجز الإجازات'!$B$5:$B$104='الموظفون'!$B$7)*('حجز الإجازات'!$D$5:$D$104&lt;=LT$3)*(('حجز الإجازات'!$E$5:$E$104)&gt;=LT$3)*('حجز الإجازات'!$G$5:$G$104="معتمد")*ROW('حجز الإجازات'!$B$5:$B$104)))-5+1))</f>
        <v/>
      </c>
      <c r="LU9" s="62">
        <f>IF(SUMPRODUCT(('حجز الإجازات'!$B$5:$B$104='الموظفون'!$B$7)*('حجز الإجازات'!$D$5:$D$104&lt;=LU$3)*(('حجز الإجازات'!$E$5:$E$104)&gt;=LU$3)*('حجز الإجازات'!$G$5:$G$104="معتمد")*ROW('حجز الإجازات'!$B$5:$B$104))=0,"",INDEX('حجز الإجازات'!$C$5:$C$104,(SUMPRODUCT(('حجز الإجازات'!$B$5:$B$104='الموظفون'!$B$7)*('حجز الإجازات'!$D$5:$D$104&lt;=LU$3)*(('حجز الإجازات'!$E$5:$E$104)&gt;=LU$3)*('حجز الإجازات'!$G$5:$G$104="معتمد")*ROW('حجز الإجازات'!$B$5:$B$104)))-5+1))</f>
        <v/>
      </c>
      <c r="LV9" s="62">
        <f>IF(SUMPRODUCT(('حجز الإجازات'!$B$5:$B$104='الموظفون'!$B$7)*('حجز الإجازات'!$D$5:$D$104&lt;=LV$3)*(('حجز الإجازات'!$E$5:$E$104)&gt;=LV$3)*('حجز الإجازات'!$G$5:$G$104="معتمد")*ROW('حجز الإجازات'!$B$5:$B$104))=0,"",INDEX('حجز الإجازات'!$C$5:$C$104,(SUMPRODUCT(('حجز الإجازات'!$B$5:$B$104='الموظفون'!$B$7)*('حجز الإجازات'!$D$5:$D$104&lt;=LV$3)*(('حجز الإجازات'!$E$5:$E$104)&gt;=LV$3)*('حجز الإجازات'!$G$5:$G$104="معتمد")*ROW('حجز الإجازات'!$B$5:$B$104)))-5+1))</f>
        <v/>
      </c>
      <c r="LW9" s="62">
        <f>IF(SUMPRODUCT(('حجز الإجازات'!$B$5:$B$104='الموظفون'!$B$7)*('حجز الإجازات'!$D$5:$D$104&lt;=LW$3)*(('حجز الإجازات'!$E$5:$E$104)&gt;=LW$3)*('حجز الإجازات'!$G$5:$G$104="معتمد")*ROW('حجز الإجازات'!$B$5:$B$104))=0,"",INDEX('حجز الإجازات'!$C$5:$C$104,(SUMPRODUCT(('حجز الإجازات'!$B$5:$B$104='الموظفون'!$B$7)*('حجز الإجازات'!$D$5:$D$104&lt;=LW$3)*(('حجز الإجازات'!$E$5:$E$104)&gt;=LW$3)*('حجز الإجازات'!$G$5:$G$104="معتمد")*ROW('حجز الإجازات'!$B$5:$B$104)))-5+1))</f>
        <v/>
      </c>
      <c r="LX9" s="62">
        <f>IF(SUMPRODUCT(('حجز الإجازات'!$B$5:$B$104='الموظفون'!$B$7)*('حجز الإجازات'!$D$5:$D$104&lt;=LX$3)*(('حجز الإجازات'!$E$5:$E$104)&gt;=LX$3)*('حجز الإجازات'!$G$5:$G$104="معتمد")*ROW('حجز الإجازات'!$B$5:$B$104))=0,"",INDEX('حجز الإجازات'!$C$5:$C$104,(SUMPRODUCT(('حجز الإجازات'!$B$5:$B$104='الموظفون'!$B$7)*('حجز الإجازات'!$D$5:$D$104&lt;=LX$3)*(('حجز الإجازات'!$E$5:$E$104)&gt;=LX$3)*('حجز الإجازات'!$G$5:$G$104="معتمد")*ROW('حجز الإجازات'!$B$5:$B$104)))-5+1))</f>
        <v/>
      </c>
      <c r="LY9" s="62">
        <f>IF(SUMPRODUCT(('حجز الإجازات'!$B$5:$B$104='الموظفون'!$B$7)*('حجز الإجازات'!$D$5:$D$104&lt;=LY$3)*(('حجز الإجازات'!$E$5:$E$104)&gt;=LY$3)*('حجز الإجازات'!$G$5:$G$104="معتمد")*ROW('حجز الإجازات'!$B$5:$B$104))=0,"",INDEX('حجز الإجازات'!$C$5:$C$104,(SUMPRODUCT(('حجز الإجازات'!$B$5:$B$104='الموظفون'!$B$7)*('حجز الإجازات'!$D$5:$D$104&lt;=LY$3)*(('حجز الإجازات'!$E$5:$E$104)&gt;=LY$3)*('حجز الإجازات'!$G$5:$G$104="معتمد")*ROW('حجز الإجازات'!$B$5:$B$104)))-5+1))</f>
        <v/>
      </c>
      <c r="LZ9" s="62">
        <f>IF(SUMPRODUCT(('حجز الإجازات'!$B$5:$B$104='الموظفون'!$B$7)*('حجز الإجازات'!$D$5:$D$104&lt;=LZ$3)*(('حجز الإجازات'!$E$5:$E$104)&gt;=LZ$3)*('حجز الإجازات'!$G$5:$G$104="معتمد")*ROW('حجز الإجازات'!$B$5:$B$104))=0,"",INDEX('حجز الإجازات'!$C$5:$C$104,(SUMPRODUCT(('حجز الإجازات'!$B$5:$B$104='الموظفون'!$B$7)*('حجز الإجازات'!$D$5:$D$104&lt;=LZ$3)*(('حجز الإجازات'!$E$5:$E$104)&gt;=LZ$3)*('حجز الإجازات'!$G$5:$G$104="معتمد")*ROW('حجز الإجازات'!$B$5:$B$104)))-5+1))</f>
        <v/>
      </c>
      <c r="MA9" s="62">
        <f>IF(SUMPRODUCT(('حجز الإجازات'!$B$5:$B$104='الموظفون'!$B$7)*('حجز الإجازات'!$D$5:$D$104&lt;=MA$3)*(('حجز الإجازات'!$E$5:$E$104)&gt;=MA$3)*('حجز الإجازات'!$G$5:$G$104="معتمد")*ROW('حجز الإجازات'!$B$5:$B$104))=0,"",INDEX('حجز الإجازات'!$C$5:$C$104,(SUMPRODUCT(('حجز الإجازات'!$B$5:$B$104='الموظفون'!$B$7)*('حجز الإجازات'!$D$5:$D$104&lt;=MA$3)*(('حجز الإجازات'!$E$5:$E$104)&gt;=MA$3)*('حجز الإجازات'!$G$5:$G$104="معتمد")*ROW('حجز الإجازات'!$B$5:$B$104)))-5+1))</f>
        <v/>
      </c>
      <c r="MB9" s="62">
        <f>IF(SUMPRODUCT(('حجز الإجازات'!$B$5:$B$104='الموظفون'!$B$7)*('حجز الإجازات'!$D$5:$D$104&lt;=MB$3)*(('حجز الإجازات'!$E$5:$E$104)&gt;=MB$3)*('حجز الإجازات'!$G$5:$G$104="معتمد")*ROW('حجز الإجازات'!$B$5:$B$104))=0,"",INDEX('حجز الإجازات'!$C$5:$C$104,(SUMPRODUCT(('حجز الإجازات'!$B$5:$B$104='الموظفون'!$B$7)*('حجز الإجازات'!$D$5:$D$104&lt;=MB$3)*(('حجز الإجازات'!$E$5:$E$104)&gt;=MB$3)*('حجز الإجازات'!$G$5:$G$104="معتمد")*ROW('حجز الإجازات'!$B$5:$B$104)))-5+1))</f>
        <v/>
      </c>
      <c r="MC9" s="62">
        <f>IF(SUMPRODUCT(('حجز الإجازات'!$B$5:$B$104='الموظفون'!$B$7)*('حجز الإجازات'!$D$5:$D$104&lt;=MC$3)*(('حجز الإجازات'!$E$5:$E$104)&gt;=MC$3)*('حجز الإجازات'!$G$5:$G$104="معتمد")*ROW('حجز الإجازات'!$B$5:$B$104))=0,"",INDEX('حجز الإجازات'!$C$5:$C$104,(SUMPRODUCT(('حجز الإجازات'!$B$5:$B$104='الموظفون'!$B$7)*('حجز الإجازات'!$D$5:$D$104&lt;=MC$3)*(('حجز الإجازات'!$E$5:$E$104)&gt;=MC$3)*('حجز الإجازات'!$G$5:$G$104="معتمد")*ROW('حجز الإجازات'!$B$5:$B$104)))-5+1))</f>
        <v/>
      </c>
      <c r="MD9" s="62">
        <f>IF(SUMPRODUCT(('حجز الإجازات'!$B$5:$B$104='الموظفون'!$B$7)*('حجز الإجازات'!$D$5:$D$104&lt;=MD$3)*(('حجز الإجازات'!$E$5:$E$104)&gt;=MD$3)*('حجز الإجازات'!$G$5:$G$104="معتمد")*ROW('حجز الإجازات'!$B$5:$B$104))=0,"",INDEX('حجز الإجازات'!$C$5:$C$104,(SUMPRODUCT(('حجز الإجازات'!$B$5:$B$104='الموظفون'!$B$7)*('حجز الإجازات'!$D$5:$D$104&lt;=MD$3)*(('حجز الإجازات'!$E$5:$E$104)&gt;=MD$3)*('حجز الإجازات'!$G$5:$G$104="معتمد")*ROW('حجز الإجازات'!$B$5:$B$104)))-5+1))</f>
        <v/>
      </c>
      <c r="ME9" s="62">
        <f>IF(SUMPRODUCT(('حجز الإجازات'!$B$5:$B$104='الموظفون'!$B$7)*('حجز الإجازات'!$D$5:$D$104&lt;=ME$3)*(('حجز الإجازات'!$E$5:$E$104)&gt;=ME$3)*('حجز الإجازات'!$G$5:$G$104="معتمد")*ROW('حجز الإجازات'!$B$5:$B$104))=0,"",INDEX('حجز الإجازات'!$C$5:$C$104,(SUMPRODUCT(('حجز الإجازات'!$B$5:$B$104='الموظفون'!$B$7)*('حجز الإجازات'!$D$5:$D$104&lt;=ME$3)*(('حجز الإجازات'!$E$5:$E$104)&gt;=ME$3)*('حجز الإجازات'!$G$5:$G$104="معتمد")*ROW('حجز الإجازات'!$B$5:$B$104)))-5+1))</f>
        <v/>
      </c>
      <c r="MF9" s="62">
        <f>IF(SUMPRODUCT(('حجز الإجازات'!$B$5:$B$104='الموظفون'!$B$7)*('حجز الإجازات'!$D$5:$D$104&lt;=MF$3)*(('حجز الإجازات'!$E$5:$E$104)&gt;=MF$3)*('حجز الإجازات'!$G$5:$G$104="معتمد")*ROW('حجز الإجازات'!$B$5:$B$104))=0,"",INDEX('حجز الإجازات'!$C$5:$C$104,(SUMPRODUCT(('حجز الإجازات'!$B$5:$B$104='الموظفون'!$B$7)*('حجز الإجازات'!$D$5:$D$104&lt;=MF$3)*(('حجز الإجازات'!$E$5:$E$104)&gt;=MF$3)*('حجز الإجازات'!$G$5:$G$104="معتمد")*ROW('حجز الإجازات'!$B$5:$B$104)))-5+1))</f>
        <v/>
      </c>
      <c r="MG9" s="62">
        <f>IF(SUMPRODUCT(('حجز الإجازات'!$B$5:$B$104='الموظفون'!$B$7)*('حجز الإجازات'!$D$5:$D$104&lt;=MG$3)*(('حجز الإجازات'!$E$5:$E$104)&gt;=MG$3)*('حجز الإجازات'!$G$5:$G$104="معتمد")*ROW('حجز الإجازات'!$B$5:$B$104))=0,"",INDEX('حجز الإجازات'!$C$5:$C$104,(SUMPRODUCT(('حجز الإجازات'!$B$5:$B$104='الموظفون'!$B$7)*('حجز الإجازات'!$D$5:$D$104&lt;=MG$3)*(('حجز الإجازات'!$E$5:$E$104)&gt;=MG$3)*('حجز الإجازات'!$G$5:$G$104="معتمد")*ROW('حجز الإجازات'!$B$5:$B$104)))-5+1))</f>
        <v/>
      </c>
      <c r="MH9" s="62">
        <f>IF(SUMPRODUCT(('حجز الإجازات'!$B$5:$B$104='الموظفون'!$B$7)*('حجز الإجازات'!$D$5:$D$104&lt;=MH$3)*(('حجز الإجازات'!$E$5:$E$104)&gt;=MH$3)*('حجز الإجازات'!$G$5:$G$104="معتمد")*ROW('حجز الإجازات'!$B$5:$B$104))=0,"",INDEX('حجز الإجازات'!$C$5:$C$104,(SUMPRODUCT(('حجز الإجازات'!$B$5:$B$104='الموظفون'!$B$7)*('حجز الإجازات'!$D$5:$D$104&lt;=MH$3)*(('حجز الإجازات'!$E$5:$E$104)&gt;=MH$3)*('حجز الإجازات'!$G$5:$G$104="معتمد")*ROW('حجز الإجازات'!$B$5:$B$104)))-5+1))</f>
        <v/>
      </c>
      <c r="MI9" s="62">
        <f>IF(SUMPRODUCT(('حجز الإجازات'!$B$5:$B$104='الموظفون'!$B$7)*('حجز الإجازات'!$D$5:$D$104&lt;=MI$3)*(('حجز الإجازات'!$E$5:$E$104)&gt;=MI$3)*('حجز الإجازات'!$G$5:$G$104="معتمد")*ROW('حجز الإجازات'!$B$5:$B$104))=0,"",INDEX('حجز الإجازات'!$C$5:$C$104,(SUMPRODUCT(('حجز الإجازات'!$B$5:$B$104='الموظفون'!$B$7)*('حجز الإجازات'!$D$5:$D$104&lt;=MI$3)*(('حجز الإجازات'!$E$5:$E$104)&gt;=MI$3)*('حجز الإجازات'!$G$5:$G$104="معتمد")*ROW('حجز الإجازات'!$B$5:$B$104)))-5+1))</f>
        <v/>
      </c>
      <c r="MJ9" s="62">
        <f>IF(SUMPRODUCT(('حجز الإجازات'!$B$5:$B$104='الموظفون'!$B$7)*('حجز الإجازات'!$D$5:$D$104&lt;=MJ$3)*(('حجز الإجازات'!$E$5:$E$104)&gt;=MJ$3)*('حجز الإجازات'!$G$5:$G$104="معتمد")*ROW('حجز الإجازات'!$B$5:$B$104))=0,"",INDEX('حجز الإجازات'!$C$5:$C$104,(SUMPRODUCT(('حجز الإجازات'!$B$5:$B$104='الموظفون'!$B$7)*('حجز الإجازات'!$D$5:$D$104&lt;=MJ$3)*(('حجز الإجازات'!$E$5:$E$104)&gt;=MJ$3)*('حجز الإجازات'!$G$5:$G$104="معتمد")*ROW('حجز الإجازات'!$B$5:$B$104)))-5+1))</f>
        <v/>
      </c>
      <c r="MK9" s="62">
        <f>IF(SUMPRODUCT(('حجز الإجازات'!$B$5:$B$104='الموظفون'!$B$7)*('حجز الإجازات'!$D$5:$D$104&lt;=MK$3)*(('حجز الإجازات'!$E$5:$E$104)&gt;=MK$3)*('حجز الإجازات'!$G$5:$G$104="معتمد")*ROW('حجز الإجازات'!$B$5:$B$104))=0,"",INDEX('حجز الإجازات'!$C$5:$C$104,(SUMPRODUCT(('حجز الإجازات'!$B$5:$B$104='الموظفون'!$B$7)*('حجز الإجازات'!$D$5:$D$104&lt;=MK$3)*(('حجز الإجازات'!$E$5:$E$104)&gt;=MK$3)*('حجز الإجازات'!$G$5:$G$104="معتمد")*ROW('حجز الإجازات'!$B$5:$B$104)))-5+1))</f>
        <v/>
      </c>
      <c r="ML9" s="62">
        <f>IF(SUMPRODUCT(('حجز الإجازات'!$B$5:$B$104='الموظفون'!$B$7)*('حجز الإجازات'!$D$5:$D$104&lt;=ML$3)*(('حجز الإجازات'!$E$5:$E$104)&gt;=ML$3)*('حجز الإجازات'!$G$5:$G$104="معتمد")*ROW('حجز الإجازات'!$B$5:$B$104))=0,"",INDEX('حجز الإجازات'!$C$5:$C$104,(SUMPRODUCT(('حجز الإجازات'!$B$5:$B$104='الموظفون'!$B$7)*('حجز الإجازات'!$D$5:$D$104&lt;=ML$3)*(('حجز الإجازات'!$E$5:$E$104)&gt;=ML$3)*('حجز الإجازات'!$G$5:$G$104="معتمد")*ROW('حجز الإجازات'!$B$5:$B$104)))-5+1))</f>
        <v/>
      </c>
      <c r="MM9" s="62">
        <f>IF(SUMPRODUCT(('حجز الإجازات'!$B$5:$B$104='الموظفون'!$B$7)*('حجز الإجازات'!$D$5:$D$104&lt;=MM$3)*(('حجز الإجازات'!$E$5:$E$104)&gt;=MM$3)*('حجز الإجازات'!$G$5:$G$104="معتمد")*ROW('حجز الإجازات'!$B$5:$B$104))=0,"",INDEX('حجز الإجازات'!$C$5:$C$104,(SUMPRODUCT(('حجز الإجازات'!$B$5:$B$104='الموظفون'!$B$7)*('حجز الإجازات'!$D$5:$D$104&lt;=MM$3)*(('حجز الإجازات'!$E$5:$E$104)&gt;=MM$3)*('حجز الإجازات'!$G$5:$G$104="معتمد")*ROW('حجز الإجازات'!$B$5:$B$104)))-5+1))</f>
        <v/>
      </c>
      <c r="MN9" s="62">
        <f>IF(SUMPRODUCT(('حجز الإجازات'!$B$5:$B$104='الموظفون'!$B$7)*('حجز الإجازات'!$D$5:$D$104&lt;=MN$3)*(('حجز الإجازات'!$E$5:$E$104)&gt;=MN$3)*('حجز الإجازات'!$G$5:$G$104="معتمد")*ROW('حجز الإجازات'!$B$5:$B$104))=0,"",INDEX('حجز الإجازات'!$C$5:$C$104,(SUMPRODUCT(('حجز الإجازات'!$B$5:$B$104='الموظفون'!$B$7)*('حجز الإجازات'!$D$5:$D$104&lt;=MN$3)*(('حجز الإجازات'!$E$5:$E$104)&gt;=MN$3)*('حجز الإجازات'!$G$5:$G$104="معتمد")*ROW('حجز الإجازات'!$B$5:$B$104)))-5+1))</f>
        <v/>
      </c>
      <c r="MO9" s="62">
        <f>IF(SUMPRODUCT(('حجز الإجازات'!$B$5:$B$104='الموظفون'!$B$7)*('حجز الإجازات'!$D$5:$D$104&lt;=MO$3)*(('حجز الإجازات'!$E$5:$E$104)&gt;=MO$3)*('حجز الإجازات'!$G$5:$G$104="معتمد")*ROW('حجز الإجازات'!$B$5:$B$104))=0,"",INDEX('حجز الإجازات'!$C$5:$C$104,(SUMPRODUCT(('حجز الإجازات'!$B$5:$B$104='الموظفون'!$B$7)*('حجز الإجازات'!$D$5:$D$104&lt;=MO$3)*(('حجز الإجازات'!$E$5:$E$104)&gt;=MO$3)*('حجز الإجازات'!$G$5:$G$104="معتمد")*ROW('حجز الإجازات'!$B$5:$B$104)))-5+1))</f>
        <v/>
      </c>
      <c r="MP9" s="62">
        <f>IF(SUMPRODUCT(('حجز الإجازات'!$B$5:$B$104='الموظفون'!$B$7)*('حجز الإجازات'!$D$5:$D$104&lt;=MP$3)*(('حجز الإجازات'!$E$5:$E$104)&gt;=MP$3)*('حجز الإجازات'!$G$5:$G$104="معتمد")*ROW('حجز الإجازات'!$B$5:$B$104))=0,"",INDEX('حجز الإجازات'!$C$5:$C$104,(SUMPRODUCT(('حجز الإجازات'!$B$5:$B$104='الموظفون'!$B$7)*('حجز الإجازات'!$D$5:$D$104&lt;=MP$3)*(('حجز الإجازات'!$E$5:$E$104)&gt;=MP$3)*('حجز الإجازات'!$G$5:$G$104="معتمد")*ROW('حجز الإجازات'!$B$5:$B$104)))-5+1))</f>
        <v/>
      </c>
      <c r="MQ9" s="62">
        <f>IF(SUMPRODUCT(('حجز الإجازات'!$B$5:$B$104='الموظفون'!$B$7)*('حجز الإجازات'!$D$5:$D$104&lt;=MQ$3)*(('حجز الإجازات'!$E$5:$E$104)&gt;=MQ$3)*('حجز الإجازات'!$G$5:$G$104="معتمد")*ROW('حجز الإجازات'!$B$5:$B$104))=0,"",INDEX('حجز الإجازات'!$C$5:$C$104,(SUMPRODUCT(('حجز الإجازات'!$B$5:$B$104='الموظفون'!$B$7)*('حجز الإجازات'!$D$5:$D$104&lt;=MQ$3)*(('حجز الإجازات'!$E$5:$E$104)&gt;=MQ$3)*('حجز الإجازات'!$G$5:$G$104="معتمد")*ROW('حجز الإجازات'!$B$5:$B$104)))-5+1))</f>
        <v/>
      </c>
      <c r="MR9" s="62">
        <f>IF(SUMPRODUCT(('حجز الإجازات'!$B$5:$B$104='الموظفون'!$B$7)*('حجز الإجازات'!$D$5:$D$104&lt;=MR$3)*(('حجز الإجازات'!$E$5:$E$104)&gt;=MR$3)*('حجز الإجازات'!$G$5:$G$104="معتمد")*ROW('حجز الإجازات'!$B$5:$B$104))=0,"",INDEX('حجز الإجازات'!$C$5:$C$104,(SUMPRODUCT(('حجز الإجازات'!$B$5:$B$104='الموظفون'!$B$7)*('حجز الإجازات'!$D$5:$D$104&lt;=MR$3)*(('حجز الإجازات'!$E$5:$E$104)&gt;=MR$3)*('حجز الإجازات'!$G$5:$G$104="معتمد")*ROW('حجز الإجازات'!$B$5:$B$104)))-5+1))</f>
        <v/>
      </c>
      <c r="MS9" s="62">
        <f>IF(SUMPRODUCT(('حجز الإجازات'!$B$5:$B$104='الموظفون'!$B$7)*('حجز الإجازات'!$D$5:$D$104&lt;=MS$3)*(('حجز الإجازات'!$E$5:$E$104)&gt;=MS$3)*('حجز الإجازات'!$G$5:$G$104="معتمد")*ROW('حجز الإجازات'!$B$5:$B$104))=0,"",INDEX('حجز الإجازات'!$C$5:$C$104,(SUMPRODUCT(('حجز الإجازات'!$B$5:$B$104='الموظفون'!$B$7)*('حجز الإجازات'!$D$5:$D$104&lt;=MS$3)*(('حجز الإجازات'!$E$5:$E$104)&gt;=MS$3)*('حجز الإجازات'!$G$5:$G$104="معتمد")*ROW('حجز الإجازات'!$B$5:$B$104)))-5+1))</f>
        <v/>
      </c>
      <c r="MT9" s="62">
        <f>IF(SUMPRODUCT(('حجز الإجازات'!$B$5:$B$104='الموظفون'!$B$7)*('حجز الإجازات'!$D$5:$D$104&lt;=MT$3)*(('حجز الإجازات'!$E$5:$E$104)&gt;=MT$3)*('حجز الإجازات'!$G$5:$G$104="معتمد")*ROW('حجز الإجازات'!$B$5:$B$104))=0,"",INDEX('حجز الإجازات'!$C$5:$C$104,(SUMPRODUCT(('حجز الإجازات'!$B$5:$B$104='الموظفون'!$B$7)*('حجز الإجازات'!$D$5:$D$104&lt;=MT$3)*(('حجز الإجازات'!$E$5:$E$104)&gt;=MT$3)*('حجز الإجازات'!$G$5:$G$104="معتمد")*ROW('حجز الإجازات'!$B$5:$B$104)))-5+1))</f>
        <v/>
      </c>
      <c r="MU9" s="62">
        <f>IF(SUMPRODUCT(('حجز الإجازات'!$B$5:$B$104='الموظفون'!$B$7)*('حجز الإجازات'!$D$5:$D$104&lt;=MU$3)*(('حجز الإجازات'!$E$5:$E$104)&gt;=MU$3)*('حجز الإجازات'!$G$5:$G$104="معتمد")*ROW('حجز الإجازات'!$B$5:$B$104))=0,"",INDEX('حجز الإجازات'!$C$5:$C$104,(SUMPRODUCT(('حجز الإجازات'!$B$5:$B$104='الموظفون'!$B$7)*('حجز الإجازات'!$D$5:$D$104&lt;=MU$3)*(('حجز الإجازات'!$E$5:$E$104)&gt;=MU$3)*('حجز الإجازات'!$G$5:$G$104="معتمد")*ROW('حجز الإجازات'!$B$5:$B$104)))-5+1))</f>
        <v/>
      </c>
      <c r="MV9" s="62">
        <f>IF(SUMPRODUCT(('حجز الإجازات'!$B$5:$B$104='الموظفون'!$B$7)*('حجز الإجازات'!$D$5:$D$104&lt;=MV$3)*(('حجز الإجازات'!$E$5:$E$104)&gt;=MV$3)*('حجز الإجازات'!$G$5:$G$104="معتمد")*ROW('حجز الإجازات'!$B$5:$B$104))=0,"",INDEX('حجز الإجازات'!$C$5:$C$104,(SUMPRODUCT(('حجز الإجازات'!$B$5:$B$104='الموظفون'!$B$7)*('حجز الإجازات'!$D$5:$D$104&lt;=MV$3)*(('حجز الإجازات'!$E$5:$E$104)&gt;=MV$3)*('حجز الإجازات'!$G$5:$G$104="معتمد")*ROW('حجز الإجازات'!$B$5:$B$104)))-5+1))</f>
        <v/>
      </c>
      <c r="MW9" s="62">
        <f>IF(SUMPRODUCT(('حجز الإجازات'!$B$5:$B$104='الموظفون'!$B$7)*('حجز الإجازات'!$D$5:$D$104&lt;=MW$3)*(('حجز الإجازات'!$E$5:$E$104)&gt;=MW$3)*('حجز الإجازات'!$G$5:$G$104="معتمد")*ROW('حجز الإجازات'!$B$5:$B$104))=0,"",INDEX('حجز الإجازات'!$C$5:$C$104,(SUMPRODUCT(('حجز الإجازات'!$B$5:$B$104='الموظفون'!$B$7)*('حجز الإجازات'!$D$5:$D$104&lt;=MW$3)*(('حجز الإجازات'!$E$5:$E$104)&gt;=MW$3)*('حجز الإجازات'!$G$5:$G$104="معتمد")*ROW('حجز الإجازات'!$B$5:$B$104)))-5+1))</f>
        <v/>
      </c>
      <c r="MX9" s="62">
        <f>IF(SUMPRODUCT(('حجز الإجازات'!$B$5:$B$104='الموظفون'!$B$7)*('حجز الإجازات'!$D$5:$D$104&lt;=MX$3)*(('حجز الإجازات'!$E$5:$E$104)&gt;=MX$3)*('حجز الإجازات'!$G$5:$G$104="معتمد")*ROW('حجز الإجازات'!$B$5:$B$104))=0,"",INDEX('حجز الإجازات'!$C$5:$C$104,(SUMPRODUCT(('حجز الإجازات'!$B$5:$B$104='الموظفون'!$B$7)*('حجز الإجازات'!$D$5:$D$104&lt;=MX$3)*(('حجز الإجازات'!$E$5:$E$104)&gt;=MX$3)*('حجز الإجازات'!$G$5:$G$104="معتمد")*ROW('حجز الإجازات'!$B$5:$B$104)))-5+1))</f>
        <v/>
      </c>
      <c r="MY9" s="62">
        <f>IF(SUMPRODUCT(('حجز الإجازات'!$B$5:$B$104='الموظفون'!$B$7)*('حجز الإجازات'!$D$5:$D$104&lt;=MY$3)*(('حجز الإجازات'!$E$5:$E$104)&gt;=MY$3)*('حجز الإجازات'!$G$5:$G$104="معتمد")*ROW('حجز الإجازات'!$B$5:$B$104))=0,"",INDEX('حجز الإجازات'!$C$5:$C$104,(SUMPRODUCT(('حجز الإجازات'!$B$5:$B$104='الموظفون'!$B$7)*('حجز الإجازات'!$D$5:$D$104&lt;=MY$3)*(('حجز الإجازات'!$E$5:$E$104)&gt;=MY$3)*('حجز الإجازات'!$G$5:$G$104="معتمد")*ROW('حجز الإجازات'!$B$5:$B$104)))-5+1))</f>
        <v/>
      </c>
      <c r="MZ9" s="62">
        <f>IF(SUMPRODUCT(('حجز الإجازات'!$B$5:$B$104='الموظفون'!$B$7)*('حجز الإجازات'!$D$5:$D$104&lt;=MZ$3)*(('حجز الإجازات'!$E$5:$E$104)&gt;=MZ$3)*('حجز الإجازات'!$G$5:$G$104="معتمد")*ROW('حجز الإجازات'!$B$5:$B$104))=0,"",INDEX('حجز الإجازات'!$C$5:$C$104,(SUMPRODUCT(('حجز الإجازات'!$B$5:$B$104='الموظفون'!$B$7)*('حجز الإجازات'!$D$5:$D$104&lt;=MZ$3)*(('حجز الإجازات'!$E$5:$E$104)&gt;=MZ$3)*('حجز الإجازات'!$G$5:$G$104="معتمد")*ROW('حجز الإجازات'!$B$5:$B$104)))-5+1))</f>
        <v/>
      </c>
      <c r="NA9" s="62">
        <f>IF(SUMPRODUCT(('حجز الإجازات'!$B$5:$B$104='الموظفون'!$B$7)*('حجز الإجازات'!$D$5:$D$104&lt;=NA$3)*(('حجز الإجازات'!$E$5:$E$104)&gt;=NA$3)*('حجز الإجازات'!$G$5:$G$104="معتمد")*ROW('حجز الإجازات'!$B$5:$B$104))=0,"",INDEX('حجز الإجازات'!$C$5:$C$104,(SUMPRODUCT(('حجز الإجازات'!$B$5:$B$104='الموظفون'!$B$7)*('حجز الإجازات'!$D$5:$D$104&lt;=NA$3)*(('حجز الإجازات'!$E$5:$E$104)&gt;=NA$3)*('حجز الإجازات'!$G$5:$G$104="معتمد")*ROW('حجز الإجازات'!$B$5:$B$104)))-5+1))</f>
        <v/>
      </c>
      <c r="NB9" s="62">
        <f>IF(SUMPRODUCT(('حجز الإجازات'!$B$5:$B$104='الموظفون'!$B$7)*('حجز الإجازات'!$D$5:$D$104&lt;=NB$3)*(('حجز الإجازات'!$E$5:$E$104)&gt;=NB$3)*('حجز الإجازات'!$G$5:$G$104="معتمد")*ROW('حجز الإجازات'!$B$5:$B$104))=0,"",INDEX('حجز الإجازات'!$C$5:$C$104,(SUMPRODUCT(('حجز الإجازات'!$B$5:$B$104='الموظفون'!$B$7)*('حجز الإجازات'!$D$5:$D$104&lt;=NB$3)*(('حجز الإجازات'!$E$5:$E$104)&gt;=NB$3)*('حجز الإجازات'!$G$5:$G$104="معتمد")*ROW('حجز الإجازات'!$B$5:$B$104)))-5+1))</f>
        <v/>
      </c>
      <c r="NC9" s="62">
        <f>IF(SUMPRODUCT(('حجز الإجازات'!$B$5:$B$104='الموظفون'!$B$7)*('حجز الإجازات'!$D$5:$D$104&lt;=NC$3)*(('حجز الإجازات'!$E$5:$E$104)&gt;=NC$3)*('حجز الإجازات'!$G$5:$G$104="معتمد")*ROW('حجز الإجازات'!$B$5:$B$104))=0,"",INDEX('حجز الإجازات'!$C$5:$C$104,(SUMPRODUCT(('حجز الإجازات'!$B$5:$B$104='الموظفون'!$B$7)*('حجز الإجازات'!$D$5:$D$104&lt;=NC$3)*(('حجز الإجازات'!$E$5:$E$104)&gt;=NC$3)*('حجز الإجازات'!$G$5:$G$104="معتمد")*ROW('حجز الإجازات'!$B$5:$B$104)))-5+1))</f>
        <v/>
      </c>
      <c r="ND9" s="62">
        <f>IF(SUMPRODUCT(('حجز الإجازات'!$B$5:$B$104='الموظفون'!$B$7)*('حجز الإجازات'!$D$5:$D$104&lt;=ND$3)*(('حجز الإجازات'!$E$5:$E$104)&gt;=ND$3)*('حجز الإجازات'!$G$5:$G$104="معتمد")*ROW('حجز الإجازات'!$B$5:$B$104))=0,"",INDEX('حجز الإجازات'!$C$5:$C$104,(SUMPRODUCT(('حجز الإجازات'!$B$5:$B$104='الموظفون'!$B$7)*('حجز الإجازات'!$D$5:$D$104&lt;=ND$3)*(('حجز الإجازات'!$E$5:$E$104)&gt;=ND$3)*('حجز الإجازات'!$G$5:$G$104="معتمد")*ROW('حجز الإجازات'!$B$5:$B$104)))-5+1))</f>
        <v/>
      </c>
      <c r="NE9" s="74">
        <f>SUMPRODUCT(--(D9:ND9&lt;&gt;""))</f>
        <v/>
      </c>
    </row>
    <row r="10">
      <c r="A10" s="16" t="n">
        <v>7</v>
      </c>
      <c r="B10" s="22">
        <f>'الموظفون'!B8</f>
        <v/>
      </c>
      <c r="C10" s="16">
        <f>'الموظفون'!C8</f>
        <v/>
      </c>
      <c r="D10" s="62">
        <f>IF(SUMPRODUCT(('حجز الإجازات'!$B$5:$B$104='الموظفون'!$B$8)*('حجز الإجازات'!$D$5:$D$104&lt;=D$3)*(('حجز الإجازات'!$E$5:$E$104)&gt;=D$3)*('حجز الإجازات'!$G$5:$G$104="معتمد")*ROW('حجز الإجازات'!$B$5:$B$104))=0,"",INDEX('حجز الإجازات'!$C$5:$C$104,(SUMPRODUCT(('حجز الإجازات'!$B$5:$B$104='الموظفون'!$B$8)*('حجز الإجازات'!$D$5:$D$104&lt;=D$3)*(('حجز الإجازات'!$E$5:$E$104)&gt;=D$3)*('حجز الإجازات'!$G$5:$G$104="معتمد")*ROW('حجز الإجازات'!$B$5:$B$104)))-5+1))</f>
        <v/>
      </c>
      <c r="E10" s="62">
        <f>IF(SUMPRODUCT(('حجز الإجازات'!$B$5:$B$104='الموظفون'!$B$8)*('حجز الإجازات'!$D$5:$D$104&lt;=E$3)*(('حجز الإجازات'!$E$5:$E$104)&gt;=E$3)*('حجز الإجازات'!$G$5:$G$104="معتمد")*ROW('حجز الإجازات'!$B$5:$B$104))=0,"",INDEX('حجز الإجازات'!$C$5:$C$104,(SUMPRODUCT(('حجز الإجازات'!$B$5:$B$104='الموظفون'!$B$8)*('حجز الإجازات'!$D$5:$D$104&lt;=E$3)*(('حجز الإجازات'!$E$5:$E$104)&gt;=E$3)*('حجز الإجازات'!$G$5:$G$104="معتمد")*ROW('حجز الإجازات'!$B$5:$B$104)))-5+1))</f>
        <v/>
      </c>
      <c r="F10" s="62">
        <f>IF(SUMPRODUCT(('حجز الإجازات'!$B$5:$B$104='الموظفون'!$B$8)*('حجز الإجازات'!$D$5:$D$104&lt;=F$3)*(('حجز الإجازات'!$E$5:$E$104)&gt;=F$3)*('حجز الإجازات'!$G$5:$G$104="معتمد")*ROW('حجز الإجازات'!$B$5:$B$104))=0,"",INDEX('حجز الإجازات'!$C$5:$C$104,(SUMPRODUCT(('حجز الإجازات'!$B$5:$B$104='الموظفون'!$B$8)*('حجز الإجازات'!$D$5:$D$104&lt;=F$3)*(('حجز الإجازات'!$E$5:$E$104)&gt;=F$3)*('حجز الإجازات'!$G$5:$G$104="معتمد")*ROW('حجز الإجازات'!$B$5:$B$104)))-5+1))</f>
        <v/>
      </c>
      <c r="G10" s="62">
        <f>IF(SUMPRODUCT(('حجز الإجازات'!$B$5:$B$104='الموظفون'!$B$8)*('حجز الإجازات'!$D$5:$D$104&lt;=G$3)*(('حجز الإجازات'!$E$5:$E$104)&gt;=G$3)*('حجز الإجازات'!$G$5:$G$104="معتمد")*ROW('حجز الإجازات'!$B$5:$B$104))=0,"",INDEX('حجز الإجازات'!$C$5:$C$104,(SUMPRODUCT(('حجز الإجازات'!$B$5:$B$104='الموظفون'!$B$8)*('حجز الإجازات'!$D$5:$D$104&lt;=G$3)*(('حجز الإجازات'!$E$5:$E$104)&gt;=G$3)*('حجز الإجازات'!$G$5:$G$104="معتمد")*ROW('حجز الإجازات'!$B$5:$B$104)))-5+1))</f>
        <v/>
      </c>
      <c r="H10" s="62">
        <f>IF(SUMPRODUCT(('حجز الإجازات'!$B$5:$B$104='الموظفون'!$B$8)*('حجز الإجازات'!$D$5:$D$104&lt;=H$3)*(('حجز الإجازات'!$E$5:$E$104)&gt;=H$3)*('حجز الإجازات'!$G$5:$G$104="معتمد")*ROW('حجز الإجازات'!$B$5:$B$104))=0,"",INDEX('حجز الإجازات'!$C$5:$C$104,(SUMPRODUCT(('حجز الإجازات'!$B$5:$B$104='الموظفون'!$B$8)*('حجز الإجازات'!$D$5:$D$104&lt;=H$3)*(('حجز الإجازات'!$E$5:$E$104)&gt;=H$3)*('حجز الإجازات'!$G$5:$G$104="معتمد")*ROW('حجز الإجازات'!$B$5:$B$104)))-5+1))</f>
        <v/>
      </c>
      <c r="I10" s="62">
        <f>IF(SUMPRODUCT(('حجز الإجازات'!$B$5:$B$104='الموظفون'!$B$8)*('حجز الإجازات'!$D$5:$D$104&lt;=I$3)*(('حجز الإجازات'!$E$5:$E$104)&gt;=I$3)*('حجز الإجازات'!$G$5:$G$104="معتمد")*ROW('حجز الإجازات'!$B$5:$B$104))=0,"",INDEX('حجز الإجازات'!$C$5:$C$104,(SUMPRODUCT(('حجز الإجازات'!$B$5:$B$104='الموظفون'!$B$8)*('حجز الإجازات'!$D$5:$D$104&lt;=I$3)*(('حجز الإجازات'!$E$5:$E$104)&gt;=I$3)*('حجز الإجازات'!$G$5:$G$104="معتمد")*ROW('حجز الإجازات'!$B$5:$B$104)))-5+1))</f>
        <v/>
      </c>
      <c r="J10" s="62">
        <f>IF(SUMPRODUCT(('حجز الإجازات'!$B$5:$B$104='الموظفون'!$B$8)*('حجز الإجازات'!$D$5:$D$104&lt;=J$3)*(('حجز الإجازات'!$E$5:$E$104)&gt;=J$3)*('حجز الإجازات'!$G$5:$G$104="معتمد")*ROW('حجز الإجازات'!$B$5:$B$104))=0,"",INDEX('حجز الإجازات'!$C$5:$C$104,(SUMPRODUCT(('حجز الإجازات'!$B$5:$B$104='الموظفون'!$B$8)*('حجز الإجازات'!$D$5:$D$104&lt;=J$3)*(('حجز الإجازات'!$E$5:$E$104)&gt;=J$3)*('حجز الإجازات'!$G$5:$G$104="معتمد")*ROW('حجز الإجازات'!$B$5:$B$104)))-5+1))</f>
        <v/>
      </c>
      <c r="K10" s="62">
        <f>IF(SUMPRODUCT(('حجز الإجازات'!$B$5:$B$104='الموظفون'!$B$8)*('حجز الإجازات'!$D$5:$D$104&lt;=K$3)*(('حجز الإجازات'!$E$5:$E$104)&gt;=K$3)*('حجز الإجازات'!$G$5:$G$104="معتمد")*ROW('حجز الإجازات'!$B$5:$B$104))=0,"",INDEX('حجز الإجازات'!$C$5:$C$104,(SUMPRODUCT(('حجز الإجازات'!$B$5:$B$104='الموظفون'!$B$8)*('حجز الإجازات'!$D$5:$D$104&lt;=K$3)*(('حجز الإجازات'!$E$5:$E$104)&gt;=K$3)*('حجز الإجازات'!$G$5:$G$104="معتمد")*ROW('حجز الإجازات'!$B$5:$B$104)))-5+1))</f>
        <v/>
      </c>
      <c r="L10" s="62">
        <f>IF(SUMPRODUCT(('حجز الإجازات'!$B$5:$B$104='الموظفون'!$B$8)*('حجز الإجازات'!$D$5:$D$104&lt;=L$3)*(('حجز الإجازات'!$E$5:$E$104)&gt;=L$3)*('حجز الإجازات'!$G$5:$G$104="معتمد")*ROW('حجز الإجازات'!$B$5:$B$104))=0,"",INDEX('حجز الإجازات'!$C$5:$C$104,(SUMPRODUCT(('حجز الإجازات'!$B$5:$B$104='الموظفون'!$B$8)*('حجز الإجازات'!$D$5:$D$104&lt;=L$3)*(('حجز الإجازات'!$E$5:$E$104)&gt;=L$3)*('حجز الإجازات'!$G$5:$G$104="معتمد")*ROW('حجز الإجازات'!$B$5:$B$104)))-5+1))</f>
        <v/>
      </c>
      <c r="M10" s="62">
        <f>IF(SUMPRODUCT(('حجز الإجازات'!$B$5:$B$104='الموظفون'!$B$8)*('حجز الإجازات'!$D$5:$D$104&lt;=M$3)*(('حجز الإجازات'!$E$5:$E$104)&gt;=M$3)*('حجز الإجازات'!$G$5:$G$104="معتمد")*ROW('حجز الإجازات'!$B$5:$B$104))=0,"",INDEX('حجز الإجازات'!$C$5:$C$104,(SUMPRODUCT(('حجز الإجازات'!$B$5:$B$104='الموظفون'!$B$8)*('حجز الإجازات'!$D$5:$D$104&lt;=M$3)*(('حجز الإجازات'!$E$5:$E$104)&gt;=M$3)*('حجز الإجازات'!$G$5:$G$104="معتمد")*ROW('حجز الإجازات'!$B$5:$B$104)))-5+1))</f>
        <v/>
      </c>
      <c r="N10" s="62">
        <f>IF(SUMPRODUCT(('حجز الإجازات'!$B$5:$B$104='الموظفون'!$B$8)*('حجز الإجازات'!$D$5:$D$104&lt;=N$3)*(('حجز الإجازات'!$E$5:$E$104)&gt;=N$3)*('حجز الإجازات'!$G$5:$G$104="معتمد")*ROW('حجز الإجازات'!$B$5:$B$104))=0,"",INDEX('حجز الإجازات'!$C$5:$C$104,(SUMPRODUCT(('حجز الإجازات'!$B$5:$B$104='الموظفون'!$B$8)*('حجز الإجازات'!$D$5:$D$104&lt;=N$3)*(('حجز الإجازات'!$E$5:$E$104)&gt;=N$3)*('حجز الإجازات'!$G$5:$G$104="معتمد")*ROW('حجز الإجازات'!$B$5:$B$104)))-5+1))</f>
        <v/>
      </c>
      <c r="O10" s="62">
        <f>IF(SUMPRODUCT(('حجز الإجازات'!$B$5:$B$104='الموظفون'!$B$8)*('حجز الإجازات'!$D$5:$D$104&lt;=O$3)*(('حجز الإجازات'!$E$5:$E$104)&gt;=O$3)*('حجز الإجازات'!$G$5:$G$104="معتمد")*ROW('حجز الإجازات'!$B$5:$B$104))=0,"",INDEX('حجز الإجازات'!$C$5:$C$104,(SUMPRODUCT(('حجز الإجازات'!$B$5:$B$104='الموظفون'!$B$8)*('حجز الإجازات'!$D$5:$D$104&lt;=O$3)*(('حجز الإجازات'!$E$5:$E$104)&gt;=O$3)*('حجز الإجازات'!$G$5:$G$104="معتمد")*ROW('حجز الإجازات'!$B$5:$B$104)))-5+1))</f>
        <v/>
      </c>
      <c r="P10" s="62">
        <f>IF(SUMPRODUCT(('حجز الإجازات'!$B$5:$B$104='الموظفون'!$B$8)*('حجز الإجازات'!$D$5:$D$104&lt;=P$3)*(('حجز الإجازات'!$E$5:$E$104)&gt;=P$3)*('حجز الإجازات'!$G$5:$G$104="معتمد")*ROW('حجز الإجازات'!$B$5:$B$104))=0,"",INDEX('حجز الإجازات'!$C$5:$C$104,(SUMPRODUCT(('حجز الإجازات'!$B$5:$B$104='الموظفون'!$B$8)*('حجز الإجازات'!$D$5:$D$104&lt;=P$3)*(('حجز الإجازات'!$E$5:$E$104)&gt;=P$3)*('حجز الإجازات'!$G$5:$G$104="معتمد")*ROW('حجز الإجازات'!$B$5:$B$104)))-5+1))</f>
        <v/>
      </c>
      <c r="Q10" s="62">
        <f>IF(SUMPRODUCT(('حجز الإجازات'!$B$5:$B$104='الموظفون'!$B$8)*('حجز الإجازات'!$D$5:$D$104&lt;=Q$3)*(('حجز الإجازات'!$E$5:$E$104)&gt;=Q$3)*('حجز الإجازات'!$G$5:$G$104="معتمد")*ROW('حجز الإجازات'!$B$5:$B$104))=0,"",INDEX('حجز الإجازات'!$C$5:$C$104,(SUMPRODUCT(('حجز الإجازات'!$B$5:$B$104='الموظفون'!$B$8)*('حجز الإجازات'!$D$5:$D$104&lt;=Q$3)*(('حجز الإجازات'!$E$5:$E$104)&gt;=Q$3)*('حجز الإجازات'!$G$5:$G$104="معتمد")*ROW('حجز الإجازات'!$B$5:$B$104)))-5+1))</f>
        <v/>
      </c>
      <c r="R10" s="62">
        <f>IF(SUMPRODUCT(('حجز الإجازات'!$B$5:$B$104='الموظفون'!$B$8)*('حجز الإجازات'!$D$5:$D$104&lt;=R$3)*(('حجز الإجازات'!$E$5:$E$104)&gt;=R$3)*('حجز الإجازات'!$G$5:$G$104="معتمد")*ROW('حجز الإجازات'!$B$5:$B$104))=0,"",INDEX('حجز الإجازات'!$C$5:$C$104,(SUMPRODUCT(('حجز الإجازات'!$B$5:$B$104='الموظفون'!$B$8)*('حجز الإجازات'!$D$5:$D$104&lt;=R$3)*(('حجز الإجازات'!$E$5:$E$104)&gt;=R$3)*('حجز الإجازات'!$G$5:$G$104="معتمد")*ROW('حجز الإجازات'!$B$5:$B$104)))-5+1))</f>
        <v/>
      </c>
      <c r="S10" s="62">
        <f>IF(SUMPRODUCT(('حجز الإجازات'!$B$5:$B$104='الموظفون'!$B$8)*('حجز الإجازات'!$D$5:$D$104&lt;=S$3)*(('حجز الإجازات'!$E$5:$E$104)&gt;=S$3)*('حجز الإجازات'!$G$5:$G$104="معتمد")*ROW('حجز الإجازات'!$B$5:$B$104))=0,"",INDEX('حجز الإجازات'!$C$5:$C$104,(SUMPRODUCT(('حجز الإجازات'!$B$5:$B$104='الموظفون'!$B$8)*('حجز الإجازات'!$D$5:$D$104&lt;=S$3)*(('حجز الإجازات'!$E$5:$E$104)&gt;=S$3)*('حجز الإجازات'!$G$5:$G$104="معتمد")*ROW('حجز الإجازات'!$B$5:$B$104)))-5+1))</f>
        <v/>
      </c>
      <c r="T10" s="62">
        <f>IF(SUMPRODUCT(('حجز الإجازات'!$B$5:$B$104='الموظفون'!$B$8)*('حجز الإجازات'!$D$5:$D$104&lt;=T$3)*(('حجز الإجازات'!$E$5:$E$104)&gt;=T$3)*('حجز الإجازات'!$G$5:$G$104="معتمد")*ROW('حجز الإجازات'!$B$5:$B$104))=0,"",INDEX('حجز الإجازات'!$C$5:$C$104,(SUMPRODUCT(('حجز الإجازات'!$B$5:$B$104='الموظفون'!$B$8)*('حجز الإجازات'!$D$5:$D$104&lt;=T$3)*(('حجز الإجازات'!$E$5:$E$104)&gt;=T$3)*('حجز الإجازات'!$G$5:$G$104="معتمد")*ROW('حجز الإجازات'!$B$5:$B$104)))-5+1))</f>
        <v/>
      </c>
      <c r="U10" s="62">
        <f>IF(SUMPRODUCT(('حجز الإجازات'!$B$5:$B$104='الموظفون'!$B$8)*('حجز الإجازات'!$D$5:$D$104&lt;=U$3)*(('حجز الإجازات'!$E$5:$E$104)&gt;=U$3)*('حجز الإجازات'!$G$5:$G$104="معتمد")*ROW('حجز الإجازات'!$B$5:$B$104))=0,"",INDEX('حجز الإجازات'!$C$5:$C$104,(SUMPRODUCT(('حجز الإجازات'!$B$5:$B$104='الموظفون'!$B$8)*('حجز الإجازات'!$D$5:$D$104&lt;=U$3)*(('حجز الإجازات'!$E$5:$E$104)&gt;=U$3)*('حجز الإجازات'!$G$5:$G$104="معتمد")*ROW('حجز الإجازات'!$B$5:$B$104)))-5+1))</f>
        <v/>
      </c>
      <c r="V10" s="62">
        <f>IF(SUMPRODUCT(('حجز الإجازات'!$B$5:$B$104='الموظفون'!$B$8)*('حجز الإجازات'!$D$5:$D$104&lt;=V$3)*(('حجز الإجازات'!$E$5:$E$104)&gt;=V$3)*('حجز الإجازات'!$G$5:$G$104="معتمد")*ROW('حجز الإجازات'!$B$5:$B$104))=0,"",INDEX('حجز الإجازات'!$C$5:$C$104,(SUMPRODUCT(('حجز الإجازات'!$B$5:$B$104='الموظفون'!$B$8)*('حجز الإجازات'!$D$5:$D$104&lt;=V$3)*(('حجز الإجازات'!$E$5:$E$104)&gt;=V$3)*('حجز الإجازات'!$G$5:$G$104="معتمد")*ROW('حجز الإجازات'!$B$5:$B$104)))-5+1))</f>
        <v/>
      </c>
      <c r="W10" s="62">
        <f>IF(SUMPRODUCT(('حجز الإجازات'!$B$5:$B$104='الموظفون'!$B$8)*('حجز الإجازات'!$D$5:$D$104&lt;=W$3)*(('حجز الإجازات'!$E$5:$E$104)&gt;=W$3)*('حجز الإجازات'!$G$5:$G$104="معتمد")*ROW('حجز الإجازات'!$B$5:$B$104))=0,"",INDEX('حجز الإجازات'!$C$5:$C$104,(SUMPRODUCT(('حجز الإجازات'!$B$5:$B$104='الموظفون'!$B$8)*('حجز الإجازات'!$D$5:$D$104&lt;=W$3)*(('حجز الإجازات'!$E$5:$E$104)&gt;=W$3)*('حجز الإجازات'!$G$5:$G$104="معتمد")*ROW('حجز الإجازات'!$B$5:$B$104)))-5+1))</f>
        <v/>
      </c>
      <c r="X10" s="62">
        <f>IF(SUMPRODUCT(('حجز الإجازات'!$B$5:$B$104='الموظفون'!$B$8)*('حجز الإجازات'!$D$5:$D$104&lt;=X$3)*(('حجز الإجازات'!$E$5:$E$104)&gt;=X$3)*('حجز الإجازات'!$G$5:$G$104="معتمد")*ROW('حجز الإجازات'!$B$5:$B$104))=0,"",INDEX('حجز الإجازات'!$C$5:$C$104,(SUMPRODUCT(('حجز الإجازات'!$B$5:$B$104='الموظفون'!$B$8)*('حجز الإجازات'!$D$5:$D$104&lt;=X$3)*(('حجز الإجازات'!$E$5:$E$104)&gt;=X$3)*('حجز الإجازات'!$G$5:$G$104="معتمد")*ROW('حجز الإجازات'!$B$5:$B$104)))-5+1))</f>
        <v/>
      </c>
      <c r="Y10" s="62">
        <f>IF(SUMPRODUCT(('حجز الإجازات'!$B$5:$B$104='الموظفون'!$B$8)*('حجز الإجازات'!$D$5:$D$104&lt;=Y$3)*(('حجز الإجازات'!$E$5:$E$104)&gt;=Y$3)*('حجز الإجازات'!$G$5:$G$104="معتمد")*ROW('حجز الإجازات'!$B$5:$B$104))=0,"",INDEX('حجز الإجازات'!$C$5:$C$104,(SUMPRODUCT(('حجز الإجازات'!$B$5:$B$104='الموظفون'!$B$8)*('حجز الإجازات'!$D$5:$D$104&lt;=Y$3)*(('حجز الإجازات'!$E$5:$E$104)&gt;=Y$3)*('حجز الإجازات'!$G$5:$G$104="معتمد")*ROW('حجز الإجازات'!$B$5:$B$104)))-5+1))</f>
        <v/>
      </c>
      <c r="Z10" s="62">
        <f>IF(SUMPRODUCT(('حجز الإجازات'!$B$5:$B$104='الموظفون'!$B$8)*('حجز الإجازات'!$D$5:$D$104&lt;=Z$3)*(('حجز الإجازات'!$E$5:$E$104)&gt;=Z$3)*('حجز الإجازات'!$G$5:$G$104="معتمد")*ROW('حجز الإجازات'!$B$5:$B$104))=0,"",INDEX('حجز الإجازات'!$C$5:$C$104,(SUMPRODUCT(('حجز الإجازات'!$B$5:$B$104='الموظفون'!$B$8)*('حجز الإجازات'!$D$5:$D$104&lt;=Z$3)*(('حجز الإجازات'!$E$5:$E$104)&gt;=Z$3)*('حجز الإجازات'!$G$5:$G$104="معتمد")*ROW('حجز الإجازات'!$B$5:$B$104)))-5+1))</f>
        <v/>
      </c>
      <c r="AA10" s="62">
        <f>IF(SUMPRODUCT(('حجز الإجازات'!$B$5:$B$104='الموظفون'!$B$8)*('حجز الإجازات'!$D$5:$D$104&lt;=AA$3)*(('حجز الإجازات'!$E$5:$E$104)&gt;=AA$3)*('حجز الإجازات'!$G$5:$G$104="معتمد")*ROW('حجز الإجازات'!$B$5:$B$104))=0,"",INDEX('حجز الإجازات'!$C$5:$C$104,(SUMPRODUCT(('حجز الإجازات'!$B$5:$B$104='الموظفون'!$B$8)*('حجز الإجازات'!$D$5:$D$104&lt;=AA$3)*(('حجز الإجازات'!$E$5:$E$104)&gt;=AA$3)*('حجز الإجازات'!$G$5:$G$104="معتمد")*ROW('حجز الإجازات'!$B$5:$B$104)))-5+1))</f>
        <v/>
      </c>
      <c r="AB10" s="62">
        <f>IF(SUMPRODUCT(('حجز الإجازات'!$B$5:$B$104='الموظفون'!$B$8)*('حجز الإجازات'!$D$5:$D$104&lt;=AB$3)*(('حجز الإجازات'!$E$5:$E$104)&gt;=AB$3)*('حجز الإجازات'!$G$5:$G$104="معتمد")*ROW('حجز الإجازات'!$B$5:$B$104))=0,"",INDEX('حجز الإجازات'!$C$5:$C$104,(SUMPRODUCT(('حجز الإجازات'!$B$5:$B$104='الموظفون'!$B$8)*('حجز الإجازات'!$D$5:$D$104&lt;=AB$3)*(('حجز الإجازات'!$E$5:$E$104)&gt;=AB$3)*('حجز الإجازات'!$G$5:$G$104="معتمد")*ROW('حجز الإجازات'!$B$5:$B$104)))-5+1))</f>
        <v/>
      </c>
      <c r="AC10" s="62">
        <f>IF(SUMPRODUCT(('حجز الإجازات'!$B$5:$B$104='الموظفون'!$B$8)*('حجز الإجازات'!$D$5:$D$104&lt;=AC$3)*(('حجز الإجازات'!$E$5:$E$104)&gt;=AC$3)*('حجز الإجازات'!$G$5:$G$104="معتمد")*ROW('حجز الإجازات'!$B$5:$B$104))=0,"",INDEX('حجز الإجازات'!$C$5:$C$104,(SUMPRODUCT(('حجز الإجازات'!$B$5:$B$104='الموظفون'!$B$8)*('حجز الإجازات'!$D$5:$D$104&lt;=AC$3)*(('حجز الإجازات'!$E$5:$E$104)&gt;=AC$3)*('حجز الإجازات'!$G$5:$G$104="معتمد")*ROW('حجز الإجازات'!$B$5:$B$104)))-5+1))</f>
        <v/>
      </c>
      <c r="AD10" s="62">
        <f>IF(SUMPRODUCT(('حجز الإجازات'!$B$5:$B$104='الموظفون'!$B$8)*('حجز الإجازات'!$D$5:$D$104&lt;=AD$3)*(('حجز الإجازات'!$E$5:$E$104)&gt;=AD$3)*('حجز الإجازات'!$G$5:$G$104="معتمد")*ROW('حجز الإجازات'!$B$5:$B$104))=0,"",INDEX('حجز الإجازات'!$C$5:$C$104,(SUMPRODUCT(('حجز الإجازات'!$B$5:$B$104='الموظفون'!$B$8)*('حجز الإجازات'!$D$5:$D$104&lt;=AD$3)*(('حجز الإجازات'!$E$5:$E$104)&gt;=AD$3)*('حجز الإجازات'!$G$5:$G$104="معتمد")*ROW('حجز الإجازات'!$B$5:$B$104)))-5+1))</f>
        <v/>
      </c>
      <c r="AE10" s="62">
        <f>IF(SUMPRODUCT(('حجز الإجازات'!$B$5:$B$104='الموظفون'!$B$8)*('حجز الإجازات'!$D$5:$D$104&lt;=AE$3)*(('حجز الإجازات'!$E$5:$E$104)&gt;=AE$3)*('حجز الإجازات'!$G$5:$G$104="معتمد")*ROW('حجز الإجازات'!$B$5:$B$104))=0,"",INDEX('حجز الإجازات'!$C$5:$C$104,(SUMPRODUCT(('حجز الإجازات'!$B$5:$B$104='الموظفون'!$B$8)*('حجز الإجازات'!$D$5:$D$104&lt;=AE$3)*(('حجز الإجازات'!$E$5:$E$104)&gt;=AE$3)*('حجز الإجازات'!$G$5:$G$104="معتمد")*ROW('حجز الإجازات'!$B$5:$B$104)))-5+1))</f>
        <v/>
      </c>
      <c r="AF10" s="62">
        <f>IF(SUMPRODUCT(('حجز الإجازات'!$B$5:$B$104='الموظفون'!$B$8)*('حجز الإجازات'!$D$5:$D$104&lt;=AF$3)*(('حجز الإجازات'!$E$5:$E$104)&gt;=AF$3)*('حجز الإجازات'!$G$5:$G$104="معتمد")*ROW('حجز الإجازات'!$B$5:$B$104))=0,"",INDEX('حجز الإجازات'!$C$5:$C$104,(SUMPRODUCT(('حجز الإجازات'!$B$5:$B$104='الموظفون'!$B$8)*('حجز الإجازات'!$D$5:$D$104&lt;=AF$3)*(('حجز الإجازات'!$E$5:$E$104)&gt;=AF$3)*('حجز الإجازات'!$G$5:$G$104="معتمد")*ROW('حجز الإجازات'!$B$5:$B$104)))-5+1))</f>
        <v/>
      </c>
      <c r="AG10" s="62">
        <f>IF(SUMPRODUCT(('حجز الإجازات'!$B$5:$B$104='الموظفون'!$B$8)*('حجز الإجازات'!$D$5:$D$104&lt;=AG$3)*(('حجز الإجازات'!$E$5:$E$104)&gt;=AG$3)*('حجز الإجازات'!$G$5:$G$104="معتمد")*ROW('حجز الإجازات'!$B$5:$B$104))=0,"",INDEX('حجز الإجازات'!$C$5:$C$104,(SUMPRODUCT(('حجز الإجازات'!$B$5:$B$104='الموظفون'!$B$8)*('حجز الإجازات'!$D$5:$D$104&lt;=AG$3)*(('حجز الإجازات'!$E$5:$E$104)&gt;=AG$3)*('حجز الإجازات'!$G$5:$G$104="معتمد")*ROW('حجز الإجازات'!$B$5:$B$104)))-5+1))</f>
        <v/>
      </c>
      <c r="AH10" s="62">
        <f>IF(SUMPRODUCT(('حجز الإجازات'!$B$5:$B$104='الموظفون'!$B$8)*('حجز الإجازات'!$D$5:$D$104&lt;=AH$3)*(('حجز الإجازات'!$E$5:$E$104)&gt;=AH$3)*('حجز الإجازات'!$G$5:$G$104="معتمد")*ROW('حجز الإجازات'!$B$5:$B$104))=0,"",INDEX('حجز الإجازات'!$C$5:$C$104,(SUMPRODUCT(('حجز الإجازات'!$B$5:$B$104='الموظفون'!$B$8)*('حجز الإجازات'!$D$5:$D$104&lt;=AH$3)*(('حجز الإجازات'!$E$5:$E$104)&gt;=AH$3)*('حجز الإجازات'!$G$5:$G$104="معتمد")*ROW('حجز الإجازات'!$B$5:$B$104)))-5+1))</f>
        <v/>
      </c>
      <c r="AI10" s="62">
        <f>IF(SUMPRODUCT(('حجز الإجازات'!$B$5:$B$104='الموظفون'!$B$8)*('حجز الإجازات'!$D$5:$D$104&lt;=AI$3)*(('حجز الإجازات'!$E$5:$E$104)&gt;=AI$3)*('حجز الإجازات'!$G$5:$G$104="معتمد")*ROW('حجز الإجازات'!$B$5:$B$104))=0,"",INDEX('حجز الإجازات'!$C$5:$C$104,(SUMPRODUCT(('حجز الإجازات'!$B$5:$B$104='الموظفون'!$B$8)*('حجز الإجازات'!$D$5:$D$104&lt;=AI$3)*(('حجز الإجازات'!$E$5:$E$104)&gt;=AI$3)*('حجز الإجازات'!$G$5:$G$104="معتمد")*ROW('حجز الإجازات'!$B$5:$B$104)))-5+1))</f>
        <v/>
      </c>
      <c r="AJ10" s="62">
        <f>IF(SUMPRODUCT(('حجز الإجازات'!$B$5:$B$104='الموظفون'!$B$8)*('حجز الإجازات'!$D$5:$D$104&lt;=AJ$3)*(('حجز الإجازات'!$E$5:$E$104)&gt;=AJ$3)*('حجز الإجازات'!$G$5:$G$104="معتمد")*ROW('حجز الإجازات'!$B$5:$B$104))=0,"",INDEX('حجز الإجازات'!$C$5:$C$104,(SUMPRODUCT(('حجز الإجازات'!$B$5:$B$104='الموظفون'!$B$8)*('حجز الإجازات'!$D$5:$D$104&lt;=AJ$3)*(('حجز الإجازات'!$E$5:$E$104)&gt;=AJ$3)*('حجز الإجازات'!$G$5:$G$104="معتمد")*ROW('حجز الإجازات'!$B$5:$B$104)))-5+1))</f>
        <v/>
      </c>
      <c r="AK10" s="62">
        <f>IF(SUMPRODUCT(('حجز الإجازات'!$B$5:$B$104='الموظفون'!$B$8)*('حجز الإجازات'!$D$5:$D$104&lt;=AK$3)*(('حجز الإجازات'!$E$5:$E$104)&gt;=AK$3)*('حجز الإجازات'!$G$5:$G$104="معتمد")*ROW('حجز الإجازات'!$B$5:$B$104))=0,"",INDEX('حجز الإجازات'!$C$5:$C$104,(SUMPRODUCT(('حجز الإجازات'!$B$5:$B$104='الموظفون'!$B$8)*('حجز الإجازات'!$D$5:$D$104&lt;=AK$3)*(('حجز الإجازات'!$E$5:$E$104)&gt;=AK$3)*('حجز الإجازات'!$G$5:$G$104="معتمد")*ROW('حجز الإجازات'!$B$5:$B$104)))-5+1))</f>
        <v/>
      </c>
      <c r="AL10" s="62">
        <f>IF(SUMPRODUCT(('حجز الإجازات'!$B$5:$B$104='الموظفون'!$B$8)*('حجز الإجازات'!$D$5:$D$104&lt;=AL$3)*(('حجز الإجازات'!$E$5:$E$104)&gt;=AL$3)*('حجز الإجازات'!$G$5:$G$104="معتمد")*ROW('حجز الإجازات'!$B$5:$B$104))=0,"",INDEX('حجز الإجازات'!$C$5:$C$104,(SUMPRODUCT(('حجز الإجازات'!$B$5:$B$104='الموظفون'!$B$8)*('حجز الإجازات'!$D$5:$D$104&lt;=AL$3)*(('حجز الإجازات'!$E$5:$E$104)&gt;=AL$3)*('حجز الإجازات'!$G$5:$G$104="معتمد")*ROW('حجز الإجازات'!$B$5:$B$104)))-5+1))</f>
        <v/>
      </c>
      <c r="AM10" s="62">
        <f>IF(SUMPRODUCT(('حجز الإجازات'!$B$5:$B$104='الموظفون'!$B$8)*('حجز الإجازات'!$D$5:$D$104&lt;=AM$3)*(('حجز الإجازات'!$E$5:$E$104)&gt;=AM$3)*('حجز الإجازات'!$G$5:$G$104="معتمد")*ROW('حجز الإجازات'!$B$5:$B$104))=0,"",INDEX('حجز الإجازات'!$C$5:$C$104,(SUMPRODUCT(('حجز الإجازات'!$B$5:$B$104='الموظفون'!$B$8)*('حجز الإجازات'!$D$5:$D$104&lt;=AM$3)*(('حجز الإجازات'!$E$5:$E$104)&gt;=AM$3)*('حجز الإجازات'!$G$5:$G$104="معتمد")*ROW('حجز الإجازات'!$B$5:$B$104)))-5+1))</f>
        <v/>
      </c>
      <c r="AN10" s="62">
        <f>IF(SUMPRODUCT(('حجز الإجازات'!$B$5:$B$104='الموظفون'!$B$8)*('حجز الإجازات'!$D$5:$D$104&lt;=AN$3)*(('حجز الإجازات'!$E$5:$E$104)&gt;=AN$3)*('حجز الإجازات'!$G$5:$G$104="معتمد")*ROW('حجز الإجازات'!$B$5:$B$104))=0,"",INDEX('حجز الإجازات'!$C$5:$C$104,(SUMPRODUCT(('حجز الإجازات'!$B$5:$B$104='الموظفون'!$B$8)*('حجز الإجازات'!$D$5:$D$104&lt;=AN$3)*(('حجز الإجازات'!$E$5:$E$104)&gt;=AN$3)*('حجز الإجازات'!$G$5:$G$104="معتمد")*ROW('حجز الإجازات'!$B$5:$B$104)))-5+1))</f>
        <v/>
      </c>
      <c r="AO10" s="62">
        <f>IF(SUMPRODUCT(('حجز الإجازات'!$B$5:$B$104='الموظفون'!$B$8)*('حجز الإجازات'!$D$5:$D$104&lt;=AO$3)*(('حجز الإجازات'!$E$5:$E$104)&gt;=AO$3)*('حجز الإجازات'!$G$5:$G$104="معتمد")*ROW('حجز الإجازات'!$B$5:$B$104))=0,"",INDEX('حجز الإجازات'!$C$5:$C$104,(SUMPRODUCT(('حجز الإجازات'!$B$5:$B$104='الموظفون'!$B$8)*('حجز الإجازات'!$D$5:$D$104&lt;=AO$3)*(('حجز الإجازات'!$E$5:$E$104)&gt;=AO$3)*('حجز الإجازات'!$G$5:$G$104="معتمد")*ROW('حجز الإجازات'!$B$5:$B$104)))-5+1))</f>
        <v/>
      </c>
      <c r="AP10" s="62">
        <f>IF(SUMPRODUCT(('حجز الإجازات'!$B$5:$B$104='الموظفون'!$B$8)*('حجز الإجازات'!$D$5:$D$104&lt;=AP$3)*(('حجز الإجازات'!$E$5:$E$104)&gt;=AP$3)*('حجز الإجازات'!$G$5:$G$104="معتمد")*ROW('حجز الإجازات'!$B$5:$B$104))=0,"",INDEX('حجز الإجازات'!$C$5:$C$104,(SUMPRODUCT(('حجز الإجازات'!$B$5:$B$104='الموظفون'!$B$8)*('حجز الإجازات'!$D$5:$D$104&lt;=AP$3)*(('حجز الإجازات'!$E$5:$E$104)&gt;=AP$3)*('حجز الإجازات'!$G$5:$G$104="معتمد")*ROW('حجز الإجازات'!$B$5:$B$104)))-5+1))</f>
        <v/>
      </c>
      <c r="AQ10" s="62">
        <f>IF(SUMPRODUCT(('حجز الإجازات'!$B$5:$B$104='الموظفون'!$B$8)*('حجز الإجازات'!$D$5:$D$104&lt;=AQ$3)*(('حجز الإجازات'!$E$5:$E$104)&gt;=AQ$3)*('حجز الإجازات'!$G$5:$G$104="معتمد")*ROW('حجز الإجازات'!$B$5:$B$104))=0,"",INDEX('حجز الإجازات'!$C$5:$C$104,(SUMPRODUCT(('حجز الإجازات'!$B$5:$B$104='الموظفون'!$B$8)*('حجز الإجازات'!$D$5:$D$104&lt;=AQ$3)*(('حجز الإجازات'!$E$5:$E$104)&gt;=AQ$3)*('حجز الإجازات'!$G$5:$G$104="معتمد")*ROW('حجز الإجازات'!$B$5:$B$104)))-5+1))</f>
        <v/>
      </c>
      <c r="AR10" s="62">
        <f>IF(SUMPRODUCT(('حجز الإجازات'!$B$5:$B$104='الموظفون'!$B$8)*('حجز الإجازات'!$D$5:$D$104&lt;=AR$3)*(('حجز الإجازات'!$E$5:$E$104)&gt;=AR$3)*('حجز الإجازات'!$G$5:$G$104="معتمد")*ROW('حجز الإجازات'!$B$5:$B$104))=0,"",INDEX('حجز الإجازات'!$C$5:$C$104,(SUMPRODUCT(('حجز الإجازات'!$B$5:$B$104='الموظفون'!$B$8)*('حجز الإجازات'!$D$5:$D$104&lt;=AR$3)*(('حجز الإجازات'!$E$5:$E$104)&gt;=AR$3)*('حجز الإجازات'!$G$5:$G$104="معتمد")*ROW('حجز الإجازات'!$B$5:$B$104)))-5+1))</f>
        <v/>
      </c>
      <c r="AS10" s="62">
        <f>IF(SUMPRODUCT(('حجز الإجازات'!$B$5:$B$104='الموظفون'!$B$8)*('حجز الإجازات'!$D$5:$D$104&lt;=AS$3)*(('حجز الإجازات'!$E$5:$E$104)&gt;=AS$3)*('حجز الإجازات'!$G$5:$G$104="معتمد")*ROW('حجز الإجازات'!$B$5:$B$104))=0,"",INDEX('حجز الإجازات'!$C$5:$C$104,(SUMPRODUCT(('حجز الإجازات'!$B$5:$B$104='الموظفون'!$B$8)*('حجز الإجازات'!$D$5:$D$104&lt;=AS$3)*(('حجز الإجازات'!$E$5:$E$104)&gt;=AS$3)*('حجز الإجازات'!$G$5:$G$104="معتمد")*ROW('حجز الإجازات'!$B$5:$B$104)))-5+1))</f>
        <v/>
      </c>
      <c r="AT10" s="62">
        <f>IF(SUMPRODUCT(('حجز الإجازات'!$B$5:$B$104='الموظفون'!$B$8)*('حجز الإجازات'!$D$5:$D$104&lt;=AT$3)*(('حجز الإجازات'!$E$5:$E$104)&gt;=AT$3)*('حجز الإجازات'!$G$5:$G$104="معتمد")*ROW('حجز الإجازات'!$B$5:$B$104))=0,"",INDEX('حجز الإجازات'!$C$5:$C$104,(SUMPRODUCT(('حجز الإجازات'!$B$5:$B$104='الموظفون'!$B$8)*('حجز الإجازات'!$D$5:$D$104&lt;=AT$3)*(('حجز الإجازات'!$E$5:$E$104)&gt;=AT$3)*('حجز الإجازات'!$G$5:$G$104="معتمد")*ROW('حجز الإجازات'!$B$5:$B$104)))-5+1))</f>
        <v/>
      </c>
      <c r="AU10" s="62">
        <f>IF(SUMPRODUCT(('حجز الإجازات'!$B$5:$B$104='الموظفون'!$B$8)*('حجز الإجازات'!$D$5:$D$104&lt;=AU$3)*(('حجز الإجازات'!$E$5:$E$104)&gt;=AU$3)*('حجز الإجازات'!$G$5:$G$104="معتمد")*ROW('حجز الإجازات'!$B$5:$B$104))=0,"",INDEX('حجز الإجازات'!$C$5:$C$104,(SUMPRODUCT(('حجز الإجازات'!$B$5:$B$104='الموظفون'!$B$8)*('حجز الإجازات'!$D$5:$D$104&lt;=AU$3)*(('حجز الإجازات'!$E$5:$E$104)&gt;=AU$3)*('حجز الإجازات'!$G$5:$G$104="معتمد")*ROW('حجز الإجازات'!$B$5:$B$104)))-5+1))</f>
        <v/>
      </c>
      <c r="AV10" s="62">
        <f>IF(SUMPRODUCT(('حجز الإجازات'!$B$5:$B$104='الموظفون'!$B$8)*('حجز الإجازات'!$D$5:$D$104&lt;=AV$3)*(('حجز الإجازات'!$E$5:$E$104)&gt;=AV$3)*('حجز الإجازات'!$G$5:$G$104="معتمد")*ROW('حجز الإجازات'!$B$5:$B$104))=0,"",INDEX('حجز الإجازات'!$C$5:$C$104,(SUMPRODUCT(('حجز الإجازات'!$B$5:$B$104='الموظفون'!$B$8)*('حجز الإجازات'!$D$5:$D$104&lt;=AV$3)*(('حجز الإجازات'!$E$5:$E$104)&gt;=AV$3)*('حجز الإجازات'!$G$5:$G$104="معتمد")*ROW('حجز الإجازات'!$B$5:$B$104)))-5+1))</f>
        <v/>
      </c>
      <c r="AW10" s="62">
        <f>IF(SUMPRODUCT(('حجز الإجازات'!$B$5:$B$104='الموظفون'!$B$8)*('حجز الإجازات'!$D$5:$D$104&lt;=AW$3)*(('حجز الإجازات'!$E$5:$E$104)&gt;=AW$3)*('حجز الإجازات'!$G$5:$G$104="معتمد")*ROW('حجز الإجازات'!$B$5:$B$104))=0,"",INDEX('حجز الإجازات'!$C$5:$C$104,(SUMPRODUCT(('حجز الإجازات'!$B$5:$B$104='الموظفون'!$B$8)*('حجز الإجازات'!$D$5:$D$104&lt;=AW$3)*(('حجز الإجازات'!$E$5:$E$104)&gt;=AW$3)*('حجز الإجازات'!$G$5:$G$104="معتمد")*ROW('حجز الإجازات'!$B$5:$B$104)))-5+1))</f>
        <v/>
      </c>
      <c r="AX10" s="62">
        <f>IF(SUMPRODUCT(('حجز الإجازات'!$B$5:$B$104='الموظفون'!$B$8)*('حجز الإجازات'!$D$5:$D$104&lt;=AX$3)*(('حجز الإجازات'!$E$5:$E$104)&gt;=AX$3)*('حجز الإجازات'!$G$5:$G$104="معتمد")*ROW('حجز الإجازات'!$B$5:$B$104))=0,"",INDEX('حجز الإجازات'!$C$5:$C$104,(SUMPRODUCT(('حجز الإجازات'!$B$5:$B$104='الموظفون'!$B$8)*('حجز الإجازات'!$D$5:$D$104&lt;=AX$3)*(('حجز الإجازات'!$E$5:$E$104)&gt;=AX$3)*('حجز الإجازات'!$G$5:$G$104="معتمد")*ROW('حجز الإجازات'!$B$5:$B$104)))-5+1))</f>
        <v/>
      </c>
      <c r="AY10" s="62">
        <f>IF(SUMPRODUCT(('حجز الإجازات'!$B$5:$B$104='الموظفون'!$B$8)*('حجز الإجازات'!$D$5:$D$104&lt;=AY$3)*(('حجز الإجازات'!$E$5:$E$104)&gt;=AY$3)*('حجز الإجازات'!$G$5:$G$104="معتمد")*ROW('حجز الإجازات'!$B$5:$B$104))=0,"",INDEX('حجز الإجازات'!$C$5:$C$104,(SUMPRODUCT(('حجز الإجازات'!$B$5:$B$104='الموظفون'!$B$8)*('حجز الإجازات'!$D$5:$D$104&lt;=AY$3)*(('حجز الإجازات'!$E$5:$E$104)&gt;=AY$3)*('حجز الإجازات'!$G$5:$G$104="معتمد")*ROW('حجز الإجازات'!$B$5:$B$104)))-5+1))</f>
        <v/>
      </c>
      <c r="AZ10" s="62">
        <f>IF(SUMPRODUCT(('حجز الإجازات'!$B$5:$B$104='الموظفون'!$B$8)*('حجز الإجازات'!$D$5:$D$104&lt;=AZ$3)*(('حجز الإجازات'!$E$5:$E$104)&gt;=AZ$3)*('حجز الإجازات'!$G$5:$G$104="معتمد")*ROW('حجز الإجازات'!$B$5:$B$104))=0,"",INDEX('حجز الإجازات'!$C$5:$C$104,(SUMPRODUCT(('حجز الإجازات'!$B$5:$B$104='الموظفون'!$B$8)*('حجز الإجازات'!$D$5:$D$104&lt;=AZ$3)*(('حجز الإجازات'!$E$5:$E$104)&gt;=AZ$3)*('حجز الإجازات'!$G$5:$G$104="معتمد")*ROW('حجز الإجازات'!$B$5:$B$104)))-5+1))</f>
        <v/>
      </c>
      <c r="BA10" s="62">
        <f>IF(SUMPRODUCT(('حجز الإجازات'!$B$5:$B$104='الموظفون'!$B$8)*('حجز الإجازات'!$D$5:$D$104&lt;=BA$3)*(('حجز الإجازات'!$E$5:$E$104)&gt;=BA$3)*('حجز الإجازات'!$G$5:$G$104="معتمد")*ROW('حجز الإجازات'!$B$5:$B$104))=0,"",INDEX('حجز الإجازات'!$C$5:$C$104,(SUMPRODUCT(('حجز الإجازات'!$B$5:$B$104='الموظفون'!$B$8)*('حجز الإجازات'!$D$5:$D$104&lt;=BA$3)*(('حجز الإجازات'!$E$5:$E$104)&gt;=BA$3)*('حجز الإجازات'!$G$5:$G$104="معتمد")*ROW('حجز الإجازات'!$B$5:$B$104)))-5+1))</f>
        <v/>
      </c>
      <c r="BB10" s="62">
        <f>IF(SUMPRODUCT(('حجز الإجازات'!$B$5:$B$104='الموظفون'!$B$8)*('حجز الإجازات'!$D$5:$D$104&lt;=BB$3)*(('حجز الإجازات'!$E$5:$E$104)&gt;=BB$3)*('حجز الإجازات'!$G$5:$G$104="معتمد")*ROW('حجز الإجازات'!$B$5:$B$104))=0,"",INDEX('حجز الإجازات'!$C$5:$C$104,(SUMPRODUCT(('حجز الإجازات'!$B$5:$B$104='الموظفون'!$B$8)*('حجز الإجازات'!$D$5:$D$104&lt;=BB$3)*(('حجز الإجازات'!$E$5:$E$104)&gt;=BB$3)*('حجز الإجازات'!$G$5:$G$104="معتمد")*ROW('حجز الإجازات'!$B$5:$B$104)))-5+1))</f>
        <v/>
      </c>
      <c r="BC10" s="62">
        <f>IF(SUMPRODUCT(('حجز الإجازات'!$B$5:$B$104='الموظفون'!$B$8)*('حجز الإجازات'!$D$5:$D$104&lt;=BC$3)*(('حجز الإجازات'!$E$5:$E$104)&gt;=BC$3)*('حجز الإجازات'!$G$5:$G$104="معتمد")*ROW('حجز الإجازات'!$B$5:$B$104))=0,"",INDEX('حجز الإجازات'!$C$5:$C$104,(SUMPRODUCT(('حجز الإجازات'!$B$5:$B$104='الموظفون'!$B$8)*('حجز الإجازات'!$D$5:$D$104&lt;=BC$3)*(('حجز الإجازات'!$E$5:$E$104)&gt;=BC$3)*('حجز الإجازات'!$G$5:$G$104="معتمد")*ROW('حجز الإجازات'!$B$5:$B$104)))-5+1))</f>
        <v/>
      </c>
      <c r="BD10" s="62">
        <f>IF(SUMPRODUCT(('حجز الإجازات'!$B$5:$B$104='الموظفون'!$B$8)*('حجز الإجازات'!$D$5:$D$104&lt;=BD$3)*(('حجز الإجازات'!$E$5:$E$104)&gt;=BD$3)*('حجز الإجازات'!$G$5:$G$104="معتمد")*ROW('حجز الإجازات'!$B$5:$B$104))=0,"",INDEX('حجز الإجازات'!$C$5:$C$104,(SUMPRODUCT(('حجز الإجازات'!$B$5:$B$104='الموظفون'!$B$8)*('حجز الإجازات'!$D$5:$D$104&lt;=BD$3)*(('حجز الإجازات'!$E$5:$E$104)&gt;=BD$3)*('حجز الإجازات'!$G$5:$G$104="معتمد")*ROW('حجز الإجازات'!$B$5:$B$104)))-5+1))</f>
        <v/>
      </c>
      <c r="BE10" s="62">
        <f>IF(SUMPRODUCT(('حجز الإجازات'!$B$5:$B$104='الموظفون'!$B$8)*('حجز الإجازات'!$D$5:$D$104&lt;=BE$3)*(('حجز الإجازات'!$E$5:$E$104)&gt;=BE$3)*('حجز الإجازات'!$G$5:$G$104="معتمد")*ROW('حجز الإجازات'!$B$5:$B$104))=0,"",INDEX('حجز الإجازات'!$C$5:$C$104,(SUMPRODUCT(('حجز الإجازات'!$B$5:$B$104='الموظفون'!$B$8)*('حجز الإجازات'!$D$5:$D$104&lt;=BE$3)*(('حجز الإجازات'!$E$5:$E$104)&gt;=BE$3)*('حجز الإجازات'!$G$5:$G$104="معتمد")*ROW('حجز الإجازات'!$B$5:$B$104)))-5+1))</f>
        <v/>
      </c>
      <c r="BF10" s="62">
        <f>IF(SUMPRODUCT(('حجز الإجازات'!$B$5:$B$104='الموظفون'!$B$8)*('حجز الإجازات'!$D$5:$D$104&lt;=BF$3)*(('حجز الإجازات'!$E$5:$E$104)&gt;=BF$3)*('حجز الإجازات'!$G$5:$G$104="معتمد")*ROW('حجز الإجازات'!$B$5:$B$104))=0,"",INDEX('حجز الإجازات'!$C$5:$C$104,(SUMPRODUCT(('حجز الإجازات'!$B$5:$B$104='الموظفون'!$B$8)*('حجز الإجازات'!$D$5:$D$104&lt;=BF$3)*(('حجز الإجازات'!$E$5:$E$104)&gt;=BF$3)*('حجز الإجازات'!$G$5:$G$104="معتمد")*ROW('حجز الإجازات'!$B$5:$B$104)))-5+1))</f>
        <v/>
      </c>
      <c r="BG10" s="62">
        <f>IF(SUMPRODUCT(('حجز الإجازات'!$B$5:$B$104='الموظفون'!$B$8)*('حجز الإجازات'!$D$5:$D$104&lt;=BG$3)*(('حجز الإجازات'!$E$5:$E$104)&gt;=BG$3)*('حجز الإجازات'!$G$5:$G$104="معتمد")*ROW('حجز الإجازات'!$B$5:$B$104))=0,"",INDEX('حجز الإجازات'!$C$5:$C$104,(SUMPRODUCT(('حجز الإجازات'!$B$5:$B$104='الموظفون'!$B$8)*('حجز الإجازات'!$D$5:$D$104&lt;=BG$3)*(('حجز الإجازات'!$E$5:$E$104)&gt;=BG$3)*('حجز الإجازات'!$G$5:$G$104="معتمد")*ROW('حجز الإجازات'!$B$5:$B$104)))-5+1))</f>
        <v/>
      </c>
      <c r="BH10" s="62">
        <f>IF(SUMPRODUCT(('حجز الإجازات'!$B$5:$B$104='الموظفون'!$B$8)*('حجز الإجازات'!$D$5:$D$104&lt;=BH$3)*(('حجز الإجازات'!$E$5:$E$104)&gt;=BH$3)*('حجز الإجازات'!$G$5:$G$104="معتمد")*ROW('حجز الإجازات'!$B$5:$B$104))=0,"",INDEX('حجز الإجازات'!$C$5:$C$104,(SUMPRODUCT(('حجز الإجازات'!$B$5:$B$104='الموظفون'!$B$8)*('حجز الإجازات'!$D$5:$D$104&lt;=BH$3)*(('حجز الإجازات'!$E$5:$E$104)&gt;=BH$3)*('حجز الإجازات'!$G$5:$G$104="معتمد")*ROW('حجز الإجازات'!$B$5:$B$104)))-5+1))</f>
        <v/>
      </c>
      <c r="BI10" s="62">
        <f>IF(SUMPRODUCT(('حجز الإجازات'!$B$5:$B$104='الموظفون'!$B$8)*('حجز الإجازات'!$D$5:$D$104&lt;=BI$3)*(('حجز الإجازات'!$E$5:$E$104)&gt;=BI$3)*('حجز الإجازات'!$G$5:$G$104="معتمد")*ROW('حجز الإجازات'!$B$5:$B$104))=0,"",INDEX('حجز الإجازات'!$C$5:$C$104,(SUMPRODUCT(('حجز الإجازات'!$B$5:$B$104='الموظفون'!$B$8)*('حجز الإجازات'!$D$5:$D$104&lt;=BI$3)*(('حجز الإجازات'!$E$5:$E$104)&gt;=BI$3)*('حجز الإجازات'!$G$5:$G$104="معتمد")*ROW('حجز الإجازات'!$B$5:$B$104)))-5+1))</f>
        <v/>
      </c>
      <c r="BJ10" s="62">
        <f>IF(SUMPRODUCT(('حجز الإجازات'!$B$5:$B$104='الموظفون'!$B$8)*('حجز الإجازات'!$D$5:$D$104&lt;=BJ$3)*(('حجز الإجازات'!$E$5:$E$104)&gt;=BJ$3)*('حجز الإجازات'!$G$5:$G$104="معتمد")*ROW('حجز الإجازات'!$B$5:$B$104))=0,"",INDEX('حجز الإجازات'!$C$5:$C$104,(SUMPRODUCT(('حجز الإجازات'!$B$5:$B$104='الموظفون'!$B$8)*('حجز الإجازات'!$D$5:$D$104&lt;=BJ$3)*(('حجز الإجازات'!$E$5:$E$104)&gt;=BJ$3)*('حجز الإجازات'!$G$5:$G$104="معتمد")*ROW('حجز الإجازات'!$B$5:$B$104)))-5+1))</f>
        <v/>
      </c>
      <c r="BK10" s="62">
        <f>IF(SUMPRODUCT(('حجز الإجازات'!$B$5:$B$104='الموظفون'!$B$8)*('حجز الإجازات'!$D$5:$D$104&lt;=BK$3)*(('حجز الإجازات'!$E$5:$E$104)&gt;=BK$3)*('حجز الإجازات'!$G$5:$G$104="معتمد")*ROW('حجز الإجازات'!$B$5:$B$104))=0,"",INDEX('حجز الإجازات'!$C$5:$C$104,(SUMPRODUCT(('حجز الإجازات'!$B$5:$B$104='الموظفون'!$B$8)*('حجز الإجازات'!$D$5:$D$104&lt;=BK$3)*(('حجز الإجازات'!$E$5:$E$104)&gt;=BK$3)*('حجز الإجازات'!$G$5:$G$104="معتمد")*ROW('حجز الإجازات'!$B$5:$B$104)))-5+1))</f>
        <v/>
      </c>
      <c r="BL10" s="62">
        <f>IF(SUMPRODUCT(('حجز الإجازات'!$B$5:$B$104='الموظفون'!$B$8)*('حجز الإجازات'!$D$5:$D$104&lt;=BL$3)*(('حجز الإجازات'!$E$5:$E$104)&gt;=BL$3)*('حجز الإجازات'!$G$5:$G$104="معتمد")*ROW('حجز الإجازات'!$B$5:$B$104))=0,"",INDEX('حجز الإجازات'!$C$5:$C$104,(SUMPRODUCT(('حجز الإجازات'!$B$5:$B$104='الموظفون'!$B$8)*('حجز الإجازات'!$D$5:$D$104&lt;=BL$3)*(('حجز الإجازات'!$E$5:$E$104)&gt;=BL$3)*('حجز الإجازات'!$G$5:$G$104="معتمد")*ROW('حجز الإجازات'!$B$5:$B$104)))-5+1))</f>
        <v/>
      </c>
      <c r="BM10" s="62">
        <f>IF(SUMPRODUCT(('حجز الإجازات'!$B$5:$B$104='الموظفون'!$B$8)*('حجز الإجازات'!$D$5:$D$104&lt;=BM$3)*(('حجز الإجازات'!$E$5:$E$104)&gt;=BM$3)*('حجز الإجازات'!$G$5:$G$104="معتمد")*ROW('حجز الإجازات'!$B$5:$B$104))=0,"",INDEX('حجز الإجازات'!$C$5:$C$104,(SUMPRODUCT(('حجز الإجازات'!$B$5:$B$104='الموظفون'!$B$8)*('حجز الإجازات'!$D$5:$D$104&lt;=BM$3)*(('حجز الإجازات'!$E$5:$E$104)&gt;=BM$3)*('حجز الإجازات'!$G$5:$G$104="معتمد")*ROW('حجز الإجازات'!$B$5:$B$104)))-5+1))</f>
        <v/>
      </c>
      <c r="BN10" s="62">
        <f>IF(SUMPRODUCT(('حجز الإجازات'!$B$5:$B$104='الموظفون'!$B$8)*('حجز الإجازات'!$D$5:$D$104&lt;=BN$3)*(('حجز الإجازات'!$E$5:$E$104)&gt;=BN$3)*('حجز الإجازات'!$G$5:$G$104="معتمد")*ROW('حجز الإجازات'!$B$5:$B$104))=0,"",INDEX('حجز الإجازات'!$C$5:$C$104,(SUMPRODUCT(('حجز الإجازات'!$B$5:$B$104='الموظفون'!$B$8)*('حجز الإجازات'!$D$5:$D$104&lt;=BN$3)*(('حجز الإجازات'!$E$5:$E$104)&gt;=BN$3)*('حجز الإجازات'!$G$5:$G$104="معتمد")*ROW('حجز الإجازات'!$B$5:$B$104)))-5+1))</f>
        <v/>
      </c>
      <c r="BO10" s="62">
        <f>IF(SUMPRODUCT(('حجز الإجازات'!$B$5:$B$104='الموظفون'!$B$8)*('حجز الإجازات'!$D$5:$D$104&lt;=BO$3)*(('حجز الإجازات'!$E$5:$E$104)&gt;=BO$3)*('حجز الإجازات'!$G$5:$G$104="معتمد")*ROW('حجز الإجازات'!$B$5:$B$104))=0,"",INDEX('حجز الإجازات'!$C$5:$C$104,(SUMPRODUCT(('حجز الإجازات'!$B$5:$B$104='الموظفون'!$B$8)*('حجز الإجازات'!$D$5:$D$104&lt;=BO$3)*(('حجز الإجازات'!$E$5:$E$104)&gt;=BO$3)*('حجز الإجازات'!$G$5:$G$104="معتمد")*ROW('حجز الإجازات'!$B$5:$B$104)))-5+1))</f>
        <v/>
      </c>
      <c r="BP10" s="62">
        <f>IF(SUMPRODUCT(('حجز الإجازات'!$B$5:$B$104='الموظفون'!$B$8)*('حجز الإجازات'!$D$5:$D$104&lt;=BP$3)*(('حجز الإجازات'!$E$5:$E$104)&gt;=BP$3)*('حجز الإجازات'!$G$5:$G$104="معتمد")*ROW('حجز الإجازات'!$B$5:$B$104))=0,"",INDEX('حجز الإجازات'!$C$5:$C$104,(SUMPRODUCT(('حجز الإجازات'!$B$5:$B$104='الموظفون'!$B$8)*('حجز الإجازات'!$D$5:$D$104&lt;=BP$3)*(('حجز الإجازات'!$E$5:$E$104)&gt;=BP$3)*('حجز الإجازات'!$G$5:$G$104="معتمد")*ROW('حجز الإجازات'!$B$5:$B$104)))-5+1))</f>
        <v/>
      </c>
      <c r="BQ10" s="62">
        <f>IF(SUMPRODUCT(('حجز الإجازات'!$B$5:$B$104='الموظفون'!$B$8)*('حجز الإجازات'!$D$5:$D$104&lt;=BQ$3)*(('حجز الإجازات'!$E$5:$E$104)&gt;=BQ$3)*('حجز الإجازات'!$G$5:$G$104="معتمد")*ROW('حجز الإجازات'!$B$5:$B$104))=0,"",INDEX('حجز الإجازات'!$C$5:$C$104,(SUMPRODUCT(('حجز الإجازات'!$B$5:$B$104='الموظفون'!$B$8)*('حجز الإجازات'!$D$5:$D$104&lt;=BQ$3)*(('حجز الإجازات'!$E$5:$E$104)&gt;=BQ$3)*('حجز الإجازات'!$G$5:$G$104="معتمد")*ROW('حجز الإجازات'!$B$5:$B$104)))-5+1))</f>
        <v/>
      </c>
      <c r="BR10" s="62">
        <f>IF(SUMPRODUCT(('حجز الإجازات'!$B$5:$B$104='الموظفون'!$B$8)*('حجز الإجازات'!$D$5:$D$104&lt;=BR$3)*(('حجز الإجازات'!$E$5:$E$104)&gt;=BR$3)*('حجز الإجازات'!$G$5:$G$104="معتمد")*ROW('حجز الإجازات'!$B$5:$B$104))=0,"",INDEX('حجز الإجازات'!$C$5:$C$104,(SUMPRODUCT(('حجز الإجازات'!$B$5:$B$104='الموظفون'!$B$8)*('حجز الإجازات'!$D$5:$D$104&lt;=BR$3)*(('حجز الإجازات'!$E$5:$E$104)&gt;=BR$3)*('حجز الإجازات'!$G$5:$G$104="معتمد")*ROW('حجز الإجازات'!$B$5:$B$104)))-5+1))</f>
        <v/>
      </c>
      <c r="BS10" s="62">
        <f>IF(SUMPRODUCT(('حجز الإجازات'!$B$5:$B$104='الموظفون'!$B$8)*('حجز الإجازات'!$D$5:$D$104&lt;=BS$3)*(('حجز الإجازات'!$E$5:$E$104)&gt;=BS$3)*('حجز الإجازات'!$G$5:$G$104="معتمد")*ROW('حجز الإجازات'!$B$5:$B$104))=0,"",INDEX('حجز الإجازات'!$C$5:$C$104,(SUMPRODUCT(('حجز الإجازات'!$B$5:$B$104='الموظفون'!$B$8)*('حجز الإجازات'!$D$5:$D$104&lt;=BS$3)*(('حجز الإجازات'!$E$5:$E$104)&gt;=BS$3)*('حجز الإجازات'!$G$5:$G$104="معتمد")*ROW('حجز الإجازات'!$B$5:$B$104)))-5+1))</f>
        <v/>
      </c>
      <c r="BT10" s="62">
        <f>IF(SUMPRODUCT(('حجز الإجازات'!$B$5:$B$104='الموظفون'!$B$8)*('حجز الإجازات'!$D$5:$D$104&lt;=BT$3)*(('حجز الإجازات'!$E$5:$E$104)&gt;=BT$3)*('حجز الإجازات'!$G$5:$G$104="معتمد")*ROW('حجز الإجازات'!$B$5:$B$104))=0,"",INDEX('حجز الإجازات'!$C$5:$C$104,(SUMPRODUCT(('حجز الإجازات'!$B$5:$B$104='الموظفون'!$B$8)*('حجز الإجازات'!$D$5:$D$104&lt;=BT$3)*(('حجز الإجازات'!$E$5:$E$104)&gt;=BT$3)*('حجز الإجازات'!$G$5:$G$104="معتمد")*ROW('حجز الإجازات'!$B$5:$B$104)))-5+1))</f>
        <v/>
      </c>
      <c r="BU10" s="62">
        <f>IF(SUMPRODUCT(('حجز الإجازات'!$B$5:$B$104='الموظفون'!$B$8)*('حجز الإجازات'!$D$5:$D$104&lt;=BU$3)*(('حجز الإجازات'!$E$5:$E$104)&gt;=BU$3)*('حجز الإجازات'!$G$5:$G$104="معتمد")*ROW('حجز الإجازات'!$B$5:$B$104))=0,"",INDEX('حجز الإجازات'!$C$5:$C$104,(SUMPRODUCT(('حجز الإجازات'!$B$5:$B$104='الموظفون'!$B$8)*('حجز الإجازات'!$D$5:$D$104&lt;=BU$3)*(('حجز الإجازات'!$E$5:$E$104)&gt;=BU$3)*('حجز الإجازات'!$G$5:$G$104="معتمد")*ROW('حجز الإجازات'!$B$5:$B$104)))-5+1))</f>
        <v/>
      </c>
      <c r="BV10" s="62">
        <f>IF(SUMPRODUCT(('حجز الإجازات'!$B$5:$B$104='الموظفون'!$B$8)*('حجز الإجازات'!$D$5:$D$104&lt;=BV$3)*(('حجز الإجازات'!$E$5:$E$104)&gt;=BV$3)*('حجز الإجازات'!$G$5:$G$104="معتمد")*ROW('حجز الإجازات'!$B$5:$B$104))=0,"",INDEX('حجز الإجازات'!$C$5:$C$104,(SUMPRODUCT(('حجز الإجازات'!$B$5:$B$104='الموظفون'!$B$8)*('حجز الإجازات'!$D$5:$D$104&lt;=BV$3)*(('حجز الإجازات'!$E$5:$E$104)&gt;=BV$3)*('حجز الإجازات'!$G$5:$G$104="معتمد")*ROW('حجز الإجازات'!$B$5:$B$104)))-5+1))</f>
        <v/>
      </c>
      <c r="BW10" s="62">
        <f>IF(SUMPRODUCT(('حجز الإجازات'!$B$5:$B$104='الموظفون'!$B$8)*('حجز الإجازات'!$D$5:$D$104&lt;=BW$3)*(('حجز الإجازات'!$E$5:$E$104)&gt;=BW$3)*('حجز الإجازات'!$G$5:$G$104="معتمد")*ROW('حجز الإجازات'!$B$5:$B$104))=0,"",INDEX('حجز الإجازات'!$C$5:$C$104,(SUMPRODUCT(('حجز الإجازات'!$B$5:$B$104='الموظفون'!$B$8)*('حجز الإجازات'!$D$5:$D$104&lt;=BW$3)*(('حجز الإجازات'!$E$5:$E$104)&gt;=BW$3)*('حجز الإجازات'!$G$5:$G$104="معتمد")*ROW('حجز الإجازات'!$B$5:$B$104)))-5+1))</f>
        <v/>
      </c>
      <c r="BX10" s="62">
        <f>IF(SUMPRODUCT(('حجز الإجازات'!$B$5:$B$104='الموظفون'!$B$8)*('حجز الإجازات'!$D$5:$D$104&lt;=BX$3)*(('حجز الإجازات'!$E$5:$E$104)&gt;=BX$3)*('حجز الإجازات'!$G$5:$G$104="معتمد")*ROW('حجز الإجازات'!$B$5:$B$104))=0,"",INDEX('حجز الإجازات'!$C$5:$C$104,(SUMPRODUCT(('حجز الإجازات'!$B$5:$B$104='الموظفون'!$B$8)*('حجز الإجازات'!$D$5:$D$104&lt;=BX$3)*(('حجز الإجازات'!$E$5:$E$104)&gt;=BX$3)*('حجز الإجازات'!$G$5:$G$104="معتمد")*ROW('حجز الإجازات'!$B$5:$B$104)))-5+1))</f>
        <v/>
      </c>
      <c r="BY10" s="62">
        <f>IF(SUMPRODUCT(('حجز الإجازات'!$B$5:$B$104='الموظفون'!$B$8)*('حجز الإجازات'!$D$5:$D$104&lt;=BY$3)*(('حجز الإجازات'!$E$5:$E$104)&gt;=BY$3)*('حجز الإجازات'!$G$5:$G$104="معتمد")*ROW('حجز الإجازات'!$B$5:$B$104))=0,"",INDEX('حجز الإجازات'!$C$5:$C$104,(SUMPRODUCT(('حجز الإجازات'!$B$5:$B$104='الموظفون'!$B$8)*('حجز الإجازات'!$D$5:$D$104&lt;=BY$3)*(('حجز الإجازات'!$E$5:$E$104)&gt;=BY$3)*('حجز الإجازات'!$G$5:$G$104="معتمد")*ROW('حجز الإجازات'!$B$5:$B$104)))-5+1))</f>
        <v/>
      </c>
      <c r="BZ10" s="62">
        <f>IF(SUMPRODUCT(('حجز الإجازات'!$B$5:$B$104='الموظفون'!$B$8)*('حجز الإجازات'!$D$5:$D$104&lt;=BZ$3)*(('حجز الإجازات'!$E$5:$E$104)&gt;=BZ$3)*('حجز الإجازات'!$G$5:$G$104="معتمد")*ROW('حجز الإجازات'!$B$5:$B$104))=0,"",INDEX('حجز الإجازات'!$C$5:$C$104,(SUMPRODUCT(('حجز الإجازات'!$B$5:$B$104='الموظفون'!$B$8)*('حجز الإجازات'!$D$5:$D$104&lt;=BZ$3)*(('حجز الإجازات'!$E$5:$E$104)&gt;=BZ$3)*('حجز الإجازات'!$G$5:$G$104="معتمد")*ROW('حجز الإجازات'!$B$5:$B$104)))-5+1))</f>
        <v/>
      </c>
      <c r="CA10" s="62">
        <f>IF(SUMPRODUCT(('حجز الإجازات'!$B$5:$B$104='الموظفون'!$B$8)*('حجز الإجازات'!$D$5:$D$104&lt;=CA$3)*(('حجز الإجازات'!$E$5:$E$104)&gt;=CA$3)*('حجز الإجازات'!$G$5:$G$104="معتمد")*ROW('حجز الإجازات'!$B$5:$B$104))=0,"",INDEX('حجز الإجازات'!$C$5:$C$104,(SUMPRODUCT(('حجز الإجازات'!$B$5:$B$104='الموظفون'!$B$8)*('حجز الإجازات'!$D$5:$D$104&lt;=CA$3)*(('حجز الإجازات'!$E$5:$E$104)&gt;=CA$3)*('حجز الإجازات'!$G$5:$G$104="معتمد")*ROW('حجز الإجازات'!$B$5:$B$104)))-5+1))</f>
        <v/>
      </c>
      <c r="CB10" s="62">
        <f>IF(SUMPRODUCT(('حجز الإجازات'!$B$5:$B$104='الموظفون'!$B$8)*('حجز الإجازات'!$D$5:$D$104&lt;=CB$3)*(('حجز الإجازات'!$E$5:$E$104)&gt;=CB$3)*('حجز الإجازات'!$G$5:$G$104="معتمد")*ROW('حجز الإجازات'!$B$5:$B$104))=0,"",INDEX('حجز الإجازات'!$C$5:$C$104,(SUMPRODUCT(('حجز الإجازات'!$B$5:$B$104='الموظفون'!$B$8)*('حجز الإجازات'!$D$5:$D$104&lt;=CB$3)*(('حجز الإجازات'!$E$5:$E$104)&gt;=CB$3)*('حجز الإجازات'!$G$5:$G$104="معتمد")*ROW('حجز الإجازات'!$B$5:$B$104)))-5+1))</f>
        <v/>
      </c>
      <c r="CC10" s="62">
        <f>IF(SUMPRODUCT(('حجز الإجازات'!$B$5:$B$104='الموظفون'!$B$8)*('حجز الإجازات'!$D$5:$D$104&lt;=CC$3)*(('حجز الإجازات'!$E$5:$E$104)&gt;=CC$3)*('حجز الإجازات'!$G$5:$G$104="معتمد")*ROW('حجز الإجازات'!$B$5:$B$104))=0,"",INDEX('حجز الإجازات'!$C$5:$C$104,(SUMPRODUCT(('حجز الإجازات'!$B$5:$B$104='الموظفون'!$B$8)*('حجز الإجازات'!$D$5:$D$104&lt;=CC$3)*(('حجز الإجازات'!$E$5:$E$104)&gt;=CC$3)*('حجز الإجازات'!$G$5:$G$104="معتمد")*ROW('حجز الإجازات'!$B$5:$B$104)))-5+1))</f>
        <v/>
      </c>
      <c r="CD10" s="62">
        <f>IF(SUMPRODUCT(('حجز الإجازات'!$B$5:$B$104='الموظفون'!$B$8)*('حجز الإجازات'!$D$5:$D$104&lt;=CD$3)*(('حجز الإجازات'!$E$5:$E$104)&gt;=CD$3)*('حجز الإجازات'!$G$5:$G$104="معتمد")*ROW('حجز الإجازات'!$B$5:$B$104))=0,"",INDEX('حجز الإجازات'!$C$5:$C$104,(SUMPRODUCT(('حجز الإجازات'!$B$5:$B$104='الموظفون'!$B$8)*('حجز الإجازات'!$D$5:$D$104&lt;=CD$3)*(('حجز الإجازات'!$E$5:$E$104)&gt;=CD$3)*('حجز الإجازات'!$G$5:$G$104="معتمد")*ROW('حجز الإجازات'!$B$5:$B$104)))-5+1))</f>
        <v/>
      </c>
      <c r="CE10" s="62">
        <f>IF(SUMPRODUCT(('حجز الإجازات'!$B$5:$B$104='الموظفون'!$B$8)*('حجز الإجازات'!$D$5:$D$104&lt;=CE$3)*(('حجز الإجازات'!$E$5:$E$104)&gt;=CE$3)*('حجز الإجازات'!$G$5:$G$104="معتمد")*ROW('حجز الإجازات'!$B$5:$B$104))=0,"",INDEX('حجز الإجازات'!$C$5:$C$104,(SUMPRODUCT(('حجز الإجازات'!$B$5:$B$104='الموظفون'!$B$8)*('حجز الإجازات'!$D$5:$D$104&lt;=CE$3)*(('حجز الإجازات'!$E$5:$E$104)&gt;=CE$3)*('حجز الإجازات'!$G$5:$G$104="معتمد")*ROW('حجز الإجازات'!$B$5:$B$104)))-5+1))</f>
        <v/>
      </c>
      <c r="CF10" s="62">
        <f>IF(SUMPRODUCT(('حجز الإجازات'!$B$5:$B$104='الموظفون'!$B$8)*('حجز الإجازات'!$D$5:$D$104&lt;=CF$3)*(('حجز الإجازات'!$E$5:$E$104)&gt;=CF$3)*('حجز الإجازات'!$G$5:$G$104="معتمد")*ROW('حجز الإجازات'!$B$5:$B$104))=0,"",INDEX('حجز الإجازات'!$C$5:$C$104,(SUMPRODUCT(('حجز الإجازات'!$B$5:$B$104='الموظفون'!$B$8)*('حجز الإجازات'!$D$5:$D$104&lt;=CF$3)*(('حجز الإجازات'!$E$5:$E$104)&gt;=CF$3)*('حجز الإجازات'!$G$5:$G$104="معتمد")*ROW('حجز الإجازات'!$B$5:$B$104)))-5+1))</f>
        <v/>
      </c>
      <c r="CG10" s="62">
        <f>IF(SUMPRODUCT(('حجز الإجازات'!$B$5:$B$104='الموظفون'!$B$8)*('حجز الإجازات'!$D$5:$D$104&lt;=CG$3)*(('حجز الإجازات'!$E$5:$E$104)&gt;=CG$3)*('حجز الإجازات'!$G$5:$G$104="معتمد")*ROW('حجز الإجازات'!$B$5:$B$104))=0,"",INDEX('حجز الإجازات'!$C$5:$C$104,(SUMPRODUCT(('حجز الإجازات'!$B$5:$B$104='الموظفون'!$B$8)*('حجز الإجازات'!$D$5:$D$104&lt;=CG$3)*(('حجز الإجازات'!$E$5:$E$104)&gt;=CG$3)*('حجز الإجازات'!$G$5:$G$104="معتمد")*ROW('حجز الإجازات'!$B$5:$B$104)))-5+1))</f>
        <v/>
      </c>
      <c r="CH10" s="62">
        <f>IF(SUMPRODUCT(('حجز الإجازات'!$B$5:$B$104='الموظفون'!$B$8)*('حجز الإجازات'!$D$5:$D$104&lt;=CH$3)*(('حجز الإجازات'!$E$5:$E$104)&gt;=CH$3)*('حجز الإجازات'!$G$5:$G$104="معتمد")*ROW('حجز الإجازات'!$B$5:$B$104))=0,"",INDEX('حجز الإجازات'!$C$5:$C$104,(SUMPRODUCT(('حجز الإجازات'!$B$5:$B$104='الموظفون'!$B$8)*('حجز الإجازات'!$D$5:$D$104&lt;=CH$3)*(('حجز الإجازات'!$E$5:$E$104)&gt;=CH$3)*('حجز الإجازات'!$G$5:$G$104="معتمد")*ROW('حجز الإجازات'!$B$5:$B$104)))-5+1))</f>
        <v/>
      </c>
      <c r="CI10" s="62">
        <f>IF(SUMPRODUCT(('حجز الإجازات'!$B$5:$B$104='الموظفون'!$B$8)*('حجز الإجازات'!$D$5:$D$104&lt;=CI$3)*(('حجز الإجازات'!$E$5:$E$104)&gt;=CI$3)*('حجز الإجازات'!$G$5:$G$104="معتمد")*ROW('حجز الإجازات'!$B$5:$B$104))=0,"",INDEX('حجز الإجازات'!$C$5:$C$104,(SUMPRODUCT(('حجز الإجازات'!$B$5:$B$104='الموظفون'!$B$8)*('حجز الإجازات'!$D$5:$D$104&lt;=CI$3)*(('حجز الإجازات'!$E$5:$E$104)&gt;=CI$3)*('حجز الإجازات'!$G$5:$G$104="معتمد")*ROW('حجز الإجازات'!$B$5:$B$104)))-5+1))</f>
        <v/>
      </c>
      <c r="CJ10" s="62">
        <f>IF(SUMPRODUCT(('حجز الإجازات'!$B$5:$B$104='الموظفون'!$B$8)*('حجز الإجازات'!$D$5:$D$104&lt;=CJ$3)*(('حجز الإجازات'!$E$5:$E$104)&gt;=CJ$3)*('حجز الإجازات'!$G$5:$G$104="معتمد")*ROW('حجز الإجازات'!$B$5:$B$104))=0,"",INDEX('حجز الإجازات'!$C$5:$C$104,(SUMPRODUCT(('حجز الإجازات'!$B$5:$B$104='الموظفون'!$B$8)*('حجز الإجازات'!$D$5:$D$104&lt;=CJ$3)*(('حجز الإجازات'!$E$5:$E$104)&gt;=CJ$3)*('حجز الإجازات'!$G$5:$G$104="معتمد")*ROW('حجز الإجازات'!$B$5:$B$104)))-5+1))</f>
        <v/>
      </c>
      <c r="CK10" s="62">
        <f>IF(SUMPRODUCT(('حجز الإجازات'!$B$5:$B$104='الموظفون'!$B$8)*('حجز الإجازات'!$D$5:$D$104&lt;=CK$3)*(('حجز الإجازات'!$E$5:$E$104)&gt;=CK$3)*('حجز الإجازات'!$G$5:$G$104="معتمد")*ROW('حجز الإجازات'!$B$5:$B$104))=0,"",INDEX('حجز الإجازات'!$C$5:$C$104,(SUMPRODUCT(('حجز الإجازات'!$B$5:$B$104='الموظفون'!$B$8)*('حجز الإجازات'!$D$5:$D$104&lt;=CK$3)*(('حجز الإجازات'!$E$5:$E$104)&gt;=CK$3)*('حجز الإجازات'!$G$5:$G$104="معتمد")*ROW('حجز الإجازات'!$B$5:$B$104)))-5+1))</f>
        <v/>
      </c>
      <c r="CL10" s="62">
        <f>IF(SUMPRODUCT(('حجز الإجازات'!$B$5:$B$104='الموظفون'!$B$8)*('حجز الإجازات'!$D$5:$D$104&lt;=CL$3)*(('حجز الإجازات'!$E$5:$E$104)&gt;=CL$3)*('حجز الإجازات'!$G$5:$G$104="معتمد")*ROW('حجز الإجازات'!$B$5:$B$104))=0,"",INDEX('حجز الإجازات'!$C$5:$C$104,(SUMPRODUCT(('حجز الإجازات'!$B$5:$B$104='الموظفون'!$B$8)*('حجز الإجازات'!$D$5:$D$104&lt;=CL$3)*(('حجز الإجازات'!$E$5:$E$104)&gt;=CL$3)*('حجز الإجازات'!$G$5:$G$104="معتمد")*ROW('حجز الإجازات'!$B$5:$B$104)))-5+1))</f>
        <v/>
      </c>
      <c r="CM10" s="62">
        <f>IF(SUMPRODUCT(('حجز الإجازات'!$B$5:$B$104='الموظفون'!$B$8)*('حجز الإجازات'!$D$5:$D$104&lt;=CM$3)*(('حجز الإجازات'!$E$5:$E$104)&gt;=CM$3)*('حجز الإجازات'!$G$5:$G$104="معتمد")*ROW('حجز الإجازات'!$B$5:$B$104))=0,"",INDEX('حجز الإجازات'!$C$5:$C$104,(SUMPRODUCT(('حجز الإجازات'!$B$5:$B$104='الموظفون'!$B$8)*('حجز الإجازات'!$D$5:$D$104&lt;=CM$3)*(('حجز الإجازات'!$E$5:$E$104)&gt;=CM$3)*('حجز الإجازات'!$G$5:$G$104="معتمد")*ROW('حجز الإجازات'!$B$5:$B$104)))-5+1))</f>
        <v/>
      </c>
      <c r="CN10" s="62">
        <f>IF(SUMPRODUCT(('حجز الإجازات'!$B$5:$B$104='الموظفون'!$B$8)*('حجز الإجازات'!$D$5:$D$104&lt;=CN$3)*(('حجز الإجازات'!$E$5:$E$104)&gt;=CN$3)*('حجز الإجازات'!$G$5:$G$104="معتمد")*ROW('حجز الإجازات'!$B$5:$B$104))=0,"",INDEX('حجز الإجازات'!$C$5:$C$104,(SUMPRODUCT(('حجز الإجازات'!$B$5:$B$104='الموظفون'!$B$8)*('حجز الإجازات'!$D$5:$D$104&lt;=CN$3)*(('حجز الإجازات'!$E$5:$E$104)&gt;=CN$3)*('حجز الإجازات'!$G$5:$G$104="معتمد")*ROW('حجز الإجازات'!$B$5:$B$104)))-5+1))</f>
        <v/>
      </c>
      <c r="CO10" s="62">
        <f>IF(SUMPRODUCT(('حجز الإجازات'!$B$5:$B$104='الموظفون'!$B$8)*('حجز الإجازات'!$D$5:$D$104&lt;=CO$3)*(('حجز الإجازات'!$E$5:$E$104)&gt;=CO$3)*('حجز الإجازات'!$G$5:$G$104="معتمد")*ROW('حجز الإجازات'!$B$5:$B$104))=0,"",INDEX('حجز الإجازات'!$C$5:$C$104,(SUMPRODUCT(('حجز الإجازات'!$B$5:$B$104='الموظفون'!$B$8)*('حجز الإجازات'!$D$5:$D$104&lt;=CO$3)*(('حجز الإجازات'!$E$5:$E$104)&gt;=CO$3)*('حجز الإجازات'!$G$5:$G$104="معتمد")*ROW('حجز الإجازات'!$B$5:$B$104)))-5+1))</f>
        <v/>
      </c>
      <c r="CP10" s="62">
        <f>IF(SUMPRODUCT(('حجز الإجازات'!$B$5:$B$104='الموظفون'!$B$8)*('حجز الإجازات'!$D$5:$D$104&lt;=CP$3)*(('حجز الإجازات'!$E$5:$E$104)&gt;=CP$3)*('حجز الإجازات'!$G$5:$G$104="معتمد")*ROW('حجز الإجازات'!$B$5:$B$104))=0,"",INDEX('حجز الإجازات'!$C$5:$C$104,(SUMPRODUCT(('حجز الإجازات'!$B$5:$B$104='الموظفون'!$B$8)*('حجز الإجازات'!$D$5:$D$104&lt;=CP$3)*(('حجز الإجازات'!$E$5:$E$104)&gt;=CP$3)*('حجز الإجازات'!$G$5:$G$104="معتمد")*ROW('حجز الإجازات'!$B$5:$B$104)))-5+1))</f>
        <v/>
      </c>
      <c r="CQ10" s="62">
        <f>IF(SUMPRODUCT(('حجز الإجازات'!$B$5:$B$104='الموظفون'!$B$8)*('حجز الإجازات'!$D$5:$D$104&lt;=CQ$3)*(('حجز الإجازات'!$E$5:$E$104)&gt;=CQ$3)*('حجز الإجازات'!$G$5:$G$104="معتمد")*ROW('حجز الإجازات'!$B$5:$B$104))=0,"",INDEX('حجز الإجازات'!$C$5:$C$104,(SUMPRODUCT(('حجز الإجازات'!$B$5:$B$104='الموظفون'!$B$8)*('حجز الإجازات'!$D$5:$D$104&lt;=CQ$3)*(('حجز الإجازات'!$E$5:$E$104)&gt;=CQ$3)*('حجز الإجازات'!$G$5:$G$104="معتمد")*ROW('حجز الإجازات'!$B$5:$B$104)))-5+1))</f>
        <v/>
      </c>
      <c r="CR10" s="62">
        <f>IF(SUMPRODUCT(('حجز الإجازات'!$B$5:$B$104='الموظفون'!$B$8)*('حجز الإجازات'!$D$5:$D$104&lt;=CR$3)*(('حجز الإجازات'!$E$5:$E$104)&gt;=CR$3)*('حجز الإجازات'!$G$5:$G$104="معتمد")*ROW('حجز الإجازات'!$B$5:$B$104))=0,"",INDEX('حجز الإجازات'!$C$5:$C$104,(SUMPRODUCT(('حجز الإجازات'!$B$5:$B$104='الموظفون'!$B$8)*('حجز الإجازات'!$D$5:$D$104&lt;=CR$3)*(('حجز الإجازات'!$E$5:$E$104)&gt;=CR$3)*('حجز الإجازات'!$G$5:$G$104="معتمد")*ROW('حجز الإجازات'!$B$5:$B$104)))-5+1))</f>
        <v/>
      </c>
      <c r="CS10" s="62">
        <f>IF(SUMPRODUCT(('حجز الإجازات'!$B$5:$B$104='الموظفون'!$B$8)*('حجز الإجازات'!$D$5:$D$104&lt;=CS$3)*(('حجز الإجازات'!$E$5:$E$104)&gt;=CS$3)*('حجز الإجازات'!$G$5:$G$104="معتمد")*ROW('حجز الإجازات'!$B$5:$B$104))=0,"",INDEX('حجز الإجازات'!$C$5:$C$104,(SUMPRODUCT(('حجز الإجازات'!$B$5:$B$104='الموظفون'!$B$8)*('حجز الإجازات'!$D$5:$D$104&lt;=CS$3)*(('حجز الإجازات'!$E$5:$E$104)&gt;=CS$3)*('حجز الإجازات'!$G$5:$G$104="معتمد")*ROW('حجز الإجازات'!$B$5:$B$104)))-5+1))</f>
        <v/>
      </c>
      <c r="CT10" s="62">
        <f>IF(SUMPRODUCT(('حجز الإجازات'!$B$5:$B$104='الموظفون'!$B$8)*('حجز الإجازات'!$D$5:$D$104&lt;=CT$3)*(('حجز الإجازات'!$E$5:$E$104)&gt;=CT$3)*('حجز الإجازات'!$G$5:$G$104="معتمد")*ROW('حجز الإجازات'!$B$5:$B$104))=0,"",INDEX('حجز الإجازات'!$C$5:$C$104,(SUMPRODUCT(('حجز الإجازات'!$B$5:$B$104='الموظفون'!$B$8)*('حجز الإجازات'!$D$5:$D$104&lt;=CT$3)*(('حجز الإجازات'!$E$5:$E$104)&gt;=CT$3)*('حجز الإجازات'!$G$5:$G$104="معتمد")*ROW('حجز الإجازات'!$B$5:$B$104)))-5+1))</f>
        <v/>
      </c>
      <c r="CU10" s="62">
        <f>IF(SUMPRODUCT(('حجز الإجازات'!$B$5:$B$104='الموظفون'!$B$8)*('حجز الإجازات'!$D$5:$D$104&lt;=CU$3)*(('حجز الإجازات'!$E$5:$E$104)&gt;=CU$3)*('حجز الإجازات'!$G$5:$G$104="معتمد")*ROW('حجز الإجازات'!$B$5:$B$104))=0,"",INDEX('حجز الإجازات'!$C$5:$C$104,(SUMPRODUCT(('حجز الإجازات'!$B$5:$B$104='الموظفون'!$B$8)*('حجز الإجازات'!$D$5:$D$104&lt;=CU$3)*(('حجز الإجازات'!$E$5:$E$104)&gt;=CU$3)*('حجز الإجازات'!$G$5:$G$104="معتمد")*ROW('حجز الإجازات'!$B$5:$B$104)))-5+1))</f>
        <v/>
      </c>
      <c r="CV10" s="62">
        <f>IF(SUMPRODUCT(('حجز الإجازات'!$B$5:$B$104='الموظفون'!$B$8)*('حجز الإجازات'!$D$5:$D$104&lt;=CV$3)*(('حجز الإجازات'!$E$5:$E$104)&gt;=CV$3)*('حجز الإجازات'!$G$5:$G$104="معتمد")*ROW('حجز الإجازات'!$B$5:$B$104))=0,"",INDEX('حجز الإجازات'!$C$5:$C$104,(SUMPRODUCT(('حجز الإجازات'!$B$5:$B$104='الموظفون'!$B$8)*('حجز الإجازات'!$D$5:$D$104&lt;=CV$3)*(('حجز الإجازات'!$E$5:$E$104)&gt;=CV$3)*('حجز الإجازات'!$G$5:$G$104="معتمد")*ROW('حجز الإجازات'!$B$5:$B$104)))-5+1))</f>
        <v/>
      </c>
      <c r="CW10" s="62">
        <f>IF(SUMPRODUCT(('حجز الإجازات'!$B$5:$B$104='الموظفون'!$B$8)*('حجز الإجازات'!$D$5:$D$104&lt;=CW$3)*(('حجز الإجازات'!$E$5:$E$104)&gt;=CW$3)*('حجز الإجازات'!$G$5:$G$104="معتمد")*ROW('حجز الإجازات'!$B$5:$B$104))=0,"",INDEX('حجز الإجازات'!$C$5:$C$104,(SUMPRODUCT(('حجز الإجازات'!$B$5:$B$104='الموظفون'!$B$8)*('حجز الإجازات'!$D$5:$D$104&lt;=CW$3)*(('حجز الإجازات'!$E$5:$E$104)&gt;=CW$3)*('حجز الإجازات'!$G$5:$G$104="معتمد")*ROW('حجز الإجازات'!$B$5:$B$104)))-5+1))</f>
        <v/>
      </c>
      <c r="CX10" s="62">
        <f>IF(SUMPRODUCT(('حجز الإجازات'!$B$5:$B$104='الموظفون'!$B$8)*('حجز الإجازات'!$D$5:$D$104&lt;=CX$3)*(('حجز الإجازات'!$E$5:$E$104)&gt;=CX$3)*('حجز الإجازات'!$G$5:$G$104="معتمد")*ROW('حجز الإجازات'!$B$5:$B$104))=0,"",INDEX('حجز الإجازات'!$C$5:$C$104,(SUMPRODUCT(('حجز الإجازات'!$B$5:$B$104='الموظفون'!$B$8)*('حجز الإجازات'!$D$5:$D$104&lt;=CX$3)*(('حجز الإجازات'!$E$5:$E$104)&gt;=CX$3)*('حجز الإجازات'!$G$5:$G$104="معتمد")*ROW('حجز الإجازات'!$B$5:$B$104)))-5+1))</f>
        <v/>
      </c>
      <c r="CY10" s="62">
        <f>IF(SUMPRODUCT(('حجز الإجازات'!$B$5:$B$104='الموظفون'!$B$8)*('حجز الإجازات'!$D$5:$D$104&lt;=CY$3)*(('حجز الإجازات'!$E$5:$E$104)&gt;=CY$3)*('حجز الإجازات'!$G$5:$G$104="معتمد")*ROW('حجز الإجازات'!$B$5:$B$104))=0,"",INDEX('حجز الإجازات'!$C$5:$C$104,(SUMPRODUCT(('حجز الإجازات'!$B$5:$B$104='الموظفون'!$B$8)*('حجز الإجازات'!$D$5:$D$104&lt;=CY$3)*(('حجز الإجازات'!$E$5:$E$104)&gt;=CY$3)*('حجز الإجازات'!$G$5:$G$104="معتمد")*ROW('حجز الإجازات'!$B$5:$B$104)))-5+1))</f>
        <v/>
      </c>
      <c r="CZ10" s="62">
        <f>IF(SUMPRODUCT(('حجز الإجازات'!$B$5:$B$104='الموظفون'!$B$8)*('حجز الإجازات'!$D$5:$D$104&lt;=CZ$3)*(('حجز الإجازات'!$E$5:$E$104)&gt;=CZ$3)*('حجز الإجازات'!$G$5:$G$104="معتمد")*ROW('حجز الإجازات'!$B$5:$B$104))=0,"",INDEX('حجز الإجازات'!$C$5:$C$104,(SUMPRODUCT(('حجز الإجازات'!$B$5:$B$104='الموظفون'!$B$8)*('حجز الإجازات'!$D$5:$D$104&lt;=CZ$3)*(('حجز الإجازات'!$E$5:$E$104)&gt;=CZ$3)*('حجز الإجازات'!$G$5:$G$104="معتمد")*ROW('حجز الإجازات'!$B$5:$B$104)))-5+1))</f>
        <v/>
      </c>
      <c r="DA10" s="62">
        <f>IF(SUMPRODUCT(('حجز الإجازات'!$B$5:$B$104='الموظفون'!$B$8)*('حجز الإجازات'!$D$5:$D$104&lt;=DA$3)*(('حجز الإجازات'!$E$5:$E$104)&gt;=DA$3)*('حجز الإجازات'!$G$5:$G$104="معتمد")*ROW('حجز الإجازات'!$B$5:$B$104))=0,"",INDEX('حجز الإجازات'!$C$5:$C$104,(SUMPRODUCT(('حجز الإجازات'!$B$5:$B$104='الموظفون'!$B$8)*('حجز الإجازات'!$D$5:$D$104&lt;=DA$3)*(('حجز الإجازات'!$E$5:$E$104)&gt;=DA$3)*('حجز الإجازات'!$G$5:$G$104="معتمد")*ROW('حجز الإجازات'!$B$5:$B$104)))-5+1))</f>
        <v/>
      </c>
      <c r="DB10" s="62">
        <f>IF(SUMPRODUCT(('حجز الإجازات'!$B$5:$B$104='الموظفون'!$B$8)*('حجز الإجازات'!$D$5:$D$104&lt;=DB$3)*(('حجز الإجازات'!$E$5:$E$104)&gt;=DB$3)*('حجز الإجازات'!$G$5:$G$104="معتمد")*ROW('حجز الإجازات'!$B$5:$B$104))=0,"",INDEX('حجز الإجازات'!$C$5:$C$104,(SUMPRODUCT(('حجز الإجازات'!$B$5:$B$104='الموظفون'!$B$8)*('حجز الإجازات'!$D$5:$D$104&lt;=DB$3)*(('حجز الإجازات'!$E$5:$E$104)&gt;=DB$3)*('حجز الإجازات'!$G$5:$G$104="معتمد")*ROW('حجز الإجازات'!$B$5:$B$104)))-5+1))</f>
        <v/>
      </c>
      <c r="DC10" s="62">
        <f>IF(SUMPRODUCT(('حجز الإجازات'!$B$5:$B$104='الموظفون'!$B$8)*('حجز الإجازات'!$D$5:$D$104&lt;=DC$3)*(('حجز الإجازات'!$E$5:$E$104)&gt;=DC$3)*('حجز الإجازات'!$G$5:$G$104="معتمد")*ROW('حجز الإجازات'!$B$5:$B$104))=0,"",INDEX('حجز الإجازات'!$C$5:$C$104,(SUMPRODUCT(('حجز الإجازات'!$B$5:$B$104='الموظفون'!$B$8)*('حجز الإجازات'!$D$5:$D$104&lt;=DC$3)*(('حجز الإجازات'!$E$5:$E$104)&gt;=DC$3)*('حجز الإجازات'!$G$5:$G$104="معتمد")*ROW('حجز الإجازات'!$B$5:$B$104)))-5+1))</f>
        <v/>
      </c>
      <c r="DD10" s="62">
        <f>IF(SUMPRODUCT(('حجز الإجازات'!$B$5:$B$104='الموظفون'!$B$8)*('حجز الإجازات'!$D$5:$D$104&lt;=DD$3)*(('حجز الإجازات'!$E$5:$E$104)&gt;=DD$3)*('حجز الإجازات'!$G$5:$G$104="معتمد")*ROW('حجز الإجازات'!$B$5:$B$104))=0,"",INDEX('حجز الإجازات'!$C$5:$C$104,(SUMPRODUCT(('حجز الإجازات'!$B$5:$B$104='الموظفون'!$B$8)*('حجز الإجازات'!$D$5:$D$104&lt;=DD$3)*(('حجز الإجازات'!$E$5:$E$104)&gt;=DD$3)*('حجز الإجازات'!$G$5:$G$104="معتمد")*ROW('حجز الإجازات'!$B$5:$B$104)))-5+1))</f>
        <v/>
      </c>
      <c r="DE10" s="62">
        <f>IF(SUMPRODUCT(('حجز الإجازات'!$B$5:$B$104='الموظفون'!$B$8)*('حجز الإجازات'!$D$5:$D$104&lt;=DE$3)*(('حجز الإجازات'!$E$5:$E$104)&gt;=DE$3)*('حجز الإجازات'!$G$5:$G$104="معتمد")*ROW('حجز الإجازات'!$B$5:$B$104))=0,"",INDEX('حجز الإجازات'!$C$5:$C$104,(SUMPRODUCT(('حجز الإجازات'!$B$5:$B$104='الموظفون'!$B$8)*('حجز الإجازات'!$D$5:$D$104&lt;=DE$3)*(('حجز الإجازات'!$E$5:$E$104)&gt;=DE$3)*('حجز الإجازات'!$G$5:$G$104="معتمد")*ROW('حجز الإجازات'!$B$5:$B$104)))-5+1))</f>
        <v/>
      </c>
      <c r="DF10" s="62">
        <f>IF(SUMPRODUCT(('حجز الإجازات'!$B$5:$B$104='الموظفون'!$B$8)*('حجز الإجازات'!$D$5:$D$104&lt;=DF$3)*(('حجز الإجازات'!$E$5:$E$104)&gt;=DF$3)*('حجز الإجازات'!$G$5:$G$104="معتمد")*ROW('حجز الإجازات'!$B$5:$B$104))=0,"",INDEX('حجز الإجازات'!$C$5:$C$104,(SUMPRODUCT(('حجز الإجازات'!$B$5:$B$104='الموظفون'!$B$8)*('حجز الإجازات'!$D$5:$D$104&lt;=DF$3)*(('حجز الإجازات'!$E$5:$E$104)&gt;=DF$3)*('حجز الإجازات'!$G$5:$G$104="معتمد")*ROW('حجز الإجازات'!$B$5:$B$104)))-5+1))</f>
        <v/>
      </c>
      <c r="DG10" s="62">
        <f>IF(SUMPRODUCT(('حجز الإجازات'!$B$5:$B$104='الموظفون'!$B$8)*('حجز الإجازات'!$D$5:$D$104&lt;=DG$3)*(('حجز الإجازات'!$E$5:$E$104)&gt;=DG$3)*('حجز الإجازات'!$G$5:$G$104="معتمد")*ROW('حجز الإجازات'!$B$5:$B$104))=0,"",INDEX('حجز الإجازات'!$C$5:$C$104,(SUMPRODUCT(('حجز الإجازات'!$B$5:$B$104='الموظفون'!$B$8)*('حجز الإجازات'!$D$5:$D$104&lt;=DG$3)*(('حجز الإجازات'!$E$5:$E$104)&gt;=DG$3)*('حجز الإجازات'!$G$5:$G$104="معتمد")*ROW('حجز الإجازات'!$B$5:$B$104)))-5+1))</f>
        <v/>
      </c>
      <c r="DH10" s="62">
        <f>IF(SUMPRODUCT(('حجز الإجازات'!$B$5:$B$104='الموظفون'!$B$8)*('حجز الإجازات'!$D$5:$D$104&lt;=DH$3)*(('حجز الإجازات'!$E$5:$E$104)&gt;=DH$3)*('حجز الإجازات'!$G$5:$G$104="معتمد")*ROW('حجز الإجازات'!$B$5:$B$104))=0,"",INDEX('حجز الإجازات'!$C$5:$C$104,(SUMPRODUCT(('حجز الإجازات'!$B$5:$B$104='الموظفون'!$B$8)*('حجز الإجازات'!$D$5:$D$104&lt;=DH$3)*(('حجز الإجازات'!$E$5:$E$104)&gt;=DH$3)*('حجز الإجازات'!$G$5:$G$104="معتمد")*ROW('حجز الإجازات'!$B$5:$B$104)))-5+1))</f>
        <v/>
      </c>
      <c r="DI10" s="62">
        <f>IF(SUMPRODUCT(('حجز الإجازات'!$B$5:$B$104='الموظفون'!$B$8)*('حجز الإجازات'!$D$5:$D$104&lt;=DI$3)*(('حجز الإجازات'!$E$5:$E$104)&gt;=DI$3)*('حجز الإجازات'!$G$5:$G$104="معتمد")*ROW('حجز الإجازات'!$B$5:$B$104))=0,"",INDEX('حجز الإجازات'!$C$5:$C$104,(SUMPRODUCT(('حجز الإجازات'!$B$5:$B$104='الموظفون'!$B$8)*('حجز الإجازات'!$D$5:$D$104&lt;=DI$3)*(('حجز الإجازات'!$E$5:$E$104)&gt;=DI$3)*('حجز الإجازات'!$G$5:$G$104="معتمد")*ROW('حجز الإجازات'!$B$5:$B$104)))-5+1))</f>
        <v/>
      </c>
      <c r="DJ10" s="62">
        <f>IF(SUMPRODUCT(('حجز الإجازات'!$B$5:$B$104='الموظفون'!$B$8)*('حجز الإجازات'!$D$5:$D$104&lt;=DJ$3)*(('حجز الإجازات'!$E$5:$E$104)&gt;=DJ$3)*('حجز الإجازات'!$G$5:$G$104="معتمد")*ROW('حجز الإجازات'!$B$5:$B$104))=0,"",INDEX('حجز الإجازات'!$C$5:$C$104,(SUMPRODUCT(('حجز الإجازات'!$B$5:$B$104='الموظفون'!$B$8)*('حجز الإجازات'!$D$5:$D$104&lt;=DJ$3)*(('حجز الإجازات'!$E$5:$E$104)&gt;=DJ$3)*('حجز الإجازات'!$G$5:$G$104="معتمد")*ROW('حجز الإجازات'!$B$5:$B$104)))-5+1))</f>
        <v/>
      </c>
      <c r="DK10" s="62">
        <f>IF(SUMPRODUCT(('حجز الإجازات'!$B$5:$B$104='الموظفون'!$B$8)*('حجز الإجازات'!$D$5:$D$104&lt;=DK$3)*(('حجز الإجازات'!$E$5:$E$104)&gt;=DK$3)*('حجز الإجازات'!$G$5:$G$104="معتمد")*ROW('حجز الإجازات'!$B$5:$B$104))=0,"",INDEX('حجز الإجازات'!$C$5:$C$104,(SUMPRODUCT(('حجز الإجازات'!$B$5:$B$104='الموظفون'!$B$8)*('حجز الإجازات'!$D$5:$D$104&lt;=DK$3)*(('حجز الإجازات'!$E$5:$E$104)&gt;=DK$3)*('حجز الإجازات'!$G$5:$G$104="معتمد")*ROW('حجز الإجازات'!$B$5:$B$104)))-5+1))</f>
        <v/>
      </c>
      <c r="DL10" s="62">
        <f>IF(SUMPRODUCT(('حجز الإجازات'!$B$5:$B$104='الموظفون'!$B$8)*('حجز الإجازات'!$D$5:$D$104&lt;=DL$3)*(('حجز الإجازات'!$E$5:$E$104)&gt;=DL$3)*('حجز الإجازات'!$G$5:$G$104="معتمد")*ROW('حجز الإجازات'!$B$5:$B$104))=0,"",INDEX('حجز الإجازات'!$C$5:$C$104,(SUMPRODUCT(('حجز الإجازات'!$B$5:$B$104='الموظفون'!$B$8)*('حجز الإجازات'!$D$5:$D$104&lt;=DL$3)*(('حجز الإجازات'!$E$5:$E$104)&gt;=DL$3)*('حجز الإجازات'!$G$5:$G$104="معتمد")*ROW('حجز الإجازات'!$B$5:$B$104)))-5+1))</f>
        <v/>
      </c>
      <c r="DM10" s="62">
        <f>IF(SUMPRODUCT(('حجز الإجازات'!$B$5:$B$104='الموظفون'!$B$8)*('حجز الإجازات'!$D$5:$D$104&lt;=DM$3)*(('حجز الإجازات'!$E$5:$E$104)&gt;=DM$3)*('حجز الإجازات'!$G$5:$G$104="معتمد")*ROW('حجز الإجازات'!$B$5:$B$104))=0,"",INDEX('حجز الإجازات'!$C$5:$C$104,(SUMPRODUCT(('حجز الإجازات'!$B$5:$B$104='الموظفون'!$B$8)*('حجز الإجازات'!$D$5:$D$104&lt;=DM$3)*(('حجز الإجازات'!$E$5:$E$104)&gt;=DM$3)*('حجز الإجازات'!$G$5:$G$104="معتمد")*ROW('حجز الإجازات'!$B$5:$B$104)))-5+1))</f>
        <v/>
      </c>
      <c r="DN10" s="62">
        <f>IF(SUMPRODUCT(('حجز الإجازات'!$B$5:$B$104='الموظفون'!$B$8)*('حجز الإجازات'!$D$5:$D$104&lt;=DN$3)*(('حجز الإجازات'!$E$5:$E$104)&gt;=DN$3)*('حجز الإجازات'!$G$5:$G$104="معتمد")*ROW('حجز الإجازات'!$B$5:$B$104))=0,"",INDEX('حجز الإجازات'!$C$5:$C$104,(SUMPRODUCT(('حجز الإجازات'!$B$5:$B$104='الموظفون'!$B$8)*('حجز الإجازات'!$D$5:$D$104&lt;=DN$3)*(('حجز الإجازات'!$E$5:$E$104)&gt;=DN$3)*('حجز الإجازات'!$G$5:$G$104="معتمد")*ROW('حجز الإجازات'!$B$5:$B$104)))-5+1))</f>
        <v/>
      </c>
      <c r="DO10" s="62">
        <f>IF(SUMPRODUCT(('حجز الإجازات'!$B$5:$B$104='الموظفون'!$B$8)*('حجز الإجازات'!$D$5:$D$104&lt;=DO$3)*(('حجز الإجازات'!$E$5:$E$104)&gt;=DO$3)*('حجز الإجازات'!$G$5:$G$104="معتمد")*ROW('حجز الإجازات'!$B$5:$B$104))=0,"",INDEX('حجز الإجازات'!$C$5:$C$104,(SUMPRODUCT(('حجز الإجازات'!$B$5:$B$104='الموظفون'!$B$8)*('حجز الإجازات'!$D$5:$D$104&lt;=DO$3)*(('حجز الإجازات'!$E$5:$E$104)&gt;=DO$3)*('حجز الإجازات'!$G$5:$G$104="معتمد")*ROW('حجز الإجازات'!$B$5:$B$104)))-5+1))</f>
        <v/>
      </c>
      <c r="DP10" s="62">
        <f>IF(SUMPRODUCT(('حجز الإجازات'!$B$5:$B$104='الموظفون'!$B$8)*('حجز الإجازات'!$D$5:$D$104&lt;=DP$3)*(('حجز الإجازات'!$E$5:$E$104)&gt;=DP$3)*('حجز الإجازات'!$G$5:$G$104="معتمد")*ROW('حجز الإجازات'!$B$5:$B$104))=0,"",INDEX('حجز الإجازات'!$C$5:$C$104,(SUMPRODUCT(('حجز الإجازات'!$B$5:$B$104='الموظفون'!$B$8)*('حجز الإجازات'!$D$5:$D$104&lt;=DP$3)*(('حجز الإجازات'!$E$5:$E$104)&gt;=DP$3)*('حجز الإجازات'!$G$5:$G$104="معتمد")*ROW('حجز الإجازات'!$B$5:$B$104)))-5+1))</f>
        <v/>
      </c>
      <c r="DQ10" s="62">
        <f>IF(SUMPRODUCT(('حجز الإجازات'!$B$5:$B$104='الموظفون'!$B$8)*('حجز الإجازات'!$D$5:$D$104&lt;=DQ$3)*(('حجز الإجازات'!$E$5:$E$104)&gt;=DQ$3)*('حجز الإجازات'!$G$5:$G$104="معتمد")*ROW('حجز الإجازات'!$B$5:$B$104))=0,"",INDEX('حجز الإجازات'!$C$5:$C$104,(SUMPRODUCT(('حجز الإجازات'!$B$5:$B$104='الموظفون'!$B$8)*('حجز الإجازات'!$D$5:$D$104&lt;=DQ$3)*(('حجز الإجازات'!$E$5:$E$104)&gt;=DQ$3)*('حجز الإجازات'!$G$5:$G$104="معتمد")*ROW('حجز الإجازات'!$B$5:$B$104)))-5+1))</f>
        <v/>
      </c>
      <c r="DR10" s="62">
        <f>IF(SUMPRODUCT(('حجز الإجازات'!$B$5:$B$104='الموظفون'!$B$8)*('حجز الإجازات'!$D$5:$D$104&lt;=DR$3)*(('حجز الإجازات'!$E$5:$E$104)&gt;=DR$3)*('حجز الإجازات'!$G$5:$G$104="معتمد")*ROW('حجز الإجازات'!$B$5:$B$104))=0,"",INDEX('حجز الإجازات'!$C$5:$C$104,(SUMPRODUCT(('حجز الإجازات'!$B$5:$B$104='الموظفون'!$B$8)*('حجز الإجازات'!$D$5:$D$104&lt;=DR$3)*(('حجز الإجازات'!$E$5:$E$104)&gt;=DR$3)*('حجز الإجازات'!$G$5:$G$104="معتمد")*ROW('حجز الإجازات'!$B$5:$B$104)))-5+1))</f>
        <v/>
      </c>
      <c r="DS10" s="62">
        <f>IF(SUMPRODUCT(('حجز الإجازات'!$B$5:$B$104='الموظفون'!$B$8)*('حجز الإجازات'!$D$5:$D$104&lt;=DS$3)*(('حجز الإجازات'!$E$5:$E$104)&gt;=DS$3)*('حجز الإجازات'!$G$5:$G$104="معتمد")*ROW('حجز الإجازات'!$B$5:$B$104))=0,"",INDEX('حجز الإجازات'!$C$5:$C$104,(SUMPRODUCT(('حجز الإجازات'!$B$5:$B$104='الموظفون'!$B$8)*('حجز الإجازات'!$D$5:$D$104&lt;=DS$3)*(('حجز الإجازات'!$E$5:$E$104)&gt;=DS$3)*('حجز الإجازات'!$G$5:$G$104="معتمد")*ROW('حجز الإجازات'!$B$5:$B$104)))-5+1))</f>
        <v/>
      </c>
      <c r="DT10" s="62">
        <f>IF(SUMPRODUCT(('حجز الإجازات'!$B$5:$B$104='الموظفون'!$B$8)*('حجز الإجازات'!$D$5:$D$104&lt;=DT$3)*(('حجز الإجازات'!$E$5:$E$104)&gt;=DT$3)*('حجز الإجازات'!$G$5:$G$104="معتمد")*ROW('حجز الإجازات'!$B$5:$B$104))=0,"",INDEX('حجز الإجازات'!$C$5:$C$104,(SUMPRODUCT(('حجز الإجازات'!$B$5:$B$104='الموظفون'!$B$8)*('حجز الإجازات'!$D$5:$D$104&lt;=DT$3)*(('حجز الإجازات'!$E$5:$E$104)&gt;=DT$3)*('حجز الإجازات'!$G$5:$G$104="معتمد")*ROW('حجز الإجازات'!$B$5:$B$104)))-5+1))</f>
        <v/>
      </c>
      <c r="DU10" s="62">
        <f>IF(SUMPRODUCT(('حجز الإجازات'!$B$5:$B$104='الموظفون'!$B$8)*('حجز الإجازات'!$D$5:$D$104&lt;=DU$3)*(('حجز الإجازات'!$E$5:$E$104)&gt;=DU$3)*('حجز الإجازات'!$G$5:$G$104="معتمد")*ROW('حجز الإجازات'!$B$5:$B$104))=0,"",INDEX('حجز الإجازات'!$C$5:$C$104,(SUMPRODUCT(('حجز الإجازات'!$B$5:$B$104='الموظفون'!$B$8)*('حجز الإجازات'!$D$5:$D$104&lt;=DU$3)*(('حجز الإجازات'!$E$5:$E$104)&gt;=DU$3)*('حجز الإجازات'!$G$5:$G$104="معتمد")*ROW('حجز الإجازات'!$B$5:$B$104)))-5+1))</f>
        <v/>
      </c>
      <c r="DV10" s="62">
        <f>IF(SUMPRODUCT(('حجز الإجازات'!$B$5:$B$104='الموظفون'!$B$8)*('حجز الإجازات'!$D$5:$D$104&lt;=DV$3)*(('حجز الإجازات'!$E$5:$E$104)&gt;=DV$3)*('حجز الإجازات'!$G$5:$G$104="معتمد")*ROW('حجز الإجازات'!$B$5:$B$104))=0,"",INDEX('حجز الإجازات'!$C$5:$C$104,(SUMPRODUCT(('حجز الإجازات'!$B$5:$B$104='الموظفون'!$B$8)*('حجز الإجازات'!$D$5:$D$104&lt;=DV$3)*(('حجز الإجازات'!$E$5:$E$104)&gt;=DV$3)*('حجز الإجازات'!$G$5:$G$104="معتمد")*ROW('حجز الإجازات'!$B$5:$B$104)))-5+1))</f>
        <v/>
      </c>
      <c r="DW10" s="62">
        <f>IF(SUMPRODUCT(('حجز الإجازات'!$B$5:$B$104='الموظفون'!$B$8)*('حجز الإجازات'!$D$5:$D$104&lt;=DW$3)*(('حجز الإجازات'!$E$5:$E$104)&gt;=DW$3)*('حجز الإجازات'!$G$5:$G$104="معتمد")*ROW('حجز الإجازات'!$B$5:$B$104))=0,"",INDEX('حجز الإجازات'!$C$5:$C$104,(SUMPRODUCT(('حجز الإجازات'!$B$5:$B$104='الموظفون'!$B$8)*('حجز الإجازات'!$D$5:$D$104&lt;=DW$3)*(('حجز الإجازات'!$E$5:$E$104)&gt;=DW$3)*('حجز الإجازات'!$G$5:$G$104="معتمد")*ROW('حجز الإجازات'!$B$5:$B$104)))-5+1))</f>
        <v/>
      </c>
      <c r="DX10" s="62">
        <f>IF(SUMPRODUCT(('حجز الإجازات'!$B$5:$B$104='الموظفون'!$B$8)*('حجز الإجازات'!$D$5:$D$104&lt;=DX$3)*(('حجز الإجازات'!$E$5:$E$104)&gt;=DX$3)*('حجز الإجازات'!$G$5:$G$104="معتمد")*ROW('حجز الإجازات'!$B$5:$B$104))=0,"",INDEX('حجز الإجازات'!$C$5:$C$104,(SUMPRODUCT(('حجز الإجازات'!$B$5:$B$104='الموظفون'!$B$8)*('حجز الإجازات'!$D$5:$D$104&lt;=DX$3)*(('حجز الإجازات'!$E$5:$E$104)&gt;=DX$3)*('حجز الإجازات'!$G$5:$G$104="معتمد")*ROW('حجز الإجازات'!$B$5:$B$104)))-5+1))</f>
        <v/>
      </c>
      <c r="DY10" s="62">
        <f>IF(SUMPRODUCT(('حجز الإجازات'!$B$5:$B$104='الموظفون'!$B$8)*('حجز الإجازات'!$D$5:$D$104&lt;=DY$3)*(('حجز الإجازات'!$E$5:$E$104)&gt;=DY$3)*('حجز الإجازات'!$G$5:$G$104="معتمد")*ROW('حجز الإجازات'!$B$5:$B$104))=0,"",INDEX('حجز الإجازات'!$C$5:$C$104,(SUMPRODUCT(('حجز الإجازات'!$B$5:$B$104='الموظفون'!$B$8)*('حجز الإجازات'!$D$5:$D$104&lt;=DY$3)*(('حجز الإجازات'!$E$5:$E$104)&gt;=DY$3)*('حجز الإجازات'!$G$5:$G$104="معتمد")*ROW('حجز الإجازات'!$B$5:$B$104)))-5+1))</f>
        <v/>
      </c>
      <c r="DZ10" s="62">
        <f>IF(SUMPRODUCT(('حجز الإجازات'!$B$5:$B$104='الموظفون'!$B$8)*('حجز الإجازات'!$D$5:$D$104&lt;=DZ$3)*(('حجز الإجازات'!$E$5:$E$104)&gt;=DZ$3)*('حجز الإجازات'!$G$5:$G$104="معتمد")*ROW('حجز الإجازات'!$B$5:$B$104))=0,"",INDEX('حجز الإجازات'!$C$5:$C$104,(SUMPRODUCT(('حجز الإجازات'!$B$5:$B$104='الموظفون'!$B$8)*('حجز الإجازات'!$D$5:$D$104&lt;=DZ$3)*(('حجز الإجازات'!$E$5:$E$104)&gt;=DZ$3)*('حجز الإجازات'!$G$5:$G$104="معتمد")*ROW('حجز الإجازات'!$B$5:$B$104)))-5+1))</f>
        <v/>
      </c>
      <c r="EA10" s="62">
        <f>IF(SUMPRODUCT(('حجز الإجازات'!$B$5:$B$104='الموظفون'!$B$8)*('حجز الإجازات'!$D$5:$D$104&lt;=EA$3)*(('حجز الإجازات'!$E$5:$E$104)&gt;=EA$3)*('حجز الإجازات'!$G$5:$G$104="معتمد")*ROW('حجز الإجازات'!$B$5:$B$104))=0,"",INDEX('حجز الإجازات'!$C$5:$C$104,(SUMPRODUCT(('حجز الإجازات'!$B$5:$B$104='الموظفون'!$B$8)*('حجز الإجازات'!$D$5:$D$104&lt;=EA$3)*(('حجز الإجازات'!$E$5:$E$104)&gt;=EA$3)*('حجز الإجازات'!$G$5:$G$104="معتمد")*ROW('حجز الإجازات'!$B$5:$B$104)))-5+1))</f>
        <v/>
      </c>
      <c r="EB10" s="62">
        <f>IF(SUMPRODUCT(('حجز الإجازات'!$B$5:$B$104='الموظفون'!$B$8)*('حجز الإجازات'!$D$5:$D$104&lt;=EB$3)*(('حجز الإجازات'!$E$5:$E$104)&gt;=EB$3)*('حجز الإجازات'!$G$5:$G$104="معتمد")*ROW('حجز الإجازات'!$B$5:$B$104))=0,"",INDEX('حجز الإجازات'!$C$5:$C$104,(SUMPRODUCT(('حجز الإجازات'!$B$5:$B$104='الموظفون'!$B$8)*('حجز الإجازات'!$D$5:$D$104&lt;=EB$3)*(('حجز الإجازات'!$E$5:$E$104)&gt;=EB$3)*('حجز الإجازات'!$G$5:$G$104="معتمد")*ROW('حجز الإجازات'!$B$5:$B$104)))-5+1))</f>
        <v/>
      </c>
      <c r="EC10" s="62">
        <f>IF(SUMPRODUCT(('حجز الإجازات'!$B$5:$B$104='الموظفون'!$B$8)*('حجز الإجازات'!$D$5:$D$104&lt;=EC$3)*(('حجز الإجازات'!$E$5:$E$104)&gt;=EC$3)*('حجز الإجازات'!$G$5:$G$104="معتمد")*ROW('حجز الإجازات'!$B$5:$B$104))=0,"",INDEX('حجز الإجازات'!$C$5:$C$104,(SUMPRODUCT(('حجز الإجازات'!$B$5:$B$104='الموظفون'!$B$8)*('حجز الإجازات'!$D$5:$D$104&lt;=EC$3)*(('حجز الإجازات'!$E$5:$E$104)&gt;=EC$3)*('حجز الإجازات'!$G$5:$G$104="معتمد")*ROW('حجز الإجازات'!$B$5:$B$104)))-5+1))</f>
        <v/>
      </c>
      <c r="ED10" s="62">
        <f>IF(SUMPRODUCT(('حجز الإجازات'!$B$5:$B$104='الموظفون'!$B$8)*('حجز الإجازات'!$D$5:$D$104&lt;=ED$3)*(('حجز الإجازات'!$E$5:$E$104)&gt;=ED$3)*('حجز الإجازات'!$G$5:$G$104="معتمد")*ROW('حجز الإجازات'!$B$5:$B$104))=0,"",INDEX('حجز الإجازات'!$C$5:$C$104,(SUMPRODUCT(('حجز الإجازات'!$B$5:$B$104='الموظفون'!$B$8)*('حجز الإجازات'!$D$5:$D$104&lt;=ED$3)*(('حجز الإجازات'!$E$5:$E$104)&gt;=ED$3)*('حجز الإجازات'!$G$5:$G$104="معتمد")*ROW('حجز الإجازات'!$B$5:$B$104)))-5+1))</f>
        <v/>
      </c>
      <c r="EE10" s="62">
        <f>IF(SUMPRODUCT(('حجز الإجازات'!$B$5:$B$104='الموظفون'!$B$8)*('حجز الإجازات'!$D$5:$D$104&lt;=EE$3)*(('حجز الإجازات'!$E$5:$E$104)&gt;=EE$3)*('حجز الإجازات'!$G$5:$G$104="معتمد")*ROW('حجز الإجازات'!$B$5:$B$104))=0,"",INDEX('حجز الإجازات'!$C$5:$C$104,(SUMPRODUCT(('حجز الإجازات'!$B$5:$B$104='الموظفون'!$B$8)*('حجز الإجازات'!$D$5:$D$104&lt;=EE$3)*(('حجز الإجازات'!$E$5:$E$104)&gt;=EE$3)*('حجز الإجازات'!$G$5:$G$104="معتمد")*ROW('حجز الإجازات'!$B$5:$B$104)))-5+1))</f>
        <v/>
      </c>
      <c r="EF10" s="62">
        <f>IF(SUMPRODUCT(('حجز الإجازات'!$B$5:$B$104='الموظفون'!$B$8)*('حجز الإجازات'!$D$5:$D$104&lt;=EF$3)*(('حجز الإجازات'!$E$5:$E$104)&gt;=EF$3)*('حجز الإجازات'!$G$5:$G$104="معتمد")*ROW('حجز الإجازات'!$B$5:$B$104))=0,"",INDEX('حجز الإجازات'!$C$5:$C$104,(SUMPRODUCT(('حجز الإجازات'!$B$5:$B$104='الموظفون'!$B$8)*('حجز الإجازات'!$D$5:$D$104&lt;=EF$3)*(('حجز الإجازات'!$E$5:$E$104)&gt;=EF$3)*('حجز الإجازات'!$G$5:$G$104="معتمد")*ROW('حجز الإجازات'!$B$5:$B$104)))-5+1))</f>
        <v/>
      </c>
      <c r="EG10" s="62">
        <f>IF(SUMPRODUCT(('حجز الإجازات'!$B$5:$B$104='الموظفون'!$B$8)*('حجز الإجازات'!$D$5:$D$104&lt;=EG$3)*(('حجز الإجازات'!$E$5:$E$104)&gt;=EG$3)*('حجز الإجازات'!$G$5:$G$104="معتمد")*ROW('حجز الإجازات'!$B$5:$B$104))=0,"",INDEX('حجز الإجازات'!$C$5:$C$104,(SUMPRODUCT(('حجز الإجازات'!$B$5:$B$104='الموظفون'!$B$8)*('حجز الإجازات'!$D$5:$D$104&lt;=EG$3)*(('حجز الإجازات'!$E$5:$E$104)&gt;=EG$3)*('حجز الإجازات'!$G$5:$G$104="معتمد")*ROW('حجز الإجازات'!$B$5:$B$104)))-5+1))</f>
        <v/>
      </c>
      <c r="EH10" s="62">
        <f>IF(SUMPRODUCT(('حجز الإجازات'!$B$5:$B$104='الموظفون'!$B$8)*('حجز الإجازات'!$D$5:$D$104&lt;=EH$3)*(('حجز الإجازات'!$E$5:$E$104)&gt;=EH$3)*('حجز الإجازات'!$G$5:$G$104="معتمد")*ROW('حجز الإجازات'!$B$5:$B$104))=0,"",INDEX('حجز الإجازات'!$C$5:$C$104,(SUMPRODUCT(('حجز الإجازات'!$B$5:$B$104='الموظفون'!$B$8)*('حجز الإجازات'!$D$5:$D$104&lt;=EH$3)*(('حجز الإجازات'!$E$5:$E$104)&gt;=EH$3)*('حجز الإجازات'!$G$5:$G$104="معتمد")*ROW('حجز الإجازات'!$B$5:$B$104)))-5+1))</f>
        <v/>
      </c>
      <c r="EI10" s="62">
        <f>IF(SUMPRODUCT(('حجز الإجازات'!$B$5:$B$104='الموظفون'!$B$8)*('حجز الإجازات'!$D$5:$D$104&lt;=EI$3)*(('حجز الإجازات'!$E$5:$E$104)&gt;=EI$3)*('حجز الإجازات'!$G$5:$G$104="معتمد")*ROW('حجز الإجازات'!$B$5:$B$104))=0,"",INDEX('حجز الإجازات'!$C$5:$C$104,(SUMPRODUCT(('حجز الإجازات'!$B$5:$B$104='الموظفون'!$B$8)*('حجز الإجازات'!$D$5:$D$104&lt;=EI$3)*(('حجز الإجازات'!$E$5:$E$104)&gt;=EI$3)*('حجز الإجازات'!$G$5:$G$104="معتمد")*ROW('حجز الإجازات'!$B$5:$B$104)))-5+1))</f>
        <v/>
      </c>
      <c r="EJ10" s="62">
        <f>IF(SUMPRODUCT(('حجز الإجازات'!$B$5:$B$104='الموظفون'!$B$8)*('حجز الإجازات'!$D$5:$D$104&lt;=EJ$3)*(('حجز الإجازات'!$E$5:$E$104)&gt;=EJ$3)*('حجز الإجازات'!$G$5:$G$104="معتمد")*ROW('حجز الإجازات'!$B$5:$B$104))=0,"",INDEX('حجز الإجازات'!$C$5:$C$104,(SUMPRODUCT(('حجز الإجازات'!$B$5:$B$104='الموظفون'!$B$8)*('حجز الإجازات'!$D$5:$D$104&lt;=EJ$3)*(('حجز الإجازات'!$E$5:$E$104)&gt;=EJ$3)*('حجز الإجازات'!$G$5:$G$104="معتمد")*ROW('حجز الإجازات'!$B$5:$B$104)))-5+1))</f>
        <v/>
      </c>
      <c r="EK10" s="62">
        <f>IF(SUMPRODUCT(('حجز الإجازات'!$B$5:$B$104='الموظفون'!$B$8)*('حجز الإجازات'!$D$5:$D$104&lt;=EK$3)*(('حجز الإجازات'!$E$5:$E$104)&gt;=EK$3)*('حجز الإجازات'!$G$5:$G$104="معتمد")*ROW('حجز الإجازات'!$B$5:$B$104))=0,"",INDEX('حجز الإجازات'!$C$5:$C$104,(SUMPRODUCT(('حجز الإجازات'!$B$5:$B$104='الموظفون'!$B$8)*('حجز الإجازات'!$D$5:$D$104&lt;=EK$3)*(('حجز الإجازات'!$E$5:$E$104)&gt;=EK$3)*('حجز الإجازات'!$G$5:$G$104="معتمد")*ROW('حجز الإجازات'!$B$5:$B$104)))-5+1))</f>
        <v/>
      </c>
      <c r="EL10" s="62">
        <f>IF(SUMPRODUCT(('حجز الإجازات'!$B$5:$B$104='الموظفون'!$B$8)*('حجز الإجازات'!$D$5:$D$104&lt;=EL$3)*(('حجز الإجازات'!$E$5:$E$104)&gt;=EL$3)*('حجز الإجازات'!$G$5:$G$104="معتمد")*ROW('حجز الإجازات'!$B$5:$B$104))=0,"",INDEX('حجز الإجازات'!$C$5:$C$104,(SUMPRODUCT(('حجز الإجازات'!$B$5:$B$104='الموظفون'!$B$8)*('حجز الإجازات'!$D$5:$D$104&lt;=EL$3)*(('حجز الإجازات'!$E$5:$E$104)&gt;=EL$3)*('حجز الإجازات'!$G$5:$G$104="معتمد")*ROW('حجز الإجازات'!$B$5:$B$104)))-5+1))</f>
        <v/>
      </c>
      <c r="EM10" s="62">
        <f>IF(SUMPRODUCT(('حجز الإجازات'!$B$5:$B$104='الموظفون'!$B$8)*('حجز الإجازات'!$D$5:$D$104&lt;=EM$3)*(('حجز الإجازات'!$E$5:$E$104)&gt;=EM$3)*('حجز الإجازات'!$G$5:$G$104="معتمد")*ROW('حجز الإجازات'!$B$5:$B$104))=0,"",INDEX('حجز الإجازات'!$C$5:$C$104,(SUMPRODUCT(('حجز الإجازات'!$B$5:$B$104='الموظفون'!$B$8)*('حجز الإجازات'!$D$5:$D$104&lt;=EM$3)*(('حجز الإجازات'!$E$5:$E$104)&gt;=EM$3)*('حجز الإجازات'!$G$5:$G$104="معتمد")*ROW('حجز الإجازات'!$B$5:$B$104)))-5+1))</f>
        <v/>
      </c>
      <c r="EN10" s="62">
        <f>IF(SUMPRODUCT(('حجز الإجازات'!$B$5:$B$104='الموظفون'!$B$8)*('حجز الإجازات'!$D$5:$D$104&lt;=EN$3)*(('حجز الإجازات'!$E$5:$E$104)&gt;=EN$3)*('حجز الإجازات'!$G$5:$G$104="معتمد")*ROW('حجز الإجازات'!$B$5:$B$104))=0,"",INDEX('حجز الإجازات'!$C$5:$C$104,(SUMPRODUCT(('حجز الإجازات'!$B$5:$B$104='الموظفون'!$B$8)*('حجز الإجازات'!$D$5:$D$104&lt;=EN$3)*(('حجز الإجازات'!$E$5:$E$104)&gt;=EN$3)*('حجز الإجازات'!$G$5:$G$104="معتمد")*ROW('حجز الإجازات'!$B$5:$B$104)))-5+1))</f>
        <v/>
      </c>
      <c r="EO10" s="62">
        <f>IF(SUMPRODUCT(('حجز الإجازات'!$B$5:$B$104='الموظفون'!$B$8)*('حجز الإجازات'!$D$5:$D$104&lt;=EO$3)*(('حجز الإجازات'!$E$5:$E$104)&gt;=EO$3)*('حجز الإجازات'!$G$5:$G$104="معتمد")*ROW('حجز الإجازات'!$B$5:$B$104))=0,"",INDEX('حجز الإجازات'!$C$5:$C$104,(SUMPRODUCT(('حجز الإجازات'!$B$5:$B$104='الموظفون'!$B$8)*('حجز الإجازات'!$D$5:$D$104&lt;=EO$3)*(('حجز الإجازات'!$E$5:$E$104)&gt;=EO$3)*('حجز الإجازات'!$G$5:$G$104="معتمد")*ROW('حجز الإجازات'!$B$5:$B$104)))-5+1))</f>
        <v/>
      </c>
      <c r="EP10" s="62">
        <f>IF(SUMPRODUCT(('حجز الإجازات'!$B$5:$B$104='الموظفون'!$B$8)*('حجز الإجازات'!$D$5:$D$104&lt;=EP$3)*(('حجز الإجازات'!$E$5:$E$104)&gt;=EP$3)*('حجز الإجازات'!$G$5:$G$104="معتمد")*ROW('حجز الإجازات'!$B$5:$B$104))=0,"",INDEX('حجز الإجازات'!$C$5:$C$104,(SUMPRODUCT(('حجز الإجازات'!$B$5:$B$104='الموظفون'!$B$8)*('حجز الإجازات'!$D$5:$D$104&lt;=EP$3)*(('حجز الإجازات'!$E$5:$E$104)&gt;=EP$3)*('حجز الإجازات'!$G$5:$G$104="معتمد")*ROW('حجز الإجازات'!$B$5:$B$104)))-5+1))</f>
        <v/>
      </c>
      <c r="EQ10" s="62">
        <f>IF(SUMPRODUCT(('حجز الإجازات'!$B$5:$B$104='الموظفون'!$B$8)*('حجز الإجازات'!$D$5:$D$104&lt;=EQ$3)*(('حجز الإجازات'!$E$5:$E$104)&gt;=EQ$3)*('حجز الإجازات'!$G$5:$G$104="معتمد")*ROW('حجز الإجازات'!$B$5:$B$104))=0,"",INDEX('حجز الإجازات'!$C$5:$C$104,(SUMPRODUCT(('حجز الإجازات'!$B$5:$B$104='الموظفون'!$B$8)*('حجز الإجازات'!$D$5:$D$104&lt;=EQ$3)*(('حجز الإجازات'!$E$5:$E$104)&gt;=EQ$3)*('حجز الإجازات'!$G$5:$G$104="معتمد")*ROW('حجز الإجازات'!$B$5:$B$104)))-5+1))</f>
        <v/>
      </c>
      <c r="ER10" s="62">
        <f>IF(SUMPRODUCT(('حجز الإجازات'!$B$5:$B$104='الموظفون'!$B$8)*('حجز الإجازات'!$D$5:$D$104&lt;=ER$3)*(('حجز الإجازات'!$E$5:$E$104)&gt;=ER$3)*('حجز الإجازات'!$G$5:$G$104="معتمد")*ROW('حجز الإجازات'!$B$5:$B$104))=0,"",INDEX('حجز الإجازات'!$C$5:$C$104,(SUMPRODUCT(('حجز الإجازات'!$B$5:$B$104='الموظفون'!$B$8)*('حجز الإجازات'!$D$5:$D$104&lt;=ER$3)*(('حجز الإجازات'!$E$5:$E$104)&gt;=ER$3)*('حجز الإجازات'!$G$5:$G$104="معتمد")*ROW('حجز الإجازات'!$B$5:$B$104)))-5+1))</f>
        <v/>
      </c>
      <c r="ES10" s="62">
        <f>IF(SUMPRODUCT(('حجز الإجازات'!$B$5:$B$104='الموظفون'!$B$8)*('حجز الإجازات'!$D$5:$D$104&lt;=ES$3)*(('حجز الإجازات'!$E$5:$E$104)&gt;=ES$3)*('حجز الإجازات'!$G$5:$G$104="معتمد")*ROW('حجز الإجازات'!$B$5:$B$104))=0,"",INDEX('حجز الإجازات'!$C$5:$C$104,(SUMPRODUCT(('حجز الإجازات'!$B$5:$B$104='الموظفون'!$B$8)*('حجز الإجازات'!$D$5:$D$104&lt;=ES$3)*(('حجز الإجازات'!$E$5:$E$104)&gt;=ES$3)*('حجز الإجازات'!$G$5:$G$104="معتمد")*ROW('حجز الإجازات'!$B$5:$B$104)))-5+1))</f>
        <v/>
      </c>
      <c r="ET10" s="62">
        <f>IF(SUMPRODUCT(('حجز الإجازات'!$B$5:$B$104='الموظفون'!$B$8)*('حجز الإجازات'!$D$5:$D$104&lt;=ET$3)*(('حجز الإجازات'!$E$5:$E$104)&gt;=ET$3)*('حجز الإجازات'!$G$5:$G$104="معتمد")*ROW('حجز الإجازات'!$B$5:$B$104))=0,"",INDEX('حجز الإجازات'!$C$5:$C$104,(SUMPRODUCT(('حجز الإجازات'!$B$5:$B$104='الموظفون'!$B$8)*('حجز الإجازات'!$D$5:$D$104&lt;=ET$3)*(('حجز الإجازات'!$E$5:$E$104)&gt;=ET$3)*('حجز الإجازات'!$G$5:$G$104="معتمد")*ROW('حجز الإجازات'!$B$5:$B$104)))-5+1))</f>
        <v/>
      </c>
      <c r="EU10" s="62">
        <f>IF(SUMPRODUCT(('حجز الإجازات'!$B$5:$B$104='الموظفون'!$B$8)*('حجز الإجازات'!$D$5:$D$104&lt;=EU$3)*(('حجز الإجازات'!$E$5:$E$104)&gt;=EU$3)*('حجز الإجازات'!$G$5:$G$104="معتمد")*ROW('حجز الإجازات'!$B$5:$B$104))=0,"",INDEX('حجز الإجازات'!$C$5:$C$104,(SUMPRODUCT(('حجز الإجازات'!$B$5:$B$104='الموظفون'!$B$8)*('حجز الإجازات'!$D$5:$D$104&lt;=EU$3)*(('حجز الإجازات'!$E$5:$E$104)&gt;=EU$3)*('حجز الإجازات'!$G$5:$G$104="معتمد")*ROW('حجز الإجازات'!$B$5:$B$104)))-5+1))</f>
        <v/>
      </c>
      <c r="EV10" s="62">
        <f>IF(SUMPRODUCT(('حجز الإجازات'!$B$5:$B$104='الموظفون'!$B$8)*('حجز الإجازات'!$D$5:$D$104&lt;=EV$3)*(('حجز الإجازات'!$E$5:$E$104)&gt;=EV$3)*('حجز الإجازات'!$G$5:$G$104="معتمد")*ROW('حجز الإجازات'!$B$5:$B$104))=0,"",INDEX('حجز الإجازات'!$C$5:$C$104,(SUMPRODUCT(('حجز الإجازات'!$B$5:$B$104='الموظفون'!$B$8)*('حجز الإجازات'!$D$5:$D$104&lt;=EV$3)*(('حجز الإجازات'!$E$5:$E$104)&gt;=EV$3)*('حجز الإجازات'!$G$5:$G$104="معتمد")*ROW('حجز الإجازات'!$B$5:$B$104)))-5+1))</f>
        <v/>
      </c>
      <c r="EW10" s="62">
        <f>IF(SUMPRODUCT(('حجز الإجازات'!$B$5:$B$104='الموظفون'!$B$8)*('حجز الإجازات'!$D$5:$D$104&lt;=EW$3)*(('حجز الإجازات'!$E$5:$E$104)&gt;=EW$3)*('حجز الإجازات'!$G$5:$G$104="معتمد")*ROW('حجز الإجازات'!$B$5:$B$104))=0,"",INDEX('حجز الإجازات'!$C$5:$C$104,(SUMPRODUCT(('حجز الإجازات'!$B$5:$B$104='الموظفون'!$B$8)*('حجز الإجازات'!$D$5:$D$104&lt;=EW$3)*(('حجز الإجازات'!$E$5:$E$104)&gt;=EW$3)*('حجز الإجازات'!$G$5:$G$104="معتمد")*ROW('حجز الإجازات'!$B$5:$B$104)))-5+1))</f>
        <v/>
      </c>
      <c r="EX10" s="62">
        <f>IF(SUMPRODUCT(('حجز الإجازات'!$B$5:$B$104='الموظفون'!$B$8)*('حجز الإجازات'!$D$5:$D$104&lt;=EX$3)*(('حجز الإجازات'!$E$5:$E$104)&gt;=EX$3)*('حجز الإجازات'!$G$5:$G$104="معتمد")*ROW('حجز الإجازات'!$B$5:$B$104))=0,"",INDEX('حجز الإجازات'!$C$5:$C$104,(SUMPRODUCT(('حجز الإجازات'!$B$5:$B$104='الموظفون'!$B$8)*('حجز الإجازات'!$D$5:$D$104&lt;=EX$3)*(('حجز الإجازات'!$E$5:$E$104)&gt;=EX$3)*('حجز الإجازات'!$G$5:$G$104="معتمد")*ROW('حجز الإجازات'!$B$5:$B$104)))-5+1))</f>
        <v/>
      </c>
      <c r="EY10" s="62">
        <f>IF(SUMPRODUCT(('حجز الإجازات'!$B$5:$B$104='الموظفون'!$B$8)*('حجز الإجازات'!$D$5:$D$104&lt;=EY$3)*(('حجز الإجازات'!$E$5:$E$104)&gt;=EY$3)*('حجز الإجازات'!$G$5:$G$104="معتمد")*ROW('حجز الإجازات'!$B$5:$B$104))=0,"",INDEX('حجز الإجازات'!$C$5:$C$104,(SUMPRODUCT(('حجز الإجازات'!$B$5:$B$104='الموظفون'!$B$8)*('حجز الإجازات'!$D$5:$D$104&lt;=EY$3)*(('حجز الإجازات'!$E$5:$E$104)&gt;=EY$3)*('حجز الإجازات'!$G$5:$G$104="معتمد")*ROW('حجز الإجازات'!$B$5:$B$104)))-5+1))</f>
        <v/>
      </c>
      <c r="EZ10" s="62">
        <f>IF(SUMPRODUCT(('حجز الإجازات'!$B$5:$B$104='الموظفون'!$B$8)*('حجز الإجازات'!$D$5:$D$104&lt;=EZ$3)*(('حجز الإجازات'!$E$5:$E$104)&gt;=EZ$3)*('حجز الإجازات'!$G$5:$G$104="معتمد")*ROW('حجز الإجازات'!$B$5:$B$104))=0,"",INDEX('حجز الإجازات'!$C$5:$C$104,(SUMPRODUCT(('حجز الإجازات'!$B$5:$B$104='الموظفون'!$B$8)*('حجز الإجازات'!$D$5:$D$104&lt;=EZ$3)*(('حجز الإجازات'!$E$5:$E$104)&gt;=EZ$3)*('حجز الإجازات'!$G$5:$G$104="معتمد")*ROW('حجز الإجازات'!$B$5:$B$104)))-5+1))</f>
        <v/>
      </c>
      <c r="FA10" s="62">
        <f>IF(SUMPRODUCT(('حجز الإجازات'!$B$5:$B$104='الموظفون'!$B$8)*('حجز الإجازات'!$D$5:$D$104&lt;=FA$3)*(('حجز الإجازات'!$E$5:$E$104)&gt;=FA$3)*('حجز الإجازات'!$G$5:$G$104="معتمد")*ROW('حجز الإجازات'!$B$5:$B$104))=0,"",INDEX('حجز الإجازات'!$C$5:$C$104,(SUMPRODUCT(('حجز الإجازات'!$B$5:$B$104='الموظفون'!$B$8)*('حجز الإجازات'!$D$5:$D$104&lt;=FA$3)*(('حجز الإجازات'!$E$5:$E$104)&gt;=FA$3)*('حجز الإجازات'!$G$5:$G$104="معتمد")*ROW('حجز الإجازات'!$B$5:$B$104)))-5+1))</f>
        <v/>
      </c>
      <c r="FB10" s="62">
        <f>IF(SUMPRODUCT(('حجز الإجازات'!$B$5:$B$104='الموظفون'!$B$8)*('حجز الإجازات'!$D$5:$D$104&lt;=FB$3)*(('حجز الإجازات'!$E$5:$E$104)&gt;=FB$3)*('حجز الإجازات'!$G$5:$G$104="معتمد")*ROW('حجز الإجازات'!$B$5:$B$104))=0,"",INDEX('حجز الإجازات'!$C$5:$C$104,(SUMPRODUCT(('حجز الإجازات'!$B$5:$B$104='الموظفون'!$B$8)*('حجز الإجازات'!$D$5:$D$104&lt;=FB$3)*(('حجز الإجازات'!$E$5:$E$104)&gt;=FB$3)*('حجز الإجازات'!$G$5:$G$104="معتمد")*ROW('حجز الإجازات'!$B$5:$B$104)))-5+1))</f>
        <v/>
      </c>
      <c r="FC10" s="62">
        <f>IF(SUMPRODUCT(('حجز الإجازات'!$B$5:$B$104='الموظفون'!$B$8)*('حجز الإجازات'!$D$5:$D$104&lt;=FC$3)*(('حجز الإجازات'!$E$5:$E$104)&gt;=FC$3)*('حجز الإجازات'!$G$5:$G$104="معتمد")*ROW('حجز الإجازات'!$B$5:$B$104))=0,"",INDEX('حجز الإجازات'!$C$5:$C$104,(SUMPRODUCT(('حجز الإجازات'!$B$5:$B$104='الموظفون'!$B$8)*('حجز الإجازات'!$D$5:$D$104&lt;=FC$3)*(('حجز الإجازات'!$E$5:$E$104)&gt;=FC$3)*('حجز الإجازات'!$G$5:$G$104="معتمد")*ROW('حجز الإجازات'!$B$5:$B$104)))-5+1))</f>
        <v/>
      </c>
      <c r="FD10" s="62">
        <f>IF(SUMPRODUCT(('حجز الإجازات'!$B$5:$B$104='الموظفون'!$B$8)*('حجز الإجازات'!$D$5:$D$104&lt;=FD$3)*(('حجز الإجازات'!$E$5:$E$104)&gt;=FD$3)*('حجز الإجازات'!$G$5:$G$104="معتمد")*ROW('حجز الإجازات'!$B$5:$B$104))=0,"",INDEX('حجز الإجازات'!$C$5:$C$104,(SUMPRODUCT(('حجز الإجازات'!$B$5:$B$104='الموظفون'!$B$8)*('حجز الإجازات'!$D$5:$D$104&lt;=FD$3)*(('حجز الإجازات'!$E$5:$E$104)&gt;=FD$3)*('حجز الإجازات'!$G$5:$G$104="معتمد")*ROW('حجز الإجازات'!$B$5:$B$104)))-5+1))</f>
        <v/>
      </c>
      <c r="FE10" s="62">
        <f>IF(SUMPRODUCT(('حجز الإجازات'!$B$5:$B$104='الموظفون'!$B$8)*('حجز الإجازات'!$D$5:$D$104&lt;=FE$3)*(('حجز الإجازات'!$E$5:$E$104)&gt;=FE$3)*('حجز الإجازات'!$G$5:$G$104="معتمد")*ROW('حجز الإجازات'!$B$5:$B$104))=0,"",INDEX('حجز الإجازات'!$C$5:$C$104,(SUMPRODUCT(('حجز الإجازات'!$B$5:$B$104='الموظفون'!$B$8)*('حجز الإجازات'!$D$5:$D$104&lt;=FE$3)*(('حجز الإجازات'!$E$5:$E$104)&gt;=FE$3)*('حجز الإجازات'!$G$5:$G$104="معتمد")*ROW('حجز الإجازات'!$B$5:$B$104)))-5+1))</f>
        <v/>
      </c>
      <c r="FF10" s="62">
        <f>IF(SUMPRODUCT(('حجز الإجازات'!$B$5:$B$104='الموظفون'!$B$8)*('حجز الإجازات'!$D$5:$D$104&lt;=FF$3)*(('حجز الإجازات'!$E$5:$E$104)&gt;=FF$3)*('حجز الإجازات'!$G$5:$G$104="معتمد")*ROW('حجز الإجازات'!$B$5:$B$104))=0,"",INDEX('حجز الإجازات'!$C$5:$C$104,(SUMPRODUCT(('حجز الإجازات'!$B$5:$B$104='الموظفون'!$B$8)*('حجز الإجازات'!$D$5:$D$104&lt;=FF$3)*(('حجز الإجازات'!$E$5:$E$104)&gt;=FF$3)*('حجز الإجازات'!$G$5:$G$104="معتمد")*ROW('حجز الإجازات'!$B$5:$B$104)))-5+1))</f>
        <v/>
      </c>
      <c r="FG10" s="62">
        <f>IF(SUMPRODUCT(('حجز الإجازات'!$B$5:$B$104='الموظفون'!$B$8)*('حجز الإجازات'!$D$5:$D$104&lt;=FG$3)*(('حجز الإجازات'!$E$5:$E$104)&gt;=FG$3)*('حجز الإجازات'!$G$5:$G$104="معتمد")*ROW('حجز الإجازات'!$B$5:$B$104))=0,"",INDEX('حجز الإجازات'!$C$5:$C$104,(SUMPRODUCT(('حجز الإجازات'!$B$5:$B$104='الموظفون'!$B$8)*('حجز الإجازات'!$D$5:$D$104&lt;=FG$3)*(('حجز الإجازات'!$E$5:$E$104)&gt;=FG$3)*('حجز الإجازات'!$G$5:$G$104="معتمد")*ROW('حجز الإجازات'!$B$5:$B$104)))-5+1))</f>
        <v/>
      </c>
      <c r="FH10" s="62">
        <f>IF(SUMPRODUCT(('حجز الإجازات'!$B$5:$B$104='الموظفون'!$B$8)*('حجز الإجازات'!$D$5:$D$104&lt;=FH$3)*(('حجز الإجازات'!$E$5:$E$104)&gt;=FH$3)*('حجز الإجازات'!$G$5:$G$104="معتمد")*ROW('حجز الإجازات'!$B$5:$B$104))=0,"",INDEX('حجز الإجازات'!$C$5:$C$104,(SUMPRODUCT(('حجز الإجازات'!$B$5:$B$104='الموظفون'!$B$8)*('حجز الإجازات'!$D$5:$D$104&lt;=FH$3)*(('حجز الإجازات'!$E$5:$E$104)&gt;=FH$3)*('حجز الإجازات'!$G$5:$G$104="معتمد")*ROW('حجز الإجازات'!$B$5:$B$104)))-5+1))</f>
        <v/>
      </c>
      <c r="FI10" s="62">
        <f>IF(SUMPRODUCT(('حجز الإجازات'!$B$5:$B$104='الموظفون'!$B$8)*('حجز الإجازات'!$D$5:$D$104&lt;=FI$3)*(('حجز الإجازات'!$E$5:$E$104)&gt;=FI$3)*('حجز الإجازات'!$G$5:$G$104="معتمد")*ROW('حجز الإجازات'!$B$5:$B$104))=0,"",INDEX('حجز الإجازات'!$C$5:$C$104,(SUMPRODUCT(('حجز الإجازات'!$B$5:$B$104='الموظفون'!$B$8)*('حجز الإجازات'!$D$5:$D$104&lt;=FI$3)*(('حجز الإجازات'!$E$5:$E$104)&gt;=FI$3)*('حجز الإجازات'!$G$5:$G$104="معتمد")*ROW('حجز الإجازات'!$B$5:$B$104)))-5+1))</f>
        <v/>
      </c>
      <c r="FJ10" s="62">
        <f>IF(SUMPRODUCT(('حجز الإجازات'!$B$5:$B$104='الموظفون'!$B$8)*('حجز الإجازات'!$D$5:$D$104&lt;=FJ$3)*(('حجز الإجازات'!$E$5:$E$104)&gt;=FJ$3)*('حجز الإجازات'!$G$5:$G$104="معتمد")*ROW('حجز الإجازات'!$B$5:$B$104))=0,"",INDEX('حجز الإجازات'!$C$5:$C$104,(SUMPRODUCT(('حجز الإجازات'!$B$5:$B$104='الموظفون'!$B$8)*('حجز الإجازات'!$D$5:$D$104&lt;=FJ$3)*(('حجز الإجازات'!$E$5:$E$104)&gt;=FJ$3)*('حجز الإجازات'!$G$5:$G$104="معتمد")*ROW('حجز الإجازات'!$B$5:$B$104)))-5+1))</f>
        <v/>
      </c>
      <c r="FK10" s="62">
        <f>IF(SUMPRODUCT(('حجز الإجازات'!$B$5:$B$104='الموظفون'!$B$8)*('حجز الإجازات'!$D$5:$D$104&lt;=FK$3)*(('حجز الإجازات'!$E$5:$E$104)&gt;=FK$3)*('حجز الإجازات'!$G$5:$G$104="معتمد")*ROW('حجز الإجازات'!$B$5:$B$104))=0,"",INDEX('حجز الإجازات'!$C$5:$C$104,(SUMPRODUCT(('حجز الإجازات'!$B$5:$B$104='الموظفون'!$B$8)*('حجز الإجازات'!$D$5:$D$104&lt;=FK$3)*(('حجز الإجازات'!$E$5:$E$104)&gt;=FK$3)*('حجز الإجازات'!$G$5:$G$104="معتمد")*ROW('حجز الإجازات'!$B$5:$B$104)))-5+1))</f>
        <v/>
      </c>
      <c r="FL10" s="62">
        <f>IF(SUMPRODUCT(('حجز الإجازات'!$B$5:$B$104='الموظفون'!$B$8)*('حجز الإجازات'!$D$5:$D$104&lt;=FL$3)*(('حجز الإجازات'!$E$5:$E$104)&gt;=FL$3)*('حجز الإجازات'!$G$5:$G$104="معتمد")*ROW('حجز الإجازات'!$B$5:$B$104))=0,"",INDEX('حجز الإجازات'!$C$5:$C$104,(SUMPRODUCT(('حجز الإجازات'!$B$5:$B$104='الموظفون'!$B$8)*('حجز الإجازات'!$D$5:$D$104&lt;=FL$3)*(('حجز الإجازات'!$E$5:$E$104)&gt;=FL$3)*('حجز الإجازات'!$G$5:$G$104="معتمد")*ROW('حجز الإجازات'!$B$5:$B$104)))-5+1))</f>
        <v/>
      </c>
      <c r="FM10" s="62">
        <f>IF(SUMPRODUCT(('حجز الإجازات'!$B$5:$B$104='الموظفون'!$B$8)*('حجز الإجازات'!$D$5:$D$104&lt;=FM$3)*(('حجز الإجازات'!$E$5:$E$104)&gt;=FM$3)*('حجز الإجازات'!$G$5:$G$104="معتمد")*ROW('حجز الإجازات'!$B$5:$B$104))=0,"",INDEX('حجز الإجازات'!$C$5:$C$104,(SUMPRODUCT(('حجز الإجازات'!$B$5:$B$104='الموظفون'!$B$8)*('حجز الإجازات'!$D$5:$D$104&lt;=FM$3)*(('حجز الإجازات'!$E$5:$E$104)&gt;=FM$3)*('حجز الإجازات'!$G$5:$G$104="معتمد")*ROW('حجز الإجازات'!$B$5:$B$104)))-5+1))</f>
        <v/>
      </c>
      <c r="FN10" s="62">
        <f>IF(SUMPRODUCT(('حجز الإجازات'!$B$5:$B$104='الموظفون'!$B$8)*('حجز الإجازات'!$D$5:$D$104&lt;=FN$3)*(('حجز الإجازات'!$E$5:$E$104)&gt;=FN$3)*('حجز الإجازات'!$G$5:$G$104="معتمد")*ROW('حجز الإجازات'!$B$5:$B$104))=0,"",INDEX('حجز الإجازات'!$C$5:$C$104,(SUMPRODUCT(('حجز الإجازات'!$B$5:$B$104='الموظفون'!$B$8)*('حجز الإجازات'!$D$5:$D$104&lt;=FN$3)*(('حجز الإجازات'!$E$5:$E$104)&gt;=FN$3)*('حجز الإجازات'!$G$5:$G$104="معتمد")*ROW('حجز الإجازات'!$B$5:$B$104)))-5+1))</f>
        <v/>
      </c>
      <c r="FO10" s="62">
        <f>IF(SUMPRODUCT(('حجز الإجازات'!$B$5:$B$104='الموظفون'!$B$8)*('حجز الإجازات'!$D$5:$D$104&lt;=FO$3)*(('حجز الإجازات'!$E$5:$E$104)&gt;=FO$3)*('حجز الإجازات'!$G$5:$G$104="معتمد")*ROW('حجز الإجازات'!$B$5:$B$104))=0,"",INDEX('حجز الإجازات'!$C$5:$C$104,(SUMPRODUCT(('حجز الإجازات'!$B$5:$B$104='الموظفون'!$B$8)*('حجز الإجازات'!$D$5:$D$104&lt;=FO$3)*(('حجز الإجازات'!$E$5:$E$104)&gt;=FO$3)*('حجز الإجازات'!$G$5:$G$104="معتمد")*ROW('حجز الإجازات'!$B$5:$B$104)))-5+1))</f>
        <v/>
      </c>
      <c r="FP10" s="62">
        <f>IF(SUMPRODUCT(('حجز الإجازات'!$B$5:$B$104='الموظفون'!$B$8)*('حجز الإجازات'!$D$5:$D$104&lt;=FP$3)*(('حجز الإجازات'!$E$5:$E$104)&gt;=FP$3)*('حجز الإجازات'!$G$5:$G$104="معتمد")*ROW('حجز الإجازات'!$B$5:$B$104))=0,"",INDEX('حجز الإجازات'!$C$5:$C$104,(SUMPRODUCT(('حجز الإجازات'!$B$5:$B$104='الموظفون'!$B$8)*('حجز الإجازات'!$D$5:$D$104&lt;=FP$3)*(('حجز الإجازات'!$E$5:$E$104)&gt;=FP$3)*('حجز الإجازات'!$G$5:$G$104="معتمد")*ROW('حجز الإجازات'!$B$5:$B$104)))-5+1))</f>
        <v/>
      </c>
      <c r="FQ10" s="62">
        <f>IF(SUMPRODUCT(('حجز الإجازات'!$B$5:$B$104='الموظفون'!$B$8)*('حجز الإجازات'!$D$5:$D$104&lt;=FQ$3)*(('حجز الإجازات'!$E$5:$E$104)&gt;=FQ$3)*('حجز الإجازات'!$G$5:$G$104="معتمد")*ROW('حجز الإجازات'!$B$5:$B$104))=0,"",INDEX('حجز الإجازات'!$C$5:$C$104,(SUMPRODUCT(('حجز الإجازات'!$B$5:$B$104='الموظفون'!$B$8)*('حجز الإجازات'!$D$5:$D$104&lt;=FQ$3)*(('حجز الإجازات'!$E$5:$E$104)&gt;=FQ$3)*('حجز الإجازات'!$G$5:$G$104="معتمد")*ROW('حجز الإجازات'!$B$5:$B$104)))-5+1))</f>
        <v/>
      </c>
      <c r="FR10" s="62">
        <f>IF(SUMPRODUCT(('حجز الإجازات'!$B$5:$B$104='الموظفون'!$B$8)*('حجز الإجازات'!$D$5:$D$104&lt;=FR$3)*(('حجز الإجازات'!$E$5:$E$104)&gt;=FR$3)*('حجز الإجازات'!$G$5:$G$104="معتمد")*ROW('حجز الإجازات'!$B$5:$B$104))=0,"",INDEX('حجز الإجازات'!$C$5:$C$104,(SUMPRODUCT(('حجز الإجازات'!$B$5:$B$104='الموظفون'!$B$8)*('حجز الإجازات'!$D$5:$D$104&lt;=FR$3)*(('حجز الإجازات'!$E$5:$E$104)&gt;=FR$3)*('حجز الإجازات'!$G$5:$G$104="معتمد")*ROW('حجز الإجازات'!$B$5:$B$104)))-5+1))</f>
        <v/>
      </c>
      <c r="FS10" s="62">
        <f>IF(SUMPRODUCT(('حجز الإجازات'!$B$5:$B$104='الموظفون'!$B$8)*('حجز الإجازات'!$D$5:$D$104&lt;=FS$3)*(('حجز الإجازات'!$E$5:$E$104)&gt;=FS$3)*('حجز الإجازات'!$G$5:$G$104="معتمد")*ROW('حجز الإجازات'!$B$5:$B$104))=0,"",INDEX('حجز الإجازات'!$C$5:$C$104,(SUMPRODUCT(('حجز الإجازات'!$B$5:$B$104='الموظفون'!$B$8)*('حجز الإجازات'!$D$5:$D$104&lt;=FS$3)*(('حجز الإجازات'!$E$5:$E$104)&gt;=FS$3)*('حجز الإجازات'!$G$5:$G$104="معتمد")*ROW('حجز الإجازات'!$B$5:$B$104)))-5+1))</f>
        <v/>
      </c>
      <c r="FT10" s="62">
        <f>IF(SUMPRODUCT(('حجز الإجازات'!$B$5:$B$104='الموظفون'!$B$8)*('حجز الإجازات'!$D$5:$D$104&lt;=FT$3)*(('حجز الإجازات'!$E$5:$E$104)&gt;=FT$3)*('حجز الإجازات'!$G$5:$G$104="معتمد")*ROW('حجز الإجازات'!$B$5:$B$104))=0,"",INDEX('حجز الإجازات'!$C$5:$C$104,(SUMPRODUCT(('حجز الإجازات'!$B$5:$B$104='الموظفون'!$B$8)*('حجز الإجازات'!$D$5:$D$104&lt;=FT$3)*(('حجز الإجازات'!$E$5:$E$104)&gt;=FT$3)*('حجز الإجازات'!$G$5:$G$104="معتمد")*ROW('حجز الإجازات'!$B$5:$B$104)))-5+1))</f>
        <v/>
      </c>
      <c r="FU10" s="62">
        <f>IF(SUMPRODUCT(('حجز الإجازات'!$B$5:$B$104='الموظفون'!$B$8)*('حجز الإجازات'!$D$5:$D$104&lt;=FU$3)*(('حجز الإجازات'!$E$5:$E$104)&gt;=FU$3)*('حجز الإجازات'!$G$5:$G$104="معتمد")*ROW('حجز الإجازات'!$B$5:$B$104))=0,"",INDEX('حجز الإجازات'!$C$5:$C$104,(SUMPRODUCT(('حجز الإجازات'!$B$5:$B$104='الموظفون'!$B$8)*('حجز الإجازات'!$D$5:$D$104&lt;=FU$3)*(('حجز الإجازات'!$E$5:$E$104)&gt;=FU$3)*('حجز الإجازات'!$G$5:$G$104="معتمد")*ROW('حجز الإجازات'!$B$5:$B$104)))-5+1))</f>
        <v/>
      </c>
      <c r="FV10" s="62">
        <f>IF(SUMPRODUCT(('حجز الإجازات'!$B$5:$B$104='الموظفون'!$B$8)*('حجز الإجازات'!$D$5:$D$104&lt;=FV$3)*(('حجز الإجازات'!$E$5:$E$104)&gt;=FV$3)*('حجز الإجازات'!$G$5:$G$104="معتمد")*ROW('حجز الإجازات'!$B$5:$B$104))=0,"",INDEX('حجز الإجازات'!$C$5:$C$104,(SUMPRODUCT(('حجز الإجازات'!$B$5:$B$104='الموظفون'!$B$8)*('حجز الإجازات'!$D$5:$D$104&lt;=FV$3)*(('حجز الإجازات'!$E$5:$E$104)&gt;=FV$3)*('حجز الإجازات'!$G$5:$G$104="معتمد")*ROW('حجز الإجازات'!$B$5:$B$104)))-5+1))</f>
        <v/>
      </c>
      <c r="FW10" s="62">
        <f>IF(SUMPRODUCT(('حجز الإجازات'!$B$5:$B$104='الموظفون'!$B$8)*('حجز الإجازات'!$D$5:$D$104&lt;=FW$3)*(('حجز الإجازات'!$E$5:$E$104)&gt;=FW$3)*('حجز الإجازات'!$G$5:$G$104="معتمد")*ROW('حجز الإجازات'!$B$5:$B$104))=0,"",INDEX('حجز الإجازات'!$C$5:$C$104,(SUMPRODUCT(('حجز الإجازات'!$B$5:$B$104='الموظفون'!$B$8)*('حجز الإجازات'!$D$5:$D$104&lt;=FW$3)*(('حجز الإجازات'!$E$5:$E$104)&gt;=FW$3)*('حجز الإجازات'!$G$5:$G$104="معتمد")*ROW('حجز الإجازات'!$B$5:$B$104)))-5+1))</f>
        <v/>
      </c>
      <c r="FX10" s="62">
        <f>IF(SUMPRODUCT(('حجز الإجازات'!$B$5:$B$104='الموظفون'!$B$8)*('حجز الإجازات'!$D$5:$D$104&lt;=FX$3)*(('حجز الإجازات'!$E$5:$E$104)&gt;=FX$3)*('حجز الإجازات'!$G$5:$G$104="معتمد")*ROW('حجز الإجازات'!$B$5:$B$104))=0,"",INDEX('حجز الإجازات'!$C$5:$C$104,(SUMPRODUCT(('حجز الإجازات'!$B$5:$B$104='الموظفون'!$B$8)*('حجز الإجازات'!$D$5:$D$104&lt;=FX$3)*(('حجز الإجازات'!$E$5:$E$104)&gt;=FX$3)*('حجز الإجازات'!$G$5:$G$104="معتمد")*ROW('حجز الإجازات'!$B$5:$B$104)))-5+1))</f>
        <v/>
      </c>
      <c r="FY10" s="62">
        <f>IF(SUMPRODUCT(('حجز الإجازات'!$B$5:$B$104='الموظفون'!$B$8)*('حجز الإجازات'!$D$5:$D$104&lt;=FY$3)*(('حجز الإجازات'!$E$5:$E$104)&gt;=FY$3)*('حجز الإجازات'!$G$5:$G$104="معتمد")*ROW('حجز الإجازات'!$B$5:$B$104))=0,"",INDEX('حجز الإجازات'!$C$5:$C$104,(SUMPRODUCT(('حجز الإجازات'!$B$5:$B$104='الموظفون'!$B$8)*('حجز الإجازات'!$D$5:$D$104&lt;=FY$3)*(('حجز الإجازات'!$E$5:$E$104)&gt;=FY$3)*('حجز الإجازات'!$G$5:$G$104="معتمد")*ROW('حجز الإجازات'!$B$5:$B$104)))-5+1))</f>
        <v/>
      </c>
      <c r="FZ10" s="62">
        <f>IF(SUMPRODUCT(('حجز الإجازات'!$B$5:$B$104='الموظفون'!$B$8)*('حجز الإجازات'!$D$5:$D$104&lt;=FZ$3)*(('حجز الإجازات'!$E$5:$E$104)&gt;=FZ$3)*('حجز الإجازات'!$G$5:$G$104="معتمد")*ROW('حجز الإجازات'!$B$5:$B$104))=0,"",INDEX('حجز الإجازات'!$C$5:$C$104,(SUMPRODUCT(('حجز الإجازات'!$B$5:$B$104='الموظفون'!$B$8)*('حجز الإجازات'!$D$5:$D$104&lt;=FZ$3)*(('حجز الإجازات'!$E$5:$E$104)&gt;=FZ$3)*('حجز الإجازات'!$G$5:$G$104="معتمد")*ROW('حجز الإجازات'!$B$5:$B$104)))-5+1))</f>
        <v/>
      </c>
      <c r="GA10" s="62">
        <f>IF(SUMPRODUCT(('حجز الإجازات'!$B$5:$B$104='الموظفون'!$B$8)*('حجز الإجازات'!$D$5:$D$104&lt;=GA$3)*(('حجز الإجازات'!$E$5:$E$104)&gt;=GA$3)*('حجز الإجازات'!$G$5:$G$104="معتمد")*ROW('حجز الإجازات'!$B$5:$B$104))=0,"",INDEX('حجز الإجازات'!$C$5:$C$104,(SUMPRODUCT(('حجز الإجازات'!$B$5:$B$104='الموظفون'!$B$8)*('حجز الإجازات'!$D$5:$D$104&lt;=GA$3)*(('حجز الإجازات'!$E$5:$E$104)&gt;=GA$3)*('حجز الإجازات'!$G$5:$G$104="معتمد")*ROW('حجز الإجازات'!$B$5:$B$104)))-5+1))</f>
        <v/>
      </c>
      <c r="GB10" s="62">
        <f>IF(SUMPRODUCT(('حجز الإجازات'!$B$5:$B$104='الموظفون'!$B$8)*('حجز الإجازات'!$D$5:$D$104&lt;=GB$3)*(('حجز الإجازات'!$E$5:$E$104)&gt;=GB$3)*('حجز الإجازات'!$G$5:$G$104="معتمد")*ROW('حجز الإجازات'!$B$5:$B$104))=0,"",INDEX('حجز الإجازات'!$C$5:$C$104,(SUMPRODUCT(('حجز الإجازات'!$B$5:$B$104='الموظفون'!$B$8)*('حجز الإجازات'!$D$5:$D$104&lt;=GB$3)*(('حجز الإجازات'!$E$5:$E$104)&gt;=GB$3)*('حجز الإجازات'!$G$5:$G$104="معتمد")*ROW('حجز الإجازات'!$B$5:$B$104)))-5+1))</f>
        <v/>
      </c>
      <c r="GC10" s="62">
        <f>IF(SUMPRODUCT(('حجز الإجازات'!$B$5:$B$104='الموظفون'!$B$8)*('حجز الإجازات'!$D$5:$D$104&lt;=GC$3)*(('حجز الإجازات'!$E$5:$E$104)&gt;=GC$3)*('حجز الإجازات'!$G$5:$G$104="معتمد")*ROW('حجز الإجازات'!$B$5:$B$104))=0,"",INDEX('حجز الإجازات'!$C$5:$C$104,(SUMPRODUCT(('حجز الإجازات'!$B$5:$B$104='الموظفون'!$B$8)*('حجز الإجازات'!$D$5:$D$104&lt;=GC$3)*(('حجز الإجازات'!$E$5:$E$104)&gt;=GC$3)*('حجز الإجازات'!$G$5:$G$104="معتمد")*ROW('حجز الإجازات'!$B$5:$B$104)))-5+1))</f>
        <v/>
      </c>
      <c r="GD10" s="62">
        <f>IF(SUMPRODUCT(('حجز الإجازات'!$B$5:$B$104='الموظفون'!$B$8)*('حجز الإجازات'!$D$5:$D$104&lt;=GD$3)*(('حجز الإجازات'!$E$5:$E$104)&gt;=GD$3)*('حجز الإجازات'!$G$5:$G$104="معتمد")*ROW('حجز الإجازات'!$B$5:$B$104))=0,"",INDEX('حجز الإجازات'!$C$5:$C$104,(SUMPRODUCT(('حجز الإجازات'!$B$5:$B$104='الموظفون'!$B$8)*('حجز الإجازات'!$D$5:$D$104&lt;=GD$3)*(('حجز الإجازات'!$E$5:$E$104)&gt;=GD$3)*('حجز الإجازات'!$G$5:$G$104="معتمد")*ROW('حجز الإجازات'!$B$5:$B$104)))-5+1))</f>
        <v/>
      </c>
      <c r="GE10" s="62">
        <f>IF(SUMPRODUCT(('حجز الإجازات'!$B$5:$B$104='الموظفون'!$B$8)*('حجز الإجازات'!$D$5:$D$104&lt;=GE$3)*(('حجز الإجازات'!$E$5:$E$104)&gt;=GE$3)*('حجز الإجازات'!$G$5:$G$104="معتمد")*ROW('حجز الإجازات'!$B$5:$B$104))=0,"",INDEX('حجز الإجازات'!$C$5:$C$104,(SUMPRODUCT(('حجز الإجازات'!$B$5:$B$104='الموظفون'!$B$8)*('حجز الإجازات'!$D$5:$D$104&lt;=GE$3)*(('حجز الإجازات'!$E$5:$E$104)&gt;=GE$3)*('حجز الإجازات'!$G$5:$G$104="معتمد")*ROW('حجز الإجازات'!$B$5:$B$104)))-5+1))</f>
        <v/>
      </c>
      <c r="GF10" s="62">
        <f>IF(SUMPRODUCT(('حجز الإجازات'!$B$5:$B$104='الموظفون'!$B$8)*('حجز الإجازات'!$D$5:$D$104&lt;=GF$3)*(('حجز الإجازات'!$E$5:$E$104)&gt;=GF$3)*('حجز الإجازات'!$G$5:$G$104="معتمد")*ROW('حجز الإجازات'!$B$5:$B$104))=0,"",INDEX('حجز الإجازات'!$C$5:$C$104,(SUMPRODUCT(('حجز الإجازات'!$B$5:$B$104='الموظفون'!$B$8)*('حجز الإجازات'!$D$5:$D$104&lt;=GF$3)*(('حجز الإجازات'!$E$5:$E$104)&gt;=GF$3)*('حجز الإجازات'!$G$5:$G$104="معتمد")*ROW('حجز الإجازات'!$B$5:$B$104)))-5+1))</f>
        <v/>
      </c>
      <c r="GG10" s="62">
        <f>IF(SUMPRODUCT(('حجز الإجازات'!$B$5:$B$104='الموظفون'!$B$8)*('حجز الإجازات'!$D$5:$D$104&lt;=GG$3)*(('حجز الإجازات'!$E$5:$E$104)&gt;=GG$3)*('حجز الإجازات'!$G$5:$G$104="معتمد")*ROW('حجز الإجازات'!$B$5:$B$104))=0,"",INDEX('حجز الإجازات'!$C$5:$C$104,(SUMPRODUCT(('حجز الإجازات'!$B$5:$B$104='الموظفون'!$B$8)*('حجز الإجازات'!$D$5:$D$104&lt;=GG$3)*(('حجز الإجازات'!$E$5:$E$104)&gt;=GG$3)*('حجز الإجازات'!$G$5:$G$104="معتمد")*ROW('حجز الإجازات'!$B$5:$B$104)))-5+1))</f>
        <v/>
      </c>
      <c r="GH10" s="62">
        <f>IF(SUMPRODUCT(('حجز الإجازات'!$B$5:$B$104='الموظفون'!$B$8)*('حجز الإجازات'!$D$5:$D$104&lt;=GH$3)*(('حجز الإجازات'!$E$5:$E$104)&gt;=GH$3)*('حجز الإجازات'!$G$5:$G$104="معتمد")*ROW('حجز الإجازات'!$B$5:$B$104))=0,"",INDEX('حجز الإجازات'!$C$5:$C$104,(SUMPRODUCT(('حجز الإجازات'!$B$5:$B$104='الموظفون'!$B$8)*('حجز الإجازات'!$D$5:$D$104&lt;=GH$3)*(('حجز الإجازات'!$E$5:$E$104)&gt;=GH$3)*('حجز الإجازات'!$G$5:$G$104="معتمد")*ROW('حجز الإجازات'!$B$5:$B$104)))-5+1))</f>
        <v/>
      </c>
      <c r="GI10" s="62">
        <f>IF(SUMPRODUCT(('حجز الإجازات'!$B$5:$B$104='الموظفون'!$B$8)*('حجز الإجازات'!$D$5:$D$104&lt;=GI$3)*(('حجز الإجازات'!$E$5:$E$104)&gt;=GI$3)*('حجز الإجازات'!$G$5:$G$104="معتمد")*ROW('حجز الإجازات'!$B$5:$B$104))=0,"",INDEX('حجز الإجازات'!$C$5:$C$104,(SUMPRODUCT(('حجز الإجازات'!$B$5:$B$104='الموظفون'!$B$8)*('حجز الإجازات'!$D$5:$D$104&lt;=GI$3)*(('حجز الإجازات'!$E$5:$E$104)&gt;=GI$3)*('حجز الإجازات'!$G$5:$G$104="معتمد")*ROW('حجز الإجازات'!$B$5:$B$104)))-5+1))</f>
        <v/>
      </c>
      <c r="GJ10" s="62">
        <f>IF(SUMPRODUCT(('حجز الإجازات'!$B$5:$B$104='الموظفون'!$B$8)*('حجز الإجازات'!$D$5:$D$104&lt;=GJ$3)*(('حجز الإجازات'!$E$5:$E$104)&gt;=GJ$3)*('حجز الإجازات'!$G$5:$G$104="معتمد")*ROW('حجز الإجازات'!$B$5:$B$104))=0,"",INDEX('حجز الإجازات'!$C$5:$C$104,(SUMPRODUCT(('حجز الإجازات'!$B$5:$B$104='الموظفون'!$B$8)*('حجز الإجازات'!$D$5:$D$104&lt;=GJ$3)*(('حجز الإجازات'!$E$5:$E$104)&gt;=GJ$3)*('حجز الإجازات'!$G$5:$G$104="معتمد")*ROW('حجز الإجازات'!$B$5:$B$104)))-5+1))</f>
        <v/>
      </c>
      <c r="GK10" s="62">
        <f>IF(SUMPRODUCT(('حجز الإجازات'!$B$5:$B$104='الموظفون'!$B$8)*('حجز الإجازات'!$D$5:$D$104&lt;=GK$3)*(('حجز الإجازات'!$E$5:$E$104)&gt;=GK$3)*('حجز الإجازات'!$G$5:$G$104="معتمد")*ROW('حجز الإجازات'!$B$5:$B$104))=0,"",INDEX('حجز الإجازات'!$C$5:$C$104,(SUMPRODUCT(('حجز الإجازات'!$B$5:$B$104='الموظفون'!$B$8)*('حجز الإجازات'!$D$5:$D$104&lt;=GK$3)*(('حجز الإجازات'!$E$5:$E$104)&gt;=GK$3)*('حجز الإجازات'!$G$5:$G$104="معتمد")*ROW('حجز الإجازات'!$B$5:$B$104)))-5+1))</f>
        <v/>
      </c>
      <c r="GL10" s="62">
        <f>IF(SUMPRODUCT(('حجز الإجازات'!$B$5:$B$104='الموظفون'!$B$8)*('حجز الإجازات'!$D$5:$D$104&lt;=GL$3)*(('حجز الإجازات'!$E$5:$E$104)&gt;=GL$3)*('حجز الإجازات'!$G$5:$G$104="معتمد")*ROW('حجز الإجازات'!$B$5:$B$104))=0,"",INDEX('حجز الإجازات'!$C$5:$C$104,(SUMPRODUCT(('حجز الإجازات'!$B$5:$B$104='الموظفون'!$B$8)*('حجز الإجازات'!$D$5:$D$104&lt;=GL$3)*(('حجز الإجازات'!$E$5:$E$104)&gt;=GL$3)*('حجز الإجازات'!$G$5:$G$104="معتمد")*ROW('حجز الإجازات'!$B$5:$B$104)))-5+1))</f>
        <v/>
      </c>
      <c r="GM10" s="62">
        <f>IF(SUMPRODUCT(('حجز الإجازات'!$B$5:$B$104='الموظفون'!$B$8)*('حجز الإجازات'!$D$5:$D$104&lt;=GM$3)*(('حجز الإجازات'!$E$5:$E$104)&gt;=GM$3)*('حجز الإجازات'!$G$5:$G$104="معتمد")*ROW('حجز الإجازات'!$B$5:$B$104))=0,"",INDEX('حجز الإجازات'!$C$5:$C$104,(SUMPRODUCT(('حجز الإجازات'!$B$5:$B$104='الموظفون'!$B$8)*('حجز الإجازات'!$D$5:$D$104&lt;=GM$3)*(('حجز الإجازات'!$E$5:$E$104)&gt;=GM$3)*('حجز الإجازات'!$G$5:$G$104="معتمد")*ROW('حجز الإجازات'!$B$5:$B$104)))-5+1))</f>
        <v/>
      </c>
      <c r="GN10" s="62">
        <f>IF(SUMPRODUCT(('حجز الإجازات'!$B$5:$B$104='الموظفون'!$B$8)*('حجز الإجازات'!$D$5:$D$104&lt;=GN$3)*(('حجز الإجازات'!$E$5:$E$104)&gt;=GN$3)*('حجز الإجازات'!$G$5:$G$104="معتمد")*ROW('حجز الإجازات'!$B$5:$B$104))=0,"",INDEX('حجز الإجازات'!$C$5:$C$104,(SUMPRODUCT(('حجز الإجازات'!$B$5:$B$104='الموظفون'!$B$8)*('حجز الإجازات'!$D$5:$D$104&lt;=GN$3)*(('حجز الإجازات'!$E$5:$E$104)&gt;=GN$3)*('حجز الإجازات'!$G$5:$G$104="معتمد")*ROW('حجز الإجازات'!$B$5:$B$104)))-5+1))</f>
        <v/>
      </c>
      <c r="GO10" s="62">
        <f>IF(SUMPRODUCT(('حجز الإجازات'!$B$5:$B$104='الموظفون'!$B$8)*('حجز الإجازات'!$D$5:$D$104&lt;=GO$3)*(('حجز الإجازات'!$E$5:$E$104)&gt;=GO$3)*('حجز الإجازات'!$G$5:$G$104="معتمد")*ROW('حجز الإجازات'!$B$5:$B$104))=0,"",INDEX('حجز الإجازات'!$C$5:$C$104,(SUMPRODUCT(('حجز الإجازات'!$B$5:$B$104='الموظفون'!$B$8)*('حجز الإجازات'!$D$5:$D$104&lt;=GO$3)*(('حجز الإجازات'!$E$5:$E$104)&gt;=GO$3)*('حجز الإجازات'!$G$5:$G$104="معتمد")*ROW('حجز الإجازات'!$B$5:$B$104)))-5+1))</f>
        <v/>
      </c>
      <c r="GP10" s="62">
        <f>IF(SUMPRODUCT(('حجز الإجازات'!$B$5:$B$104='الموظفون'!$B$8)*('حجز الإجازات'!$D$5:$D$104&lt;=GP$3)*(('حجز الإجازات'!$E$5:$E$104)&gt;=GP$3)*('حجز الإجازات'!$G$5:$G$104="معتمد")*ROW('حجز الإجازات'!$B$5:$B$104))=0,"",INDEX('حجز الإجازات'!$C$5:$C$104,(SUMPRODUCT(('حجز الإجازات'!$B$5:$B$104='الموظفون'!$B$8)*('حجز الإجازات'!$D$5:$D$104&lt;=GP$3)*(('حجز الإجازات'!$E$5:$E$104)&gt;=GP$3)*('حجز الإجازات'!$G$5:$G$104="معتمد")*ROW('حجز الإجازات'!$B$5:$B$104)))-5+1))</f>
        <v/>
      </c>
      <c r="GQ10" s="62">
        <f>IF(SUMPRODUCT(('حجز الإجازات'!$B$5:$B$104='الموظفون'!$B$8)*('حجز الإجازات'!$D$5:$D$104&lt;=GQ$3)*(('حجز الإجازات'!$E$5:$E$104)&gt;=GQ$3)*('حجز الإجازات'!$G$5:$G$104="معتمد")*ROW('حجز الإجازات'!$B$5:$B$104))=0,"",INDEX('حجز الإجازات'!$C$5:$C$104,(SUMPRODUCT(('حجز الإجازات'!$B$5:$B$104='الموظفون'!$B$8)*('حجز الإجازات'!$D$5:$D$104&lt;=GQ$3)*(('حجز الإجازات'!$E$5:$E$104)&gt;=GQ$3)*('حجز الإجازات'!$G$5:$G$104="معتمد")*ROW('حجز الإجازات'!$B$5:$B$104)))-5+1))</f>
        <v/>
      </c>
      <c r="GR10" s="62">
        <f>IF(SUMPRODUCT(('حجز الإجازات'!$B$5:$B$104='الموظفون'!$B$8)*('حجز الإجازات'!$D$5:$D$104&lt;=GR$3)*(('حجز الإجازات'!$E$5:$E$104)&gt;=GR$3)*('حجز الإجازات'!$G$5:$G$104="معتمد")*ROW('حجز الإجازات'!$B$5:$B$104))=0,"",INDEX('حجز الإجازات'!$C$5:$C$104,(SUMPRODUCT(('حجز الإجازات'!$B$5:$B$104='الموظفون'!$B$8)*('حجز الإجازات'!$D$5:$D$104&lt;=GR$3)*(('حجز الإجازات'!$E$5:$E$104)&gt;=GR$3)*('حجز الإجازات'!$G$5:$G$104="معتمد")*ROW('حجز الإجازات'!$B$5:$B$104)))-5+1))</f>
        <v/>
      </c>
      <c r="GS10" s="62">
        <f>IF(SUMPRODUCT(('حجز الإجازات'!$B$5:$B$104='الموظفون'!$B$8)*('حجز الإجازات'!$D$5:$D$104&lt;=GS$3)*(('حجز الإجازات'!$E$5:$E$104)&gt;=GS$3)*('حجز الإجازات'!$G$5:$G$104="معتمد")*ROW('حجز الإجازات'!$B$5:$B$104))=0,"",INDEX('حجز الإجازات'!$C$5:$C$104,(SUMPRODUCT(('حجز الإجازات'!$B$5:$B$104='الموظفون'!$B$8)*('حجز الإجازات'!$D$5:$D$104&lt;=GS$3)*(('حجز الإجازات'!$E$5:$E$104)&gt;=GS$3)*('حجز الإجازات'!$G$5:$G$104="معتمد")*ROW('حجز الإجازات'!$B$5:$B$104)))-5+1))</f>
        <v/>
      </c>
      <c r="GT10" s="62">
        <f>IF(SUMPRODUCT(('حجز الإجازات'!$B$5:$B$104='الموظفون'!$B$8)*('حجز الإجازات'!$D$5:$D$104&lt;=GT$3)*(('حجز الإجازات'!$E$5:$E$104)&gt;=GT$3)*('حجز الإجازات'!$G$5:$G$104="معتمد")*ROW('حجز الإجازات'!$B$5:$B$104))=0,"",INDEX('حجز الإجازات'!$C$5:$C$104,(SUMPRODUCT(('حجز الإجازات'!$B$5:$B$104='الموظفون'!$B$8)*('حجز الإجازات'!$D$5:$D$104&lt;=GT$3)*(('حجز الإجازات'!$E$5:$E$104)&gt;=GT$3)*('حجز الإجازات'!$G$5:$G$104="معتمد")*ROW('حجز الإجازات'!$B$5:$B$104)))-5+1))</f>
        <v/>
      </c>
      <c r="GU10" s="62">
        <f>IF(SUMPRODUCT(('حجز الإجازات'!$B$5:$B$104='الموظفون'!$B$8)*('حجز الإجازات'!$D$5:$D$104&lt;=GU$3)*(('حجز الإجازات'!$E$5:$E$104)&gt;=GU$3)*('حجز الإجازات'!$G$5:$G$104="معتمد")*ROW('حجز الإجازات'!$B$5:$B$104))=0,"",INDEX('حجز الإجازات'!$C$5:$C$104,(SUMPRODUCT(('حجز الإجازات'!$B$5:$B$104='الموظفون'!$B$8)*('حجز الإجازات'!$D$5:$D$104&lt;=GU$3)*(('حجز الإجازات'!$E$5:$E$104)&gt;=GU$3)*('حجز الإجازات'!$G$5:$G$104="معتمد")*ROW('حجز الإجازات'!$B$5:$B$104)))-5+1))</f>
        <v/>
      </c>
      <c r="GV10" s="62">
        <f>IF(SUMPRODUCT(('حجز الإجازات'!$B$5:$B$104='الموظفون'!$B$8)*('حجز الإجازات'!$D$5:$D$104&lt;=GV$3)*(('حجز الإجازات'!$E$5:$E$104)&gt;=GV$3)*('حجز الإجازات'!$G$5:$G$104="معتمد")*ROW('حجز الإجازات'!$B$5:$B$104))=0,"",INDEX('حجز الإجازات'!$C$5:$C$104,(SUMPRODUCT(('حجز الإجازات'!$B$5:$B$104='الموظفون'!$B$8)*('حجز الإجازات'!$D$5:$D$104&lt;=GV$3)*(('حجز الإجازات'!$E$5:$E$104)&gt;=GV$3)*('حجز الإجازات'!$G$5:$G$104="معتمد")*ROW('حجز الإجازات'!$B$5:$B$104)))-5+1))</f>
        <v/>
      </c>
      <c r="GW10" s="62">
        <f>IF(SUMPRODUCT(('حجز الإجازات'!$B$5:$B$104='الموظفون'!$B$8)*('حجز الإجازات'!$D$5:$D$104&lt;=GW$3)*(('حجز الإجازات'!$E$5:$E$104)&gt;=GW$3)*('حجز الإجازات'!$G$5:$G$104="معتمد")*ROW('حجز الإجازات'!$B$5:$B$104))=0,"",INDEX('حجز الإجازات'!$C$5:$C$104,(SUMPRODUCT(('حجز الإجازات'!$B$5:$B$104='الموظفون'!$B$8)*('حجز الإجازات'!$D$5:$D$104&lt;=GW$3)*(('حجز الإجازات'!$E$5:$E$104)&gt;=GW$3)*('حجز الإجازات'!$G$5:$G$104="معتمد")*ROW('حجز الإجازات'!$B$5:$B$104)))-5+1))</f>
        <v/>
      </c>
      <c r="GX10" s="62">
        <f>IF(SUMPRODUCT(('حجز الإجازات'!$B$5:$B$104='الموظفون'!$B$8)*('حجز الإجازات'!$D$5:$D$104&lt;=GX$3)*(('حجز الإجازات'!$E$5:$E$104)&gt;=GX$3)*('حجز الإجازات'!$G$5:$G$104="معتمد")*ROW('حجز الإجازات'!$B$5:$B$104))=0,"",INDEX('حجز الإجازات'!$C$5:$C$104,(SUMPRODUCT(('حجز الإجازات'!$B$5:$B$104='الموظفون'!$B$8)*('حجز الإجازات'!$D$5:$D$104&lt;=GX$3)*(('حجز الإجازات'!$E$5:$E$104)&gt;=GX$3)*('حجز الإجازات'!$G$5:$G$104="معتمد")*ROW('حجز الإجازات'!$B$5:$B$104)))-5+1))</f>
        <v/>
      </c>
      <c r="GY10" s="62">
        <f>IF(SUMPRODUCT(('حجز الإجازات'!$B$5:$B$104='الموظفون'!$B$8)*('حجز الإجازات'!$D$5:$D$104&lt;=GY$3)*(('حجز الإجازات'!$E$5:$E$104)&gt;=GY$3)*('حجز الإجازات'!$G$5:$G$104="معتمد")*ROW('حجز الإجازات'!$B$5:$B$104))=0,"",INDEX('حجز الإجازات'!$C$5:$C$104,(SUMPRODUCT(('حجز الإجازات'!$B$5:$B$104='الموظفون'!$B$8)*('حجز الإجازات'!$D$5:$D$104&lt;=GY$3)*(('حجز الإجازات'!$E$5:$E$104)&gt;=GY$3)*('حجز الإجازات'!$G$5:$G$104="معتمد")*ROW('حجز الإجازات'!$B$5:$B$104)))-5+1))</f>
        <v/>
      </c>
      <c r="GZ10" s="62">
        <f>IF(SUMPRODUCT(('حجز الإجازات'!$B$5:$B$104='الموظفون'!$B$8)*('حجز الإجازات'!$D$5:$D$104&lt;=GZ$3)*(('حجز الإجازات'!$E$5:$E$104)&gt;=GZ$3)*('حجز الإجازات'!$G$5:$G$104="معتمد")*ROW('حجز الإجازات'!$B$5:$B$104))=0,"",INDEX('حجز الإجازات'!$C$5:$C$104,(SUMPRODUCT(('حجز الإجازات'!$B$5:$B$104='الموظفون'!$B$8)*('حجز الإجازات'!$D$5:$D$104&lt;=GZ$3)*(('حجز الإجازات'!$E$5:$E$104)&gt;=GZ$3)*('حجز الإجازات'!$G$5:$G$104="معتمد")*ROW('حجز الإجازات'!$B$5:$B$104)))-5+1))</f>
        <v/>
      </c>
      <c r="HA10" s="62">
        <f>IF(SUMPRODUCT(('حجز الإجازات'!$B$5:$B$104='الموظفون'!$B$8)*('حجز الإجازات'!$D$5:$D$104&lt;=HA$3)*(('حجز الإجازات'!$E$5:$E$104)&gt;=HA$3)*('حجز الإجازات'!$G$5:$G$104="معتمد")*ROW('حجز الإجازات'!$B$5:$B$104))=0,"",INDEX('حجز الإجازات'!$C$5:$C$104,(SUMPRODUCT(('حجز الإجازات'!$B$5:$B$104='الموظفون'!$B$8)*('حجز الإجازات'!$D$5:$D$104&lt;=HA$3)*(('حجز الإجازات'!$E$5:$E$104)&gt;=HA$3)*('حجز الإجازات'!$G$5:$G$104="معتمد")*ROW('حجز الإجازات'!$B$5:$B$104)))-5+1))</f>
        <v/>
      </c>
      <c r="HB10" s="62">
        <f>IF(SUMPRODUCT(('حجز الإجازات'!$B$5:$B$104='الموظفون'!$B$8)*('حجز الإجازات'!$D$5:$D$104&lt;=HB$3)*(('حجز الإجازات'!$E$5:$E$104)&gt;=HB$3)*('حجز الإجازات'!$G$5:$G$104="معتمد")*ROW('حجز الإجازات'!$B$5:$B$104))=0,"",INDEX('حجز الإجازات'!$C$5:$C$104,(SUMPRODUCT(('حجز الإجازات'!$B$5:$B$104='الموظفون'!$B$8)*('حجز الإجازات'!$D$5:$D$104&lt;=HB$3)*(('حجز الإجازات'!$E$5:$E$104)&gt;=HB$3)*('حجز الإجازات'!$G$5:$G$104="معتمد")*ROW('حجز الإجازات'!$B$5:$B$104)))-5+1))</f>
        <v/>
      </c>
      <c r="HC10" s="62">
        <f>IF(SUMPRODUCT(('حجز الإجازات'!$B$5:$B$104='الموظفون'!$B$8)*('حجز الإجازات'!$D$5:$D$104&lt;=HC$3)*(('حجز الإجازات'!$E$5:$E$104)&gt;=HC$3)*('حجز الإجازات'!$G$5:$G$104="معتمد")*ROW('حجز الإجازات'!$B$5:$B$104))=0,"",INDEX('حجز الإجازات'!$C$5:$C$104,(SUMPRODUCT(('حجز الإجازات'!$B$5:$B$104='الموظفون'!$B$8)*('حجز الإجازات'!$D$5:$D$104&lt;=HC$3)*(('حجز الإجازات'!$E$5:$E$104)&gt;=HC$3)*('حجز الإجازات'!$G$5:$G$104="معتمد")*ROW('حجز الإجازات'!$B$5:$B$104)))-5+1))</f>
        <v/>
      </c>
      <c r="HD10" s="62">
        <f>IF(SUMPRODUCT(('حجز الإجازات'!$B$5:$B$104='الموظفون'!$B$8)*('حجز الإجازات'!$D$5:$D$104&lt;=HD$3)*(('حجز الإجازات'!$E$5:$E$104)&gt;=HD$3)*('حجز الإجازات'!$G$5:$G$104="معتمد")*ROW('حجز الإجازات'!$B$5:$B$104))=0,"",INDEX('حجز الإجازات'!$C$5:$C$104,(SUMPRODUCT(('حجز الإجازات'!$B$5:$B$104='الموظفون'!$B$8)*('حجز الإجازات'!$D$5:$D$104&lt;=HD$3)*(('حجز الإجازات'!$E$5:$E$104)&gt;=HD$3)*('حجز الإجازات'!$G$5:$G$104="معتمد")*ROW('حجز الإجازات'!$B$5:$B$104)))-5+1))</f>
        <v/>
      </c>
      <c r="HE10" s="62">
        <f>IF(SUMPRODUCT(('حجز الإجازات'!$B$5:$B$104='الموظفون'!$B$8)*('حجز الإجازات'!$D$5:$D$104&lt;=HE$3)*(('حجز الإجازات'!$E$5:$E$104)&gt;=HE$3)*('حجز الإجازات'!$G$5:$G$104="معتمد")*ROW('حجز الإجازات'!$B$5:$B$104))=0,"",INDEX('حجز الإجازات'!$C$5:$C$104,(SUMPRODUCT(('حجز الإجازات'!$B$5:$B$104='الموظفون'!$B$8)*('حجز الإجازات'!$D$5:$D$104&lt;=HE$3)*(('حجز الإجازات'!$E$5:$E$104)&gt;=HE$3)*('حجز الإجازات'!$G$5:$G$104="معتمد")*ROW('حجز الإجازات'!$B$5:$B$104)))-5+1))</f>
        <v/>
      </c>
      <c r="HF10" s="62">
        <f>IF(SUMPRODUCT(('حجز الإجازات'!$B$5:$B$104='الموظفون'!$B$8)*('حجز الإجازات'!$D$5:$D$104&lt;=HF$3)*(('حجز الإجازات'!$E$5:$E$104)&gt;=HF$3)*('حجز الإجازات'!$G$5:$G$104="معتمد")*ROW('حجز الإجازات'!$B$5:$B$104))=0,"",INDEX('حجز الإجازات'!$C$5:$C$104,(SUMPRODUCT(('حجز الإجازات'!$B$5:$B$104='الموظفون'!$B$8)*('حجز الإجازات'!$D$5:$D$104&lt;=HF$3)*(('حجز الإجازات'!$E$5:$E$104)&gt;=HF$3)*('حجز الإجازات'!$G$5:$G$104="معتمد")*ROW('حجز الإجازات'!$B$5:$B$104)))-5+1))</f>
        <v/>
      </c>
      <c r="HG10" s="62">
        <f>IF(SUMPRODUCT(('حجز الإجازات'!$B$5:$B$104='الموظفون'!$B$8)*('حجز الإجازات'!$D$5:$D$104&lt;=HG$3)*(('حجز الإجازات'!$E$5:$E$104)&gt;=HG$3)*('حجز الإجازات'!$G$5:$G$104="معتمد")*ROW('حجز الإجازات'!$B$5:$B$104))=0,"",INDEX('حجز الإجازات'!$C$5:$C$104,(SUMPRODUCT(('حجز الإجازات'!$B$5:$B$104='الموظفون'!$B$8)*('حجز الإجازات'!$D$5:$D$104&lt;=HG$3)*(('حجز الإجازات'!$E$5:$E$104)&gt;=HG$3)*('حجز الإجازات'!$G$5:$G$104="معتمد")*ROW('حجز الإجازات'!$B$5:$B$104)))-5+1))</f>
        <v/>
      </c>
      <c r="HH10" s="62">
        <f>IF(SUMPRODUCT(('حجز الإجازات'!$B$5:$B$104='الموظفون'!$B$8)*('حجز الإجازات'!$D$5:$D$104&lt;=HH$3)*(('حجز الإجازات'!$E$5:$E$104)&gt;=HH$3)*('حجز الإجازات'!$G$5:$G$104="معتمد")*ROW('حجز الإجازات'!$B$5:$B$104))=0,"",INDEX('حجز الإجازات'!$C$5:$C$104,(SUMPRODUCT(('حجز الإجازات'!$B$5:$B$104='الموظفون'!$B$8)*('حجز الإجازات'!$D$5:$D$104&lt;=HH$3)*(('حجز الإجازات'!$E$5:$E$104)&gt;=HH$3)*('حجز الإجازات'!$G$5:$G$104="معتمد")*ROW('حجز الإجازات'!$B$5:$B$104)))-5+1))</f>
        <v/>
      </c>
      <c r="HI10" s="62">
        <f>IF(SUMPRODUCT(('حجز الإجازات'!$B$5:$B$104='الموظفون'!$B$8)*('حجز الإجازات'!$D$5:$D$104&lt;=HI$3)*(('حجز الإجازات'!$E$5:$E$104)&gt;=HI$3)*('حجز الإجازات'!$G$5:$G$104="معتمد")*ROW('حجز الإجازات'!$B$5:$B$104))=0,"",INDEX('حجز الإجازات'!$C$5:$C$104,(SUMPRODUCT(('حجز الإجازات'!$B$5:$B$104='الموظفون'!$B$8)*('حجز الإجازات'!$D$5:$D$104&lt;=HI$3)*(('حجز الإجازات'!$E$5:$E$104)&gt;=HI$3)*('حجز الإجازات'!$G$5:$G$104="معتمد")*ROW('حجز الإجازات'!$B$5:$B$104)))-5+1))</f>
        <v/>
      </c>
      <c r="HJ10" s="62">
        <f>IF(SUMPRODUCT(('حجز الإجازات'!$B$5:$B$104='الموظفون'!$B$8)*('حجز الإجازات'!$D$5:$D$104&lt;=HJ$3)*(('حجز الإجازات'!$E$5:$E$104)&gt;=HJ$3)*('حجز الإجازات'!$G$5:$G$104="معتمد")*ROW('حجز الإجازات'!$B$5:$B$104))=0,"",INDEX('حجز الإجازات'!$C$5:$C$104,(SUMPRODUCT(('حجز الإجازات'!$B$5:$B$104='الموظفون'!$B$8)*('حجز الإجازات'!$D$5:$D$104&lt;=HJ$3)*(('حجز الإجازات'!$E$5:$E$104)&gt;=HJ$3)*('حجز الإجازات'!$G$5:$G$104="معتمد")*ROW('حجز الإجازات'!$B$5:$B$104)))-5+1))</f>
        <v/>
      </c>
      <c r="HK10" s="62">
        <f>IF(SUMPRODUCT(('حجز الإجازات'!$B$5:$B$104='الموظفون'!$B$8)*('حجز الإجازات'!$D$5:$D$104&lt;=HK$3)*(('حجز الإجازات'!$E$5:$E$104)&gt;=HK$3)*('حجز الإجازات'!$G$5:$G$104="معتمد")*ROW('حجز الإجازات'!$B$5:$B$104))=0,"",INDEX('حجز الإجازات'!$C$5:$C$104,(SUMPRODUCT(('حجز الإجازات'!$B$5:$B$104='الموظفون'!$B$8)*('حجز الإجازات'!$D$5:$D$104&lt;=HK$3)*(('حجز الإجازات'!$E$5:$E$104)&gt;=HK$3)*('حجز الإجازات'!$G$5:$G$104="معتمد")*ROW('حجز الإجازات'!$B$5:$B$104)))-5+1))</f>
        <v/>
      </c>
      <c r="HL10" s="62">
        <f>IF(SUMPRODUCT(('حجز الإجازات'!$B$5:$B$104='الموظفون'!$B$8)*('حجز الإجازات'!$D$5:$D$104&lt;=HL$3)*(('حجز الإجازات'!$E$5:$E$104)&gt;=HL$3)*('حجز الإجازات'!$G$5:$G$104="معتمد")*ROW('حجز الإجازات'!$B$5:$B$104))=0,"",INDEX('حجز الإجازات'!$C$5:$C$104,(SUMPRODUCT(('حجز الإجازات'!$B$5:$B$104='الموظفون'!$B$8)*('حجز الإجازات'!$D$5:$D$104&lt;=HL$3)*(('حجز الإجازات'!$E$5:$E$104)&gt;=HL$3)*('حجز الإجازات'!$G$5:$G$104="معتمد")*ROW('حجز الإجازات'!$B$5:$B$104)))-5+1))</f>
        <v/>
      </c>
      <c r="HM10" s="62">
        <f>IF(SUMPRODUCT(('حجز الإجازات'!$B$5:$B$104='الموظفون'!$B$8)*('حجز الإجازات'!$D$5:$D$104&lt;=HM$3)*(('حجز الإجازات'!$E$5:$E$104)&gt;=HM$3)*('حجز الإجازات'!$G$5:$G$104="معتمد")*ROW('حجز الإجازات'!$B$5:$B$104))=0,"",INDEX('حجز الإجازات'!$C$5:$C$104,(SUMPRODUCT(('حجز الإجازات'!$B$5:$B$104='الموظفون'!$B$8)*('حجز الإجازات'!$D$5:$D$104&lt;=HM$3)*(('حجز الإجازات'!$E$5:$E$104)&gt;=HM$3)*('حجز الإجازات'!$G$5:$G$104="معتمد")*ROW('حجز الإجازات'!$B$5:$B$104)))-5+1))</f>
        <v/>
      </c>
      <c r="HN10" s="62">
        <f>IF(SUMPRODUCT(('حجز الإجازات'!$B$5:$B$104='الموظفون'!$B$8)*('حجز الإجازات'!$D$5:$D$104&lt;=HN$3)*(('حجز الإجازات'!$E$5:$E$104)&gt;=HN$3)*('حجز الإجازات'!$G$5:$G$104="معتمد")*ROW('حجز الإجازات'!$B$5:$B$104))=0,"",INDEX('حجز الإجازات'!$C$5:$C$104,(SUMPRODUCT(('حجز الإجازات'!$B$5:$B$104='الموظفون'!$B$8)*('حجز الإجازات'!$D$5:$D$104&lt;=HN$3)*(('حجز الإجازات'!$E$5:$E$104)&gt;=HN$3)*('حجز الإجازات'!$G$5:$G$104="معتمد")*ROW('حجز الإجازات'!$B$5:$B$104)))-5+1))</f>
        <v/>
      </c>
      <c r="HO10" s="62">
        <f>IF(SUMPRODUCT(('حجز الإجازات'!$B$5:$B$104='الموظفون'!$B$8)*('حجز الإجازات'!$D$5:$D$104&lt;=HO$3)*(('حجز الإجازات'!$E$5:$E$104)&gt;=HO$3)*('حجز الإجازات'!$G$5:$G$104="معتمد")*ROW('حجز الإجازات'!$B$5:$B$104))=0,"",INDEX('حجز الإجازات'!$C$5:$C$104,(SUMPRODUCT(('حجز الإجازات'!$B$5:$B$104='الموظفون'!$B$8)*('حجز الإجازات'!$D$5:$D$104&lt;=HO$3)*(('حجز الإجازات'!$E$5:$E$104)&gt;=HO$3)*('حجز الإجازات'!$G$5:$G$104="معتمد")*ROW('حجز الإجازات'!$B$5:$B$104)))-5+1))</f>
        <v/>
      </c>
      <c r="HP10" s="62">
        <f>IF(SUMPRODUCT(('حجز الإجازات'!$B$5:$B$104='الموظفون'!$B$8)*('حجز الإجازات'!$D$5:$D$104&lt;=HP$3)*(('حجز الإجازات'!$E$5:$E$104)&gt;=HP$3)*('حجز الإجازات'!$G$5:$G$104="معتمد")*ROW('حجز الإجازات'!$B$5:$B$104))=0,"",INDEX('حجز الإجازات'!$C$5:$C$104,(SUMPRODUCT(('حجز الإجازات'!$B$5:$B$104='الموظفون'!$B$8)*('حجز الإجازات'!$D$5:$D$104&lt;=HP$3)*(('حجز الإجازات'!$E$5:$E$104)&gt;=HP$3)*('حجز الإجازات'!$G$5:$G$104="معتمد")*ROW('حجز الإجازات'!$B$5:$B$104)))-5+1))</f>
        <v/>
      </c>
      <c r="HQ10" s="62">
        <f>IF(SUMPRODUCT(('حجز الإجازات'!$B$5:$B$104='الموظفون'!$B$8)*('حجز الإجازات'!$D$5:$D$104&lt;=HQ$3)*(('حجز الإجازات'!$E$5:$E$104)&gt;=HQ$3)*('حجز الإجازات'!$G$5:$G$104="معتمد")*ROW('حجز الإجازات'!$B$5:$B$104))=0,"",INDEX('حجز الإجازات'!$C$5:$C$104,(SUMPRODUCT(('حجز الإجازات'!$B$5:$B$104='الموظفون'!$B$8)*('حجز الإجازات'!$D$5:$D$104&lt;=HQ$3)*(('حجز الإجازات'!$E$5:$E$104)&gt;=HQ$3)*('حجز الإجازات'!$G$5:$G$104="معتمد")*ROW('حجز الإجازات'!$B$5:$B$104)))-5+1))</f>
        <v/>
      </c>
      <c r="HR10" s="62">
        <f>IF(SUMPRODUCT(('حجز الإجازات'!$B$5:$B$104='الموظفون'!$B$8)*('حجز الإجازات'!$D$5:$D$104&lt;=HR$3)*(('حجز الإجازات'!$E$5:$E$104)&gt;=HR$3)*('حجز الإجازات'!$G$5:$G$104="معتمد")*ROW('حجز الإجازات'!$B$5:$B$104))=0,"",INDEX('حجز الإجازات'!$C$5:$C$104,(SUMPRODUCT(('حجز الإجازات'!$B$5:$B$104='الموظفون'!$B$8)*('حجز الإجازات'!$D$5:$D$104&lt;=HR$3)*(('حجز الإجازات'!$E$5:$E$104)&gt;=HR$3)*('حجز الإجازات'!$G$5:$G$104="معتمد")*ROW('حجز الإجازات'!$B$5:$B$104)))-5+1))</f>
        <v/>
      </c>
      <c r="HS10" s="62">
        <f>IF(SUMPRODUCT(('حجز الإجازات'!$B$5:$B$104='الموظفون'!$B$8)*('حجز الإجازات'!$D$5:$D$104&lt;=HS$3)*(('حجز الإجازات'!$E$5:$E$104)&gt;=HS$3)*('حجز الإجازات'!$G$5:$G$104="معتمد")*ROW('حجز الإجازات'!$B$5:$B$104))=0,"",INDEX('حجز الإجازات'!$C$5:$C$104,(SUMPRODUCT(('حجز الإجازات'!$B$5:$B$104='الموظفون'!$B$8)*('حجز الإجازات'!$D$5:$D$104&lt;=HS$3)*(('حجز الإجازات'!$E$5:$E$104)&gt;=HS$3)*('حجز الإجازات'!$G$5:$G$104="معتمد")*ROW('حجز الإجازات'!$B$5:$B$104)))-5+1))</f>
        <v/>
      </c>
      <c r="HT10" s="62">
        <f>IF(SUMPRODUCT(('حجز الإجازات'!$B$5:$B$104='الموظفون'!$B$8)*('حجز الإجازات'!$D$5:$D$104&lt;=HT$3)*(('حجز الإجازات'!$E$5:$E$104)&gt;=HT$3)*('حجز الإجازات'!$G$5:$G$104="معتمد")*ROW('حجز الإجازات'!$B$5:$B$104))=0,"",INDEX('حجز الإجازات'!$C$5:$C$104,(SUMPRODUCT(('حجز الإجازات'!$B$5:$B$104='الموظفون'!$B$8)*('حجز الإجازات'!$D$5:$D$104&lt;=HT$3)*(('حجز الإجازات'!$E$5:$E$104)&gt;=HT$3)*('حجز الإجازات'!$G$5:$G$104="معتمد")*ROW('حجز الإجازات'!$B$5:$B$104)))-5+1))</f>
        <v/>
      </c>
      <c r="HU10" s="62">
        <f>IF(SUMPRODUCT(('حجز الإجازات'!$B$5:$B$104='الموظفون'!$B$8)*('حجز الإجازات'!$D$5:$D$104&lt;=HU$3)*(('حجز الإجازات'!$E$5:$E$104)&gt;=HU$3)*('حجز الإجازات'!$G$5:$G$104="معتمد")*ROW('حجز الإجازات'!$B$5:$B$104))=0,"",INDEX('حجز الإجازات'!$C$5:$C$104,(SUMPRODUCT(('حجز الإجازات'!$B$5:$B$104='الموظفون'!$B$8)*('حجز الإجازات'!$D$5:$D$104&lt;=HU$3)*(('حجز الإجازات'!$E$5:$E$104)&gt;=HU$3)*('حجز الإجازات'!$G$5:$G$104="معتمد")*ROW('حجز الإجازات'!$B$5:$B$104)))-5+1))</f>
        <v/>
      </c>
      <c r="HV10" s="62">
        <f>IF(SUMPRODUCT(('حجز الإجازات'!$B$5:$B$104='الموظفون'!$B$8)*('حجز الإجازات'!$D$5:$D$104&lt;=HV$3)*(('حجز الإجازات'!$E$5:$E$104)&gt;=HV$3)*('حجز الإجازات'!$G$5:$G$104="معتمد")*ROW('حجز الإجازات'!$B$5:$B$104))=0,"",INDEX('حجز الإجازات'!$C$5:$C$104,(SUMPRODUCT(('حجز الإجازات'!$B$5:$B$104='الموظفون'!$B$8)*('حجز الإجازات'!$D$5:$D$104&lt;=HV$3)*(('حجز الإجازات'!$E$5:$E$104)&gt;=HV$3)*('حجز الإجازات'!$G$5:$G$104="معتمد")*ROW('حجز الإجازات'!$B$5:$B$104)))-5+1))</f>
        <v/>
      </c>
      <c r="HW10" s="62">
        <f>IF(SUMPRODUCT(('حجز الإجازات'!$B$5:$B$104='الموظفون'!$B$8)*('حجز الإجازات'!$D$5:$D$104&lt;=HW$3)*(('حجز الإجازات'!$E$5:$E$104)&gt;=HW$3)*('حجز الإجازات'!$G$5:$G$104="معتمد")*ROW('حجز الإجازات'!$B$5:$B$104))=0,"",INDEX('حجز الإجازات'!$C$5:$C$104,(SUMPRODUCT(('حجز الإجازات'!$B$5:$B$104='الموظفون'!$B$8)*('حجز الإجازات'!$D$5:$D$104&lt;=HW$3)*(('حجز الإجازات'!$E$5:$E$104)&gt;=HW$3)*('حجز الإجازات'!$G$5:$G$104="معتمد")*ROW('حجز الإجازات'!$B$5:$B$104)))-5+1))</f>
        <v/>
      </c>
      <c r="HX10" s="62">
        <f>IF(SUMPRODUCT(('حجز الإجازات'!$B$5:$B$104='الموظفون'!$B$8)*('حجز الإجازات'!$D$5:$D$104&lt;=HX$3)*(('حجز الإجازات'!$E$5:$E$104)&gt;=HX$3)*('حجز الإجازات'!$G$5:$G$104="معتمد")*ROW('حجز الإجازات'!$B$5:$B$104))=0,"",INDEX('حجز الإجازات'!$C$5:$C$104,(SUMPRODUCT(('حجز الإجازات'!$B$5:$B$104='الموظفون'!$B$8)*('حجز الإجازات'!$D$5:$D$104&lt;=HX$3)*(('حجز الإجازات'!$E$5:$E$104)&gt;=HX$3)*('حجز الإجازات'!$G$5:$G$104="معتمد")*ROW('حجز الإجازات'!$B$5:$B$104)))-5+1))</f>
        <v/>
      </c>
      <c r="HY10" s="62">
        <f>IF(SUMPRODUCT(('حجز الإجازات'!$B$5:$B$104='الموظفون'!$B$8)*('حجز الإجازات'!$D$5:$D$104&lt;=HY$3)*(('حجز الإجازات'!$E$5:$E$104)&gt;=HY$3)*('حجز الإجازات'!$G$5:$G$104="معتمد")*ROW('حجز الإجازات'!$B$5:$B$104))=0,"",INDEX('حجز الإجازات'!$C$5:$C$104,(SUMPRODUCT(('حجز الإجازات'!$B$5:$B$104='الموظفون'!$B$8)*('حجز الإجازات'!$D$5:$D$104&lt;=HY$3)*(('حجز الإجازات'!$E$5:$E$104)&gt;=HY$3)*('حجز الإجازات'!$G$5:$G$104="معتمد")*ROW('حجز الإجازات'!$B$5:$B$104)))-5+1))</f>
        <v/>
      </c>
      <c r="HZ10" s="62">
        <f>IF(SUMPRODUCT(('حجز الإجازات'!$B$5:$B$104='الموظفون'!$B$8)*('حجز الإجازات'!$D$5:$D$104&lt;=HZ$3)*(('حجز الإجازات'!$E$5:$E$104)&gt;=HZ$3)*('حجز الإجازات'!$G$5:$G$104="معتمد")*ROW('حجز الإجازات'!$B$5:$B$104))=0,"",INDEX('حجز الإجازات'!$C$5:$C$104,(SUMPRODUCT(('حجز الإجازات'!$B$5:$B$104='الموظفون'!$B$8)*('حجز الإجازات'!$D$5:$D$104&lt;=HZ$3)*(('حجز الإجازات'!$E$5:$E$104)&gt;=HZ$3)*('حجز الإجازات'!$G$5:$G$104="معتمد")*ROW('حجز الإجازات'!$B$5:$B$104)))-5+1))</f>
        <v/>
      </c>
      <c r="IA10" s="62">
        <f>IF(SUMPRODUCT(('حجز الإجازات'!$B$5:$B$104='الموظفون'!$B$8)*('حجز الإجازات'!$D$5:$D$104&lt;=IA$3)*(('حجز الإجازات'!$E$5:$E$104)&gt;=IA$3)*('حجز الإجازات'!$G$5:$G$104="معتمد")*ROW('حجز الإجازات'!$B$5:$B$104))=0,"",INDEX('حجز الإجازات'!$C$5:$C$104,(SUMPRODUCT(('حجز الإجازات'!$B$5:$B$104='الموظفون'!$B$8)*('حجز الإجازات'!$D$5:$D$104&lt;=IA$3)*(('حجز الإجازات'!$E$5:$E$104)&gt;=IA$3)*('حجز الإجازات'!$G$5:$G$104="معتمد")*ROW('حجز الإجازات'!$B$5:$B$104)))-5+1))</f>
        <v/>
      </c>
      <c r="IB10" s="62">
        <f>IF(SUMPRODUCT(('حجز الإجازات'!$B$5:$B$104='الموظفون'!$B$8)*('حجز الإجازات'!$D$5:$D$104&lt;=IB$3)*(('حجز الإجازات'!$E$5:$E$104)&gt;=IB$3)*('حجز الإجازات'!$G$5:$G$104="معتمد")*ROW('حجز الإجازات'!$B$5:$B$104))=0,"",INDEX('حجز الإجازات'!$C$5:$C$104,(SUMPRODUCT(('حجز الإجازات'!$B$5:$B$104='الموظفون'!$B$8)*('حجز الإجازات'!$D$5:$D$104&lt;=IB$3)*(('حجز الإجازات'!$E$5:$E$104)&gt;=IB$3)*('حجز الإجازات'!$G$5:$G$104="معتمد")*ROW('حجز الإجازات'!$B$5:$B$104)))-5+1))</f>
        <v/>
      </c>
      <c r="IC10" s="62">
        <f>IF(SUMPRODUCT(('حجز الإجازات'!$B$5:$B$104='الموظفون'!$B$8)*('حجز الإجازات'!$D$5:$D$104&lt;=IC$3)*(('حجز الإجازات'!$E$5:$E$104)&gt;=IC$3)*('حجز الإجازات'!$G$5:$G$104="معتمد")*ROW('حجز الإجازات'!$B$5:$B$104))=0,"",INDEX('حجز الإجازات'!$C$5:$C$104,(SUMPRODUCT(('حجز الإجازات'!$B$5:$B$104='الموظفون'!$B$8)*('حجز الإجازات'!$D$5:$D$104&lt;=IC$3)*(('حجز الإجازات'!$E$5:$E$104)&gt;=IC$3)*('حجز الإجازات'!$G$5:$G$104="معتمد")*ROW('حجز الإجازات'!$B$5:$B$104)))-5+1))</f>
        <v/>
      </c>
      <c r="ID10" s="62">
        <f>IF(SUMPRODUCT(('حجز الإجازات'!$B$5:$B$104='الموظفون'!$B$8)*('حجز الإجازات'!$D$5:$D$104&lt;=ID$3)*(('حجز الإجازات'!$E$5:$E$104)&gt;=ID$3)*('حجز الإجازات'!$G$5:$G$104="معتمد")*ROW('حجز الإجازات'!$B$5:$B$104))=0,"",INDEX('حجز الإجازات'!$C$5:$C$104,(SUMPRODUCT(('حجز الإجازات'!$B$5:$B$104='الموظفون'!$B$8)*('حجز الإجازات'!$D$5:$D$104&lt;=ID$3)*(('حجز الإجازات'!$E$5:$E$104)&gt;=ID$3)*('حجز الإجازات'!$G$5:$G$104="معتمد")*ROW('حجز الإجازات'!$B$5:$B$104)))-5+1))</f>
        <v/>
      </c>
      <c r="IE10" s="62">
        <f>IF(SUMPRODUCT(('حجز الإجازات'!$B$5:$B$104='الموظفون'!$B$8)*('حجز الإجازات'!$D$5:$D$104&lt;=IE$3)*(('حجز الإجازات'!$E$5:$E$104)&gt;=IE$3)*('حجز الإجازات'!$G$5:$G$104="معتمد")*ROW('حجز الإجازات'!$B$5:$B$104))=0,"",INDEX('حجز الإجازات'!$C$5:$C$104,(SUMPRODUCT(('حجز الإجازات'!$B$5:$B$104='الموظفون'!$B$8)*('حجز الإجازات'!$D$5:$D$104&lt;=IE$3)*(('حجز الإجازات'!$E$5:$E$104)&gt;=IE$3)*('حجز الإجازات'!$G$5:$G$104="معتمد")*ROW('حجز الإجازات'!$B$5:$B$104)))-5+1))</f>
        <v/>
      </c>
      <c r="IF10" s="62">
        <f>IF(SUMPRODUCT(('حجز الإجازات'!$B$5:$B$104='الموظفون'!$B$8)*('حجز الإجازات'!$D$5:$D$104&lt;=IF$3)*(('حجز الإجازات'!$E$5:$E$104)&gt;=IF$3)*('حجز الإجازات'!$G$5:$G$104="معتمد")*ROW('حجز الإجازات'!$B$5:$B$104))=0,"",INDEX('حجز الإجازات'!$C$5:$C$104,(SUMPRODUCT(('حجز الإجازات'!$B$5:$B$104='الموظفون'!$B$8)*('حجز الإجازات'!$D$5:$D$104&lt;=IF$3)*(('حجز الإجازات'!$E$5:$E$104)&gt;=IF$3)*('حجز الإجازات'!$G$5:$G$104="معتمد")*ROW('حجز الإجازات'!$B$5:$B$104)))-5+1))</f>
        <v/>
      </c>
      <c r="IG10" s="62">
        <f>IF(SUMPRODUCT(('حجز الإجازات'!$B$5:$B$104='الموظفون'!$B$8)*('حجز الإجازات'!$D$5:$D$104&lt;=IG$3)*(('حجز الإجازات'!$E$5:$E$104)&gt;=IG$3)*('حجز الإجازات'!$G$5:$G$104="معتمد")*ROW('حجز الإجازات'!$B$5:$B$104))=0,"",INDEX('حجز الإجازات'!$C$5:$C$104,(SUMPRODUCT(('حجز الإجازات'!$B$5:$B$104='الموظفون'!$B$8)*('حجز الإجازات'!$D$5:$D$104&lt;=IG$3)*(('حجز الإجازات'!$E$5:$E$104)&gt;=IG$3)*('حجز الإجازات'!$G$5:$G$104="معتمد")*ROW('حجز الإجازات'!$B$5:$B$104)))-5+1))</f>
        <v/>
      </c>
      <c r="IH10" s="62">
        <f>IF(SUMPRODUCT(('حجز الإجازات'!$B$5:$B$104='الموظفون'!$B$8)*('حجز الإجازات'!$D$5:$D$104&lt;=IH$3)*(('حجز الإجازات'!$E$5:$E$104)&gt;=IH$3)*('حجز الإجازات'!$G$5:$G$104="معتمد")*ROW('حجز الإجازات'!$B$5:$B$104))=0,"",INDEX('حجز الإجازات'!$C$5:$C$104,(SUMPRODUCT(('حجز الإجازات'!$B$5:$B$104='الموظفون'!$B$8)*('حجز الإجازات'!$D$5:$D$104&lt;=IH$3)*(('حجز الإجازات'!$E$5:$E$104)&gt;=IH$3)*('حجز الإجازات'!$G$5:$G$104="معتمد")*ROW('حجز الإجازات'!$B$5:$B$104)))-5+1))</f>
        <v/>
      </c>
      <c r="II10" s="62">
        <f>IF(SUMPRODUCT(('حجز الإجازات'!$B$5:$B$104='الموظفون'!$B$8)*('حجز الإجازات'!$D$5:$D$104&lt;=II$3)*(('حجز الإجازات'!$E$5:$E$104)&gt;=II$3)*('حجز الإجازات'!$G$5:$G$104="معتمد")*ROW('حجز الإجازات'!$B$5:$B$104))=0,"",INDEX('حجز الإجازات'!$C$5:$C$104,(SUMPRODUCT(('حجز الإجازات'!$B$5:$B$104='الموظفون'!$B$8)*('حجز الإجازات'!$D$5:$D$104&lt;=II$3)*(('حجز الإجازات'!$E$5:$E$104)&gt;=II$3)*('حجز الإجازات'!$G$5:$G$104="معتمد")*ROW('حجز الإجازات'!$B$5:$B$104)))-5+1))</f>
        <v/>
      </c>
      <c r="IJ10" s="62">
        <f>IF(SUMPRODUCT(('حجز الإجازات'!$B$5:$B$104='الموظفون'!$B$8)*('حجز الإجازات'!$D$5:$D$104&lt;=IJ$3)*(('حجز الإجازات'!$E$5:$E$104)&gt;=IJ$3)*('حجز الإجازات'!$G$5:$G$104="معتمد")*ROW('حجز الإجازات'!$B$5:$B$104))=0,"",INDEX('حجز الإجازات'!$C$5:$C$104,(SUMPRODUCT(('حجز الإجازات'!$B$5:$B$104='الموظفون'!$B$8)*('حجز الإجازات'!$D$5:$D$104&lt;=IJ$3)*(('حجز الإجازات'!$E$5:$E$104)&gt;=IJ$3)*('حجز الإجازات'!$G$5:$G$104="معتمد")*ROW('حجز الإجازات'!$B$5:$B$104)))-5+1))</f>
        <v/>
      </c>
      <c r="IK10" s="62">
        <f>IF(SUMPRODUCT(('حجز الإجازات'!$B$5:$B$104='الموظفون'!$B$8)*('حجز الإجازات'!$D$5:$D$104&lt;=IK$3)*(('حجز الإجازات'!$E$5:$E$104)&gt;=IK$3)*('حجز الإجازات'!$G$5:$G$104="معتمد")*ROW('حجز الإجازات'!$B$5:$B$104))=0,"",INDEX('حجز الإجازات'!$C$5:$C$104,(SUMPRODUCT(('حجز الإجازات'!$B$5:$B$104='الموظفون'!$B$8)*('حجز الإجازات'!$D$5:$D$104&lt;=IK$3)*(('حجز الإجازات'!$E$5:$E$104)&gt;=IK$3)*('حجز الإجازات'!$G$5:$G$104="معتمد")*ROW('حجز الإجازات'!$B$5:$B$104)))-5+1))</f>
        <v/>
      </c>
      <c r="IL10" s="62">
        <f>IF(SUMPRODUCT(('حجز الإجازات'!$B$5:$B$104='الموظفون'!$B$8)*('حجز الإجازات'!$D$5:$D$104&lt;=IL$3)*(('حجز الإجازات'!$E$5:$E$104)&gt;=IL$3)*('حجز الإجازات'!$G$5:$G$104="معتمد")*ROW('حجز الإجازات'!$B$5:$B$104))=0,"",INDEX('حجز الإجازات'!$C$5:$C$104,(SUMPRODUCT(('حجز الإجازات'!$B$5:$B$104='الموظفون'!$B$8)*('حجز الإجازات'!$D$5:$D$104&lt;=IL$3)*(('حجز الإجازات'!$E$5:$E$104)&gt;=IL$3)*('حجز الإجازات'!$G$5:$G$104="معتمد")*ROW('حجز الإجازات'!$B$5:$B$104)))-5+1))</f>
        <v/>
      </c>
      <c r="IM10" s="62">
        <f>IF(SUMPRODUCT(('حجز الإجازات'!$B$5:$B$104='الموظفون'!$B$8)*('حجز الإجازات'!$D$5:$D$104&lt;=IM$3)*(('حجز الإجازات'!$E$5:$E$104)&gt;=IM$3)*('حجز الإجازات'!$G$5:$G$104="معتمد")*ROW('حجز الإجازات'!$B$5:$B$104))=0,"",INDEX('حجز الإجازات'!$C$5:$C$104,(SUMPRODUCT(('حجز الإجازات'!$B$5:$B$104='الموظفون'!$B$8)*('حجز الإجازات'!$D$5:$D$104&lt;=IM$3)*(('حجز الإجازات'!$E$5:$E$104)&gt;=IM$3)*('حجز الإجازات'!$G$5:$G$104="معتمد")*ROW('حجز الإجازات'!$B$5:$B$104)))-5+1))</f>
        <v/>
      </c>
      <c r="IN10" s="62">
        <f>IF(SUMPRODUCT(('حجز الإجازات'!$B$5:$B$104='الموظفون'!$B$8)*('حجز الإجازات'!$D$5:$D$104&lt;=IN$3)*(('حجز الإجازات'!$E$5:$E$104)&gt;=IN$3)*('حجز الإجازات'!$G$5:$G$104="معتمد")*ROW('حجز الإجازات'!$B$5:$B$104))=0,"",INDEX('حجز الإجازات'!$C$5:$C$104,(SUMPRODUCT(('حجز الإجازات'!$B$5:$B$104='الموظفون'!$B$8)*('حجز الإجازات'!$D$5:$D$104&lt;=IN$3)*(('حجز الإجازات'!$E$5:$E$104)&gt;=IN$3)*('حجز الإجازات'!$G$5:$G$104="معتمد")*ROW('حجز الإجازات'!$B$5:$B$104)))-5+1))</f>
        <v/>
      </c>
      <c r="IO10" s="62">
        <f>IF(SUMPRODUCT(('حجز الإجازات'!$B$5:$B$104='الموظفون'!$B$8)*('حجز الإجازات'!$D$5:$D$104&lt;=IO$3)*(('حجز الإجازات'!$E$5:$E$104)&gt;=IO$3)*('حجز الإجازات'!$G$5:$G$104="معتمد")*ROW('حجز الإجازات'!$B$5:$B$104))=0,"",INDEX('حجز الإجازات'!$C$5:$C$104,(SUMPRODUCT(('حجز الإجازات'!$B$5:$B$104='الموظفون'!$B$8)*('حجز الإجازات'!$D$5:$D$104&lt;=IO$3)*(('حجز الإجازات'!$E$5:$E$104)&gt;=IO$3)*('حجز الإجازات'!$G$5:$G$104="معتمد")*ROW('حجز الإجازات'!$B$5:$B$104)))-5+1))</f>
        <v/>
      </c>
      <c r="IP10" s="62">
        <f>IF(SUMPRODUCT(('حجز الإجازات'!$B$5:$B$104='الموظفون'!$B$8)*('حجز الإجازات'!$D$5:$D$104&lt;=IP$3)*(('حجز الإجازات'!$E$5:$E$104)&gt;=IP$3)*('حجز الإجازات'!$G$5:$G$104="معتمد")*ROW('حجز الإجازات'!$B$5:$B$104))=0,"",INDEX('حجز الإجازات'!$C$5:$C$104,(SUMPRODUCT(('حجز الإجازات'!$B$5:$B$104='الموظفون'!$B$8)*('حجز الإجازات'!$D$5:$D$104&lt;=IP$3)*(('حجز الإجازات'!$E$5:$E$104)&gt;=IP$3)*('حجز الإجازات'!$G$5:$G$104="معتمد")*ROW('حجز الإجازات'!$B$5:$B$104)))-5+1))</f>
        <v/>
      </c>
      <c r="IQ10" s="62">
        <f>IF(SUMPRODUCT(('حجز الإجازات'!$B$5:$B$104='الموظفون'!$B$8)*('حجز الإجازات'!$D$5:$D$104&lt;=IQ$3)*(('حجز الإجازات'!$E$5:$E$104)&gt;=IQ$3)*('حجز الإجازات'!$G$5:$G$104="معتمد")*ROW('حجز الإجازات'!$B$5:$B$104))=0,"",INDEX('حجز الإجازات'!$C$5:$C$104,(SUMPRODUCT(('حجز الإجازات'!$B$5:$B$104='الموظفون'!$B$8)*('حجز الإجازات'!$D$5:$D$104&lt;=IQ$3)*(('حجز الإجازات'!$E$5:$E$104)&gt;=IQ$3)*('حجز الإجازات'!$G$5:$G$104="معتمد")*ROW('حجز الإجازات'!$B$5:$B$104)))-5+1))</f>
        <v/>
      </c>
      <c r="IR10" s="62">
        <f>IF(SUMPRODUCT(('حجز الإجازات'!$B$5:$B$104='الموظفون'!$B$8)*('حجز الإجازات'!$D$5:$D$104&lt;=IR$3)*(('حجز الإجازات'!$E$5:$E$104)&gt;=IR$3)*('حجز الإجازات'!$G$5:$G$104="معتمد")*ROW('حجز الإجازات'!$B$5:$B$104))=0,"",INDEX('حجز الإجازات'!$C$5:$C$104,(SUMPRODUCT(('حجز الإجازات'!$B$5:$B$104='الموظفون'!$B$8)*('حجز الإجازات'!$D$5:$D$104&lt;=IR$3)*(('حجز الإجازات'!$E$5:$E$104)&gt;=IR$3)*('حجز الإجازات'!$G$5:$G$104="معتمد")*ROW('حجز الإجازات'!$B$5:$B$104)))-5+1))</f>
        <v/>
      </c>
      <c r="IS10" s="62">
        <f>IF(SUMPRODUCT(('حجز الإجازات'!$B$5:$B$104='الموظفون'!$B$8)*('حجز الإجازات'!$D$5:$D$104&lt;=IS$3)*(('حجز الإجازات'!$E$5:$E$104)&gt;=IS$3)*('حجز الإجازات'!$G$5:$G$104="معتمد")*ROW('حجز الإجازات'!$B$5:$B$104))=0,"",INDEX('حجز الإجازات'!$C$5:$C$104,(SUMPRODUCT(('حجز الإجازات'!$B$5:$B$104='الموظفون'!$B$8)*('حجز الإجازات'!$D$5:$D$104&lt;=IS$3)*(('حجز الإجازات'!$E$5:$E$104)&gt;=IS$3)*('حجز الإجازات'!$G$5:$G$104="معتمد")*ROW('حجز الإجازات'!$B$5:$B$104)))-5+1))</f>
        <v/>
      </c>
      <c r="IT10" s="62">
        <f>IF(SUMPRODUCT(('حجز الإجازات'!$B$5:$B$104='الموظفون'!$B$8)*('حجز الإجازات'!$D$5:$D$104&lt;=IT$3)*(('حجز الإجازات'!$E$5:$E$104)&gt;=IT$3)*('حجز الإجازات'!$G$5:$G$104="معتمد")*ROW('حجز الإجازات'!$B$5:$B$104))=0,"",INDEX('حجز الإجازات'!$C$5:$C$104,(SUMPRODUCT(('حجز الإجازات'!$B$5:$B$104='الموظفون'!$B$8)*('حجز الإجازات'!$D$5:$D$104&lt;=IT$3)*(('حجز الإجازات'!$E$5:$E$104)&gt;=IT$3)*('حجز الإجازات'!$G$5:$G$104="معتمد")*ROW('حجز الإجازات'!$B$5:$B$104)))-5+1))</f>
        <v/>
      </c>
      <c r="IU10" s="62">
        <f>IF(SUMPRODUCT(('حجز الإجازات'!$B$5:$B$104='الموظفون'!$B$8)*('حجز الإجازات'!$D$5:$D$104&lt;=IU$3)*(('حجز الإجازات'!$E$5:$E$104)&gt;=IU$3)*('حجز الإجازات'!$G$5:$G$104="معتمد")*ROW('حجز الإجازات'!$B$5:$B$104))=0,"",INDEX('حجز الإجازات'!$C$5:$C$104,(SUMPRODUCT(('حجز الإجازات'!$B$5:$B$104='الموظفون'!$B$8)*('حجز الإجازات'!$D$5:$D$104&lt;=IU$3)*(('حجز الإجازات'!$E$5:$E$104)&gt;=IU$3)*('حجز الإجازات'!$G$5:$G$104="معتمد")*ROW('حجز الإجازات'!$B$5:$B$104)))-5+1))</f>
        <v/>
      </c>
      <c r="IV10" s="62">
        <f>IF(SUMPRODUCT(('حجز الإجازات'!$B$5:$B$104='الموظفون'!$B$8)*('حجز الإجازات'!$D$5:$D$104&lt;=IV$3)*(('حجز الإجازات'!$E$5:$E$104)&gt;=IV$3)*('حجز الإجازات'!$G$5:$G$104="معتمد")*ROW('حجز الإجازات'!$B$5:$B$104))=0,"",INDEX('حجز الإجازات'!$C$5:$C$104,(SUMPRODUCT(('حجز الإجازات'!$B$5:$B$104='الموظفون'!$B$8)*('حجز الإجازات'!$D$5:$D$104&lt;=IV$3)*(('حجز الإجازات'!$E$5:$E$104)&gt;=IV$3)*('حجز الإجازات'!$G$5:$G$104="معتمد")*ROW('حجز الإجازات'!$B$5:$B$104)))-5+1))</f>
        <v/>
      </c>
      <c r="IW10" s="62">
        <f>IF(SUMPRODUCT(('حجز الإجازات'!$B$5:$B$104='الموظفون'!$B$8)*('حجز الإجازات'!$D$5:$D$104&lt;=IW$3)*(('حجز الإجازات'!$E$5:$E$104)&gt;=IW$3)*('حجز الإجازات'!$G$5:$G$104="معتمد")*ROW('حجز الإجازات'!$B$5:$B$104))=0,"",INDEX('حجز الإجازات'!$C$5:$C$104,(SUMPRODUCT(('حجز الإجازات'!$B$5:$B$104='الموظفون'!$B$8)*('حجز الإجازات'!$D$5:$D$104&lt;=IW$3)*(('حجز الإجازات'!$E$5:$E$104)&gt;=IW$3)*('حجز الإجازات'!$G$5:$G$104="معتمد")*ROW('حجز الإجازات'!$B$5:$B$104)))-5+1))</f>
        <v/>
      </c>
      <c r="IX10" s="62">
        <f>IF(SUMPRODUCT(('حجز الإجازات'!$B$5:$B$104='الموظفون'!$B$8)*('حجز الإجازات'!$D$5:$D$104&lt;=IX$3)*(('حجز الإجازات'!$E$5:$E$104)&gt;=IX$3)*('حجز الإجازات'!$G$5:$G$104="معتمد")*ROW('حجز الإجازات'!$B$5:$B$104))=0,"",INDEX('حجز الإجازات'!$C$5:$C$104,(SUMPRODUCT(('حجز الإجازات'!$B$5:$B$104='الموظفون'!$B$8)*('حجز الإجازات'!$D$5:$D$104&lt;=IX$3)*(('حجز الإجازات'!$E$5:$E$104)&gt;=IX$3)*('حجز الإجازات'!$G$5:$G$104="معتمد")*ROW('حجز الإجازات'!$B$5:$B$104)))-5+1))</f>
        <v/>
      </c>
      <c r="IY10" s="62">
        <f>IF(SUMPRODUCT(('حجز الإجازات'!$B$5:$B$104='الموظفون'!$B$8)*('حجز الإجازات'!$D$5:$D$104&lt;=IY$3)*(('حجز الإجازات'!$E$5:$E$104)&gt;=IY$3)*('حجز الإجازات'!$G$5:$G$104="معتمد")*ROW('حجز الإجازات'!$B$5:$B$104))=0,"",INDEX('حجز الإجازات'!$C$5:$C$104,(SUMPRODUCT(('حجز الإجازات'!$B$5:$B$104='الموظفون'!$B$8)*('حجز الإجازات'!$D$5:$D$104&lt;=IY$3)*(('حجز الإجازات'!$E$5:$E$104)&gt;=IY$3)*('حجز الإجازات'!$G$5:$G$104="معتمد")*ROW('حجز الإجازات'!$B$5:$B$104)))-5+1))</f>
        <v/>
      </c>
      <c r="IZ10" s="62">
        <f>IF(SUMPRODUCT(('حجز الإجازات'!$B$5:$B$104='الموظفون'!$B$8)*('حجز الإجازات'!$D$5:$D$104&lt;=IZ$3)*(('حجز الإجازات'!$E$5:$E$104)&gt;=IZ$3)*('حجز الإجازات'!$G$5:$G$104="معتمد")*ROW('حجز الإجازات'!$B$5:$B$104))=0,"",INDEX('حجز الإجازات'!$C$5:$C$104,(SUMPRODUCT(('حجز الإجازات'!$B$5:$B$104='الموظفون'!$B$8)*('حجز الإجازات'!$D$5:$D$104&lt;=IZ$3)*(('حجز الإجازات'!$E$5:$E$104)&gt;=IZ$3)*('حجز الإجازات'!$G$5:$G$104="معتمد")*ROW('حجز الإجازات'!$B$5:$B$104)))-5+1))</f>
        <v/>
      </c>
      <c r="JA10" s="62">
        <f>IF(SUMPRODUCT(('حجز الإجازات'!$B$5:$B$104='الموظفون'!$B$8)*('حجز الإجازات'!$D$5:$D$104&lt;=JA$3)*(('حجز الإجازات'!$E$5:$E$104)&gt;=JA$3)*('حجز الإجازات'!$G$5:$G$104="معتمد")*ROW('حجز الإجازات'!$B$5:$B$104))=0,"",INDEX('حجز الإجازات'!$C$5:$C$104,(SUMPRODUCT(('حجز الإجازات'!$B$5:$B$104='الموظفون'!$B$8)*('حجز الإجازات'!$D$5:$D$104&lt;=JA$3)*(('حجز الإجازات'!$E$5:$E$104)&gt;=JA$3)*('حجز الإجازات'!$G$5:$G$104="معتمد")*ROW('حجز الإجازات'!$B$5:$B$104)))-5+1))</f>
        <v/>
      </c>
      <c r="JB10" s="62">
        <f>IF(SUMPRODUCT(('حجز الإجازات'!$B$5:$B$104='الموظفون'!$B$8)*('حجز الإجازات'!$D$5:$D$104&lt;=JB$3)*(('حجز الإجازات'!$E$5:$E$104)&gt;=JB$3)*('حجز الإجازات'!$G$5:$G$104="معتمد")*ROW('حجز الإجازات'!$B$5:$B$104))=0,"",INDEX('حجز الإجازات'!$C$5:$C$104,(SUMPRODUCT(('حجز الإجازات'!$B$5:$B$104='الموظفون'!$B$8)*('حجز الإجازات'!$D$5:$D$104&lt;=JB$3)*(('حجز الإجازات'!$E$5:$E$104)&gt;=JB$3)*('حجز الإجازات'!$G$5:$G$104="معتمد")*ROW('حجز الإجازات'!$B$5:$B$104)))-5+1))</f>
        <v/>
      </c>
      <c r="JC10" s="62">
        <f>IF(SUMPRODUCT(('حجز الإجازات'!$B$5:$B$104='الموظفون'!$B$8)*('حجز الإجازات'!$D$5:$D$104&lt;=JC$3)*(('حجز الإجازات'!$E$5:$E$104)&gt;=JC$3)*('حجز الإجازات'!$G$5:$G$104="معتمد")*ROW('حجز الإجازات'!$B$5:$B$104))=0,"",INDEX('حجز الإجازات'!$C$5:$C$104,(SUMPRODUCT(('حجز الإجازات'!$B$5:$B$104='الموظفون'!$B$8)*('حجز الإجازات'!$D$5:$D$104&lt;=JC$3)*(('حجز الإجازات'!$E$5:$E$104)&gt;=JC$3)*('حجز الإجازات'!$G$5:$G$104="معتمد")*ROW('حجز الإجازات'!$B$5:$B$104)))-5+1))</f>
        <v/>
      </c>
      <c r="JD10" s="62">
        <f>IF(SUMPRODUCT(('حجز الإجازات'!$B$5:$B$104='الموظفون'!$B$8)*('حجز الإجازات'!$D$5:$D$104&lt;=JD$3)*(('حجز الإجازات'!$E$5:$E$104)&gt;=JD$3)*('حجز الإجازات'!$G$5:$G$104="معتمد")*ROW('حجز الإجازات'!$B$5:$B$104))=0,"",INDEX('حجز الإجازات'!$C$5:$C$104,(SUMPRODUCT(('حجز الإجازات'!$B$5:$B$104='الموظفون'!$B$8)*('حجز الإجازات'!$D$5:$D$104&lt;=JD$3)*(('حجز الإجازات'!$E$5:$E$104)&gt;=JD$3)*('حجز الإجازات'!$G$5:$G$104="معتمد")*ROW('حجز الإجازات'!$B$5:$B$104)))-5+1))</f>
        <v/>
      </c>
      <c r="JE10" s="62">
        <f>IF(SUMPRODUCT(('حجز الإجازات'!$B$5:$B$104='الموظفون'!$B$8)*('حجز الإجازات'!$D$5:$D$104&lt;=JE$3)*(('حجز الإجازات'!$E$5:$E$104)&gt;=JE$3)*('حجز الإجازات'!$G$5:$G$104="معتمد")*ROW('حجز الإجازات'!$B$5:$B$104))=0,"",INDEX('حجز الإجازات'!$C$5:$C$104,(SUMPRODUCT(('حجز الإجازات'!$B$5:$B$104='الموظفون'!$B$8)*('حجز الإجازات'!$D$5:$D$104&lt;=JE$3)*(('حجز الإجازات'!$E$5:$E$104)&gt;=JE$3)*('حجز الإجازات'!$G$5:$G$104="معتمد")*ROW('حجز الإجازات'!$B$5:$B$104)))-5+1))</f>
        <v/>
      </c>
      <c r="JF10" s="62">
        <f>IF(SUMPRODUCT(('حجز الإجازات'!$B$5:$B$104='الموظفون'!$B$8)*('حجز الإجازات'!$D$5:$D$104&lt;=JF$3)*(('حجز الإجازات'!$E$5:$E$104)&gt;=JF$3)*('حجز الإجازات'!$G$5:$G$104="معتمد")*ROW('حجز الإجازات'!$B$5:$B$104))=0,"",INDEX('حجز الإجازات'!$C$5:$C$104,(SUMPRODUCT(('حجز الإجازات'!$B$5:$B$104='الموظفون'!$B$8)*('حجز الإجازات'!$D$5:$D$104&lt;=JF$3)*(('حجز الإجازات'!$E$5:$E$104)&gt;=JF$3)*('حجز الإجازات'!$G$5:$G$104="معتمد")*ROW('حجز الإجازات'!$B$5:$B$104)))-5+1))</f>
        <v/>
      </c>
      <c r="JG10" s="62">
        <f>IF(SUMPRODUCT(('حجز الإجازات'!$B$5:$B$104='الموظفون'!$B$8)*('حجز الإجازات'!$D$5:$D$104&lt;=JG$3)*(('حجز الإجازات'!$E$5:$E$104)&gt;=JG$3)*('حجز الإجازات'!$G$5:$G$104="معتمد")*ROW('حجز الإجازات'!$B$5:$B$104))=0,"",INDEX('حجز الإجازات'!$C$5:$C$104,(SUMPRODUCT(('حجز الإجازات'!$B$5:$B$104='الموظفون'!$B$8)*('حجز الإجازات'!$D$5:$D$104&lt;=JG$3)*(('حجز الإجازات'!$E$5:$E$104)&gt;=JG$3)*('حجز الإجازات'!$G$5:$G$104="معتمد")*ROW('حجز الإجازات'!$B$5:$B$104)))-5+1))</f>
        <v/>
      </c>
      <c r="JH10" s="62">
        <f>IF(SUMPRODUCT(('حجز الإجازات'!$B$5:$B$104='الموظفون'!$B$8)*('حجز الإجازات'!$D$5:$D$104&lt;=JH$3)*(('حجز الإجازات'!$E$5:$E$104)&gt;=JH$3)*('حجز الإجازات'!$G$5:$G$104="معتمد")*ROW('حجز الإجازات'!$B$5:$B$104))=0,"",INDEX('حجز الإجازات'!$C$5:$C$104,(SUMPRODUCT(('حجز الإجازات'!$B$5:$B$104='الموظفون'!$B$8)*('حجز الإجازات'!$D$5:$D$104&lt;=JH$3)*(('حجز الإجازات'!$E$5:$E$104)&gt;=JH$3)*('حجز الإجازات'!$G$5:$G$104="معتمد")*ROW('حجز الإجازات'!$B$5:$B$104)))-5+1))</f>
        <v/>
      </c>
      <c r="JI10" s="62">
        <f>IF(SUMPRODUCT(('حجز الإجازات'!$B$5:$B$104='الموظفون'!$B$8)*('حجز الإجازات'!$D$5:$D$104&lt;=JI$3)*(('حجز الإجازات'!$E$5:$E$104)&gt;=JI$3)*('حجز الإجازات'!$G$5:$G$104="معتمد")*ROW('حجز الإجازات'!$B$5:$B$104))=0,"",INDEX('حجز الإجازات'!$C$5:$C$104,(SUMPRODUCT(('حجز الإجازات'!$B$5:$B$104='الموظفون'!$B$8)*('حجز الإجازات'!$D$5:$D$104&lt;=JI$3)*(('حجز الإجازات'!$E$5:$E$104)&gt;=JI$3)*('حجز الإجازات'!$G$5:$G$104="معتمد")*ROW('حجز الإجازات'!$B$5:$B$104)))-5+1))</f>
        <v/>
      </c>
      <c r="JJ10" s="62">
        <f>IF(SUMPRODUCT(('حجز الإجازات'!$B$5:$B$104='الموظفون'!$B$8)*('حجز الإجازات'!$D$5:$D$104&lt;=JJ$3)*(('حجز الإجازات'!$E$5:$E$104)&gt;=JJ$3)*('حجز الإجازات'!$G$5:$G$104="معتمد")*ROW('حجز الإجازات'!$B$5:$B$104))=0,"",INDEX('حجز الإجازات'!$C$5:$C$104,(SUMPRODUCT(('حجز الإجازات'!$B$5:$B$104='الموظفون'!$B$8)*('حجز الإجازات'!$D$5:$D$104&lt;=JJ$3)*(('حجز الإجازات'!$E$5:$E$104)&gt;=JJ$3)*('حجز الإجازات'!$G$5:$G$104="معتمد")*ROW('حجز الإجازات'!$B$5:$B$104)))-5+1))</f>
        <v/>
      </c>
      <c r="JK10" s="62">
        <f>IF(SUMPRODUCT(('حجز الإجازات'!$B$5:$B$104='الموظفون'!$B$8)*('حجز الإجازات'!$D$5:$D$104&lt;=JK$3)*(('حجز الإجازات'!$E$5:$E$104)&gt;=JK$3)*('حجز الإجازات'!$G$5:$G$104="معتمد")*ROW('حجز الإجازات'!$B$5:$B$104))=0,"",INDEX('حجز الإجازات'!$C$5:$C$104,(SUMPRODUCT(('حجز الإجازات'!$B$5:$B$104='الموظفون'!$B$8)*('حجز الإجازات'!$D$5:$D$104&lt;=JK$3)*(('حجز الإجازات'!$E$5:$E$104)&gt;=JK$3)*('حجز الإجازات'!$G$5:$G$104="معتمد")*ROW('حجز الإجازات'!$B$5:$B$104)))-5+1))</f>
        <v/>
      </c>
      <c r="JL10" s="62">
        <f>IF(SUMPRODUCT(('حجز الإجازات'!$B$5:$B$104='الموظفون'!$B$8)*('حجز الإجازات'!$D$5:$D$104&lt;=JL$3)*(('حجز الإجازات'!$E$5:$E$104)&gt;=JL$3)*('حجز الإجازات'!$G$5:$G$104="معتمد")*ROW('حجز الإجازات'!$B$5:$B$104))=0,"",INDEX('حجز الإجازات'!$C$5:$C$104,(SUMPRODUCT(('حجز الإجازات'!$B$5:$B$104='الموظفون'!$B$8)*('حجز الإجازات'!$D$5:$D$104&lt;=JL$3)*(('حجز الإجازات'!$E$5:$E$104)&gt;=JL$3)*('حجز الإجازات'!$G$5:$G$104="معتمد")*ROW('حجز الإجازات'!$B$5:$B$104)))-5+1))</f>
        <v/>
      </c>
      <c r="JM10" s="62">
        <f>IF(SUMPRODUCT(('حجز الإجازات'!$B$5:$B$104='الموظفون'!$B$8)*('حجز الإجازات'!$D$5:$D$104&lt;=JM$3)*(('حجز الإجازات'!$E$5:$E$104)&gt;=JM$3)*('حجز الإجازات'!$G$5:$G$104="معتمد")*ROW('حجز الإجازات'!$B$5:$B$104))=0,"",INDEX('حجز الإجازات'!$C$5:$C$104,(SUMPRODUCT(('حجز الإجازات'!$B$5:$B$104='الموظفون'!$B$8)*('حجز الإجازات'!$D$5:$D$104&lt;=JM$3)*(('حجز الإجازات'!$E$5:$E$104)&gt;=JM$3)*('حجز الإجازات'!$G$5:$G$104="معتمد")*ROW('حجز الإجازات'!$B$5:$B$104)))-5+1))</f>
        <v/>
      </c>
      <c r="JN10" s="62">
        <f>IF(SUMPRODUCT(('حجز الإجازات'!$B$5:$B$104='الموظفون'!$B$8)*('حجز الإجازات'!$D$5:$D$104&lt;=JN$3)*(('حجز الإجازات'!$E$5:$E$104)&gt;=JN$3)*('حجز الإجازات'!$G$5:$G$104="معتمد")*ROW('حجز الإجازات'!$B$5:$B$104))=0,"",INDEX('حجز الإجازات'!$C$5:$C$104,(SUMPRODUCT(('حجز الإجازات'!$B$5:$B$104='الموظفون'!$B$8)*('حجز الإجازات'!$D$5:$D$104&lt;=JN$3)*(('حجز الإجازات'!$E$5:$E$104)&gt;=JN$3)*('حجز الإجازات'!$G$5:$G$104="معتمد")*ROW('حجز الإجازات'!$B$5:$B$104)))-5+1))</f>
        <v/>
      </c>
      <c r="JO10" s="62">
        <f>IF(SUMPRODUCT(('حجز الإجازات'!$B$5:$B$104='الموظفون'!$B$8)*('حجز الإجازات'!$D$5:$D$104&lt;=JO$3)*(('حجز الإجازات'!$E$5:$E$104)&gt;=JO$3)*('حجز الإجازات'!$G$5:$G$104="معتمد")*ROW('حجز الإجازات'!$B$5:$B$104))=0,"",INDEX('حجز الإجازات'!$C$5:$C$104,(SUMPRODUCT(('حجز الإجازات'!$B$5:$B$104='الموظفون'!$B$8)*('حجز الإجازات'!$D$5:$D$104&lt;=JO$3)*(('حجز الإجازات'!$E$5:$E$104)&gt;=JO$3)*('حجز الإجازات'!$G$5:$G$104="معتمد")*ROW('حجز الإجازات'!$B$5:$B$104)))-5+1))</f>
        <v/>
      </c>
      <c r="JP10" s="62">
        <f>IF(SUMPRODUCT(('حجز الإجازات'!$B$5:$B$104='الموظفون'!$B$8)*('حجز الإجازات'!$D$5:$D$104&lt;=JP$3)*(('حجز الإجازات'!$E$5:$E$104)&gt;=JP$3)*('حجز الإجازات'!$G$5:$G$104="معتمد")*ROW('حجز الإجازات'!$B$5:$B$104))=0,"",INDEX('حجز الإجازات'!$C$5:$C$104,(SUMPRODUCT(('حجز الإجازات'!$B$5:$B$104='الموظفون'!$B$8)*('حجز الإجازات'!$D$5:$D$104&lt;=JP$3)*(('حجز الإجازات'!$E$5:$E$104)&gt;=JP$3)*('حجز الإجازات'!$G$5:$G$104="معتمد")*ROW('حجز الإجازات'!$B$5:$B$104)))-5+1))</f>
        <v/>
      </c>
      <c r="JQ10" s="62">
        <f>IF(SUMPRODUCT(('حجز الإجازات'!$B$5:$B$104='الموظفون'!$B$8)*('حجز الإجازات'!$D$5:$D$104&lt;=JQ$3)*(('حجز الإجازات'!$E$5:$E$104)&gt;=JQ$3)*('حجز الإجازات'!$G$5:$G$104="معتمد")*ROW('حجز الإجازات'!$B$5:$B$104))=0,"",INDEX('حجز الإجازات'!$C$5:$C$104,(SUMPRODUCT(('حجز الإجازات'!$B$5:$B$104='الموظفون'!$B$8)*('حجز الإجازات'!$D$5:$D$104&lt;=JQ$3)*(('حجز الإجازات'!$E$5:$E$104)&gt;=JQ$3)*('حجز الإجازات'!$G$5:$G$104="معتمد")*ROW('حجز الإجازات'!$B$5:$B$104)))-5+1))</f>
        <v/>
      </c>
      <c r="JR10" s="62">
        <f>IF(SUMPRODUCT(('حجز الإجازات'!$B$5:$B$104='الموظفون'!$B$8)*('حجز الإجازات'!$D$5:$D$104&lt;=JR$3)*(('حجز الإجازات'!$E$5:$E$104)&gt;=JR$3)*('حجز الإجازات'!$G$5:$G$104="معتمد")*ROW('حجز الإجازات'!$B$5:$B$104))=0,"",INDEX('حجز الإجازات'!$C$5:$C$104,(SUMPRODUCT(('حجز الإجازات'!$B$5:$B$104='الموظفون'!$B$8)*('حجز الإجازات'!$D$5:$D$104&lt;=JR$3)*(('حجز الإجازات'!$E$5:$E$104)&gt;=JR$3)*('حجز الإجازات'!$G$5:$G$104="معتمد")*ROW('حجز الإجازات'!$B$5:$B$104)))-5+1))</f>
        <v/>
      </c>
      <c r="JS10" s="62">
        <f>IF(SUMPRODUCT(('حجز الإجازات'!$B$5:$B$104='الموظفون'!$B$8)*('حجز الإجازات'!$D$5:$D$104&lt;=JS$3)*(('حجز الإجازات'!$E$5:$E$104)&gt;=JS$3)*('حجز الإجازات'!$G$5:$G$104="معتمد")*ROW('حجز الإجازات'!$B$5:$B$104))=0,"",INDEX('حجز الإجازات'!$C$5:$C$104,(SUMPRODUCT(('حجز الإجازات'!$B$5:$B$104='الموظفون'!$B$8)*('حجز الإجازات'!$D$5:$D$104&lt;=JS$3)*(('حجز الإجازات'!$E$5:$E$104)&gt;=JS$3)*('حجز الإجازات'!$G$5:$G$104="معتمد")*ROW('حجز الإجازات'!$B$5:$B$104)))-5+1))</f>
        <v/>
      </c>
      <c r="JT10" s="62">
        <f>IF(SUMPRODUCT(('حجز الإجازات'!$B$5:$B$104='الموظفون'!$B$8)*('حجز الإجازات'!$D$5:$D$104&lt;=JT$3)*(('حجز الإجازات'!$E$5:$E$104)&gt;=JT$3)*('حجز الإجازات'!$G$5:$G$104="معتمد")*ROW('حجز الإجازات'!$B$5:$B$104))=0,"",INDEX('حجز الإجازات'!$C$5:$C$104,(SUMPRODUCT(('حجز الإجازات'!$B$5:$B$104='الموظفون'!$B$8)*('حجز الإجازات'!$D$5:$D$104&lt;=JT$3)*(('حجز الإجازات'!$E$5:$E$104)&gt;=JT$3)*('حجز الإجازات'!$G$5:$G$104="معتمد")*ROW('حجز الإجازات'!$B$5:$B$104)))-5+1))</f>
        <v/>
      </c>
      <c r="JU10" s="62">
        <f>IF(SUMPRODUCT(('حجز الإجازات'!$B$5:$B$104='الموظفون'!$B$8)*('حجز الإجازات'!$D$5:$D$104&lt;=JU$3)*(('حجز الإجازات'!$E$5:$E$104)&gt;=JU$3)*('حجز الإجازات'!$G$5:$G$104="معتمد")*ROW('حجز الإجازات'!$B$5:$B$104))=0,"",INDEX('حجز الإجازات'!$C$5:$C$104,(SUMPRODUCT(('حجز الإجازات'!$B$5:$B$104='الموظفون'!$B$8)*('حجز الإجازات'!$D$5:$D$104&lt;=JU$3)*(('حجز الإجازات'!$E$5:$E$104)&gt;=JU$3)*('حجز الإجازات'!$G$5:$G$104="معتمد")*ROW('حجز الإجازات'!$B$5:$B$104)))-5+1))</f>
        <v/>
      </c>
      <c r="JV10" s="62">
        <f>IF(SUMPRODUCT(('حجز الإجازات'!$B$5:$B$104='الموظفون'!$B$8)*('حجز الإجازات'!$D$5:$D$104&lt;=JV$3)*(('حجز الإجازات'!$E$5:$E$104)&gt;=JV$3)*('حجز الإجازات'!$G$5:$G$104="معتمد")*ROW('حجز الإجازات'!$B$5:$B$104))=0,"",INDEX('حجز الإجازات'!$C$5:$C$104,(SUMPRODUCT(('حجز الإجازات'!$B$5:$B$104='الموظفون'!$B$8)*('حجز الإجازات'!$D$5:$D$104&lt;=JV$3)*(('حجز الإجازات'!$E$5:$E$104)&gt;=JV$3)*('حجز الإجازات'!$G$5:$G$104="معتمد")*ROW('حجز الإجازات'!$B$5:$B$104)))-5+1))</f>
        <v/>
      </c>
      <c r="JW10" s="62">
        <f>IF(SUMPRODUCT(('حجز الإجازات'!$B$5:$B$104='الموظفون'!$B$8)*('حجز الإجازات'!$D$5:$D$104&lt;=JW$3)*(('حجز الإجازات'!$E$5:$E$104)&gt;=JW$3)*('حجز الإجازات'!$G$5:$G$104="معتمد")*ROW('حجز الإجازات'!$B$5:$B$104))=0,"",INDEX('حجز الإجازات'!$C$5:$C$104,(SUMPRODUCT(('حجز الإجازات'!$B$5:$B$104='الموظفون'!$B$8)*('حجز الإجازات'!$D$5:$D$104&lt;=JW$3)*(('حجز الإجازات'!$E$5:$E$104)&gt;=JW$3)*('حجز الإجازات'!$G$5:$G$104="معتمد")*ROW('حجز الإجازات'!$B$5:$B$104)))-5+1))</f>
        <v/>
      </c>
      <c r="JX10" s="62">
        <f>IF(SUMPRODUCT(('حجز الإجازات'!$B$5:$B$104='الموظفون'!$B$8)*('حجز الإجازات'!$D$5:$D$104&lt;=JX$3)*(('حجز الإجازات'!$E$5:$E$104)&gt;=JX$3)*('حجز الإجازات'!$G$5:$G$104="معتمد")*ROW('حجز الإجازات'!$B$5:$B$104))=0,"",INDEX('حجز الإجازات'!$C$5:$C$104,(SUMPRODUCT(('حجز الإجازات'!$B$5:$B$104='الموظفون'!$B$8)*('حجز الإجازات'!$D$5:$D$104&lt;=JX$3)*(('حجز الإجازات'!$E$5:$E$104)&gt;=JX$3)*('حجز الإجازات'!$G$5:$G$104="معتمد")*ROW('حجز الإجازات'!$B$5:$B$104)))-5+1))</f>
        <v/>
      </c>
      <c r="JY10" s="62">
        <f>IF(SUMPRODUCT(('حجز الإجازات'!$B$5:$B$104='الموظفون'!$B$8)*('حجز الإجازات'!$D$5:$D$104&lt;=JY$3)*(('حجز الإجازات'!$E$5:$E$104)&gt;=JY$3)*('حجز الإجازات'!$G$5:$G$104="معتمد")*ROW('حجز الإجازات'!$B$5:$B$104))=0,"",INDEX('حجز الإجازات'!$C$5:$C$104,(SUMPRODUCT(('حجز الإجازات'!$B$5:$B$104='الموظفون'!$B$8)*('حجز الإجازات'!$D$5:$D$104&lt;=JY$3)*(('حجز الإجازات'!$E$5:$E$104)&gt;=JY$3)*('حجز الإجازات'!$G$5:$G$104="معتمد")*ROW('حجز الإجازات'!$B$5:$B$104)))-5+1))</f>
        <v/>
      </c>
      <c r="JZ10" s="62">
        <f>IF(SUMPRODUCT(('حجز الإجازات'!$B$5:$B$104='الموظفون'!$B$8)*('حجز الإجازات'!$D$5:$D$104&lt;=JZ$3)*(('حجز الإجازات'!$E$5:$E$104)&gt;=JZ$3)*('حجز الإجازات'!$G$5:$G$104="معتمد")*ROW('حجز الإجازات'!$B$5:$B$104))=0,"",INDEX('حجز الإجازات'!$C$5:$C$104,(SUMPRODUCT(('حجز الإجازات'!$B$5:$B$104='الموظفون'!$B$8)*('حجز الإجازات'!$D$5:$D$104&lt;=JZ$3)*(('حجز الإجازات'!$E$5:$E$104)&gt;=JZ$3)*('حجز الإجازات'!$G$5:$G$104="معتمد")*ROW('حجز الإجازات'!$B$5:$B$104)))-5+1))</f>
        <v/>
      </c>
      <c r="KA10" s="62">
        <f>IF(SUMPRODUCT(('حجز الإجازات'!$B$5:$B$104='الموظفون'!$B$8)*('حجز الإجازات'!$D$5:$D$104&lt;=KA$3)*(('حجز الإجازات'!$E$5:$E$104)&gt;=KA$3)*('حجز الإجازات'!$G$5:$G$104="معتمد")*ROW('حجز الإجازات'!$B$5:$B$104))=0,"",INDEX('حجز الإجازات'!$C$5:$C$104,(SUMPRODUCT(('حجز الإجازات'!$B$5:$B$104='الموظفون'!$B$8)*('حجز الإجازات'!$D$5:$D$104&lt;=KA$3)*(('حجز الإجازات'!$E$5:$E$104)&gt;=KA$3)*('حجز الإجازات'!$G$5:$G$104="معتمد")*ROW('حجز الإجازات'!$B$5:$B$104)))-5+1))</f>
        <v/>
      </c>
      <c r="KB10" s="62">
        <f>IF(SUMPRODUCT(('حجز الإجازات'!$B$5:$B$104='الموظفون'!$B$8)*('حجز الإجازات'!$D$5:$D$104&lt;=KB$3)*(('حجز الإجازات'!$E$5:$E$104)&gt;=KB$3)*('حجز الإجازات'!$G$5:$G$104="معتمد")*ROW('حجز الإجازات'!$B$5:$B$104))=0,"",INDEX('حجز الإجازات'!$C$5:$C$104,(SUMPRODUCT(('حجز الإجازات'!$B$5:$B$104='الموظفون'!$B$8)*('حجز الإجازات'!$D$5:$D$104&lt;=KB$3)*(('حجز الإجازات'!$E$5:$E$104)&gt;=KB$3)*('حجز الإجازات'!$G$5:$G$104="معتمد")*ROW('حجز الإجازات'!$B$5:$B$104)))-5+1))</f>
        <v/>
      </c>
      <c r="KC10" s="62">
        <f>IF(SUMPRODUCT(('حجز الإجازات'!$B$5:$B$104='الموظفون'!$B$8)*('حجز الإجازات'!$D$5:$D$104&lt;=KC$3)*(('حجز الإجازات'!$E$5:$E$104)&gt;=KC$3)*('حجز الإجازات'!$G$5:$G$104="معتمد")*ROW('حجز الإجازات'!$B$5:$B$104))=0,"",INDEX('حجز الإجازات'!$C$5:$C$104,(SUMPRODUCT(('حجز الإجازات'!$B$5:$B$104='الموظفون'!$B$8)*('حجز الإجازات'!$D$5:$D$104&lt;=KC$3)*(('حجز الإجازات'!$E$5:$E$104)&gt;=KC$3)*('حجز الإجازات'!$G$5:$G$104="معتمد")*ROW('حجز الإجازات'!$B$5:$B$104)))-5+1))</f>
        <v/>
      </c>
      <c r="KD10" s="62">
        <f>IF(SUMPRODUCT(('حجز الإجازات'!$B$5:$B$104='الموظفون'!$B$8)*('حجز الإجازات'!$D$5:$D$104&lt;=KD$3)*(('حجز الإجازات'!$E$5:$E$104)&gt;=KD$3)*('حجز الإجازات'!$G$5:$G$104="معتمد")*ROW('حجز الإجازات'!$B$5:$B$104))=0,"",INDEX('حجز الإجازات'!$C$5:$C$104,(SUMPRODUCT(('حجز الإجازات'!$B$5:$B$104='الموظفون'!$B$8)*('حجز الإجازات'!$D$5:$D$104&lt;=KD$3)*(('حجز الإجازات'!$E$5:$E$104)&gt;=KD$3)*('حجز الإجازات'!$G$5:$G$104="معتمد")*ROW('حجز الإجازات'!$B$5:$B$104)))-5+1))</f>
        <v/>
      </c>
      <c r="KE10" s="62">
        <f>IF(SUMPRODUCT(('حجز الإجازات'!$B$5:$B$104='الموظفون'!$B$8)*('حجز الإجازات'!$D$5:$D$104&lt;=KE$3)*(('حجز الإجازات'!$E$5:$E$104)&gt;=KE$3)*('حجز الإجازات'!$G$5:$G$104="معتمد")*ROW('حجز الإجازات'!$B$5:$B$104))=0,"",INDEX('حجز الإجازات'!$C$5:$C$104,(SUMPRODUCT(('حجز الإجازات'!$B$5:$B$104='الموظفون'!$B$8)*('حجز الإجازات'!$D$5:$D$104&lt;=KE$3)*(('حجز الإجازات'!$E$5:$E$104)&gt;=KE$3)*('حجز الإجازات'!$G$5:$G$104="معتمد")*ROW('حجز الإجازات'!$B$5:$B$104)))-5+1))</f>
        <v/>
      </c>
      <c r="KF10" s="62">
        <f>IF(SUMPRODUCT(('حجز الإجازات'!$B$5:$B$104='الموظفون'!$B$8)*('حجز الإجازات'!$D$5:$D$104&lt;=KF$3)*(('حجز الإجازات'!$E$5:$E$104)&gt;=KF$3)*('حجز الإجازات'!$G$5:$G$104="معتمد")*ROW('حجز الإجازات'!$B$5:$B$104))=0,"",INDEX('حجز الإجازات'!$C$5:$C$104,(SUMPRODUCT(('حجز الإجازات'!$B$5:$B$104='الموظفون'!$B$8)*('حجز الإجازات'!$D$5:$D$104&lt;=KF$3)*(('حجز الإجازات'!$E$5:$E$104)&gt;=KF$3)*('حجز الإجازات'!$G$5:$G$104="معتمد")*ROW('حجز الإجازات'!$B$5:$B$104)))-5+1))</f>
        <v/>
      </c>
      <c r="KG10" s="62">
        <f>IF(SUMPRODUCT(('حجز الإجازات'!$B$5:$B$104='الموظفون'!$B$8)*('حجز الإجازات'!$D$5:$D$104&lt;=KG$3)*(('حجز الإجازات'!$E$5:$E$104)&gt;=KG$3)*('حجز الإجازات'!$G$5:$G$104="معتمد")*ROW('حجز الإجازات'!$B$5:$B$104))=0,"",INDEX('حجز الإجازات'!$C$5:$C$104,(SUMPRODUCT(('حجز الإجازات'!$B$5:$B$104='الموظفون'!$B$8)*('حجز الإجازات'!$D$5:$D$104&lt;=KG$3)*(('حجز الإجازات'!$E$5:$E$104)&gt;=KG$3)*('حجز الإجازات'!$G$5:$G$104="معتمد")*ROW('حجز الإجازات'!$B$5:$B$104)))-5+1))</f>
        <v/>
      </c>
      <c r="KH10" s="62">
        <f>IF(SUMPRODUCT(('حجز الإجازات'!$B$5:$B$104='الموظفون'!$B$8)*('حجز الإجازات'!$D$5:$D$104&lt;=KH$3)*(('حجز الإجازات'!$E$5:$E$104)&gt;=KH$3)*('حجز الإجازات'!$G$5:$G$104="معتمد")*ROW('حجز الإجازات'!$B$5:$B$104))=0,"",INDEX('حجز الإجازات'!$C$5:$C$104,(SUMPRODUCT(('حجز الإجازات'!$B$5:$B$104='الموظفون'!$B$8)*('حجز الإجازات'!$D$5:$D$104&lt;=KH$3)*(('حجز الإجازات'!$E$5:$E$104)&gt;=KH$3)*('حجز الإجازات'!$G$5:$G$104="معتمد")*ROW('حجز الإجازات'!$B$5:$B$104)))-5+1))</f>
        <v/>
      </c>
      <c r="KI10" s="62">
        <f>IF(SUMPRODUCT(('حجز الإجازات'!$B$5:$B$104='الموظفون'!$B$8)*('حجز الإجازات'!$D$5:$D$104&lt;=KI$3)*(('حجز الإجازات'!$E$5:$E$104)&gt;=KI$3)*('حجز الإجازات'!$G$5:$G$104="معتمد")*ROW('حجز الإجازات'!$B$5:$B$104))=0,"",INDEX('حجز الإجازات'!$C$5:$C$104,(SUMPRODUCT(('حجز الإجازات'!$B$5:$B$104='الموظفون'!$B$8)*('حجز الإجازات'!$D$5:$D$104&lt;=KI$3)*(('حجز الإجازات'!$E$5:$E$104)&gt;=KI$3)*('حجز الإجازات'!$G$5:$G$104="معتمد")*ROW('حجز الإجازات'!$B$5:$B$104)))-5+1))</f>
        <v/>
      </c>
      <c r="KJ10" s="62">
        <f>IF(SUMPRODUCT(('حجز الإجازات'!$B$5:$B$104='الموظفون'!$B$8)*('حجز الإجازات'!$D$5:$D$104&lt;=KJ$3)*(('حجز الإجازات'!$E$5:$E$104)&gt;=KJ$3)*('حجز الإجازات'!$G$5:$G$104="معتمد")*ROW('حجز الإجازات'!$B$5:$B$104))=0,"",INDEX('حجز الإجازات'!$C$5:$C$104,(SUMPRODUCT(('حجز الإجازات'!$B$5:$B$104='الموظفون'!$B$8)*('حجز الإجازات'!$D$5:$D$104&lt;=KJ$3)*(('حجز الإجازات'!$E$5:$E$104)&gt;=KJ$3)*('حجز الإجازات'!$G$5:$G$104="معتمد")*ROW('حجز الإجازات'!$B$5:$B$104)))-5+1))</f>
        <v/>
      </c>
      <c r="KK10" s="62">
        <f>IF(SUMPRODUCT(('حجز الإجازات'!$B$5:$B$104='الموظفون'!$B$8)*('حجز الإجازات'!$D$5:$D$104&lt;=KK$3)*(('حجز الإجازات'!$E$5:$E$104)&gt;=KK$3)*('حجز الإجازات'!$G$5:$G$104="معتمد")*ROW('حجز الإجازات'!$B$5:$B$104))=0,"",INDEX('حجز الإجازات'!$C$5:$C$104,(SUMPRODUCT(('حجز الإجازات'!$B$5:$B$104='الموظفون'!$B$8)*('حجز الإجازات'!$D$5:$D$104&lt;=KK$3)*(('حجز الإجازات'!$E$5:$E$104)&gt;=KK$3)*('حجز الإجازات'!$G$5:$G$104="معتمد")*ROW('حجز الإجازات'!$B$5:$B$104)))-5+1))</f>
        <v/>
      </c>
      <c r="KL10" s="62">
        <f>IF(SUMPRODUCT(('حجز الإجازات'!$B$5:$B$104='الموظفون'!$B$8)*('حجز الإجازات'!$D$5:$D$104&lt;=KL$3)*(('حجز الإجازات'!$E$5:$E$104)&gt;=KL$3)*('حجز الإجازات'!$G$5:$G$104="معتمد")*ROW('حجز الإجازات'!$B$5:$B$104))=0,"",INDEX('حجز الإجازات'!$C$5:$C$104,(SUMPRODUCT(('حجز الإجازات'!$B$5:$B$104='الموظفون'!$B$8)*('حجز الإجازات'!$D$5:$D$104&lt;=KL$3)*(('حجز الإجازات'!$E$5:$E$104)&gt;=KL$3)*('حجز الإجازات'!$G$5:$G$104="معتمد")*ROW('حجز الإجازات'!$B$5:$B$104)))-5+1))</f>
        <v/>
      </c>
      <c r="KM10" s="62">
        <f>IF(SUMPRODUCT(('حجز الإجازات'!$B$5:$B$104='الموظفون'!$B$8)*('حجز الإجازات'!$D$5:$D$104&lt;=KM$3)*(('حجز الإجازات'!$E$5:$E$104)&gt;=KM$3)*('حجز الإجازات'!$G$5:$G$104="معتمد")*ROW('حجز الإجازات'!$B$5:$B$104))=0,"",INDEX('حجز الإجازات'!$C$5:$C$104,(SUMPRODUCT(('حجز الإجازات'!$B$5:$B$104='الموظفون'!$B$8)*('حجز الإجازات'!$D$5:$D$104&lt;=KM$3)*(('حجز الإجازات'!$E$5:$E$104)&gt;=KM$3)*('حجز الإجازات'!$G$5:$G$104="معتمد")*ROW('حجز الإجازات'!$B$5:$B$104)))-5+1))</f>
        <v/>
      </c>
      <c r="KN10" s="62">
        <f>IF(SUMPRODUCT(('حجز الإجازات'!$B$5:$B$104='الموظفون'!$B$8)*('حجز الإجازات'!$D$5:$D$104&lt;=KN$3)*(('حجز الإجازات'!$E$5:$E$104)&gt;=KN$3)*('حجز الإجازات'!$G$5:$G$104="معتمد")*ROW('حجز الإجازات'!$B$5:$B$104))=0,"",INDEX('حجز الإجازات'!$C$5:$C$104,(SUMPRODUCT(('حجز الإجازات'!$B$5:$B$104='الموظفون'!$B$8)*('حجز الإجازات'!$D$5:$D$104&lt;=KN$3)*(('حجز الإجازات'!$E$5:$E$104)&gt;=KN$3)*('حجز الإجازات'!$G$5:$G$104="معتمد")*ROW('حجز الإجازات'!$B$5:$B$104)))-5+1))</f>
        <v/>
      </c>
      <c r="KO10" s="62">
        <f>IF(SUMPRODUCT(('حجز الإجازات'!$B$5:$B$104='الموظفون'!$B$8)*('حجز الإجازات'!$D$5:$D$104&lt;=KO$3)*(('حجز الإجازات'!$E$5:$E$104)&gt;=KO$3)*('حجز الإجازات'!$G$5:$G$104="معتمد")*ROW('حجز الإجازات'!$B$5:$B$104))=0,"",INDEX('حجز الإجازات'!$C$5:$C$104,(SUMPRODUCT(('حجز الإجازات'!$B$5:$B$104='الموظفون'!$B$8)*('حجز الإجازات'!$D$5:$D$104&lt;=KO$3)*(('حجز الإجازات'!$E$5:$E$104)&gt;=KO$3)*('حجز الإجازات'!$G$5:$G$104="معتمد")*ROW('حجز الإجازات'!$B$5:$B$104)))-5+1))</f>
        <v/>
      </c>
      <c r="KP10" s="62">
        <f>IF(SUMPRODUCT(('حجز الإجازات'!$B$5:$B$104='الموظفون'!$B$8)*('حجز الإجازات'!$D$5:$D$104&lt;=KP$3)*(('حجز الإجازات'!$E$5:$E$104)&gt;=KP$3)*('حجز الإجازات'!$G$5:$G$104="معتمد")*ROW('حجز الإجازات'!$B$5:$B$104))=0,"",INDEX('حجز الإجازات'!$C$5:$C$104,(SUMPRODUCT(('حجز الإجازات'!$B$5:$B$104='الموظفون'!$B$8)*('حجز الإجازات'!$D$5:$D$104&lt;=KP$3)*(('حجز الإجازات'!$E$5:$E$104)&gt;=KP$3)*('حجز الإجازات'!$G$5:$G$104="معتمد")*ROW('حجز الإجازات'!$B$5:$B$104)))-5+1))</f>
        <v/>
      </c>
      <c r="KQ10" s="62">
        <f>IF(SUMPRODUCT(('حجز الإجازات'!$B$5:$B$104='الموظفون'!$B$8)*('حجز الإجازات'!$D$5:$D$104&lt;=KQ$3)*(('حجز الإجازات'!$E$5:$E$104)&gt;=KQ$3)*('حجز الإجازات'!$G$5:$G$104="معتمد")*ROW('حجز الإجازات'!$B$5:$B$104))=0,"",INDEX('حجز الإجازات'!$C$5:$C$104,(SUMPRODUCT(('حجز الإجازات'!$B$5:$B$104='الموظفون'!$B$8)*('حجز الإجازات'!$D$5:$D$104&lt;=KQ$3)*(('حجز الإجازات'!$E$5:$E$104)&gt;=KQ$3)*('حجز الإجازات'!$G$5:$G$104="معتمد")*ROW('حجز الإجازات'!$B$5:$B$104)))-5+1))</f>
        <v/>
      </c>
      <c r="KR10" s="62">
        <f>IF(SUMPRODUCT(('حجز الإجازات'!$B$5:$B$104='الموظفون'!$B$8)*('حجز الإجازات'!$D$5:$D$104&lt;=KR$3)*(('حجز الإجازات'!$E$5:$E$104)&gt;=KR$3)*('حجز الإجازات'!$G$5:$G$104="معتمد")*ROW('حجز الإجازات'!$B$5:$B$104))=0,"",INDEX('حجز الإجازات'!$C$5:$C$104,(SUMPRODUCT(('حجز الإجازات'!$B$5:$B$104='الموظفون'!$B$8)*('حجز الإجازات'!$D$5:$D$104&lt;=KR$3)*(('حجز الإجازات'!$E$5:$E$104)&gt;=KR$3)*('حجز الإجازات'!$G$5:$G$104="معتمد")*ROW('حجز الإجازات'!$B$5:$B$104)))-5+1))</f>
        <v/>
      </c>
      <c r="KS10" s="62">
        <f>IF(SUMPRODUCT(('حجز الإجازات'!$B$5:$B$104='الموظفون'!$B$8)*('حجز الإجازات'!$D$5:$D$104&lt;=KS$3)*(('حجز الإجازات'!$E$5:$E$104)&gt;=KS$3)*('حجز الإجازات'!$G$5:$G$104="معتمد")*ROW('حجز الإجازات'!$B$5:$B$104))=0,"",INDEX('حجز الإجازات'!$C$5:$C$104,(SUMPRODUCT(('حجز الإجازات'!$B$5:$B$104='الموظفون'!$B$8)*('حجز الإجازات'!$D$5:$D$104&lt;=KS$3)*(('حجز الإجازات'!$E$5:$E$104)&gt;=KS$3)*('حجز الإجازات'!$G$5:$G$104="معتمد")*ROW('حجز الإجازات'!$B$5:$B$104)))-5+1))</f>
        <v/>
      </c>
      <c r="KT10" s="62">
        <f>IF(SUMPRODUCT(('حجز الإجازات'!$B$5:$B$104='الموظفون'!$B$8)*('حجز الإجازات'!$D$5:$D$104&lt;=KT$3)*(('حجز الإجازات'!$E$5:$E$104)&gt;=KT$3)*('حجز الإجازات'!$G$5:$G$104="معتمد")*ROW('حجز الإجازات'!$B$5:$B$104))=0,"",INDEX('حجز الإجازات'!$C$5:$C$104,(SUMPRODUCT(('حجز الإجازات'!$B$5:$B$104='الموظفون'!$B$8)*('حجز الإجازات'!$D$5:$D$104&lt;=KT$3)*(('حجز الإجازات'!$E$5:$E$104)&gt;=KT$3)*('حجز الإجازات'!$G$5:$G$104="معتمد")*ROW('حجز الإجازات'!$B$5:$B$104)))-5+1))</f>
        <v/>
      </c>
      <c r="KU10" s="62">
        <f>IF(SUMPRODUCT(('حجز الإجازات'!$B$5:$B$104='الموظفون'!$B$8)*('حجز الإجازات'!$D$5:$D$104&lt;=KU$3)*(('حجز الإجازات'!$E$5:$E$104)&gt;=KU$3)*('حجز الإجازات'!$G$5:$G$104="معتمد")*ROW('حجز الإجازات'!$B$5:$B$104))=0,"",INDEX('حجز الإجازات'!$C$5:$C$104,(SUMPRODUCT(('حجز الإجازات'!$B$5:$B$104='الموظفون'!$B$8)*('حجز الإجازات'!$D$5:$D$104&lt;=KU$3)*(('حجز الإجازات'!$E$5:$E$104)&gt;=KU$3)*('حجز الإجازات'!$G$5:$G$104="معتمد")*ROW('حجز الإجازات'!$B$5:$B$104)))-5+1))</f>
        <v/>
      </c>
      <c r="KV10" s="62">
        <f>IF(SUMPRODUCT(('حجز الإجازات'!$B$5:$B$104='الموظفون'!$B$8)*('حجز الإجازات'!$D$5:$D$104&lt;=KV$3)*(('حجز الإجازات'!$E$5:$E$104)&gt;=KV$3)*('حجز الإجازات'!$G$5:$G$104="معتمد")*ROW('حجز الإجازات'!$B$5:$B$104))=0,"",INDEX('حجز الإجازات'!$C$5:$C$104,(SUMPRODUCT(('حجز الإجازات'!$B$5:$B$104='الموظفون'!$B$8)*('حجز الإجازات'!$D$5:$D$104&lt;=KV$3)*(('حجز الإجازات'!$E$5:$E$104)&gt;=KV$3)*('حجز الإجازات'!$G$5:$G$104="معتمد")*ROW('حجز الإجازات'!$B$5:$B$104)))-5+1))</f>
        <v/>
      </c>
      <c r="KW10" s="62">
        <f>IF(SUMPRODUCT(('حجز الإجازات'!$B$5:$B$104='الموظفون'!$B$8)*('حجز الإجازات'!$D$5:$D$104&lt;=KW$3)*(('حجز الإجازات'!$E$5:$E$104)&gt;=KW$3)*('حجز الإجازات'!$G$5:$G$104="معتمد")*ROW('حجز الإجازات'!$B$5:$B$104))=0,"",INDEX('حجز الإجازات'!$C$5:$C$104,(SUMPRODUCT(('حجز الإجازات'!$B$5:$B$104='الموظفون'!$B$8)*('حجز الإجازات'!$D$5:$D$104&lt;=KW$3)*(('حجز الإجازات'!$E$5:$E$104)&gt;=KW$3)*('حجز الإجازات'!$G$5:$G$104="معتمد")*ROW('حجز الإجازات'!$B$5:$B$104)))-5+1))</f>
        <v/>
      </c>
      <c r="KX10" s="62">
        <f>IF(SUMPRODUCT(('حجز الإجازات'!$B$5:$B$104='الموظفون'!$B$8)*('حجز الإجازات'!$D$5:$D$104&lt;=KX$3)*(('حجز الإجازات'!$E$5:$E$104)&gt;=KX$3)*('حجز الإجازات'!$G$5:$G$104="معتمد")*ROW('حجز الإجازات'!$B$5:$B$104))=0,"",INDEX('حجز الإجازات'!$C$5:$C$104,(SUMPRODUCT(('حجز الإجازات'!$B$5:$B$104='الموظفون'!$B$8)*('حجز الإجازات'!$D$5:$D$104&lt;=KX$3)*(('حجز الإجازات'!$E$5:$E$104)&gt;=KX$3)*('حجز الإجازات'!$G$5:$G$104="معتمد")*ROW('حجز الإجازات'!$B$5:$B$104)))-5+1))</f>
        <v/>
      </c>
      <c r="KY10" s="62">
        <f>IF(SUMPRODUCT(('حجز الإجازات'!$B$5:$B$104='الموظفون'!$B$8)*('حجز الإجازات'!$D$5:$D$104&lt;=KY$3)*(('حجز الإجازات'!$E$5:$E$104)&gt;=KY$3)*('حجز الإجازات'!$G$5:$G$104="معتمد")*ROW('حجز الإجازات'!$B$5:$B$104))=0,"",INDEX('حجز الإجازات'!$C$5:$C$104,(SUMPRODUCT(('حجز الإجازات'!$B$5:$B$104='الموظفون'!$B$8)*('حجز الإجازات'!$D$5:$D$104&lt;=KY$3)*(('حجز الإجازات'!$E$5:$E$104)&gt;=KY$3)*('حجز الإجازات'!$G$5:$G$104="معتمد")*ROW('حجز الإجازات'!$B$5:$B$104)))-5+1))</f>
        <v/>
      </c>
      <c r="KZ10" s="62">
        <f>IF(SUMPRODUCT(('حجز الإجازات'!$B$5:$B$104='الموظفون'!$B$8)*('حجز الإجازات'!$D$5:$D$104&lt;=KZ$3)*(('حجز الإجازات'!$E$5:$E$104)&gt;=KZ$3)*('حجز الإجازات'!$G$5:$G$104="معتمد")*ROW('حجز الإجازات'!$B$5:$B$104))=0,"",INDEX('حجز الإجازات'!$C$5:$C$104,(SUMPRODUCT(('حجز الإجازات'!$B$5:$B$104='الموظفون'!$B$8)*('حجز الإجازات'!$D$5:$D$104&lt;=KZ$3)*(('حجز الإجازات'!$E$5:$E$104)&gt;=KZ$3)*('حجز الإجازات'!$G$5:$G$104="معتمد")*ROW('حجز الإجازات'!$B$5:$B$104)))-5+1))</f>
        <v/>
      </c>
      <c r="LA10" s="62">
        <f>IF(SUMPRODUCT(('حجز الإجازات'!$B$5:$B$104='الموظفون'!$B$8)*('حجز الإجازات'!$D$5:$D$104&lt;=LA$3)*(('حجز الإجازات'!$E$5:$E$104)&gt;=LA$3)*('حجز الإجازات'!$G$5:$G$104="معتمد")*ROW('حجز الإجازات'!$B$5:$B$104))=0,"",INDEX('حجز الإجازات'!$C$5:$C$104,(SUMPRODUCT(('حجز الإجازات'!$B$5:$B$104='الموظفون'!$B$8)*('حجز الإجازات'!$D$5:$D$104&lt;=LA$3)*(('حجز الإجازات'!$E$5:$E$104)&gt;=LA$3)*('حجز الإجازات'!$G$5:$G$104="معتمد")*ROW('حجز الإجازات'!$B$5:$B$104)))-5+1))</f>
        <v/>
      </c>
      <c r="LB10" s="62">
        <f>IF(SUMPRODUCT(('حجز الإجازات'!$B$5:$B$104='الموظفون'!$B$8)*('حجز الإجازات'!$D$5:$D$104&lt;=LB$3)*(('حجز الإجازات'!$E$5:$E$104)&gt;=LB$3)*('حجز الإجازات'!$G$5:$G$104="معتمد")*ROW('حجز الإجازات'!$B$5:$B$104))=0,"",INDEX('حجز الإجازات'!$C$5:$C$104,(SUMPRODUCT(('حجز الإجازات'!$B$5:$B$104='الموظفون'!$B$8)*('حجز الإجازات'!$D$5:$D$104&lt;=LB$3)*(('حجز الإجازات'!$E$5:$E$104)&gt;=LB$3)*('حجز الإجازات'!$G$5:$G$104="معتمد")*ROW('حجز الإجازات'!$B$5:$B$104)))-5+1))</f>
        <v/>
      </c>
      <c r="LC10" s="62">
        <f>IF(SUMPRODUCT(('حجز الإجازات'!$B$5:$B$104='الموظفون'!$B$8)*('حجز الإجازات'!$D$5:$D$104&lt;=LC$3)*(('حجز الإجازات'!$E$5:$E$104)&gt;=LC$3)*('حجز الإجازات'!$G$5:$G$104="معتمد")*ROW('حجز الإجازات'!$B$5:$B$104))=0,"",INDEX('حجز الإجازات'!$C$5:$C$104,(SUMPRODUCT(('حجز الإجازات'!$B$5:$B$104='الموظفون'!$B$8)*('حجز الإجازات'!$D$5:$D$104&lt;=LC$3)*(('حجز الإجازات'!$E$5:$E$104)&gt;=LC$3)*('حجز الإجازات'!$G$5:$G$104="معتمد")*ROW('حجز الإجازات'!$B$5:$B$104)))-5+1))</f>
        <v/>
      </c>
      <c r="LD10" s="62">
        <f>IF(SUMPRODUCT(('حجز الإجازات'!$B$5:$B$104='الموظفون'!$B$8)*('حجز الإجازات'!$D$5:$D$104&lt;=LD$3)*(('حجز الإجازات'!$E$5:$E$104)&gt;=LD$3)*('حجز الإجازات'!$G$5:$G$104="معتمد")*ROW('حجز الإجازات'!$B$5:$B$104))=0,"",INDEX('حجز الإجازات'!$C$5:$C$104,(SUMPRODUCT(('حجز الإجازات'!$B$5:$B$104='الموظفون'!$B$8)*('حجز الإجازات'!$D$5:$D$104&lt;=LD$3)*(('حجز الإجازات'!$E$5:$E$104)&gt;=LD$3)*('حجز الإجازات'!$G$5:$G$104="معتمد")*ROW('حجز الإجازات'!$B$5:$B$104)))-5+1))</f>
        <v/>
      </c>
      <c r="LE10" s="62">
        <f>IF(SUMPRODUCT(('حجز الإجازات'!$B$5:$B$104='الموظفون'!$B$8)*('حجز الإجازات'!$D$5:$D$104&lt;=LE$3)*(('حجز الإجازات'!$E$5:$E$104)&gt;=LE$3)*('حجز الإجازات'!$G$5:$G$104="معتمد")*ROW('حجز الإجازات'!$B$5:$B$104))=0,"",INDEX('حجز الإجازات'!$C$5:$C$104,(SUMPRODUCT(('حجز الإجازات'!$B$5:$B$104='الموظفون'!$B$8)*('حجز الإجازات'!$D$5:$D$104&lt;=LE$3)*(('حجز الإجازات'!$E$5:$E$104)&gt;=LE$3)*('حجز الإجازات'!$G$5:$G$104="معتمد")*ROW('حجز الإجازات'!$B$5:$B$104)))-5+1))</f>
        <v/>
      </c>
      <c r="LF10" s="62">
        <f>IF(SUMPRODUCT(('حجز الإجازات'!$B$5:$B$104='الموظفون'!$B$8)*('حجز الإجازات'!$D$5:$D$104&lt;=LF$3)*(('حجز الإجازات'!$E$5:$E$104)&gt;=LF$3)*('حجز الإجازات'!$G$5:$G$104="معتمد")*ROW('حجز الإجازات'!$B$5:$B$104))=0,"",INDEX('حجز الإجازات'!$C$5:$C$104,(SUMPRODUCT(('حجز الإجازات'!$B$5:$B$104='الموظفون'!$B$8)*('حجز الإجازات'!$D$5:$D$104&lt;=LF$3)*(('حجز الإجازات'!$E$5:$E$104)&gt;=LF$3)*('حجز الإجازات'!$G$5:$G$104="معتمد")*ROW('حجز الإجازات'!$B$5:$B$104)))-5+1))</f>
        <v/>
      </c>
      <c r="LG10" s="62">
        <f>IF(SUMPRODUCT(('حجز الإجازات'!$B$5:$B$104='الموظفون'!$B$8)*('حجز الإجازات'!$D$5:$D$104&lt;=LG$3)*(('حجز الإجازات'!$E$5:$E$104)&gt;=LG$3)*('حجز الإجازات'!$G$5:$G$104="معتمد")*ROW('حجز الإجازات'!$B$5:$B$104))=0,"",INDEX('حجز الإجازات'!$C$5:$C$104,(SUMPRODUCT(('حجز الإجازات'!$B$5:$B$104='الموظفون'!$B$8)*('حجز الإجازات'!$D$5:$D$104&lt;=LG$3)*(('حجز الإجازات'!$E$5:$E$104)&gt;=LG$3)*('حجز الإجازات'!$G$5:$G$104="معتمد")*ROW('حجز الإجازات'!$B$5:$B$104)))-5+1))</f>
        <v/>
      </c>
      <c r="LH10" s="62">
        <f>IF(SUMPRODUCT(('حجز الإجازات'!$B$5:$B$104='الموظفون'!$B$8)*('حجز الإجازات'!$D$5:$D$104&lt;=LH$3)*(('حجز الإجازات'!$E$5:$E$104)&gt;=LH$3)*('حجز الإجازات'!$G$5:$G$104="معتمد")*ROW('حجز الإجازات'!$B$5:$B$104))=0,"",INDEX('حجز الإجازات'!$C$5:$C$104,(SUMPRODUCT(('حجز الإجازات'!$B$5:$B$104='الموظفون'!$B$8)*('حجز الإجازات'!$D$5:$D$104&lt;=LH$3)*(('حجز الإجازات'!$E$5:$E$104)&gt;=LH$3)*('حجز الإجازات'!$G$5:$G$104="معتمد")*ROW('حجز الإجازات'!$B$5:$B$104)))-5+1))</f>
        <v/>
      </c>
      <c r="LI10" s="62">
        <f>IF(SUMPRODUCT(('حجز الإجازات'!$B$5:$B$104='الموظفون'!$B$8)*('حجز الإجازات'!$D$5:$D$104&lt;=LI$3)*(('حجز الإجازات'!$E$5:$E$104)&gt;=LI$3)*('حجز الإجازات'!$G$5:$G$104="معتمد")*ROW('حجز الإجازات'!$B$5:$B$104))=0,"",INDEX('حجز الإجازات'!$C$5:$C$104,(SUMPRODUCT(('حجز الإجازات'!$B$5:$B$104='الموظفون'!$B$8)*('حجز الإجازات'!$D$5:$D$104&lt;=LI$3)*(('حجز الإجازات'!$E$5:$E$104)&gt;=LI$3)*('حجز الإجازات'!$G$5:$G$104="معتمد")*ROW('حجز الإجازات'!$B$5:$B$104)))-5+1))</f>
        <v/>
      </c>
      <c r="LJ10" s="62">
        <f>IF(SUMPRODUCT(('حجز الإجازات'!$B$5:$B$104='الموظفون'!$B$8)*('حجز الإجازات'!$D$5:$D$104&lt;=LJ$3)*(('حجز الإجازات'!$E$5:$E$104)&gt;=LJ$3)*('حجز الإجازات'!$G$5:$G$104="معتمد")*ROW('حجز الإجازات'!$B$5:$B$104))=0,"",INDEX('حجز الإجازات'!$C$5:$C$104,(SUMPRODUCT(('حجز الإجازات'!$B$5:$B$104='الموظفون'!$B$8)*('حجز الإجازات'!$D$5:$D$104&lt;=LJ$3)*(('حجز الإجازات'!$E$5:$E$104)&gt;=LJ$3)*('حجز الإجازات'!$G$5:$G$104="معتمد")*ROW('حجز الإجازات'!$B$5:$B$104)))-5+1))</f>
        <v/>
      </c>
      <c r="LK10" s="62">
        <f>IF(SUMPRODUCT(('حجز الإجازات'!$B$5:$B$104='الموظفون'!$B$8)*('حجز الإجازات'!$D$5:$D$104&lt;=LK$3)*(('حجز الإجازات'!$E$5:$E$104)&gt;=LK$3)*('حجز الإجازات'!$G$5:$G$104="معتمد")*ROW('حجز الإجازات'!$B$5:$B$104))=0,"",INDEX('حجز الإجازات'!$C$5:$C$104,(SUMPRODUCT(('حجز الإجازات'!$B$5:$B$104='الموظفون'!$B$8)*('حجز الإجازات'!$D$5:$D$104&lt;=LK$3)*(('حجز الإجازات'!$E$5:$E$104)&gt;=LK$3)*('حجز الإجازات'!$G$5:$G$104="معتمد")*ROW('حجز الإجازات'!$B$5:$B$104)))-5+1))</f>
        <v/>
      </c>
      <c r="LL10" s="62">
        <f>IF(SUMPRODUCT(('حجز الإجازات'!$B$5:$B$104='الموظفون'!$B$8)*('حجز الإجازات'!$D$5:$D$104&lt;=LL$3)*(('حجز الإجازات'!$E$5:$E$104)&gt;=LL$3)*('حجز الإجازات'!$G$5:$G$104="معتمد")*ROW('حجز الإجازات'!$B$5:$B$104))=0,"",INDEX('حجز الإجازات'!$C$5:$C$104,(SUMPRODUCT(('حجز الإجازات'!$B$5:$B$104='الموظفون'!$B$8)*('حجز الإجازات'!$D$5:$D$104&lt;=LL$3)*(('حجز الإجازات'!$E$5:$E$104)&gt;=LL$3)*('حجز الإجازات'!$G$5:$G$104="معتمد")*ROW('حجز الإجازات'!$B$5:$B$104)))-5+1))</f>
        <v/>
      </c>
      <c r="LM10" s="62">
        <f>IF(SUMPRODUCT(('حجز الإجازات'!$B$5:$B$104='الموظفون'!$B$8)*('حجز الإجازات'!$D$5:$D$104&lt;=LM$3)*(('حجز الإجازات'!$E$5:$E$104)&gt;=LM$3)*('حجز الإجازات'!$G$5:$G$104="معتمد")*ROW('حجز الإجازات'!$B$5:$B$104))=0,"",INDEX('حجز الإجازات'!$C$5:$C$104,(SUMPRODUCT(('حجز الإجازات'!$B$5:$B$104='الموظفون'!$B$8)*('حجز الإجازات'!$D$5:$D$104&lt;=LM$3)*(('حجز الإجازات'!$E$5:$E$104)&gt;=LM$3)*('حجز الإجازات'!$G$5:$G$104="معتمد")*ROW('حجز الإجازات'!$B$5:$B$104)))-5+1))</f>
        <v/>
      </c>
      <c r="LN10" s="62">
        <f>IF(SUMPRODUCT(('حجز الإجازات'!$B$5:$B$104='الموظفون'!$B$8)*('حجز الإجازات'!$D$5:$D$104&lt;=LN$3)*(('حجز الإجازات'!$E$5:$E$104)&gt;=LN$3)*('حجز الإجازات'!$G$5:$G$104="معتمد")*ROW('حجز الإجازات'!$B$5:$B$104))=0,"",INDEX('حجز الإجازات'!$C$5:$C$104,(SUMPRODUCT(('حجز الإجازات'!$B$5:$B$104='الموظفون'!$B$8)*('حجز الإجازات'!$D$5:$D$104&lt;=LN$3)*(('حجز الإجازات'!$E$5:$E$104)&gt;=LN$3)*('حجز الإجازات'!$G$5:$G$104="معتمد")*ROW('حجز الإجازات'!$B$5:$B$104)))-5+1))</f>
        <v/>
      </c>
      <c r="LO10" s="62">
        <f>IF(SUMPRODUCT(('حجز الإجازات'!$B$5:$B$104='الموظفون'!$B$8)*('حجز الإجازات'!$D$5:$D$104&lt;=LO$3)*(('حجز الإجازات'!$E$5:$E$104)&gt;=LO$3)*('حجز الإجازات'!$G$5:$G$104="معتمد")*ROW('حجز الإجازات'!$B$5:$B$104))=0,"",INDEX('حجز الإجازات'!$C$5:$C$104,(SUMPRODUCT(('حجز الإجازات'!$B$5:$B$104='الموظفون'!$B$8)*('حجز الإجازات'!$D$5:$D$104&lt;=LO$3)*(('حجز الإجازات'!$E$5:$E$104)&gt;=LO$3)*('حجز الإجازات'!$G$5:$G$104="معتمد")*ROW('حجز الإجازات'!$B$5:$B$104)))-5+1))</f>
        <v/>
      </c>
      <c r="LP10" s="62">
        <f>IF(SUMPRODUCT(('حجز الإجازات'!$B$5:$B$104='الموظفون'!$B$8)*('حجز الإجازات'!$D$5:$D$104&lt;=LP$3)*(('حجز الإجازات'!$E$5:$E$104)&gt;=LP$3)*('حجز الإجازات'!$G$5:$G$104="معتمد")*ROW('حجز الإجازات'!$B$5:$B$104))=0,"",INDEX('حجز الإجازات'!$C$5:$C$104,(SUMPRODUCT(('حجز الإجازات'!$B$5:$B$104='الموظفون'!$B$8)*('حجز الإجازات'!$D$5:$D$104&lt;=LP$3)*(('حجز الإجازات'!$E$5:$E$104)&gt;=LP$3)*('حجز الإجازات'!$G$5:$G$104="معتمد")*ROW('حجز الإجازات'!$B$5:$B$104)))-5+1))</f>
        <v/>
      </c>
      <c r="LQ10" s="62">
        <f>IF(SUMPRODUCT(('حجز الإجازات'!$B$5:$B$104='الموظفون'!$B$8)*('حجز الإجازات'!$D$5:$D$104&lt;=LQ$3)*(('حجز الإجازات'!$E$5:$E$104)&gt;=LQ$3)*('حجز الإجازات'!$G$5:$G$104="معتمد")*ROW('حجز الإجازات'!$B$5:$B$104))=0,"",INDEX('حجز الإجازات'!$C$5:$C$104,(SUMPRODUCT(('حجز الإجازات'!$B$5:$B$104='الموظفون'!$B$8)*('حجز الإجازات'!$D$5:$D$104&lt;=LQ$3)*(('حجز الإجازات'!$E$5:$E$104)&gt;=LQ$3)*('حجز الإجازات'!$G$5:$G$104="معتمد")*ROW('حجز الإجازات'!$B$5:$B$104)))-5+1))</f>
        <v/>
      </c>
      <c r="LR10" s="62">
        <f>IF(SUMPRODUCT(('حجز الإجازات'!$B$5:$B$104='الموظفون'!$B$8)*('حجز الإجازات'!$D$5:$D$104&lt;=LR$3)*(('حجز الإجازات'!$E$5:$E$104)&gt;=LR$3)*('حجز الإجازات'!$G$5:$G$104="معتمد")*ROW('حجز الإجازات'!$B$5:$B$104))=0,"",INDEX('حجز الإجازات'!$C$5:$C$104,(SUMPRODUCT(('حجز الإجازات'!$B$5:$B$104='الموظفون'!$B$8)*('حجز الإجازات'!$D$5:$D$104&lt;=LR$3)*(('حجز الإجازات'!$E$5:$E$104)&gt;=LR$3)*('حجز الإجازات'!$G$5:$G$104="معتمد")*ROW('حجز الإجازات'!$B$5:$B$104)))-5+1))</f>
        <v/>
      </c>
      <c r="LS10" s="62">
        <f>IF(SUMPRODUCT(('حجز الإجازات'!$B$5:$B$104='الموظفون'!$B$8)*('حجز الإجازات'!$D$5:$D$104&lt;=LS$3)*(('حجز الإجازات'!$E$5:$E$104)&gt;=LS$3)*('حجز الإجازات'!$G$5:$G$104="معتمد")*ROW('حجز الإجازات'!$B$5:$B$104))=0,"",INDEX('حجز الإجازات'!$C$5:$C$104,(SUMPRODUCT(('حجز الإجازات'!$B$5:$B$104='الموظفون'!$B$8)*('حجز الإجازات'!$D$5:$D$104&lt;=LS$3)*(('حجز الإجازات'!$E$5:$E$104)&gt;=LS$3)*('حجز الإجازات'!$G$5:$G$104="معتمد")*ROW('حجز الإجازات'!$B$5:$B$104)))-5+1))</f>
        <v/>
      </c>
      <c r="LT10" s="62">
        <f>IF(SUMPRODUCT(('حجز الإجازات'!$B$5:$B$104='الموظفون'!$B$8)*('حجز الإجازات'!$D$5:$D$104&lt;=LT$3)*(('حجز الإجازات'!$E$5:$E$104)&gt;=LT$3)*('حجز الإجازات'!$G$5:$G$104="معتمد")*ROW('حجز الإجازات'!$B$5:$B$104))=0,"",INDEX('حجز الإجازات'!$C$5:$C$104,(SUMPRODUCT(('حجز الإجازات'!$B$5:$B$104='الموظفون'!$B$8)*('حجز الإجازات'!$D$5:$D$104&lt;=LT$3)*(('حجز الإجازات'!$E$5:$E$104)&gt;=LT$3)*('حجز الإجازات'!$G$5:$G$104="معتمد")*ROW('حجز الإجازات'!$B$5:$B$104)))-5+1))</f>
        <v/>
      </c>
      <c r="LU10" s="62">
        <f>IF(SUMPRODUCT(('حجز الإجازات'!$B$5:$B$104='الموظفون'!$B$8)*('حجز الإجازات'!$D$5:$D$104&lt;=LU$3)*(('حجز الإجازات'!$E$5:$E$104)&gt;=LU$3)*('حجز الإجازات'!$G$5:$G$104="معتمد")*ROW('حجز الإجازات'!$B$5:$B$104))=0,"",INDEX('حجز الإجازات'!$C$5:$C$104,(SUMPRODUCT(('حجز الإجازات'!$B$5:$B$104='الموظفون'!$B$8)*('حجز الإجازات'!$D$5:$D$104&lt;=LU$3)*(('حجز الإجازات'!$E$5:$E$104)&gt;=LU$3)*('حجز الإجازات'!$G$5:$G$104="معتمد")*ROW('حجز الإجازات'!$B$5:$B$104)))-5+1))</f>
        <v/>
      </c>
      <c r="LV10" s="62">
        <f>IF(SUMPRODUCT(('حجز الإجازات'!$B$5:$B$104='الموظفون'!$B$8)*('حجز الإجازات'!$D$5:$D$104&lt;=LV$3)*(('حجز الإجازات'!$E$5:$E$104)&gt;=LV$3)*('حجز الإجازات'!$G$5:$G$104="معتمد")*ROW('حجز الإجازات'!$B$5:$B$104))=0,"",INDEX('حجز الإجازات'!$C$5:$C$104,(SUMPRODUCT(('حجز الإجازات'!$B$5:$B$104='الموظفون'!$B$8)*('حجز الإجازات'!$D$5:$D$104&lt;=LV$3)*(('حجز الإجازات'!$E$5:$E$104)&gt;=LV$3)*('حجز الإجازات'!$G$5:$G$104="معتمد")*ROW('حجز الإجازات'!$B$5:$B$104)))-5+1))</f>
        <v/>
      </c>
      <c r="LW10" s="62">
        <f>IF(SUMPRODUCT(('حجز الإجازات'!$B$5:$B$104='الموظفون'!$B$8)*('حجز الإجازات'!$D$5:$D$104&lt;=LW$3)*(('حجز الإجازات'!$E$5:$E$104)&gt;=LW$3)*('حجز الإجازات'!$G$5:$G$104="معتمد")*ROW('حجز الإجازات'!$B$5:$B$104))=0,"",INDEX('حجز الإجازات'!$C$5:$C$104,(SUMPRODUCT(('حجز الإجازات'!$B$5:$B$104='الموظفون'!$B$8)*('حجز الإجازات'!$D$5:$D$104&lt;=LW$3)*(('حجز الإجازات'!$E$5:$E$104)&gt;=LW$3)*('حجز الإجازات'!$G$5:$G$104="معتمد")*ROW('حجز الإجازات'!$B$5:$B$104)))-5+1))</f>
        <v/>
      </c>
      <c r="LX10" s="62">
        <f>IF(SUMPRODUCT(('حجز الإجازات'!$B$5:$B$104='الموظفون'!$B$8)*('حجز الإجازات'!$D$5:$D$104&lt;=LX$3)*(('حجز الإجازات'!$E$5:$E$104)&gt;=LX$3)*('حجز الإجازات'!$G$5:$G$104="معتمد")*ROW('حجز الإجازات'!$B$5:$B$104))=0,"",INDEX('حجز الإجازات'!$C$5:$C$104,(SUMPRODUCT(('حجز الإجازات'!$B$5:$B$104='الموظفون'!$B$8)*('حجز الإجازات'!$D$5:$D$104&lt;=LX$3)*(('حجز الإجازات'!$E$5:$E$104)&gt;=LX$3)*('حجز الإجازات'!$G$5:$G$104="معتمد")*ROW('حجز الإجازات'!$B$5:$B$104)))-5+1))</f>
        <v/>
      </c>
      <c r="LY10" s="62">
        <f>IF(SUMPRODUCT(('حجز الإجازات'!$B$5:$B$104='الموظفون'!$B$8)*('حجز الإجازات'!$D$5:$D$104&lt;=LY$3)*(('حجز الإجازات'!$E$5:$E$104)&gt;=LY$3)*('حجز الإجازات'!$G$5:$G$104="معتمد")*ROW('حجز الإجازات'!$B$5:$B$104))=0,"",INDEX('حجز الإجازات'!$C$5:$C$104,(SUMPRODUCT(('حجز الإجازات'!$B$5:$B$104='الموظفون'!$B$8)*('حجز الإجازات'!$D$5:$D$104&lt;=LY$3)*(('حجز الإجازات'!$E$5:$E$104)&gt;=LY$3)*('حجز الإجازات'!$G$5:$G$104="معتمد")*ROW('حجز الإجازات'!$B$5:$B$104)))-5+1))</f>
        <v/>
      </c>
      <c r="LZ10" s="62">
        <f>IF(SUMPRODUCT(('حجز الإجازات'!$B$5:$B$104='الموظفون'!$B$8)*('حجز الإجازات'!$D$5:$D$104&lt;=LZ$3)*(('حجز الإجازات'!$E$5:$E$104)&gt;=LZ$3)*('حجز الإجازات'!$G$5:$G$104="معتمد")*ROW('حجز الإجازات'!$B$5:$B$104))=0,"",INDEX('حجز الإجازات'!$C$5:$C$104,(SUMPRODUCT(('حجز الإجازات'!$B$5:$B$104='الموظفون'!$B$8)*('حجز الإجازات'!$D$5:$D$104&lt;=LZ$3)*(('حجز الإجازات'!$E$5:$E$104)&gt;=LZ$3)*('حجز الإجازات'!$G$5:$G$104="معتمد")*ROW('حجز الإجازات'!$B$5:$B$104)))-5+1))</f>
        <v/>
      </c>
      <c r="MA10" s="62">
        <f>IF(SUMPRODUCT(('حجز الإجازات'!$B$5:$B$104='الموظفون'!$B$8)*('حجز الإجازات'!$D$5:$D$104&lt;=MA$3)*(('حجز الإجازات'!$E$5:$E$104)&gt;=MA$3)*('حجز الإجازات'!$G$5:$G$104="معتمد")*ROW('حجز الإجازات'!$B$5:$B$104))=0,"",INDEX('حجز الإجازات'!$C$5:$C$104,(SUMPRODUCT(('حجز الإجازات'!$B$5:$B$104='الموظفون'!$B$8)*('حجز الإجازات'!$D$5:$D$104&lt;=MA$3)*(('حجز الإجازات'!$E$5:$E$104)&gt;=MA$3)*('حجز الإجازات'!$G$5:$G$104="معتمد")*ROW('حجز الإجازات'!$B$5:$B$104)))-5+1))</f>
        <v/>
      </c>
      <c r="MB10" s="62">
        <f>IF(SUMPRODUCT(('حجز الإجازات'!$B$5:$B$104='الموظفون'!$B$8)*('حجز الإجازات'!$D$5:$D$104&lt;=MB$3)*(('حجز الإجازات'!$E$5:$E$104)&gt;=MB$3)*('حجز الإجازات'!$G$5:$G$104="معتمد")*ROW('حجز الإجازات'!$B$5:$B$104))=0,"",INDEX('حجز الإجازات'!$C$5:$C$104,(SUMPRODUCT(('حجز الإجازات'!$B$5:$B$104='الموظفون'!$B$8)*('حجز الإجازات'!$D$5:$D$104&lt;=MB$3)*(('حجز الإجازات'!$E$5:$E$104)&gt;=MB$3)*('حجز الإجازات'!$G$5:$G$104="معتمد")*ROW('حجز الإجازات'!$B$5:$B$104)))-5+1))</f>
        <v/>
      </c>
      <c r="MC10" s="62">
        <f>IF(SUMPRODUCT(('حجز الإجازات'!$B$5:$B$104='الموظفون'!$B$8)*('حجز الإجازات'!$D$5:$D$104&lt;=MC$3)*(('حجز الإجازات'!$E$5:$E$104)&gt;=MC$3)*('حجز الإجازات'!$G$5:$G$104="معتمد")*ROW('حجز الإجازات'!$B$5:$B$104))=0,"",INDEX('حجز الإجازات'!$C$5:$C$104,(SUMPRODUCT(('حجز الإجازات'!$B$5:$B$104='الموظفون'!$B$8)*('حجز الإجازات'!$D$5:$D$104&lt;=MC$3)*(('حجز الإجازات'!$E$5:$E$104)&gt;=MC$3)*('حجز الإجازات'!$G$5:$G$104="معتمد")*ROW('حجز الإجازات'!$B$5:$B$104)))-5+1))</f>
        <v/>
      </c>
      <c r="MD10" s="62">
        <f>IF(SUMPRODUCT(('حجز الإجازات'!$B$5:$B$104='الموظفون'!$B$8)*('حجز الإجازات'!$D$5:$D$104&lt;=MD$3)*(('حجز الإجازات'!$E$5:$E$104)&gt;=MD$3)*('حجز الإجازات'!$G$5:$G$104="معتمد")*ROW('حجز الإجازات'!$B$5:$B$104))=0,"",INDEX('حجز الإجازات'!$C$5:$C$104,(SUMPRODUCT(('حجز الإجازات'!$B$5:$B$104='الموظفون'!$B$8)*('حجز الإجازات'!$D$5:$D$104&lt;=MD$3)*(('حجز الإجازات'!$E$5:$E$104)&gt;=MD$3)*('حجز الإجازات'!$G$5:$G$104="معتمد")*ROW('حجز الإجازات'!$B$5:$B$104)))-5+1))</f>
        <v/>
      </c>
      <c r="ME10" s="62">
        <f>IF(SUMPRODUCT(('حجز الإجازات'!$B$5:$B$104='الموظفون'!$B$8)*('حجز الإجازات'!$D$5:$D$104&lt;=ME$3)*(('حجز الإجازات'!$E$5:$E$104)&gt;=ME$3)*('حجز الإجازات'!$G$5:$G$104="معتمد")*ROW('حجز الإجازات'!$B$5:$B$104))=0,"",INDEX('حجز الإجازات'!$C$5:$C$104,(SUMPRODUCT(('حجز الإجازات'!$B$5:$B$104='الموظفون'!$B$8)*('حجز الإجازات'!$D$5:$D$104&lt;=ME$3)*(('حجز الإجازات'!$E$5:$E$104)&gt;=ME$3)*('حجز الإجازات'!$G$5:$G$104="معتمد")*ROW('حجز الإجازات'!$B$5:$B$104)))-5+1))</f>
        <v/>
      </c>
      <c r="MF10" s="62">
        <f>IF(SUMPRODUCT(('حجز الإجازات'!$B$5:$B$104='الموظفون'!$B$8)*('حجز الإجازات'!$D$5:$D$104&lt;=MF$3)*(('حجز الإجازات'!$E$5:$E$104)&gt;=MF$3)*('حجز الإجازات'!$G$5:$G$104="معتمد")*ROW('حجز الإجازات'!$B$5:$B$104))=0,"",INDEX('حجز الإجازات'!$C$5:$C$104,(SUMPRODUCT(('حجز الإجازات'!$B$5:$B$104='الموظفون'!$B$8)*('حجز الإجازات'!$D$5:$D$104&lt;=MF$3)*(('حجز الإجازات'!$E$5:$E$104)&gt;=MF$3)*('حجز الإجازات'!$G$5:$G$104="معتمد")*ROW('حجز الإجازات'!$B$5:$B$104)))-5+1))</f>
        <v/>
      </c>
      <c r="MG10" s="62">
        <f>IF(SUMPRODUCT(('حجز الإجازات'!$B$5:$B$104='الموظفون'!$B$8)*('حجز الإجازات'!$D$5:$D$104&lt;=MG$3)*(('حجز الإجازات'!$E$5:$E$104)&gt;=MG$3)*('حجز الإجازات'!$G$5:$G$104="معتمد")*ROW('حجز الإجازات'!$B$5:$B$104))=0,"",INDEX('حجز الإجازات'!$C$5:$C$104,(SUMPRODUCT(('حجز الإجازات'!$B$5:$B$104='الموظفون'!$B$8)*('حجز الإجازات'!$D$5:$D$104&lt;=MG$3)*(('حجز الإجازات'!$E$5:$E$104)&gt;=MG$3)*('حجز الإجازات'!$G$5:$G$104="معتمد")*ROW('حجز الإجازات'!$B$5:$B$104)))-5+1))</f>
        <v/>
      </c>
      <c r="MH10" s="62">
        <f>IF(SUMPRODUCT(('حجز الإجازات'!$B$5:$B$104='الموظفون'!$B$8)*('حجز الإجازات'!$D$5:$D$104&lt;=MH$3)*(('حجز الإجازات'!$E$5:$E$104)&gt;=MH$3)*('حجز الإجازات'!$G$5:$G$104="معتمد")*ROW('حجز الإجازات'!$B$5:$B$104))=0,"",INDEX('حجز الإجازات'!$C$5:$C$104,(SUMPRODUCT(('حجز الإجازات'!$B$5:$B$104='الموظفون'!$B$8)*('حجز الإجازات'!$D$5:$D$104&lt;=MH$3)*(('حجز الإجازات'!$E$5:$E$104)&gt;=MH$3)*('حجز الإجازات'!$G$5:$G$104="معتمد")*ROW('حجز الإجازات'!$B$5:$B$104)))-5+1))</f>
        <v/>
      </c>
      <c r="MI10" s="62">
        <f>IF(SUMPRODUCT(('حجز الإجازات'!$B$5:$B$104='الموظفون'!$B$8)*('حجز الإجازات'!$D$5:$D$104&lt;=MI$3)*(('حجز الإجازات'!$E$5:$E$104)&gt;=MI$3)*('حجز الإجازات'!$G$5:$G$104="معتمد")*ROW('حجز الإجازات'!$B$5:$B$104))=0,"",INDEX('حجز الإجازات'!$C$5:$C$104,(SUMPRODUCT(('حجز الإجازات'!$B$5:$B$104='الموظفون'!$B$8)*('حجز الإجازات'!$D$5:$D$104&lt;=MI$3)*(('حجز الإجازات'!$E$5:$E$104)&gt;=MI$3)*('حجز الإجازات'!$G$5:$G$104="معتمد")*ROW('حجز الإجازات'!$B$5:$B$104)))-5+1))</f>
        <v/>
      </c>
      <c r="MJ10" s="62">
        <f>IF(SUMPRODUCT(('حجز الإجازات'!$B$5:$B$104='الموظفون'!$B$8)*('حجز الإجازات'!$D$5:$D$104&lt;=MJ$3)*(('حجز الإجازات'!$E$5:$E$104)&gt;=MJ$3)*('حجز الإجازات'!$G$5:$G$104="معتمد")*ROW('حجز الإجازات'!$B$5:$B$104))=0,"",INDEX('حجز الإجازات'!$C$5:$C$104,(SUMPRODUCT(('حجز الإجازات'!$B$5:$B$104='الموظفون'!$B$8)*('حجز الإجازات'!$D$5:$D$104&lt;=MJ$3)*(('حجز الإجازات'!$E$5:$E$104)&gt;=MJ$3)*('حجز الإجازات'!$G$5:$G$104="معتمد")*ROW('حجز الإجازات'!$B$5:$B$104)))-5+1))</f>
        <v/>
      </c>
      <c r="MK10" s="62">
        <f>IF(SUMPRODUCT(('حجز الإجازات'!$B$5:$B$104='الموظفون'!$B$8)*('حجز الإجازات'!$D$5:$D$104&lt;=MK$3)*(('حجز الإجازات'!$E$5:$E$104)&gt;=MK$3)*('حجز الإجازات'!$G$5:$G$104="معتمد")*ROW('حجز الإجازات'!$B$5:$B$104))=0,"",INDEX('حجز الإجازات'!$C$5:$C$104,(SUMPRODUCT(('حجز الإجازات'!$B$5:$B$104='الموظفون'!$B$8)*('حجز الإجازات'!$D$5:$D$104&lt;=MK$3)*(('حجز الإجازات'!$E$5:$E$104)&gt;=MK$3)*('حجز الإجازات'!$G$5:$G$104="معتمد")*ROW('حجز الإجازات'!$B$5:$B$104)))-5+1))</f>
        <v/>
      </c>
      <c r="ML10" s="62">
        <f>IF(SUMPRODUCT(('حجز الإجازات'!$B$5:$B$104='الموظفون'!$B$8)*('حجز الإجازات'!$D$5:$D$104&lt;=ML$3)*(('حجز الإجازات'!$E$5:$E$104)&gt;=ML$3)*('حجز الإجازات'!$G$5:$G$104="معتمد")*ROW('حجز الإجازات'!$B$5:$B$104))=0,"",INDEX('حجز الإجازات'!$C$5:$C$104,(SUMPRODUCT(('حجز الإجازات'!$B$5:$B$104='الموظفون'!$B$8)*('حجز الإجازات'!$D$5:$D$104&lt;=ML$3)*(('حجز الإجازات'!$E$5:$E$104)&gt;=ML$3)*('حجز الإجازات'!$G$5:$G$104="معتمد")*ROW('حجز الإجازات'!$B$5:$B$104)))-5+1))</f>
        <v/>
      </c>
      <c r="MM10" s="62">
        <f>IF(SUMPRODUCT(('حجز الإجازات'!$B$5:$B$104='الموظفون'!$B$8)*('حجز الإجازات'!$D$5:$D$104&lt;=MM$3)*(('حجز الإجازات'!$E$5:$E$104)&gt;=MM$3)*('حجز الإجازات'!$G$5:$G$104="معتمد")*ROW('حجز الإجازات'!$B$5:$B$104))=0,"",INDEX('حجز الإجازات'!$C$5:$C$104,(SUMPRODUCT(('حجز الإجازات'!$B$5:$B$104='الموظفون'!$B$8)*('حجز الإجازات'!$D$5:$D$104&lt;=MM$3)*(('حجز الإجازات'!$E$5:$E$104)&gt;=MM$3)*('حجز الإجازات'!$G$5:$G$104="معتمد")*ROW('حجز الإجازات'!$B$5:$B$104)))-5+1))</f>
        <v/>
      </c>
      <c r="MN10" s="62">
        <f>IF(SUMPRODUCT(('حجز الإجازات'!$B$5:$B$104='الموظفون'!$B$8)*('حجز الإجازات'!$D$5:$D$104&lt;=MN$3)*(('حجز الإجازات'!$E$5:$E$104)&gt;=MN$3)*('حجز الإجازات'!$G$5:$G$104="معتمد")*ROW('حجز الإجازات'!$B$5:$B$104))=0,"",INDEX('حجز الإجازات'!$C$5:$C$104,(SUMPRODUCT(('حجز الإجازات'!$B$5:$B$104='الموظفون'!$B$8)*('حجز الإجازات'!$D$5:$D$104&lt;=MN$3)*(('حجز الإجازات'!$E$5:$E$104)&gt;=MN$3)*('حجز الإجازات'!$G$5:$G$104="معتمد")*ROW('حجز الإجازات'!$B$5:$B$104)))-5+1))</f>
        <v/>
      </c>
      <c r="MO10" s="62">
        <f>IF(SUMPRODUCT(('حجز الإجازات'!$B$5:$B$104='الموظفون'!$B$8)*('حجز الإجازات'!$D$5:$D$104&lt;=MO$3)*(('حجز الإجازات'!$E$5:$E$104)&gt;=MO$3)*('حجز الإجازات'!$G$5:$G$104="معتمد")*ROW('حجز الإجازات'!$B$5:$B$104))=0,"",INDEX('حجز الإجازات'!$C$5:$C$104,(SUMPRODUCT(('حجز الإجازات'!$B$5:$B$104='الموظفون'!$B$8)*('حجز الإجازات'!$D$5:$D$104&lt;=MO$3)*(('حجز الإجازات'!$E$5:$E$104)&gt;=MO$3)*('حجز الإجازات'!$G$5:$G$104="معتمد")*ROW('حجز الإجازات'!$B$5:$B$104)))-5+1))</f>
        <v/>
      </c>
      <c r="MP10" s="62">
        <f>IF(SUMPRODUCT(('حجز الإجازات'!$B$5:$B$104='الموظفون'!$B$8)*('حجز الإجازات'!$D$5:$D$104&lt;=MP$3)*(('حجز الإجازات'!$E$5:$E$104)&gt;=MP$3)*('حجز الإجازات'!$G$5:$G$104="معتمد")*ROW('حجز الإجازات'!$B$5:$B$104))=0,"",INDEX('حجز الإجازات'!$C$5:$C$104,(SUMPRODUCT(('حجز الإجازات'!$B$5:$B$104='الموظفون'!$B$8)*('حجز الإجازات'!$D$5:$D$104&lt;=MP$3)*(('حجز الإجازات'!$E$5:$E$104)&gt;=MP$3)*('حجز الإجازات'!$G$5:$G$104="معتمد")*ROW('حجز الإجازات'!$B$5:$B$104)))-5+1))</f>
        <v/>
      </c>
      <c r="MQ10" s="62">
        <f>IF(SUMPRODUCT(('حجز الإجازات'!$B$5:$B$104='الموظفون'!$B$8)*('حجز الإجازات'!$D$5:$D$104&lt;=MQ$3)*(('حجز الإجازات'!$E$5:$E$104)&gt;=MQ$3)*('حجز الإجازات'!$G$5:$G$104="معتمد")*ROW('حجز الإجازات'!$B$5:$B$104))=0,"",INDEX('حجز الإجازات'!$C$5:$C$104,(SUMPRODUCT(('حجز الإجازات'!$B$5:$B$104='الموظفون'!$B$8)*('حجز الإجازات'!$D$5:$D$104&lt;=MQ$3)*(('حجز الإجازات'!$E$5:$E$104)&gt;=MQ$3)*('حجز الإجازات'!$G$5:$G$104="معتمد")*ROW('حجز الإجازات'!$B$5:$B$104)))-5+1))</f>
        <v/>
      </c>
      <c r="MR10" s="62">
        <f>IF(SUMPRODUCT(('حجز الإجازات'!$B$5:$B$104='الموظفون'!$B$8)*('حجز الإجازات'!$D$5:$D$104&lt;=MR$3)*(('حجز الإجازات'!$E$5:$E$104)&gt;=MR$3)*('حجز الإجازات'!$G$5:$G$104="معتمد")*ROW('حجز الإجازات'!$B$5:$B$104))=0,"",INDEX('حجز الإجازات'!$C$5:$C$104,(SUMPRODUCT(('حجز الإجازات'!$B$5:$B$104='الموظفون'!$B$8)*('حجز الإجازات'!$D$5:$D$104&lt;=MR$3)*(('حجز الإجازات'!$E$5:$E$104)&gt;=MR$3)*('حجز الإجازات'!$G$5:$G$104="معتمد")*ROW('حجز الإجازات'!$B$5:$B$104)))-5+1))</f>
        <v/>
      </c>
      <c r="MS10" s="62">
        <f>IF(SUMPRODUCT(('حجز الإجازات'!$B$5:$B$104='الموظفون'!$B$8)*('حجز الإجازات'!$D$5:$D$104&lt;=MS$3)*(('حجز الإجازات'!$E$5:$E$104)&gt;=MS$3)*('حجز الإجازات'!$G$5:$G$104="معتمد")*ROW('حجز الإجازات'!$B$5:$B$104))=0,"",INDEX('حجز الإجازات'!$C$5:$C$104,(SUMPRODUCT(('حجز الإجازات'!$B$5:$B$104='الموظفون'!$B$8)*('حجز الإجازات'!$D$5:$D$104&lt;=MS$3)*(('حجز الإجازات'!$E$5:$E$104)&gt;=MS$3)*('حجز الإجازات'!$G$5:$G$104="معتمد")*ROW('حجز الإجازات'!$B$5:$B$104)))-5+1))</f>
        <v/>
      </c>
      <c r="MT10" s="62">
        <f>IF(SUMPRODUCT(('حجز الإجازات'!$B$5:$B$104='الموظفون'!$B$8)*('حجز الإجازات'!$D$5:$D$104&lt;=MT$3)*(('حجز الإجازات'!$E$5:$E$104)&gt;=MT$3)*('حجز الإجازات'!$G$5:$G$104="معتمد")*ROW('حجز الإجازات'!$B$5:$B$104))=0,"",INDEX('حجز الإجازات'!$C$5:$C$104,(SUMPRODUCT(('حجز الإجازات'!$B$5:$B$104='الموظفون'!$B$8)*('حجز الإجازات'!$D$5:$D$104&lt;=MT$3)*(('حجز الإجازات'!$E$5:$E$104)&gt;=MT$3)*('حجز الإجازات'!$G$5:$G$104="معتمد")*ROW('حجز الإجازات'!$B$5:$B$104)))-5+1))</f>
        <v/>
      </c>
      <c r="MU10" s="62">
        <f>IF(SUMPRODUCT(('حجز الإجازات'!$B$5:$B$104='الموظفون'!$B$8)*('حجز الإجازات'!$D$5:$D$104&lt;=MU$3)*(('حجز الإجازات'!$E$5:$E$104)&gt;=MU$3)*('حجز الإجازات'!$G$5:$G$104="معتمد")*ROW('حجز الإجازات'!$B$5:$B$104))=0,"",INDEX('حجز الإجازات'!$C$5:$C$104,(SUMPRODUCT(('حجز الإجازات'!$B$5:$B$104='الموظفون'!$B$8)*('حجز الإجازات'!$D$5:$D$104&lt;=MU$3)*(('حجز الإجازات'!$E$5:$E$104)&gt;=MU$3)*('حجز الإجازات'!$G$5:$G$104="معتمد")*ROW('حجز الإجازات'!$B$5:$B$104)))-5+1))</f>
        <v/>
      </c>
      <c r="MV10" s="62">
        <f>IF(SUMPRODUCT(('حجز الإجازات'!$B$5:$B$104='الموظفون'!$B$8)*('حجز الإجازات'!$D$5:$D$104&lt;=MV$3)*(('حجز الإجازات'!$E$5:$E$104)&gt;=MV$3)*('حجز الإجازات'!$G$5:$G$104="معتمد")*ROW('حجز الإجازات'!$B$5:$B$104))=0,"",INDEX('حجز الإجازات'!$C$5:$C$104,(SUMPRODUCT(('حجز الإجازات'!$B$5:$B$104='الموظفون'!$B$8)*('حجز الإجازات'!$D$5:$D$104&lt;=MV$3)*(('حجز الإجازات'!$E$5:$E$104)&gt;=MV$3)*('حجز الإجازات'!$G$5:$G$104="معتمد")*ROW('حجز الإجازات'!$B$5:$B$104)))-5+1))</f>
        <v/>
      </c>
      <c r="MW10" s="62">
        <f>IF(SUMPRODUCT(('حجز الإجازات'!$B$5:$B$104='الموظفون'!$B$8)*('حجز الإجازات'!$D$5:$D$104&lt;=MW$3)*(('حجز الإجازات'!$E$5:$E$104)&gt;=MW$3)*('حجز الإجازات'!$G$5:$G$104="معتمد")*ROW('حجز الإجازات'!$B$5:$B$104))=0,"",INDEX('حجز الإجازات'!$C$5:$C$104,(SUMPRODUCT(('حجز الإجازات'!$B$5:$B$104='الموظفون'!$B$8)*('حجز الإجازات'!$D$5:$D$104&lt;=MW$3)*(('حجز الإجازات'!$E$5:$E$104)&gt;=MW$3)*('حجز الإجازات'!$G$5:$G$104="معتمد")*ROW('حجز الإجازات'!$B$5:$B$104)))-5+1))</f>
        <v/>
      </c>
      <c r="MX10" s="62">
        <f>IF(SUMPRODUCT(('حجز الإجازات'!$B$5:$B$104='الموظفون'!$B$8)*('حجز الإجازات'!$D$5:$D$104&lt;=MX$3)*(('حجز الإجازات'!$E$5:$E$104)&gt;=MX$3)*('حجز الإجازات'!$G$5:$G$104="معتمد")*ROW('حجز الإجازات'!$B$5:$B$104))=0,"",INDEX('حجز الإجازات'!$C$5:$C$104,(SUMPRODUCT(('حجز الإجازات'!$B$5:$B$104='الموظفون'!$B$8)*('حجز الإجازات'!$D$5:$D$104&lt;=MX$3)*(('حجز الإجازات'!$E$5:$E$104)&gt;=MX$3)*('حجز الإجازات'!$G$5:$G$104="معتمد")*ROW('حجز الإجازات'!$B$5:$B$104)))-5+1))</f>
        <v/>
      </c>
      <c r="MY10" s="62">
        <f>IF(SUMPRODUCT(('حجز الإجازات'!$B$5:$B$104='الموظفون'!$B$8)*('حجز الإجازات'!$D$5:$D$104&lt;=MY$3)*(('حجز الإجازات'!$E$5:$E$104)&gt;=MY$3)*('حجز الإجازات'!$G$5:$G$104="معتمد")*ROW('حجز الإجازات'!$B$5:$B$104))=0,"",INDEX('حجز الإجازات'!$C$5:$C$104,(SUMPRODUCT(('حجز الإجازات'!$B$5:$B$104='الموظفون'!$B$8)*('حجز الإجازات'!$D$5:$D$104&lt;=MY$3)*(('حجز الإجازات'!$E$5:$E$104)&gt;=MY$3)*('حجز الإجازات'!$G$5:$G$104="معتمد")*ROW('حجز الإجازات'!$B$5:$B$104)))-5+1))</f>
        <v/>
      </c>
      <c r="MZ10" s="62">
        <f>IF(SUMPRODUCT(('حجز الإجازات'!$B$5:$B$104='الموظفون'!$B$8)*('حجز الإجازات'!$D$5:$D$104&lt;=MZ$3)*(('حجز الإجازات'!$E$5:$E$104)&gt;=MZ$3)*('حجز الإجازات'!$G$5:$G$104="معتمد")*ROW('حجز الإجازات'!$B$5:$B$104))=0,"",INDEX('حجز الإجازات'!$C$5:$C$104,(SUMPRODUCT(('حجز الإجازات'!$B$5:$B$104='الموظفون'!$B$8)*('حجز الإجازات'!$D$5:$D$104&lt;=MZ$3)*(('حجز الإجازات'!$E$5:$E$104)&gt;=MZ$3)*('حجز الإجازات'!$G$5:$G$104="معتمد")*ROW('حجز الإجازات'!$B$5:$B$104)))-5+1))</f>
        <v/>
      </c>
      <c r="NA10" s="62">
        <f>IF(SUMPRODUCT(('حجز الإجازات'!$B$5:$B$104='الموظفون'!$B$8)*('حجز الإجازات'!$D$5:$D$104&lt;=NA$3)*(('حجز الإجازات'!$E$5:$E$104)&gt;=NA$3)*('حجز الإجازات'!$G$5:$G$104="معتمد")*ROW('حجز الإجازات'!$B$5:$B$104))=0,"",INDEX('حجز الإجازات'!$C$5:$C$104,(SUMPRODUCT(('حجز الإجازات'!$B$5:$B$104='الموظفون'!$B$8)*('حجز الإجازات'!$D$5:$D$104&lt;=NA$3)*(('حجز الإجازات'!$E$5:$E$104)&gt;=NA$3)*('حجز الإجازات'!$G$5:$G$104="معتمد")*ROW('حجز الإجازات'!$B$5:$B$104)))-5+1))</f>
        <v/>
      </c>
      <c r="NB10" s="62">
        <f>IF(SUMPRODUCT(('حجز الإجازات'!$B$5:$B$104='الموظفون'!$B$8)*('حجز الإجازات'!$D$5:$D$104&lt;=NB$3)*(('حجز الإجازات'!$E$5:$E$104)&gt;=NB$3)*('حجز الإجازات'!$G$5:$G$104="معتمد")*ROW('حجز الإجازات'!$B$5:$B$104))=0,"",INDEX('حجز الإجازات'!$C$5:$C$104,(SUMPRODUCT(('حجز الإجازات'!$B$5:$B$104='الموظفون'!$B$8)*('حجز الإجازات'!$D$5:$D$104&lt;=NB$3)*(('حجز الإجازات'!$E$5:$E$104)&gt;=NB$3)*('حجز الإجازات'!$G$5:$G$104="معتمد")*ROW('حجز الإجازات'!$B$5:$B$104)))-5+1))</f>
        <v/>
      </c>
      <c r="NC10" s="62">
        <f>IF(SUMPRODUCT(('حجز الإجازات'!$B$5:$B$104='الموظفون'!$B$8)*('حجز الإجازات'!$D$5:$D$104&lt;=NC$3)*(('حجز الإجازات'!$E$5:$E$104)&gt;=NC$3)*('حجز الإجازات'!$G$5:$G$104="معتمد")*ROW('حجز الإجازات'!$B$5:$B$104))=0,"",INDEX('حجز الإجازات'!$C$5:$C$104,(SUMPRODUCT(('حجز الإجازات'!$B$5:$B$104='الموظفون'!$B$8)*('حجز الإجازات'!$D$5:$D$104&lt;=NC$3)*(('حجز الإجازات'!$E$5:$E$104)&gt;=NC$3)*('حجز الإجازات'!$G$5:$G$104="معتمد")*ROW('حجز الإجازات'!$B$5:$B$104)))-5+1))</f>
        <v/>
      </c>
      <c r="ND10" s="62">
        <f>IF(SUMPRODUCT(('حجز الإجازات'!$B$5:$B$104='الموظفون'!$B$8)*('حجز الإجازات'!$D$5:$D$104&lt;=ND$3)*(('حجز الإجازات'!$E$5:$E$104)&gt;=ND$3)*('حجز الإجازات'!$G$5:$G$104="معتمد")*ROW('حجز الإجازات'!$B$5:$B$104))=0,"",INDEX('حجز الإجازات'!$C$5:$C$104,(SUMPRODUCT(('حجز الإجازات'!$B$5:$B$104='الموظفون'!$B$8)*('حجز الإجازات'!$D$5:$D$104&lt;=ND$3)*(('حجز الإجازات'!$E$5:$E$104)&gt;=ND$3)*('حجز الإجازات'!$G$5:$G$104="معتمد")*ROW('حجز الإجازات'!$B$5:$B$104)))-5+1))</f>
        <v/>
      </c>
      <c r="NE10" s="74">
        <f>SUMPRODUCT(--(D10:ND10&lt;&gt;""))</f>
        <v/>
      </c>
    </row>
    <row r="11">
      <c r="A11" s="16" t="n">
        <v>8</v>
      </c>
      <c r="B11" s="22">
        <f>'الموظفون'!B9</f>
        <v/>
      </c>
      <c r="C11" s="16">
        <f>'الموظفون'!C9</f>
        <v/>
      </c>
      <c r="D11" s="62">
        <f>IF(SUMPRODUCT(('حجز الإجازات'!$B$5:$B$104='الموظفون'!$B$9)*('حجز الإجازات'!$D$5:$D$104&lt;=D$3)*(('حجز الإجازات'!$E$5:$E$104)&gt;=D$3)*('حجز الإجازات'!$G$5:$G$104="معتمد")*ROW('حجز الإجازات'!$B$5:$B$104))=0,"",INDEX('حجز الإجازات'!$C$5:$C$104,(SUMPRODUCT(('حجز الإجازات'!$B$5:$B$104='الموظفون'!$B$9)*('حجز الإجازات'!$D$5:$D$104&lt;=D$3)*(('حجز الإجازات'!$E$5:$E$104)&gt;=D$3)*('حجز الإجازات'!$G$5:$G$104="معتمد")*ROW('حجز الإجازات'!$B$5:$B$104)))-5+1))</f>
        <v/>
      </c>
      <c r="E11" s="62">
        <f>IF(SUMPRODUCT(('حجز الإجازات'!$B$5:$B$104='الموظفون'!$B$9)*('حجز الإجازات'!$D$5:$D$104&lt;=E$3)*(('حجز الإجازات'!$E$5:$E$104)&gt;=E$3)*('حجز الإجازات'!$G$5:$G$104="معتمد")*ROW('حجز الإجازات'!$B$5:$B$104))=0,"",INDEX('حجز الإجازات'!$C$5:$C$104,(SUMPRODUCT(('حجز الإجازات'!$B$5:$B$104='الموظفون'!$B$9)*('حجز الإجازات'!$D$5:$D$104&lt;=E$3)*(('حجز الإجازات'!$E$5:$E$104)&gt;=E$3)*('حجز الإجازات'!$G$5:$G$104="معتمد")*ROW('حجز الإجازات'!$B$5:$B$104)))-5+1))</f>
        <v/>
      </c>
      <c r="F11" s="62">
        <f>IF(SUMPRODUCT(('حجز الإجازات'!$B$5:$B$104='الموظفون'!$B$9)*('حجز الإجازات'!$D$5:$D$104&lt;=F$3)*(('حجز الإجازات'!$E$5:$E$104)&gt;=F$3)*('حجز الإجازات'!$G$5:$G$104="معتمد")*ROW('حجز الإجازات'!$B$5:$B$104))=0,"",INDEX('حجز الإجازات'!$C$5:$C$104,(SUMPRODUCT(('حجز الإجازات'!$B$5:$B$104='الموظفون'!$B$9)*('حجز الإجازات'!$D$5:$D$104&lt;=F$3)*(('حجز الإجازات'!$E$5:$E$104)&gt;=F$3)*('حجز الإجازات'!$G$5:$G$104="معتمد")*ROW('حجز الإجازات'!$B$5:$B$104)))-5+1))</f>
        <v/>
      </c>
      <c r="G11" s="62">
        <f>IF(SUMPRODUCT(('حجز الإجازات'!$B$5:$B$104='الموظفون'!$B$9)*('حجز الإجازات'!$D$5:$D$104&lt;=G$3)*(('حجز الإجازات'!$E$5:$E$104)&gt;=G$3)*('حجز الإجازات'!$G$5:$G$104="معتمد")*ROW('حجز الإجازات'!$B$5:$B$104))=0,"",INDEX('حجز الإجازات'!$C$5:$C$104,(SUMPRODUCT(('حجز الإجازات'!$B$5:$B$104='الموظفون'!$B$9)*('حجز الإجازات'!$D$5:$D$104&lt;=G$3)*(('حجز الإجازات'!$E$5:$E$104)&gt;=G$3)*('حجز الإجازات'!$G$5:$G$104="معتمد")*ROW('حجز الإجازات'!$B$5:$B$104)))-5+1))</f>
        <v/>
      </c>
      <c r="H11" s="62">
        <f>IF(SUMPRODUCT(('حجز الإجازات'!$B$5:$B$104='الموظفون'!$B$9)*('حجز الإجازات'!$D$5:$D$104&lt;=H$3)*(('حجز الإجازات'!$E$5:$E$104)&gt;=H$3)*('حجز الإجازات'!$G$5:$G$104="معتمد")*ROW('حجز الإجازات'!$B$5:$B$104))=0,"",INDEX('حجز الإجازات'!$C$5:$C$104,(SUMPRODUCT(('حجز الإجازات'!$B$5:$B$104='الموظفون'!$B$9)*('حجز الإجازات'!$D$5:$D$104&lt;=H$3)*(('حجز الإجازات'!$E$5:$E$104)&gt;=H$3)*('حجز الإجازات'!$G$5:$G$104="معتمد")*ROW('حجز الإجازات'!$B$5:$B$104)))-5+1))</f>
        <v/>
      </c>
      <c r="I11" s="62">
        <f>IF(SUMPRODUCT(('حجز الإجازات'!$B$5:$B$104='الموظفون'!$B$9)*('حجز الإجازات'!$D$5:$D$104&lt;=I$3)*(('حجز الإجازات'!$E$5:$E$104)&gt;=I$3)*('حجز الإجازات'!$G$5:$G$104="معتمد")*ROW('حجز الإجازات'!$B$5:$B$104))=0,"",INDEX('حجز الإجازات'!$C$5:$C$104,(SUMPRODUCT(('حجز الإجازات'!$B$5:$B$104='الموظفون'!$B$9)*('حجز الإجازات'!$D$5:$D$104&lt;=I$3)*(('حجز الإجازات'!$E$5:$E$104)&gt;=I$3)*('حجز الإجازات'!$G$5:$G$104="معتمد")*ROW('حجز الإجازات'!$B$5:$B$104)))-5+1))</f>
        <v/>
      </c>
      <c r="J11" s="62">
        <f>IF(SUMPRODUCT(('حجز الإجازات'!$B$5:$B$104='الموظفون'!$B$9)*('حجز الإجازات'!$D$5:$D$104&lt;=J$3)*(('حجز الإجازات'!$E$5:$E$104)&gt;=J$3)*('حجز الإجازات'!$G$5:$G$104="معتمد")*ROW('حجز الإجازات'!$B$5:$B$104))=0,"",INDEX('حجز الإجازات'!$C$5:$C$104,(SUMPRODUCT(('حجز الإجازات'!$B$5:$B$104='الموظفون'!$B$9)*('حجز الإجازات'!$D$5:$D$104&lt;=J$3)*(('حجز الإجازات'!$E$5:$E$104)&gt;=J$3)*('حجز الإجازات'!$G$5:$G$104="معتمد")*ROW('حجز الإجازات'!$B$5:$B$104)))-5+1))</f>
        <v/>
      </c>
      <c r="K11" s="62">
        <f>IF(SUMPRODUCT(('حجز الإجازات'!$B$5:$B$104='الموظفون'!$B$9)*('حجز الإجازات'!$D$5:$D$104&lt;=K$3)*(('حجز الإجازات'!$E$5:$E$104)&gt;=K$3)*('حجز الإجازات'!$G$5:$G$104="معتمد")*ROW('حجز الإجازات'!$B$5:$B$104))=0,"",INDEX('حجز الإجازات'!$C$5:$C$104,(SUMPRODUCT(('حجز الإجازات'!$B$5:$B$104='الموظفون'!$B$9)*('حجز الإجازات'!$D$5:$D$104&lt;=K$3)*(('حجز الإجازات'!$E$5:$E$104)&gt;=K$3)*('حجز الإجازات'!$G$5:$G$104="معتمد")*ROW('حجز الإجازات'!$B$5:$B$104)))-5+1))</f>
        <v/>
      </c>
      <c r="L11" s="62">
        <f>IF(SUMPRODUCT(('حجز الإجازات'!$B$5:$B$104='الموظفون'!$B$9)*('حجز الإجازات'!$D$5:$D$104&lt;=L$3)*(('حجز الإجازات'!$E$5:$E$104)&gt;=L$3)*('حجز الإجازات'!$G$5:$G$104="معتمد")*ROW('حجز الإجازات'!$B$5:$B$104))=0,"",INDEX('حجز الإجازات'!$C$5:$C$104,(SUMPRODUCT(('حجز الإجازات'!$B$5:$B$104='الموظفون'!$B$9)*('حجز الإجازات'!$D$5:$D$104&lt;=L$3)*(('حجز الإجازات'!$E$5:$E$104)&gt;=L$3)*('حجز الإجازات'!$G$5:$G$104="معتمد")*ROW('حجز الإجازات'!$B$5:$B$104)))-5+1))</f>
        <v/>
      </c>
      <c r="M11" s="62">
        <f>IF(SUMPRODUCT(('حجز الإجازات'!$B$5:$B$104='الموظفون'!$B$9)*('حجز الإجازات'!$D$5:$D$104&lt;=M$3)*(('حجز الإجازات'!$E$5:$E$104)&gt;=M$3)*('حجز الإجازات'!$G$5:$G$104="معتمد")*ROW('حجز الإجازات'!$B$5:$B$104))=0,"",INDEX('حجز الإجازات'!$C$5:$C$104,(SUMPRODUCT(('حجز الإجازات'!$B$5:$B$104='الموظفون'!$B$9)*('حجز الإجازات'!$D$5:$D$104&lt;=M$3)*(('حجز الإجازات'!$E$5:$E$104)&gt;=M$3)*('حجز الإجازات'!$G$5:$G$104="معتمد")*ROW('حجز الإجازات'!$B$5:$B$104)))-5+1))</f>
        <v/>
      </c>
      <c r="N11" s="62">
        <f>IF(SUMPRODUCT(('حجز الإجازات'!$B$5:$B$104='الموظفون'!$B$9)*('حجز الإجازات'!$D$5:$D$104&lt;=N$3)*(('حجز الإجازات'!$E$5:$E$104)&gt;=N$3)*('حجز الإجازات'!$G$5:$G$104="معتمد")*ROW('حجز الإجازات'!$B$5:$B$104))=0,"",INDEX('حجز الإجازات'!$C$5:$C$104,(SUMPRODUCT(('حجز الإجازات'!$B$5:$B$104='الموظفون'!$B$9)*('حجز الإجازات'!$D$5:$D$104&lt;=N$3)*(('حجز الإجازات'!$E$5:$E$104)&gt;=N$3)*('حجز الإجازات'!$G$5:$G$104="معتمد")*ROW('حجز الإجازات'!$B$5:$B$104)))-5+1))</f>
        <v/>
      </c>
      <c r="O11" s="62">
        <f>IF(SUMPRODUCT(('حجز الإجازات'!$B$5:$B$104='الموظفون'!$B$9)*('حجز الإجازات'!$D$5:$D$104&lt;=O$3)*(('حجز الإجازات'!$E$5:$E$104)&gt;=O$3)*('حجز الإجازات'!$G$5:$G$104="معتمد")*ROW('حجز الإجازات'!$B$5:$B$104))=0,"",INDEX('حجز الإجازات'!$C$5:$C$104,(SUMPRODUCT(('حجز الإجازات'!$B$5:$B$104='الموظفون'!$B$9)*('حجز الإجازات'!$D$5:$D$104&lt;=O$3)*(('حجز الإجازات'!$E$5:$E$104)&gt;=O$3)*('حجز الإجازات'!$G$5:$G$104="معتمد")*ROW('حجز الإجازات'!$B$5:$B$104)))-5+1))</f>
        <v/>
      </c>
      <c r="P11" s="62">
        <f>IF(SUMPRODUCT(('حجز الإجازات'!$B$5:$B$104='الموظفون'!$B$9)*('حجز الإجازات'!$D$5:$D$104&lt;=P$3)*(('حجز الإجازات'!$E$5:$E$104)&gt;=P$3)*('حجز الإجازات'!$G$5:$G$104="معتمد")*ROW('حجز الإجازات'!$B$5:$B$104))=0,"",INDEX('حجز الإجازات'!$C$5:$C$104,(SUMPRODUCT(('حجز الإجازات'!$B$5:$B$104='الموظفون'!$B$9)*('حجز الإجازات'!$D$5:$D$104&lt;=P$3)*(('حجز الإجازات'!$E$5:$E$104)&gt;=P$3)*('حجز الإجازات'!$G$5:$G$104="معتمد")*ROW('حجز الإجازات'!$B$5:$B$104)))-5+1))</f>
        <v/>
      </c>
      <c r="Q11" s="62">
        <f>IF(SUMPRODUCT(('حجز الإجازات'!$B$5:$B$104='الموظفون'!$B$9)*('حجز الإجازات'!$D$5:$D$104&lt;=Q$3)*(('حجز الإجازات'!$E$5:$E$104)&gt;=Q$3)*('حجز الإجازات'!$G$5:$G$104="معتمد")*ROW('حجز الإجازات'!$B$5:$B$104))=0,"",INDEX('حجز الإجازات'!$C$5:$C$104,(SUMPRODUCT(('حجز الإجازات'!$B$5:$B$104='الموظفون'!$B$9)*('حجز الإجازات'!$D$5:$D$104&lt;=Q$3)*(('حجز الإجازات'!$E$5:$E$104)&gt;=Q$3)*('حجز الإجازات'!$G$5:$G$104="معتمد")*ROW('حجز الإجازات'!$B$5:$B$104)))-5+1))</f>
        <v/>
      </c>
      <c r="R11" s="62">
        <f>IF(SUMPRODUCT(('حجز الإجازات'!$B$5:$B$104='الموظفون'!$B$9)*('حجز الإجازات'!$D$5:$D$104&lt;=R$3)*(('حجز الإجازات'!$E$5:$E$104)&gt;=R$3)*('حجز الإجازات'!$G$5:$G$104="معتمد")*ROW('حجز الإجازات'!$B$5:$B$104))=0,"",INDEX('حجز الإجازات'!$C$5:$C$104,(SUMPRODUCT(('حجز الإجازات'!$B$5:$B$104='الموظفون'!$B$9)*('حجز الإجازات'!$D$5:$D$104&lt;=R$3)*(('حجز الإجازات'!$E$5:$E$104)&gt;=R$3)*('حجز الإجازات'!$G$5:$G$104="معتمد")*ROW('حجز الإجازات'!$B$5:$B$104)))-5+1))</f>
        <v/>
      </c>
      <c r="S11" s="62">
        <f>IF(SUMPRODUCT(('حجز الإجازات'!$B$5:$B$104='الموظفون'!$B$9)*('حجز الإجازات'!$D$5:$D$104&lt;=S$3)*(('حجز الإجازات'!$E$5:$E$104)&gt;=S$3)*('حجز الإجازات'!$G$5:$G$104="معتمد")*ROW('حجز الإجازات'!$B$5:$B$104))=0,"",INDEX('حجز الإجازات'!$C$5:$C$104,(SUMPRODUCT(('حجز الإجازات'!$B$5:$B$104='الموظفون'!$B$9)*('حجز الإجازات'!$D$5:$D$104&lt;=S$3)*(('حجز الإجازات'!$E$5:$E$104)&gt;=S$3)*('حجز الإجازات'!$G$5:$G$104="معتمد")*ROW('حجز الإجازات'!$B$5:$B$104)))-5+1))</f>
        <v/>
      </c>
      <c r="T11" s="62">
        <f>IF(SUMPRODUCT(('حجز الإجازات'!$B$5:$B$104='الموظفون'!$B$9)*('حجز الإجازات'!$D$5:$D$104&lt;=T$3)*(('حجز الإجازات'!$E$5:$E$104)&gt;=T$3)*('حجز الإجازات'!$G$5:$G$104="معتمد")*ROW('حجز الإجازات'!$B$5:$B$104))=0,"",INDEX('حجز الإجازات'!$C$5:$C$104,(SUMPRODUCT(('حجز الإجازات'!$B$5:$B$104='الموظفون'!$B$9)*('حجز الإجازات'!$D$5:$D$104&lt;=T$3)*(('حجز الإجازات'!$E$5:$E$104)&gt;=T$3)*('حجز الإجازات'!$G$5:$G$104="معتمد")*ROW('حجز الإجازات'!$B$5:$B$104)))-5+1))</f>
        <v/>
      </c>
      <c r="U11" s="62">
        <f>IF(SUMPRODUCT(('حجز الإجازات'!$B$5:$B$104='الموظفون'!$B$9)*('حجز الإجازات'!$D$5:$D$104&lt;=U$3)*(('حجز الإجازات'!$E$5:$E$104)&gt;=U$3)*('حجز الإجازات'!$G$5:$G$104="معتمد")*ROW('حجز الإجازات'!$B$5:$B$104))=0,"",INDEX('حجز الإجازات'!$C$5:$C$104,(SUMPRODUCT(('حجز الإجازات'!$B$5:$B$104='الموظفون'!$B$9)*('حجز الإجازات'!$D$5:$D$104&lt;=U$3)*(('حجز الإجازات'!$E$5:$E$104)&gt;=U$3)*('حجز الإجازات'!$G$5:$G$104="معتمد")*ROW('حجز الإجازات'!$B$5:$B$104)))-5+1))</f>
        <v/>
      </c>
      <c r="V11" s="62">
        <f>IF(SUMPRODUCT(('حجز الإجازات'!$B$5:$B$104='الموظفون'!$B$9)*('حجز الإجازات'!$D$5:$D$104&lt;=V$3)*(('حجز الإجازات'!$E$5:$E$104)&gt;=V$3)*('حجز الإجازات'!$G$5:$G$104="معتمد")*ROW('حجز الإجازات'!$B$5:$B$104))=0,"",INDEX('حجز الإجازات'!$C$5:$C$104,(SUMPRODUCT(('حجز الإجازات'!$B$5:$B$104='الموظفون'!$B$9)*('حجز الإجازات'!$D$5:$D$104&lt;=V$3)*(('حجز الإجازات'!$E$5:$E$104)&gt;=V$3)*('حجز الإجازات'!$G$5:$G$104="معتمد")*ROW('حجز الإجازات'!$B$5:$B$104)))-5+1))</f>
        <v/>
      </c>
      <c r="W11" s="62">
        <f>IF(SUMPRODUCT(('حجز الإجازات'!$B$5:$B$104='الموظفون'!$B$9)*('حجز الإجازات'!$D$5:$D$104&lt;=W$3)*(('حجز الإجازات'!$E$5:$E$104)&gt;=W$3)*('حجز الإجازات'!$G$5:$G$104="معتمد")*ROW('حجز الإجازات'!$B$5:$B$104))=0,"",INDEX('حجز الإجازات'!$C$5:$C$104,(SUMPRODUCT(('حجز الإجازات'!$B$5:$B$104='الموظفون'!$B$9)*('حجز الإجازات'!$D$5:$D$104&lt;=W$3)*(('حجز الإجازات'!$E$5:$E$104)&gt;=W$3)*('حجز الإجازات'!$G$5:$G$104="معتمد")*ROW('حجز الإجازات'!$B$5:$B$104)))-5+1))</f>
        <v/>
      </c>
      <c r="X11" s="62">
        <f>IF(SUMPRODUCT(('حجز الإجازات'!$B$5:$B$104='الموظفون'!$B$9)*('حجز الإجازات'!$D$5:$D$104&lt;=X$3)*(('حجز الإجازات'!$E$5:$E$104)&gt;=X$3)*('حجز الإجازات'!$G$5:$G$104="معتمد")*ROW('حجز الإجازات'!$B$5:$B$104))=0,"",INDEX('حجز الإجازات'!$C$5:$C$104,(SUMPRODUCT(('حجز الإجازات'!$B$5:$B$104='الموظفون'!$B$9)*('حجز الإجازات'!$D$5:$D$104&lt;=X$3)*(('حجز الإجازات'!$E$5:$E$104)&gt;=X$3)*('حجز الإجازات'!$G$5:$G$104="معتمد")*ROW('حجز الإجازات'!$B$5:$B$104)))-5+1))</f>
        <v/>
      </c>
      <c r="Y11" s="62">
        <f>IF(SUMPRODUCT(('حجز الإجازات'!$B$5:$B$104='الموظفون'!$B$9)*('حجز الإجازات'!$D$5:$D$104&lt;=Y$3)*(('حجز الإجازات'!$E$5:$E$104)&gt;=Y$3)*('حجز الإجازات'!$G$5:$G$104="معتمد")*ROW('حجز الإجازات'!$B$5:$B$104))=0,"",INDEX('حجز الإجازات'!$C$5:$C$104,(SUMPRODUCT(('حجز الإجازات'!$B$5:$B$104='الموظفون'!$B$9)*('حجز الإجازات'!$D$5:$D$104&lt;=Y$3)*(('حجز الإجازات'!$E$5:$E$104)&gt;=Y$3)*('حجز الإجازات'!$G$5:$G$104="معتمد")*ROW('حجز الإجازات'!$B$5:$B$104)))-5+1))</f>
        <v/>
      </c>
      <c r="Z11" s="62">
        <f>IF(SUMPRODUCT(('حجز الإجازات'!$B$5:$B$104='الموظفون'!$B$9)*('حجز الإجازات'!$D$5:$D$104&lt;=Z$3)*(('حجز الإجازات'!$E$5:$E$104)&gt;=Z$3)*('حجز الإجازات'!$G$5:$G$104="معتمد")*ROW('حجز الإجازات'!$B$5:$B$104))=0,"",INDEX('حجز الإجازات'!$C$5:$C$104,(SUMPRODUCT(('حجز الإجازات'!$B$5:$B$104='الموظفون'!$B$9)*('حجز الإجازات'!$D$5:$D$104&lt;=Z$3)*(('حجز الإجازات'!$E$5:$E$104)&gt;=Z$3)*('حجز الإجازات'!$G$5:$G$104="معتمد")*ROW('حجز الإجازات'!$B$5:$B$104)))-5+1))</f>
        <v/>
      </c>
      <c r="AA11" s="62">
        <f>IF(SUMPRODUCT(('حجز الإجازات'!$B$5:$B$104='الموظفون'!$B$9)*('حجز الإجازات'!$D$5:$D$104&lt;=AA$3)*(('حجز الإجازات'!$E$5:$E$104)&gt;=AA$3)*('حجز الإجازات'!$G$5:$G$104="معتمد")*ROW('حجز الإجازات'!$B$5:$B$104))=0,"",INDEX('حجز الإجازات'!$C$5:$C$104,(SUMPRODUCT(('حجز الإجازات'!$B$5:$B$104='الموظفون'!$B$9)*('حجز الإجازات'!$D$5:$D$104&lt;=AA$3)*(('حجز الإجازات'!$E$5:$E$104)&gt;=AA$3)*('حجز الإجازات'!$G$5:$G$104="معتمد")*ROW('حجز الإجازات'!$B$5:$B$104)))-5+1))</f>
        <v/>
      </c>
      <c r="AB11" s="62">
        <f>IF(SUMPRODUCT(('حجز الإجازات'!$B$5:$B$104='الموظفون'!$B$9)*('حجز الإجازات'!$D$5:$D$104&lt;=AB$3)*(('حجز الإجازات'!$E$5:$E$104)&gt;=AB$3)*('حجز الإجازات'!$G$5:$G$104="معتمد")*ROW('حجز الإجازات'!$B$5:$B$104))=0,"",INDEX('حجز الإجازات'!$C$5:$C$104,(SUMPRODUCT(('حجز الإجازات'!$B$5:$B$104='الموظفون'!$B$9)*('حجز الإجازات'!$D$5:$D$104&lt;=AB$3)*(('حجز الإجازات'!$E$5:$E$104)&gt;=AB$3)*('حجز الإجازات'!$G$5:$G$104="معتمد")*ROW('حجز الإجازات'!$B$5:$B$104)))-5+1))</f>
        <v/>
      </c>
      <c r="AC11" s="62">
        <f>IF(SUMPRODUCT(('حجز الإجازات'!$B$5:$B$104='الموظفون'!$B$9)*('حجز الإجازات'!$D$5:$D$104&lt;=AC$3)*(('حجز الإجازات'!$E$5:$E$104)&gt;=AC$3)*('حجز الإجازات'!$G$5:$G$104="معتمد")*ROW('حجز الإجازات'!$B$5:$B$104))=0,"",INDEX('حجز الإجازات'!$C$5:$C$104,(SUMPRODUCT(('حجز الإجازات'!$B$5:$B$104='الموظفون'!$B$9)*('حجز الإجازات'!$D$5:$D$104&lt;=AC$3)*(('حجز الإجازات'!$E$5:$E$104)&gt;=AC$3)*('حجز الإجازات'!$G$5:$G$104="معتمد")*ROW('حجز الإجازات'!$B$5:$B$104)))-5+1))</f>
        <v/>
      </c>
      <c r="AD11" s="62">
        <f>IF(SUMPRODUCT(('حجز الإجازات'!$B$5:$B$104='الموظفون'!$B$9)*('حجز الإجازات'!$D$5:$D$104&lt;=AD$3)*(('حجز الإجازات'!$E$5:$E$104)&gt;=AD$3)*('حجز الإجازات'!$G$5:$G$104="معتمد")*ROW('حجز الإجازات'!$B$5:$B$104))=0,"",INDEX('حجز الإجازات'!$C$5:$C$104,(SUMPRODUCT(('حجز الإجازات'!$B$5:$B$104='الموظفون'!$B$9)*('حجز الإجازات'!$D$5:$D$104&lt;=AD$3)*(('حجز الإجازات'!$E$5:$E$104)&gt;=AD$3)*('حجز الإجازات'!$G$5:$G$104="معتمد")*ROW('حجز الإجازات'!$B$5:$B$104)))-5+1))</f>
        <v/>
      </c>
      <c r="AE11" s="62">
        <f>IF(SUMPRODUCT(('حجز الإجازات'!$B$5:$B$104='الموظفون'!$B$9)*('حجز الإجازات'!$D$5:$D$104&lt;=AE$3)*(('حجز الإجازات'!$E$5:$E$104)&gt;=AE$3)*('حجز الإجازات'!$G$5:$G$104="معتمد")*ROW('حجز الإجازات'!$B$5:$B$104))=0,"",INDEX('حجز الإجازات'!$C$5:$C$104,(SUMPRODUCT(('حجز الإجازات'!$B$5:$B$104='الموظفون'!$B$9)*('حجز الإجازات'!$D$5:$D$104&lt;=AE$3)*(('حجز الإجازات'!$E$5:$E$104)&gt;=AE$3)*('حجز الإجازات'!$G$5:$G$104="معتمد")*ROW('حجز الإجازات'!$B$5:$B$104)))-5+1))</f>
        <v/>
      </c>
      <c r="AF11" s="62">
        <f>IF(SUMPRODUCT(('حجز الإجازات'!$B$5:$B$104='الموظفون'!$B$9)*('حجز الإجازات'!$D$5:$D$104&lt;=AF$3)*(('حجز الإجازات'!$E$5:$E$104)&gt;=AF$3)*('حجز الإجازات'!$G$5:$G$104="معتمد")*ROW('حجز الإجازات'!$B$5:$B$104))=0,"",INDEX('حجز الإجازات'!$C$5:$C$104,(SUMPRODUCT(('حجز الإجازات'!$B$5:$B$104='الموظفون'!$B$9)*('حجز الإجازات'!$D$5:$D$104&lt;=AF$3)*(('حجز الإجازات'!$E$5:$E$104)&gt;=AF$3)*('حجز الإجازات'!$G$5:$G$104="معتمد")*ROW('حجز الإجازات'!$B$5:$B$104)))-5+1))</f>
        <v/>
      </c>
      <c r="AG11" s="62">
        <f>IF(SUMPRODUCT(('حجز الإجازات'!$B$5:$B$104='الموظفون'!$B$9)*('حجز الإجازات'!$D$5:$D$104&lt;=AG$3)*(('حجز الإجازات'!$E$5:$E$104)&gt;=AG$3)*('حجز الإجازات'!$G$5:$G$104="معتمد")*ROW('حجز الإجازات'!$B$5:$B$104))=0,"",INDEX('حجز الإجازات'!$C$5:$C$104,(SUMPRODUCT(('حجز الإجازات'!$B$5:$B$104='الموظفون'!$B$9)*('حجز الإجازات'!$D$5:$D$104&lt;=AG$3)*(('حجز الإجازات'!$E$5:$E$104)&gt;=AG$3)*('حجز الإجازات'!$G$5:$G$104="معتمد")*ROW('حجز الإجازات'!$B$5:$B$104)))-5+1))</f>
        <v/>
      </c>
      <c r="AH11" s="62">
        <f>IF(SUMPRODUCT(('حجز الإجازات'!$B$5:$B$104='الموظفون'!$B$9)*('حجز الإجازات'!$D$5:$D$104&lt;=AH$3)*(('حجز الإجازات'!$E$5:$E$104)&gt;=AH$3)*('حجز الإجازات'!$G$5:$G$104="معتمد")*ROW('حجز الإجازات'!$B$5:$B$104))=0,"",INDEX('حجز الإجازات'!$C$5:$C$104,(SUMPRODUCT(('حجز الإجازات'!$B$5:$B$104='الموظفون'!$B$9)*('حجز الإجازات'!$D$5:$D$104&lt;=AH$3)*(('حجز الإجازات'!$E$5:$E$104)&gt;=AH$3)*('حجز الإجازات'!$G$5:$G$104="معتمد")*ROW('حجز الإجازات'!$B$5:$B$104)))-5+1))</f>
        <v/>
      </c>
      <c r="AI11" s="62">
        <f>IF(SUMPRODUCT(('حجز الإجازات'!$B$5:$B$104='الموظفون'!$B$9)*('حجز الإجازات'!$D$5:$D$104&lt;=AI$3)*(('حجز الإجازات'!$E$5:$E$104)&gt;=AI$3)*('حجز الإجازات'!$G$5:$G$104="معتمد")*ROW('حجز الإجازات'!$B$5:$B$104))=0,"",INDEX('حجز الإجازات'!$C$5:$C$104,(SUMPRODUCT(('حجز الإجازات'!$B$5:$B$104='الموظفون'!$B$9)*('حجز الإجازات'!$D$5:$D$104&lt;=AI$3)*(('حجز الإجازات'!$E$5:$E$104)&gt;=AI$3)*('حجز الإجازات'!$G$5:$G$104="معتمد")*ROW('حجز الإجازات'!$B$5:$B$104)))-5+1))</f>
        <v/>
      </c>
      <c r="AJ11" s="62">
        <f>IF(SUMPRODUCT(('حجز الإجازات'!$B$5:$B$104='الموظفون'!$B$9)*('حجز الإجازات'!$D$5:$D$104&lt;=AJ$3)*(('حجز الإجازات'!$E$5:$E$104)&gt;=AJ$3)*('حجز الإجازات'!$G$5:$G$104="معتمد")*ROW('حجز الإجازات'!$B$5:$B$104))=0,"",INDEX('حجز الإجازات'!$C$5:$C$104,(SUMPRODUCT(('حجز الإجازات'!$B$5:$B$104='الموظفون'!$B$9)*('حجز الإجازات'!$D$5:$D$104&lt;=AJ$3)*(('حجز الإجازات'!$E$5:$E$104)&gt;=AJ$3)*('حجز الإجازات'!$G$5:$G$104="معتمد")*ROW('حجز الإجازات'!$B$5:$B$104)))-5+1))</f>
        <v/>
      </c>
      <c r="AK11" s="62">
        <f>IF(SUMPRODUCT(('حجز الإجازات'!$B$5:$B$104='الموظفون'!$B$9)*('حجز الإجازات'!$D$5:$D$104&lt;=AK$3)*(('حجز الإجازات'!$E$5:$E$104)&gt;=AK$3)*('حجز الإجازات'!$G$5:$G$104="معتمد")*ROW('حجز الإجازات'!$B$5:$B$104))=0,"",INDEX('حجز الإجازات'!$C$5:$C$104,(SUMPRODUCT(('حجز الإجازات'!$B$5:$B$104='الموظفون'!$B$9)*('حجز الإجازات'!$D$5:$D$104&lt;=AK$3)*(('حجز الإجازات'!$E$5:$E$104)&gt;=AK$3)*('حجز الإجازات'!$G$5:$G$104="معتمد")*ROW('حجز الإجازات'!$B$5:$B$104)))-5+1))</f>
        <v/>
      </c>
      <c r="AL11" s="62">
        <f>IF(SUMPRODUCT(('حجز الإجازات'!$B$5:$B$104='الموظفون'!$B$9)*('حجز الإجازات'!$D$5:$D$104&lt;=AL$3)*(('حجز الإجازات'!$E$5:$E$104)&gt;=AL$3)*('حجز الإجازات'!$G$5:$G$104="معتمد")*ROW('حجز الإجازات'!$B$5:$B$104))=0,"",INDEX('حجز الإجازات'!$C$5:$C$104,(SUMPRODUCT(('حجز الإجازات'!$B$5:$B$104='الموظفون'!$B$9)*('حجز الإجازات'!$D$5:$D$104&lt;=AL$3)*(('حجز الإجازات'!$E$5:$E$104)&gt;=AL$3)*('حجز الإجازات'!$G$5:$G$104="معتمد")*ROW('حجز الإجازات'!$B$5:$B$104)))-5+1))</f>
        <v/>
      </c>
      <c r="AM11" s="62">
        <f>IF(SUMPRODUCT(('حجز الإجازات'!$B$5:$B$104='الموظفون'!$B$9)*('حجز الإجازات'!$D$5:$D$104&lt;=AM$3)*(('حجز الإجازات'!$E$5:$E$104)&gt;=AM$3)*('حجز الإجازات'!$G$5:$G$104="معتمد")*ROW('حجز الإجازات'!$B$5:$B$104))=0,"",INDEX('حجز الإجازات'!$C$5:$C$104,(SUMPRODUCT(('حجز الإجازات'!$B$5:$B$104='الموظفون'!$B$9)*('حجز الإجازات'!$D$5:$D$104&lt;=AM$3)*(('حجز الإجازات'!$E$5:$E$104)&gt;=AM$3)*('حجز الإجازات'!$G$5:$G$104="معتمد")*ROW('حجز الإجازات'!$B$5:$B$104)))-5+1))</f>
        <v/>
      </c>
      <c r="AN11" s="62">
        <f>IF(SUMPRODUCT(('حجز الإجازات'!$B$5:$B$104='الموظفون'!$B$9)*('حجز الإجازات'!$D$5:$D$104&lt;=AN$3)*(('حجز الإجازات'!$E$5:$E$104)&gt;=AN$3)*('حجز الإجازات'!$G$5:$G$104="معتمد")*ROW('حجز الإجازات'!$B$5:$B$104))=0,"",INDEX('حجز الإجازات'!$C$5:$C$104,(SUMPRODUCT(('حجز الإجازات'!$B$5:$B$104='الموظفون'!$B$9)*('حجز الإجازات'!$D$5:$D$104&lt;=AN$3)*(('حجز الإجازات'!$E$5:$E$104)&gt;=AN$3)*('حجز الإجازات'!$G$5:$G$104="معتمد")*ROW('حجز الإجازات'!$B$5:$B$104)))-5+1))</f>
        <v/>
      </c>
      <c r="AO11" s="62">
        <f>IF(SUMPRODUCT(('حجز الإجازات'!$B$5:$B$104='الموظفون'!$B$9)*('حجز الإجازات'!$D$5:$D$104&lt;=AO$3)*(('حجز الإجازات'!$E$5:$E$104)&gt;=AO$3)*('حجز الإجازات'!$G$5:$G$104="معتمد")*ROW('حجز الإجازات'!$B$5:$B$104))=0,"",INDEX('حجز الإجازات'!$C$5:$C$104,(SUMPRODUCT(('حجز الإجازات'!$B$5:$B$104='الموظفون'!$B$9)*('حجز الإجازات'!$D$5:$D$104&lt;=AO$3)*(('حجز الإجازات'!$E$5:$E$104)&gt;=AO$3)*('حجز الإجازات'!$G$5:$G$104="معتمد")*ROW('حجز الإجازات'!$B$5:$B$104)))-5+1))</f>
        <v/>
      </c>
      <c r="AP11" s="62">
        <f>IF(SUMPRODUCT(('حجز الإجازات'!$B$5:$B$104='الموظفون'!$B$9)*('حجز الإجازات'!$D$5:$D$104&lt;=AP$3)*(('حجز الإجازات'!$E$5:$E$104)&gt;=AP$3)*('حجز الإجازات'!$G$5:$G$104="معتمد")*ROW('حجز الإجازات'!$B$5:$B$104))=0,"",INDEX('حجز الإجازات'!$C$5:$C$104,(SUMPRODUCT(('حجز الإجازات'!$B$5:$B$104='الموظفون'!$B$9)*('حجز الإجازات'!$D$5:$D$104&lt;=AP$3)*(('حجز الإجازات'!$E$5:$E$104)&gt;=AP$3)*('حجز الإجازات'!$G$5:$G$104="معتمد")*ROW('حجز الإجازات'!$B$5:$B$104)))-5+1))</f>
        <v/>
      </c>
      <c r="AQ11" s="62">
        <f>IF(SUMPRODUCT(('حجز الإجازات'!$B$5:$B$104='الموظفون'!$B$9)*('حجز الإجازات'!$D$5:$D$104&lt;=AQ$3)*(('حجز الإجازات'!$E$5:$E$104)&gt;=AQ$3)*('حجز الإجازات'!$G$5:$G$104="معتمد")*ROW('حجز الإجازات'!$B$5:$B$104))=0,"",INDEX('حجز الإجازات'!$C$5:$C$104,(SUMPRODUCT(('حجز الإجازات'!$B$5:$B$104='الموظفون'!$B$9)*('حجز الإجازات'!$D$5:$D$104&lt;=AQ$3)*(('حجز الإجازات'!$E$5:$E$104)&gt;=AQ$3)*('حجز الإجازات'!$G$5:$G$104="معتمد")*ROW('حجز الإجازات'!$B$5:$B$104)))-5+1))</f>
        <v/>
      </c>
      <c r="AR11" s="62">
        <f>IF(SUMPRODUCT(('حجز الإجازات'!$B$5:$B$104='الموظفون'!$B$9)*('حجز الإجازات'!$D$5:$D$104&lt;=AR$3)*(('حجز الإجازات'!$E$5:$E$104)&gt;=AR$3)*('حجز الإجازات'!$G$5:$G$104="معتمد")*ROW('حجز الإجازات'!$B$5:$B$104))=0,"",INDEX('حجز الإجازات'!$C$5:$C$104,(SUMPRODUCT(('حجز الإجازات'!$B$5:$B$104='الموظفون'!$B$9)*('حجز الإجازات'!$D$5:$D$104&lt;=AR$3)*(('حجز الإجازات'!$E$5:$E$104)&gt;=AR$3)*('حجز الإجازات'!$G$5:$G$104="معتمد")*ROW('حجز الإجازات'!$B$5:$B$104)))-5+1))</f>
        <v/>
      </c>
      <c r="AS11" s="62">
        <f>IF(SUMPRODUCT(('حجز الإجازات'!$B$5:$B$104='الموظفون'!$B$9)*('حجز الإجازات'!$D$5:$D$104&lt;=AS$3)*(('حجز الإجازات'!$E$5:$E$104)&gt;=AS$3)*('حجز الإجازات'!$G$5:$G$104="معتمد")*ROW('حجز الإجازات'!$B$5:$B$104))=0,"",INDEX('حجز الإجازات'!$C$5:$C$104,(SUMPRODUCT(('حجز الإجازات'!$B$5:$B$104='الموظفون'!$B$9)*('حجز الإجازات'!$D$5:$D$104&lt;=AS$3)*(('حجز الإجازات'!$E$5:$E$104)&gt;=AS$3)*('حجز الإجازات'!$G$5:$G$104="معتمد")*ROW('حجز الإجازات'!$B$5:$B$104)))-5+1))</f>
        <v/>
      </c>
      <c r="AT11" s="62">
        <f>IF(SUMPRODUCT(('حجز الإجازات'!$B$5:$B$104='الموظفون'!$B$9)*('حجز الإجازات'!$D$5:$D$104&lt;=AT$3)*(('حجز الإجازات'!$E$5:$E$104)&gt;=AT$3)*('حجز الإجازات'!$G$5:$G$104="معتمد")*ROW('حجز الإجازات'!$B$5:$B$104))=0,"",INDEX('حجز الإجازات'!$C$5:$C$104,(SUMPRODUCT(('حجز الإجازات'!$B$5:$B$104='الموظفون'!$B$9)*('حجز الإجازات'!$D$5:$D$104&lt;=AT$3)*(('حجز الإجازات'!$E$5:$E$104)&gt;=AT$3)*('حجز الإجازات'!$G$5:$G$104="معتمد")*ROW('حجز الإجازات'!$B$5:$B$104)))-5+1))</f>
        <v/>
      </c>
      <c r="AU11" s="62">
        <f>IF(SUMPRODUCT(('حجز الإجازات'!$B$5:$B$104='الموظفون'!$B$9)*('حجز الإجازات'!$D$5:$D$104&lt;=AU$3)*(('حجز الإجازات'!$E$5:$E$104)&gt;=AU$3)*('حجز الإجازات'!$G$5:$G$104="معتمد")*ROW('حجز الإجازات'!$B$5:$B$104))=0,"",INDEX('حجز الإجازات'!$C$5:$C$104,(SUMPRODUCT(('حجز الإجازات'!$B$5:$B$104='الموظفون'!$B$9)*('حجز الإجازات'!$D$5:$D$104&lt;=AU$3)*(('حجز الإجازات'!$E$5:$E$104)&gt;=AU$3)*('حجز الإجازات'!$G$5:$G$104="معتمد")*ROW('حجز الإجازات'!$B$5:$B$104)))-5+1))</f>
        <v/>
      </c>
      <c r="AV11" s="62">
        <f>IF(SUMPRODUCT(('حجز الإجازات'!$B$5:$B$104='الموظفون'!$B$9)*('حجز الإجازات'!$D$5:$D$104&lt;=AV$3)*(('حجز الإجازات'!$E$5:$E$104)&gt;=AV$3)*('حجز الإجازات'!$G$5:$G$104="معتمد")*ROW('حجز الإجازات'!$B$5:$B$104))=0,"",INDEX('حجز الإجازات'!$C$5:$C$104,(SUMPRODUCT(('حجز الإجازات'!$B$5:$B$104='الموظفون'!$B$9)*('حجز الإجازات'!$D$5:$D$104&lt;=AV$3)*(('حجز الإجازات'!$E$5:$E$104)&gt;=AV$3)*('حجز الإجازات'!$G$5:$G$104="معتمد")*ROW('حجز الإجازات'!$B$5:$B$104)))-5+1))</f>
        <v/>
      </c>
      <c r="AW11" s="62">
        <f>IF(SUMPRODUCT(('حجز الإجازات'!$B$5:$B$104='الموظفون'!$B$9)*('حجز الإجازات'!$D$5:$D$104&lt;=AW$3)*(('حجز الإجازات'!$E$5:$E$104)&gt;=AW$3)*('حجز الإجازات'!$G$5:$G$104="معتمد")*ROW('حجز الإجازات'!$B$5:$B$104))=0,"",INDEX('حجز الإجازات'!$C$5:$C$104,(SUMPRODUCT(('حجز الإجازات'!$B$5:$B$104='الموظفون'!$B$9)*('حجز الإجازات'!$D$5:$D$104&lt;=AW$3)*(('حجز الإجازات'!$E$5:$E$104)&gt;=AW$3)*('حجز الإجازات'!$G$5:$G$104="معتمد")*ROW('حجز الإجازات'!$B$5:$B$104)))-5+1))</f>
        <v/>
      </c>
      <c r="AX11" s="62">
        <f>IF(SUMPRODUCT(('حجز الإجازات'!$B$5:$B$104='الموظفون'!$B$9)*('حجز الإجازات'!$D$5:$D$104&lt;=AX$3)*(('حجز الإجازات'!$E$5:$E$104)&gt;=AX$3)*('حجز الإجازات'!$G$5:$G$104="معتمد")*ROW('حجز الإجازات'!$B$5:$B$104))=0,"",INDEX('حجز الإجازات'!$C$5:$C$104,(SUMPRODUCT(('حجز الإجازات'!$B$5:$B$104='الموظفون'!$B$9)*('حجز الإجازات'!$D$5:$D$104&lt;=AX$3)*(('حجز الإجازات'!$E$5:$E$104)&gt;=AX$3)*('حجز الإجازات'!$G$5:$G$104="معتمد")*ROW('حجز الإجازات'!$B$5:$B$104)))-5+1))</f>
        <v/>
      </c>
      <c r="AY11" s="62">
        <f>IF(SUMPRODUCT(('حجز الإجازات'!$B$5:$B$104='الموظفون'!$B$9)*('حجز الإجازات'!$D$5:$D$104&lt;=AY$3)*(('حجز الإجازات'!$E$5:$E$104)&gt;=AY$3)*('حجز الإجازات'!$G$5:$G$104="معتمد")*ROW('حجز الإجازات'!$B$5:$B$104))=0,"",INDEX('حجز الإجازات'!$C$5:$C$104,(SUMPRODUCT(('حجز الإجازات'!$B$5:$B$104='الموظفون'!$B$9)*('حجز الإجازات'!$D$5:$D$104&lt;=AY$3)*(('حجز الإجازات'!$E$5:$E$104)&gt;=AY$3)*('حجز الإجازات'!$G$5:$G$104="معتمد")*ROW('حجز الإجازات'!$B$5:$B$104)))-5+1))</f>
        <v/>
      </c>
      <c r="AZ11" s="62">
        <f>IF(SUMPRODUCT(('حجز الإجازات'!$B$5:$B$104='الموظفون'!$B$9)*('حجز الإجازات'!$D$5:$D$104&lt;=AZ$3)*(('حجز الإجازات'!$E$5:$E$104)&gt;=AZ$3)*('حجز الإجازات'!$G$5:$G$104="معتمد")*ROW('حجز الإجازات'!$B$5:$B$104))=0,"",INDEX('حجز الإجازات'!$C$5:$C$104,(SUMPRODUCT(('حجز الإجازات'!$B$5:$B$104='الموظفون'!$B$9)*('حجز الإجازات'!$D$5:$D$104&lt;=AZ$3)*(('حجز الإجازات'!$E$5:$E$104)&gt;=AZ$3)*('حجز الإجازات'!$G$5:$G$104="معتمد")*ROW('حجز الإجازات'!$B$5:$B$104)))-5+1))</f>
        <v/>
      </c>
      <c r="BA11" s="62">
        <f>IF(SUMPRODUCT(('حجز الإجازات'!$B$5:$B$104='الموظفون'!$B$9)*('حجز الإجازات'!$D$5:$D$104&lt;=BA$3)*(('حجز الإجازات'!$E$5:$E$104)&gt;=BA$3)*('حجز الإجازات'!$G$5:$G$104="معتمد")*ROW('حجز الإجازات'!$B$5:$B$104))=0,"",INDEX('حجز الإجازات'!$C$5:$C$104,(SUMPRODUCT(('حجز الإجازات'!$B$5:$B$104='الموظفون'!$B$9)*('حجز الإجازات'!$D$5:$D$104&lt;=BA$3)*(('حجز الإجازات'!$E$5:$E$104)&gt;=BA$3)*('حجز الإجازات'!$G$5:$G$104="معتمد")*ROW('حجز الإجازات'!$B$5:$B$104)))-5+1))</f>
        <v/>
      </c>
      <c r="BB11" s="62">
        <f>IF(SUMPRODUCT(('حجز الإجازات'!$B$5:$B$104='الموظفون'!$B$9)*('حجز الإجازات'!$D$5:$D$104&lt;=BB$3)*(('حجز الإجازات'!$E$5:$E$104)&gt;=BB$3)*('حجز الإجازات'!$G$5:$G$104="معتمد")*ROW('حجز الإجازات'!$B$5:$B$104))=0,"",INDEX('حجز الإجازات'!$C$5:$C$104,(SUMPRODUCT(('حجز الإجازات'!$B$5:$B$104='الموظفون'!$B$9)*('حجز الإجازات'!$D$5:$D$104&lt;=BB$3)*(('حجز الإجازات'!$E$5:$E$104)&gt;=BB$3)*('حجز الإجازات'!$G$5:$G$104="معتمد")*ROW('حجز الإجازات'!$B$5:$B$104)))-5+1))</f>
        <v/>
      </c>
      <c r="BC11" s="62">
        <f>IF(SUMPRODUCT(('حجز الإجازات'!$B$5:$B$104='الموظفون'!$B$9)*('حجز الإجازات'!$D$5:$D$104&lt;=BC$3)*(('حجز الإجازات'!$E$5:$E$104)&gt;=BC$3)*('حجز الإجازات'!$G$5:$G$104="معتمد")*ROW('حجز الإجازات'!$B$5:$B$104))=0,"",INDEX('حجز الإجازات'!$C$5:$C$104,(SUMPRODUCT(('حجز الإجازات'!$B$5:$B$104='الموظفون'!$B$9)*('حجز الإجازات'!$D$5:$D$104&lt;=BC$3)*(('حجز الإجازات'!$E$5:$E$104)&gt;=BC$3)*('حجز الإجازات'!$G$5:$G$104="معتمد")*ROW('حجز الإجازات'!$B$5:$B$104)))-5+1))</f>
        <v/>
      </c>
      <c r="BD11" s="62">
        <f>IF(SUMPRODUCT(('حجز الإجازات'!$B$5:$B$104='الموظفون'!$B$9)*('حجز الإجازات'!$D$5:$D$104&lt;=BD$3)*(('حجز الإجازات'!$E$5:$E$104)&gt;=BD$3)*('حجز الإجازات'!$G$5:$G$104="معتمد")*ROW('حجز الإجازات'!$B$5:$B$104))=0,"",INDEX('حجز الإجازات'!$C$5:$C$104,(SUMPRODUCT(('حجز الإجازات'!$B$5:$B$104='الموظفون'!$B$9)*('حجز الإجازات'!$D$5:$D$104&lt;=BD$3)*(('حجز الإجازات'!$E$5:$E$104)&gt;=BD$3)*('حجز الإجازات'!$G$5:$G$104="معتمد")*ROW('حجز الإجازات'!$B$5:$B$104)))-5+1))</f>
        <v/>
      </c>
      <c r="BE11" s="62">
        <f>IF(SUMPRODUCT(('حجز الإجازات'!$B$5:$B$104='الموظفون'!$B$9)*('حجز الإجازات'!$D$5:$D$104&lt;=BE$3)*(('حجز الإجازات'!$E$5:$E$104)&gt;=BE$3)*('حجز الإجازات'!$G$5:$G$104="معتمد")*ROW('حجز الإجازات'!$B$5:$B$104))=0,"",INDEX('حجز الإجازات'!$C$5:$C$104,(SUMPRODUCT(('حجز الإجازات'!$B$5:$B$104='الموظفون'!$B$9)*('حجز الإجازات'!$D$5:$D$104&lt;=BE$3)*(('حجز الإجازات'!$E$5:$E$104)&gt;=BE$3)*('حجز الإجازات'!$G$5:$G$104="معتمد")*ROW('حجز الإجازات'!$B$5:$B$104)))-5+1))</f>
        <v/>
      </c>
      <c r="BF11" s="62">
        <f>IF(SUMPRODUCT(('حجز الإجازات'!$B$5:$B$104='الموظفون'!$B$9)*('حجز الإجازات'!$D$5:$D$104&lt;=BF$3)*(('حجز الإجازات'!$E$5:$E$104)&gt;=BF$3)*('حجز الإجازات'!$G$5:$G$104="معتمد")*ROW('حجز الإجازات'!$B$5:$B$104))=0,"",INDEX('حجز الإجازات'!$C$5:$C$104,(SUMPRODUCT(('حجز الإجازات'!$B$5:$B$104='الموظفون'!$B$9)*('حجز الإجازات'!$D$5:$D$104&lt;=BF$3)*(('حجز الإجازات'!$E$5:$E$104)&gt;=BF$3)*('حجز الإجازات'!$G$5:$G$104="معتمد")*ROW('حجز الإجازات'!$B$5:$B$104)))-5+1))</f>
        <v/>
      </c>
      <c r="BG11" s="62">
        <f>IF(SUMPRODUCT(('حجز الإجازات'!$B$5:$B$104='الموظفون'!$B$9)*('حجز الإجازات'!$D$5:$D$104&lt;=BG$3)*(('حجز الإجازات'!$E$5:$E$104)&gt;=BG$3)*('حجز الإجازات'!$G$5:$G$104="معتمد")*ROW('حجز الإجازات'!$B$5:$B$104))=0,"",INDEX('حجز الإجازات'!$C$5:$C$104,(SUMPRODUCT(('حجز الإجازات'!$B$5:$B$104='الموظفون'!$B$9)*('حجز الإجازات'!$D$5:$D$104&lt;=BG$3)*(('حجز الإجازات'!$E$5:$E$104)&gt;=BG$3)*('حجز الإجازات'!$G$5:$G$104="معتمد")*ROW('حجز الإجازات'!$B$5:$B$104)))-5+1))</f>
        <v/>
      </c>
      <c r="BH11" s="62">
        <f>IF(SUMPRODUCT(('حجز الإجازات'!$B$5:$B$104='الموظفون'!$B$9)*('حجز الإجازات'!$D$5:$D$104&lt;=BH$3)*(('حجز الإجازات'!$E$5:$E$104)&gt;=BH$3)*('حجز الإجازات'!$G$5:$G$104="معتمد")*ROW('حجز الإجازات'!$B$5:$B$104))=0,"",INDEX('حجز الإجازات'!$C$5:$C$104,(SUMPRODUCT(('حجز الإجازات'!$B$5:$B$104='الموظفون'!$B$9)*('حجز الإجازات'!$D$5:$D$104&lt;=BH$3)*(('حجز الإجازات'!$E$5:$E$104)&gt;=BH$3)*('حجز الإجازات'!$G$5:$G$104="معتمد")*ROW('حجز الإجازات'!$B$5:$B$104)))-5+1))</f>
        <v/>
      </c>
      <c r="BI11" s="62">
        <f>IF(SUMPRODUCT(('حجز الإجازات'!$B$5:$B$104='الموظفون'!$B$9)*('حجز الإجازات'!$D$5:$D$104&lt;=BI$3)*(('حجز الإجازات'!$E$5:$E$104)&gt;=BI$3)*('حجز الإجازات'!$G$5:$G$104="معتمد")*ROW('حجز الإجازات'!$B$5:$B$104))=0,"",INDEX('حجز الإجازات'!$C$5:$C$104,(SUMPRODUCT(('حجز الإجازات'!$B$5:$B$104='الموظفون'!$B$9)*('حجز الإجازات'!$D$5:$D$104&lt;=BI$3)*(('حجز الإجازات'!$E$5:$E$104)&gt;=BI$3)*('حجز الإجازات'!$G$5:$G$104="معتمد")*ROW('حجز الإجازات'!$B$5:$B$104)))-5+1))</f>
        <v/>
      </c>
      <c r="BJ11" s="62">
        <f>IF(SUMPRODUCT(('حجز الإجازات'!$B$5:$B$104='الموظفون'!$B$9)*('حجز الإجازات'!$D$5:$D$104&lt;=BJ$3)*(('حجز الإجازات'!$E$5:$E$104)&gt;=BJ$3)*('حجز الإجازات'!$G$5:$G$104="معتمد")*ROW('حجز الإجازات'!$B$5:$B$104))=0,"",INDEX('حجز الإجازات'!$C$5:$C$104,(SUMPRODUCT(('حجز الإجازات'!$B$5:$B$104='الموظفون'!$B$9)*('حجز الإجازات'!$D$5:$D$104&lt;=BJ$3)*(('حجز الإجازات'!$E$5:$E$104)&gt;=BJ$3)*('حجز الإجازات'!$G$5:$G$104="معتمد")*ROW('حجز الإجازات'!$B$5:$B$104)))-5+1))</f>
        <v/>
      </c>
      <c r="BK11" s="62">
        <f>IF(SUMPRODUCT(('حجز الإجازات'!$B$5:$B$104='الموظفون'!$B$9)*('حجز الإجازات'!$D$5:$D$104&lt;=BK$3)*(('حجز الإجازات'!$E$5:$E$104)&gt;=BK$3)*('حجز الإجازات'!$G$5:$G$104="معتمد")*ROW('حجز الإجازات'!$B$5:$B$104))=0,"",INDEX('حجز الإجازات'!$C$5:$C$104,(SUMPRODUCT(('حجز الإجازات'!$B$5:$B$104='الموظفون'!$B$9)*('حجز الإجازات'!$D$5:$D$104&lt;=BK$3)*(('حجز الإجازات'!$E$5:$E$104)&gt;=BK$3)*('حجز الإجازات'!$G$5:$G$104="معتمد")*ROW('حجز الإجازات'!$B$5:$B$104)))-5+1))</f>
        <v/>
      </c>
      <c r="BL11" s="62">
        <f>IF(SUMPRODUCT(('حجز الإجازات'!$B$5:$B$104='الموظفون'!$B$9)*('حجز الإجازات'!$D$5:$D$104&lt;=BL$3)*(('حجز الإجازات'!$E$5:$E$104)&gt;=BL$3)*('حجز الإجازات'!$G$5:$G$104="معتمد")*ROW('حجز الإجازات'!$B$5:$B$104))=0,"",INDEX('حجز الإجازات'!$C$5:$C$104,(SUMPRODUCT(('حجز الإجازات'!$B$5:$B$104='الموظفون'!$B$9)*('حجز الإجازات'!$D$5:$D$104&lt;=BL$3)*(('حجز الإجازات'!$E$5:$E$104)&gt;=BL$3)*('حجز الإجازات'!$G$5:$G$104="معتمد")*ROW('حجز الإجازات'!$B$5:$B$104)))-5+1))</f>
        <v/>
      </c>
      <c r="BM11" s="62">
        <f>IF(SUMPRODUCT(('حجز الإجازات'!$B$5:$B$104='الموظفون'!$B$9)*('حجز الإجازات'!$D$5:$D$104&lt;=BM$3)*(('حجز الإجازات'!$E$5:$E$104)&gt;=BM$3)*('حجز الإجازات'!$G$5:$G$104="معتمد")*ROW('حجز الإجازات'!$B$5:$B$104))=0,"",INDEX('حجز الإجازات'!$C$5:$C$104,(SUMPRODUCT(('حجز الإجازات'!$B$5:$B$104='الموظفون'!$B$9)*('حجز الإجازات'!$D$5:$D$104&lt;=BM$3)*(('حجز الإجازات'!$E$5:$E$104)&gt;=BM$3)*('حجز الإجازات'!$G$5:$G$104="معتمد")*ROW('حجز الإجازات'!$B$5:$B$104)))-5+1))</f>
        <v/>
      </c>
      <c r="BN11" s="62">
        <f>IF(SUMPRODUCT(('حجز الإجازات'!$B$5:$B$104='الموظفون'!$B$9)*('حجز الإجازات'!$D$5:$D$104&lt;=BN$3)*(('حجز الإجازات'!$E$5:$E$104)&gt;=BN$3)*('حجز الإجازات'!$G$5:$G$104="معتمد")*ROW('حجز الإجازات'!$B$5:$B$104))=0,"",INDEX('حجز الإجازات'!$C$5:$C$104,(SUMPRODUCT(('حجز الإجازات'!$B$5:$B$104='الموظفون'!$B$9)*('حجز الإجازات'!$D$5:$D$104&lt;=BN$3)*(('حجز الإجازات'!$E$5:$E$104)&gt;=BN$3)*('حجز الإجازات'!$G$5:$G$104="معتمد")*ROW('حجز الإجازات'!$B$5:$B$104)))-5+1))</f>
        <v/>
      </c>
      <c r="BO11" s="62">
        <f>IF(SUMPRODUCT(('حجز الإجازات'!$B$5:$B$104='الموظفون'!$B$9)*('حجز الإجازات'!$D$5:$D$104&lt;=BO$3)*(('حجز الإجازات'!$E$5:$E$104)&gt;=BO$3)*('حجز الإجازات'!$G$5:$G$104="معتمد")*ROW('حجز الإجازات'!$B$5:$B$104))=0,"",INDEX('حجز الإجازات'!$C$5:$C$104,(SUMPRODUCT(('حجز الإجازات'!$B$5:$B$104='الموظفون'!$B$9)*('حجز الإجازات'!$D$5:$D$104&lt;=BO$3)*(('حجز الإجازات'!$E$5:$E$104)&gt;=BO$3)*('حجز الإجازات'!$G$5:$G$104="معتمد")*ROW('حجز الإجازات'!$B$5:$B$104)))-5+1))</f>
        <v/>
      </c>
      <c r="BP11" s="62">
        <f>IF(SUMPRODUCT(('حجز الإجازات'!$B$5:$B$104='الموظفون'!$B$9)*('حجز الإجازات'!$D$5:$D$104&lt;=BP$3)*(('حجز الإجازات'!$E$5:$E$104)&gt;=BP$3)*('حجز الإجازات'!$G$5:$G$104="معتمد")*ROW('حجز الإجازات'!$B$5:$B$104))=0,"",INDEX('حجز الإجازات'!$C$5:$C$104,(SUMPRODUCT(('حجز الإجازات'!$B$5:$B$104='الموظفون'!$B$9)*('حجز الإجازات'!$D$5:$D$104&lt;=BP$3)*(('حجز الإجازات'!$E$5:$E$104)&gt;=BP$3)*('حجز الإجازات'!$G$5:$G$104="معتمد")*ROW('حجز الإجازات'!$B$5:$B$104)))-5+1))</f>
        <v/>
      </c>
      <c r="BQ11" s="62">
        <f>IF(SUMPRODUCT(('حجز الإجازات'!$B$5:$B$104='الموظفون'!$B$9)*('حجز الإجازات'!$D$5:$D$104&lt;=BQ$3)*(('حجز الإجازات'!$E$5:$E$104)&gt;=BQ$3)*('حجز الإجازات'!$G$5:$G$104="معتمد")*ROW('حجز الإجازات'!$B$5:$B$104))=0,"",INDEX('حجز الإجازات'!$C$5:$C$104,(SUMPRODUCT(('حجز الإجازات'!$B$5:$B$104='الموظفون'!$B$9)*('حجز الإجازات'!$D$5:$D$104&lt;=BQ$3)*(('حجز الإجازات'!$E$5:$E$104)&gt;=BQ$3)*('حجز الإجازات'!$G$5:$G$104="معتمد")*ROW('حجز الإجازات'!$B$5:$B$104)))-5+1))</f>
        <v/>
      </c>
      <c r="BR11" s="62">
        <f>IF(SUMPRODUCT(('حجز الإجازات'!$B$5:$B$104='الموظفون'!$B$9)*('حجز الإجازات'!$D$5:$D$104&lt;=BR$3)*(('حجز الإجازات'!$E$5:$E$104)&gt;=BR$3)*('حجز الإجازات'!$G$5:$G$104="معتمد")*ROW('حجز الإجازات'!$B$5:$B$104))=0,"",INDEX('حجز الإجازات'!$C$5:$C$104,(SUMPRODUCT(('حجز الإجازات'!$B$5:$B$104='الموظفون'!$B$9)*('حجز الإجازات'!$D$5:$D$104&lt;=BR$3)*(('حجز الإجازات'!$E$5:$E$104)&gt;=BR$3)*('حجز الإجازات'!$G$5:$G$104="معتمد")*ROW('حجز الإجازات'!$B$5:$B$104)))-5+1))</f>
        <v/>
      </c>
      <c r="BS11" s="62">
        <f>IF(SUMPRODUCT(('حجز الإجازات'!$B$5:$B$104='الموظفون'!$B$9)*('حجز الإجازات'!$D$5:$D$104&lt;=BS$3)*(('حجز الإجازات'!$E$5:$E$104)&gt;=BS$3)*('حجز الإجازات'!$G$5:$G$104="معتمد")*ROW('حجز الإجازات'!$B$5:$B$104))=0,"",INDEX('حجز الإجازات'!$C$5:$C$104,(SUMPRODUCT(('حجز الإجازات'!$B$5:$B$104='الموظفون'!$B$9)*('حجز الإجازات'!$D$5:$D$104&lt;=BS$3)*(('حجز الإجازات'!$E$5:$E$104)&gt;=BS$3)*('حجز الإجازات'!$G$5:$G$104="معتمد")*ROW('حجز الإجازات'!$B$5:$B$104)))-5+1))</f>
        <v/>
      </c>
      <c r="BT11" s="62">
        <f>IF(SUMPRODUCT(('حجز الإجازات'!$B$5:$B$104='الموظفون'!$B$9)*('حجز الإجازات'!$D$5:$D$104&lt;=BT$3)*(('حجز الإجازات'!$E$5:$E$104)&gt;=BT$3)*('حجز الإجازات'!$G$5:$G$104="معتمد")*ROW('حجز الإجازات'!$B$5:$B$104))=0,"",INDEX('حجز الإجازات'!$C$5:$C$104,(SUMPRODUCT(('حجز الإجازات'!$B$5:$B$104='الموظفون'!$B$9)*('حجز الإجازات'!$D$5:$D$104&lt;=BT$3)*(('حجز الإجازات'!$E$5:$E$104)&gt;=BT$3)*('حجز الإجازات'!$G$5:$G$104="معتمد")*ROW('حجز الإجازات'!$B$5:$B$104)))-5+1))</f>
        <v/>
      </c>
      <c r="BU11" s="62">
        <f>IF(SUMPRODUCT(('حجز الإجازات'!$B$5:$B$104='الموظفون'!$B$9)*('حجز الإجازات'!$D$5:$D$104&lt;=BU$3)*(('حجز الإجازات'!$E$5:$E$104)&gt;=BU$3)*('حجز الإجازات'!$G$5:$G$104="معتمد")*ROW('حجز الإجازات'!$B$5:$B$104))=0,"",INDEX('حجز الإجازات'!$C$5:$C$104,(SUMPRODUCT(('حجز الإجازات'!$B$5:$B$104='الموظفون'!$B$9)*('حجز الإجازات'!$D$5:$D$104&lt;=BU$3)*(('حجز الإجازات'!$E$5:$E$104)&gt;=BU$3)*('حجز الإجازات'!$G$5:$G$104="معتمد")*ROW('حجز الإجازات'!$B$5:$B$104)))-5+1))</f>
        <v/>
      </c>
      <c r="BV11" s="62">
        <f>IF(SUMPRODUCT(('حجز الإجازات'!$B$5:$B$104='الموظفون'!$B$9)*('حجز الإجازات'!$D$5:$D$104&lt;=BV$3)*(('حجز الإجازات'!$E$5:$E$104)&gt;=BV$3)*('حجز الإجازات'!$G$5:$G$104="معتمد")*ROW('حجز الإجازات'!$B$5:$B$104))=0,"",INDEX('حجز الإجازات'!$C$5:$C$104,(SUMPRODUCT(('حجز الإجازات'!$B$5:$B$104='الموظفون'!$B$9)*('حجز الإجازات'!$D$5:$D$104&lt;=BV$3)*(('حجز الإجازات'!$E$5:$E$104)&gt;=BV$3)*('حجز الإجازات'!$G$5:$G$104="معتمد")*ROW('حجز الإجازات'!$B$5:$B$104)))-5+1))</f>
        <v/>
      </c>
      <c r="BW11" s="62">
        <f>IF(SUMPRODUCT(('حجز الإجازات'!$B$5:$B$104='الموظفون'!$B$9)*('حجز الإجازات'!$D$5:$D$104&lt;=BW$3)*(('حجز الإجازات'!$E$5:$E$104)&gt;=BW$3)*('حجز الإجازات'!$G$5:$G$104="معتمد")*ROW('حجز الإجازات'!$B$5:$B$104))=0,"",INDEX('حجز الإجازات'!$C$5:$C$104,(SUMPRODUCT(('حجز الإجازات'!$B$5:$B$104='الموظفون'!$B$9)*('حجز الإجازات'!$D$5:$D$104&lt;=BW$3)*(('حجز الإجازات'!$E$5:$E$104)&gt;=BW$3)*('حجز الإجازات'!$G$5:$G$104="معتمد")*ROW('حجز الإجازات'!$B$5:$B$104)))-5+1))</f>
        <v/>
      </c>
      <c r="BX11" s="62">
        <f>IF(SUMPRODUCT(('حجز الإجازات'!$B$5:$B$104='الموظفون'!$B$9)*('حجز الإجازات'!$D$5:$D$104&lt;=BX$3)*(('حجز الإجازات'!$E$5:$E$104)&gt;=BX$3)*('حجز الإجازات'!$G$5:$G$104="معتمد")*ROW('حجز الإجازات'!$B$5:$B$104))=0,"",INDEX('حجز الإجازات'!$C$5:$C$104,(SUMPRODUCT(('حجز الإجازات'!$B$5:$B$104='الموظفون'!$B$9)*('حجز الإجازات'!$D$5:$D$104&lt;=BX$3)*(('حجز الإجازات'!$E$5:$E$104)&gt;=BX$3)*('حجز الإجازات'!$G$5:$G$104="معتمد")*ROW('حجز الإجازات'!$B$5:$B$104)))-5+1))</f>
        <v/>
      </c>
      <c r="BY11" s="62">
        <f>IF(SUMPRODUCT(('حجز الإجازات'!$B$5:$B$104='الموظفون'!$B$9)*('حجز الإجازات'!$D$5:$D$104&lt;=BY$3)*(('حجز الإجازات'!$E$5:$E$104)&gt;=BY$3)*('حجز الإجازات'!$G$5:$G$104="معتمد")*ROW('حجز الإجازات'!$B$5:$B$104))=0,"",INDEX('حجز الإجازات'!$C$5:$C$104,(SUMPRODUCT(('حجز الإجازات'!$B$5:$B$104='الموظفون'!$B$9)*('حجز الإجازات'!$D$5:$D$104&lt;=BY$3)*(('حجز الإجازات'!$E$5:$E$104)&gt;=BY$3)*('حجز الإجازات'!$G$5:$G$104="معتمد")*ROW('حجز الإجازات'!$B$5:$B$104)))-5+1))</f>
        <v/>
      </c>
      <c r="BZ11" s="62">
        <f>IF(SUMPRODUCT(('حجز الإجازات'!$B$5:$B$104='الموظفون'!$B$9)*('حجز الإجازات'!$D$5:$D$104&lt;=BZ$3)*(('حجز الإجازات'!$E$5:$E$104)&gt;=BZ$3)*('حجز الإجازات'!$G$5:$G$104="معتمد")*ROW('حجز الإجازات'!$B$5:$B$104))=0,"",INDEX('حجز الإجازات'!$C$5:$C$104,(SUMPRODUCT(('حجز الإجازات'!$B$5:$B$104='الموظفون'!$B$9)*('حجز الإجازات'!$D$5:$D$104&lt;=BZ$3)*(('حجز الإجازات'!$E$5:$E$104)&gt;=BZ$3)*('حجز الإجازات'!$G$5:$G$104="معتمد")*ROW('حجز الإجازات'!$B$5:$B$104)))-5+1))</f>
        <v/>
      </c>
      <c r="CA11" s="62">
        <f>IF(SUMPRODUCT(('حجز الإجازات'!$B$5:$B$104='الموظفون'!$B$9)*('حجز الإجازات'!$D$5:$D$104&lt;=CA$3)*(('حجز الإجازات'!$E$5:$E$104)&gt;=CA$3)*('حجز الإجازات'!$G$5:$G$104="معتمد")*ROW('حجز الإجازات'!$B$5:$B$104))=0,"",INDEX('حجز الإجازات'!$C$5:$C$104,(SUMPRODUCT(('حجز الإجازات'!$B$5:$B$104='الموظفون'!$B$9)*('حجز الإجازات'!$D$5:$D$104&lt;=CA$3)*(('حجز الإجازات'!$E$5:$E$104)&gt;=CA$3)*('حجز الإجازات'!$G$5:$G$104="معتمد")*ROW('حجز الإجازات'!$B$5:$B$104)))-5+1))</f>
        <v/>
      </c>
      <c r="CB11" s="62">
        <f>IF(SUMPRODUCT(('حجز الإجازات'!$B$5:$B$104='الموظفون'!$B$9)*('حجز الإجازات'!$D$5:$D$104&lt;=CB$3)*(('حجز الإجازات'!$E$5:$E$104)&gt;=CB$3)*('حجز الإجازات'!$G$5:$G$104="معتمد")*ROW('حجز الإجازات'!$B$5:$B$104))=0,"",INDEX('حجز الإجازات'!$C$5:$C$104,(SUMPRODUCT(('حجز الإجازات'!$B$5:$B$104='الموظفون'!$B$9)*('حجز الإجازات'!$D$5:$D$104&lt;=CB$3)*(('حجز الإجازات'!$E$5:$E$104)&gt;=CB$3)*('حجز الإجازات'!$G$5:$G$104="معتمد")*ROW('حجز الإجازات'!$B$5:$B$104)))-5+1))</f>
        <v/>
      </c>
      <c r="CC11" s="62">
        <f>IF(SUMPRODUCT(('حجز الإجازات'!$B$5:$B$104='الموظفون'!$B$9)*('حجز الإجازات'!$D$5:$D$104&lt;=CC$3)*(('حجز الإجازات'!$E$5:$E$104)&gt;=CC$3)*('حجز الإجازات'!$G$5:$G$104="معتمد")*ROW('حجز الإجازات'!$B$5:$B$104))=0,"",INDEX('حجز الإجازات'!$C$5:$C$104,(SUMPRODUCT(('حجز الإجازات'!$B$5:$B$104='الموظفون'!$B$9)*('حجز الإجازات'!$D$5:$D$104&lt;=CC$3)*(('حجز الإجازات'!$E$5:$E$104)&gt;=CC$3)*('حجز الإجازات'!$G$5:$G$104="معتمد")*ROW('حجز الإجازات'!$B$5:$B$104)))-5+1))</f>
        <v/>
      </c>
      <c r="CD11" s="62">
        <f>IF(SUMPRODUCT(('حجز الإجازات'!$B$5:$B$104='الموظفون'!$B$9)*('حجز الإجازات'!$D$5:$D$104&lt;=CD$3)*(('حجز الإجازات'!$E$5:$E$104)&gt;=CD$3)*('حجز الإجازات'!$G$5:$G$104="معتمد")*ROW('حجز الإجازات'!$B$5:$B$104))=0,"",INDEX('حجز الإجازات'!$C$5:$C$104,(SUMPRODUCT(('حجز الإجازات'!$B$5:$B$104='الموظفون'!$B$9)*('حجز الإجازات'!$D$5:$D$104&lt;=CD$3)*(('حجز الإجازات'!$E$5:$E$104)&gt;=CD$3)*('حجز الإجازات'!$G$5:$G$104="معتمد")*ROW('حجز الإجازات'!$B$5:$B$104)))-5+1))</f>
        <v/>
      </c>
      <c r="CE11" s="62">
        <f>IF(SUMPRODUCT(('حجز الإجازات'!$B$5:$B$104='الموظفون'!$B$9)*('حجز الإجازات'!$D$5:$D$104&lt;=CE$3)*(('حجز الإجازات'!$E$5:$E$104)&gt;=CE$3)*('حجز الإجازات'!$G$5:$G$104="معتمد")*ROW('حجز الإجازات'!$B$5:$B$104))=0,"",INDEX('حجز الإجازات'!$C$5:$C$104,(SUMPRODUCT(('حجز الإجازات'!$B$5:$B$104='الموظفون'!$B$9)*('حجز الإجازات'!$D$5:$D$104&lt;=CE$3)*(('حجز الإجازات'!$E$5:$E$104)&gt;=CE$3)*('حجز الإجازات'!$G$5:$G$104="معتمد")*ROW('حجز الإجازات'!$B$5:$B$104)))-5+1))</f>
        <v/>
      </c>
      <c r="CF11" s="62">
        <f>IF(SUMPRODUCT(('حجز الإجازات'!$B$5:$B$104='الموظفون'!$B$9)*('حجز الإجازات'!$D$5:$D$104&lt;=CF$3)*(('حجز الإجازات'!$E$5:$E$104)&gt;=CF$3)*('حجز الإجازات'!$G$5:$G$104="معتمد")*ROW('حجز الإجازات'!$B$5:$B$104))=0,"",INDEX('حجز الإجازات'!$C$5:$C$104,(SUMPRODUCT(('حجز الإجازات'!$B$5:$B$104='الموظفون'!$B$9)*('حجز الإجازات'!$D$5:$D$104&lt;=CF$3)*(('حجز الإجازات'!$E$5:$E$104)&gt;=CF$3)*('حجز الإجازات'!$G$5:$G$104="معتمد")*ROW('حجز الإجازات'!$B$5:$B$104)))-5+1))</f>
        <v/>
      </c>
      <c r="CG11" s="62">
        <f>IF(SUMPRODUCT(('حجز الإجازات'!$B$5:$B$104='الموظفون'!$B$9)*('حجز الإجازات'!$D$5:$D$104&lt;=CG$3)*(('حجز الإجازات'!$E$5:$E$104)&gt;=CG$3)*('حجز الإجازات'!$G$5:$G$104="معتمد")*ROW('حجز الإجازات'!$B$5:$B$104))=0,"",INDEX('حجز الإجازات'!$C$5:$C$104,(SUMPRODUCT(('حجز الإجازات'!$B$5:$B$104='الموظفون'!$B$9)*('حجز الإجازات'!$D$5:$D$104&lt;=CG$3)*(('حجز الإجازات'!$E$5:$E$104)&gt;=CG$3)*('حجز الإجازات'!$G$5:$G$104="معتمد")*ROW('حجز الإجازات'!$B$5:$B$104)))-5+1))</f>
        <v/>
      </c>
      <c r="CH11" s="62">
        <f>IF(SUMPRODUCT(('حجز الإجازات'!$B$5:$B$104='الموظفون'!$B$9)*('حجز الإجازات'!$D$5:$D$104&lt;=CH$3)*(('حجز الإجازات'!$E$5:$E$104)&gt;=CH$3)*('حجز الإجازات'!$G$5:$G$104="معتمد")*ROW('حجز الإجازات'!$B$5:$B$104))=0,"",INDEX('حجز الإجازات'!$C$5:$C$104,(SUMPRODUCT(('حجز الإجازات'!$B$5:$B$104='الموظفون'!$B$9)*('حجز الإجازات'!$D$5:$D$104&lt;=CH$3)*(('حجز الإجازات'!$E$5:$E$104)&gt;=CH$3)*('حجز الإجازات'!$G$5:$G$104="معتمد")*ROW('حجز الإجازات'!$B$5:$B$104)))-5+1))</f>
        <v/>
      </c>
      <c r="CI11" s="62">
        <f>IF(SUMPRODUCT(('حجز الإجازات'!$B$5:$B$104='الموظفون'!$B$9)*('حجز الإجازات'!$D$5:$D$104&lt;=CI$3)*(('حجز الإجازات'!$E$5:$E$104)&gt;=CI$3)*('حجز الإجازات'!$G$5:$G$104="معتمد")*ROW('حجز الإجازات'!$B$5:$B$104))=0,"",INDEX('حجز الإجازات'!$C$5:$C$104,(SUMPRODUCT(('حجز الإجازات'!$B$5:$B$104='الموظفون'!$B$9)*('حجز الإجازات'!$D$5:$D$104&lt;=CI$3)*(('حجز الإجازات'!$E$5:$E$104)&gt;=CI$3)*('حجز الإجازات'!$G$5:$G$104="معتمد")*ROW('حجز الإجازات'!$B$5:$B$104)))-5+1))</f>
        <v/>
      </c>
      <c r="CJ11" s="62">
        <f>IF(SUMPRODUCT(('حجز الإجازات'!$B$5:$B$104='الموظفون'!$B$9)*('حجز الإجازات'!$D$5:$D$104&lt;=CJ$3)*(('حجز الإجازات'!$E$5:$E$104)&gt;=CJ$3)*('حجز الإجازات'!$G$5:$G$104="معتمد")*ROW('حجز الإجازات'!$B$5:$B$104))=0,"",INDEX('حجز الإجازات'!$C$5:$C$104,(SUMPRODUCT(('حجز الإجازات'!$B$5:$B$104='الموظفون'!$B$9)*('حجز الإجازات'!$D$5:$D$104&lt;=CJ$3)*(('حجز الإجازات'!$E$5:$E$104)&gt;=CJ$3)*('حجز الإجازات'!$G$5:$G$104="معتمد")*ROW('حجز الإجازات'!$B$5:$B$104)))-5+1))</f>
        <v/>
      </c>
      <c r="CK11" s="62">
        <f>IF(SUMPRODUCT(('حجز الإجازات'!$B$5:$B$104='الموظفون'!$B$9)*('حجز الإجازات'!$D$5:$D$104&lt;=CK$3)*(('حجز الإجازات'!$E$5:$E$104)&gt;=CK$3)*('حجز الإجازات'!$G$5:$G$104="معتمد")*ROW('حجز الإجازات'!$B$5:$B$104))=0,"",INDEX('حجز الإجازات'!$C$5:$C$104,(SUMPRODUCT(('حجز الإجازات'!$B$5:$B$104='الموظفون'!$B$9)*('حجز الإجازات'!$D$5:$D$104&lt;=CK$3)*(('حجز الإجازات'!$E$5:$E$104)&gt;=CK$3)*('حجز الإجازات'!$G$5:$G$104="معتمد")*ROW('حجز الإجازات'!$B$5:$B$104)))-5+1))</f>
        <v/>
      </c>
      <c r="CL11" s="62">
        <f>IF(SUMPRODUCT(('حجز الإجازات'!$B$5:$B$104='الموظفون'!$B$9)*('حجز الإجازات'!$D$5:$D$104&lt;=CL$3)*(('حجز الإجازات'!$E$5:$E$104)&gt;=CL$3)*('حجز الإجازات'!$G$5:$G$104="معتمد")*ROW('حجز الإجازات'!$B$5:$B$104))=0,"",INDEX('حجز الإجازات'!$C$5:$C$104,(SUMPRODUCT(('حجز الإجازات'!$B$5:$B$104='الموظفون'!$B$9)*('حجز الإجازات'!$D$5:$D$104&lt;=CL$3)*(('حجز الإجازات'!$E$5:$E$104)&gt;=CL$3)*('حجز الإجازات'!$G$5:$G$104="معتمد")*ROW('حجز الإجازات'!$B$5:$B$104)))-5+1))</f>
        <v/>
      </c>
      <c r="CM11" s="62">
        <f>IF(SUMPRODUCT(('حجز الإجازات'!$B$5:$B$104='الموظفون'!$B$9)*('حجز الإجازات'!$D$5:$D$104&lt;=CM$3)*(('حجز الإجازات'!$E$5:$E$104)&gt;=CM$3)*('حجز الإجازات'!$G$5:$G$104="معتمد")*ROW('حجز الإجازات'!$B$5:$B$104))=0,"",INDEX('حجز الإجازات'!$C$5:$C$104,(SUMPRODUCT(('حجز الإجازات'!$B$5:$B$104='الموظفون'!$B$9)*('حجز الإجازات'!$D$5:$D$104&lt;=CM$3)*(('حجز الإجازات'!$E$5:$E$104)&gt;=CM$3)*('حجز الإجازات'!$G$5:$G$104="معتمد")*ROW('حجز الإجازات'!$B$5:$B$104)))-5+1))</f>
        <v/>
      </c>
      <c r="CN11" s="62">
        <f>IF(SUMPRODUCT(('حجز الإجازات'!$B$5:$B$104='الموظفون'!$B$9)*('حجز الإجازات'!$D$5:$D$104&lt;=CN$3)*(('حجز الإجازات'!$E$5:$E$104)&gt;=CN$3)*('حجز الإجازات'!$G$5:$G$104="معتمد")*ROW('حجز الإجازات'!$B$5:$B$104))=0,"",INDEX('حجز الإجازات'!$C$5:$C$104,(SUMPRODUCT(('حجز الإجازات'!$B$5:$B$104='الموظفون'!$B$9)*('حجز الإجازات'!$D$5:$D$104&lt;=CN$3)*(('حجز الإجازات'!$E$5:$E$104)&gt;=CN$3)*('حجز الإجازات'!$G$5:$G$104="معتمد")*ROW('حجز الإجازات'!$B$5:$B$104)))-5+1))</f>
        <v/>
      </c>
      <c r="CO11" s="62">
        <f>IF(SUMPRODUCT(('حجز الإجازات'!$B$5:$B$104='الموظفون'!$B$9)*('حجز الإجازات'!$D$5:$D$104&lt;=CO$3)*(('حجز الإجازات'!$E$5:$E$104)&gt;=CO$3)*('حجز الإجازات'!$G$5:$G$104="معتمد")*ROW('حجز الإجازات'!$B$5:$B$104))=0,"",INDEX('حجز الإجازات'!$C$5:$C$104,(SUMPRODUCT(('حجز الإجازات'!$B$5:$B$104='الموظفون'!$B$9)*('حجز الإجازات'!$D$5:$D$104&lt;=CO$3)*(('حجز الإجازات'!$E$5:$E$104)&gt;=CO$3)*('حجز الإجازات'!$G$5:$G$104="معتمد")*ROW('حجز الإجازات'!$B$5:$B$104)))-5+1))</f>
        <v/>
      </c>
      <c r="CP11" s="62">
        <f>IF(SUMPRODUCT(('حجز الإجازات'!$B$5:$B$104='الموظفون'!$B$9)*('حجز الإجازات'!$D$5:$D$104&lt;=CP$3)*(('حجز الإجازات'!$E$5:$E$104)&gt;=CP$3)*('حجز الإجازات'!$G$5:$G$104="معتمد")*ROW('حجز الإجازات'!$B$5:$B$104))=0,"",INDEX('حجز الإجازات'!$C$5:$C$104,(SUMPRODUCT(('حجز الإجازات'!$B$5:$B$104='الموظفون'!$B$9)*('حجز الإجازات'!$D$5:$D$104&lt;=CP$3)*(('حجز الإجازات'!$E$5:$E$104)&gt;=CP$3)*('حجز الإجازات'!$G$5:$G$104="معتمد")*ROW('حجز الإجازات'!$B$5:$B$104)))-5+1))</f>
        <v/>
      </c>
      <c r="CQ11" s="62">
        <f>IF(SUMPRODUCT(('حجز الإجازات'!$B$5:$B$104='الموظفون'!$B$9)*('حجز الإجازات'!$D$5:$D$104&lt;=CQ$3)*(('حجز الإجازات'!$E$5:$E$104)&gt;=CQ$3)*('حجز الإجازات'!$G$5:$G$104="معتمد")*ROW('حجز الإجازات'!$B$5:$B$104))=0,"",INDEX('حجز الإجازات'!$C$5:$C$104,(SUMPRODUCT(('حجز الإجازات'!$B$5:$B$104='الموظفون'!$B$9)*('حجز الإجازات'!$D$5:$D$104&lt;=CQ$3)*(('حجز الإجازات'!$E$5:$E$104)&gt;=CQ$3)*('حجز الإجازات'!$G$5:$G$104="معتمد")*ROW('حجز الإجازات'!$B$5:$B$104)))-5+1))</f>
        <v/>
      </c>
      <c r="CR11" s="62">
        <f>IF(SUMPRODUCT(('حجز الإجازات'!$B$5:$B$104='الموظفون'!$B$9)*('حجز الإجازات'!$D$5:$D$104&lt;=CR$3)*(('حجز الإجازات'!$E$5:$E$104)&gt;=CR$3)*('حجز الإجازات'!$G$5:$G$104="معتمد")*ROW('حجز الإجازات'!$B$5:$B$104))=0,"",INDEX('حجز الإجازات'!$C$5:$C$104,(SUMPRODUCT(('حجز الإجازات'!$B$5:$B$104='الموظفون'!$B$9)*('حجز الإجازات'!$D$5:$D$104&lt;=CR$3)*(('حجز الإجازات'!$E$5:$E$104)&gt;=CR$3)*('حجز الإجازات'!$G$5:$G$104="معتمد")*ROW('حجز الإجازات'!$B$5:$B$104)))-5+1))</f>
        <v/>
      </c>
      <c r="CS11" s="62">
        <f>IF(SUMPRODUCT(('حجز الإجازات'!$B$5:$B$104='الموظفون'!$B$9)*('حجز الإجازات'!$D$5:$D$104&lt;=CS$3)*(('حجز الإجازات'!$E$5:$E$104)&gt;=CS$3)*('حجز الإجازات'!$G$5:$G$104="معتمد")*ROW('حجز الإجازات'!$B$5:$B$104))=0,"",INDEX('حجز الإجازات'!$C$5:$C$104,(SUMPRODUCT(('حجز الإجازات'!$B$5:$B$104='الموظفون'!$B$9)*('حجز الإجازات'!$D$5:$D$104&lt;=CS$3)*(('حجز الإجازات'!$E$5:$E$104)&gt;=CS$3)*('حجز الإجازات'!$G$5:$G$104="معتمد")*ROW('حجز الإجازات'!$B$5:$B$104)))-5+1))</f>
        <v/>
      </c>
      <c r="CT11" s="62">
        <f>IF(SUMPRODUCT(('حجز الإجازات'!$B$5:$B$104='الموظفون'!$B$9)*('حجز الإجازات'!$D$5:$D$104&lt;=CT$3)*(('حجز الإجازات'!$E$5:$E$104)&gt;=CT$3)*('حجز الإجازات'!$G$5:$G$104="معتمد")*ROW('حجز الإجازات'!$B$5:$B$104))=0,"",INDEX('حجز الإجازات'!$C$5:$C$104,(SUMPRODUCT(('حجز الإجازات'!$B$5:$B$104='الموظفون'!$B$9)*('حجز الإجازات'!$D$5:$D$104&lt;=CT$3)*(('حجز الإجازات'!$E$5:$E$104)&gt;=CT$3)*('حجز الإجازات'!$G$5:$G$104="معتمد")*ROW('حجز الإجازات'!$B$5:$B$104)))-5+1))</f>
        <v/>
      </c>
      <c r="CU11" s="62">
        <f>IF(SUMPRODUCT(('حجز الإجازات'!$B$5:$B$104='الموظفون'!$B$9)*('حجز الإجازات'!$D$5:$D$104&lt;=CU$3)*(('حجز الإجازات'!$E$5:$E$104)&gt;=CU$3)*('حجز الإجازات'!$G$5:$G$104="معتمد")*ROW('حجز الإجازات'!$B$5:$B$104))=0,"",INDEX('حجز الإجازات'!$C$5:$C$104,(SUMPRODUCT(('حجز الإجازات'!$B$5:$B$104='الموظفون'!$B$9)*('حجز الإجازات'!$D$5:$D$104&lt;=CU$3)*(('حجز الإجازات'!$E$5:$E$104)&gt;=CU$3)*('حجز الإجازات'!$G$5:$G$104="معتمد")*ROW('حجز الإجازات'!$B$5:$B$104)))-5+1))</f>
        <v/>
      </c>
      <c r="CV11" s="62">
        <f>IF(SUMPRODUCT(('حجز الإجازات'!$B$5:$B$104='الموظفون'!$B$9)*('حجز الإجازات'!$D$5:$D$104&lt;=CV$3)*(('حجز الإجازات'!$E$5:$E$104)&gt;=CV$3)*('حجز الإجازات'!$G$5:$G$104="معتمد")*ROW('حجز الإجازات'!$B$5:$B$104))=0,"",INDEX('حجز الإجازات'!$C$5:$C$104,(SUMPRODUCT(('حجز الإجازات'!$B$5:$B$104='الموظفون'!$B$9)*('حجز الإجازات'!$D$5:$D$104&lt;=CV$3)*(('حجز الإجازات'!$E$5:$E$104)&gt;=CV$3)*('حجز الإجازات'!$G$5:$G$104="معتمد")*ROW('حجز الإجازات'!$B$5:$B$104)))-5+1))</f>
        <v/>
      </c>
      <c r="CW11" s="62">
        <f>IF(SUMPRODUCT(('حجز الإجازات'!$B$5:$B$104='الموظفون'!$B$9)*('حجز الإجازات'!$D$5:$D$104&lt;=CW$3)*(('حجز الإجازات'!$E$5:$E$104)&gt;=CW$3)*('حجز الإجازات'!$G$5:$G$104="معتمد")*ROW('حجز الإجازات'!$B$5:$B$104))=0,"",INDEX('حجز الإجازات'!$C$5:$C$104,(SUMPRODUCT(('حجز الإجازات'!$B$5:$B$104='الموظفون'!$B$9)*('حجز الإجازات'!$D$5:$D$104&lt;=CW$3)*(('حجز الإجازات'!$E$5:$E$104)&gt;=CW$3)*('حجز الإجازات'!$G$5:$G$104="معتمد")*ROW('حجز الإجازات'!$B$5:$B$104)))-5+1))</f>
        <v/>
      </c>
      <c r="CX11" s="62">
        <f>IF(SUMPRODUCT(('حجز الإجازات'!$B$5:$B$104='الموظفون'!$B$9)*('حجز الإجازات'!$D$5:$D$104&lt;=CX$3)*(('حجز الإجازات'!$E$5:$E$104)&gt;=CX$3)*('حجز الإجازات'!$G$5:$G$104="معتمد")*ROW('حجز الإجازات'!$B$5:$B$104))=0,"",INDEX('حجز الإجازات'!$C$5:$C$104,(SUMPRODUCT(('حجز الإجازات'!$B$5:$B$104='الموظفون'!$B$9)*('حجز الإجازات'!$D$5:$D$104&lt;=CX$3)*(('حجز الإجازات'!$E$5:$E$104)&gt;=CX$3)*('حجز الإجازات'!$G$5:$G$104="معتمد")*ROW('حجز الإجازات'!$B$5:$B$104)))-5+1))</f>
        <v/>
      </c>
      <c r="CY11" s="62">
        <f>IF(SUMPRODUCT(('حجز الإجازات'!$B$5:$B$104='الموظفون'!$B$9)*('حجز الإجازات'!$D$5:$D$104&lt;=CY$3)*(('حجز الإجازات'!$E$5:$E$104)&gt;=CY$3)*('حجز الإجازات'!$G$5:$G$104="معتمد")*ROW('حجز الإجازات'!$B$5:$B$104))=0,"",INDEX('حجز الإجازات'!$C$5:$C$104,(SUMPRODUCT(('حجز الإجازات'!$B$5:$B$104='الموظفون'!$B$9)*('حجز الإجازات'!$D$5:$D$104&lt;=CY$3)*(('حجز الإجازات'!$E$5:$E$104)&gt;=CY$3)*('حجز الإجازات'!$G$5:$G$104="معتمد")*ROW('حجز الإجازات'!$B$5:$B$104)))-5+1))</f>
        <v/>
      </c>
      <c r="CZ11" s="62">
        <f>IF(SUMPRODUCT(('حجز الإجازات'!$B$5:$B$104='الموظفون'!$B$9)*('حجز الإجازات'!$D$5:$D$104&lt;=CZ$3)*(('حجز الإجازات'!$E$5:$E$104)&gt;=CZ$3)*('حجز الإجازات'!$G$5:$G$104="معتمد")*ROW('حجز الإجازات'!$B$5:$B$104))=0,"",INDEX('حجز الإجازات'!$C$5:$C$104,(SUMPRODUCT(('حجز الإجازات'!$B$5:$B$104='الموظفون'!$B$9)*('حجز الإجازات'!$D$5:$D$104&lt;=CZ$3)*(('حجز الإجازات'!$E$5:$E$104)&gt;=CZ$3)*('حجز الإجازات'!$G$5:$G$104="معتمد")*ROW('حجز الإجازات'!$B$5:$B$104)))-5+1))</f>
        <v/>
      </c>
      <c r="DA11" s="62">
        <f>IF(SUMPRODUCT(('حجز الإجازات'!$B$5:$B$104='الموظفون'!$B$9)*('حجز الإجازات'!$D$5:$D$104&lt;=DA$3)*(('حجز الإجازات'!$E$5:$E$104)&gt;=DA$3)*('حجز الإجازات'!$G$5:$G$104="معتمد")*ROW('حجز الإجازات'!$B$5:$B$104))=0,"",INDEX('حجز الإجازات'!$C$5:$C$104,(SUMPRODUCT(('حجز الإجازات'!$B$5:$B$104='الموظفون'!$B$9)*('حجز الإجازات'!$D$5:$D$104&lt;=DA$3)*(('حجز الإجازات'!$E$5:$E$104)&gt;=DA$3)*('حجز الإجازات'!$G$5:$G$104="معتمد")*ROW('حجز الإجازات'!$B$5:$B$104)))-5+1))</f>
        <v/>
      </c>
      <c r="DB11" s="62">
        <f>IF(SUMPRODUCT(('حجز الإجازات'!$B$5:$B$104='الموظفون'!$B$9)*('حجز الإجازات'!$D$5:$D$104&lt;=DB$3)*(('حجز الإجازات'!$E$5:$E$104)&gt;=DB$3)*('حجز الإجازات'!$G$5:$G$104="معتمد")*ROW('حجز الإجازات'!$B$5:$B$104))=0,"",INDEX('حجز الإجازات'!$C$5:$C$104,(SUMPRODUCT(('حجز الإجازات'!$B$5:$B$104='الموظفون'!$B$9)*('حجز الإجازات'!$D$5:$D$104&lt;=DB$3)*(('حجز الإجازات'!$E$5:$E$104)&gt;=DB$3)*('حجز الإجازات'!$G$5:$G$104="معتمد")*ROW('حجز الإجازات'!$B$5:$B$104)))-5+1))</f>
        <v/>
      </c>
      <c r="DC11" s="62">
        <f>IF(SUMPRODUCT(('حجز الإجازات'!$B$5:$B$104='الموظفون'!$B$9)*('حجز الإجازات'!$D$5:$D$104&lt;=DC$3)*(('حجز الإجازات'!$E$5:$E$104)&gt;=DC$3)*('حجز الإجازات'!$G$5:$G$104="معتمد")*ROW('حجز الإجازات'!$B$5:$B$104))=0,"",INDEX('حجز الإجازات'!$C$5:$C$104,(SUMPRODUCT(('حجز الإجازات'!$B$5:$B$104='الموظفون'!$B$9)*('حجز الإجازات'!$D$5:$D$104&lt;=DC$3)*(('حجز الإجازات'!$E$5:$E$104)&gt;=DC$3)*('حجز الإجازات'!$G$5:$G$104="معتمد")*ROW('حجز الإجازات'!$B$5:$B$104)))-5+1))</f>
        <v/>
      </c>
      <c r="DD11" s="62">
        <f>IF(SUMPRODUCT(('حجز الإجازات'!$B$5:$B$104='الموظفون'!$B$9)*('حجز الإجازات'!$D$5:$D$104&lt;=DD$3)*(('حجز الإجازات'!$E$5:$E$104)&gt;=DD$3)*('حجز الإجازات'!$G$5:$G$104="معتمد")*ROW('حجز الإجازات'!$B$5:$B$104))=0,"",INDEX('حجز الإجازات'!$C$5:$C$104,(SUMPRODUCT(('حجز الإجازات'!$B$5:$B$104='الموظفون'!$B$9)*('حجز الإجازات'!$D$5:$D$104&lt;=DD$3)*(('حجز الإجازات'!$E$5:$E$104)&gt;=DD$3)*('حجز الإجازات'!$G$5:$G$104="معتمد")*ROW('حجز الإجازات'!$B$5:$B$104)))-5+1))</f>
        <v/>
      </c>
      <c r="DE11" s="62">
        <f>IF(SUMPRODUCT(('حجز الإجازات'!$B$5:$B$104='الموظفون'!$B$9)*('حجز الإجازات'!$D$5:$D$104&lt;=DE$3)*(('حجز الإجازات'!$E$5:$E$104)&gt;=DE$3)*('حجز الإجازات'!$G$5:$G$104="معتمد")*ROW('حجز الإجازات'!$B$5:$B$104))=0,"",INDEX('حجز الإجازات'!$C$5:$C$104,(SUMPRODUCT(('حجز الإجازات'!$B$5:$B$104='الموظفون'!$B$9)*('حجز الإجازات'!$D$5:$D$104&lt;=DE$3)*(('حجز الإجازات'!$E$5:$E$104)&gt;=DE$3)*('حجز الإجازات'!$G$5:$G$104="معتمد")*ROW('حجز الإجازات'!$B$5:$B$104)))-5+1))</f>
        <v/>
      </c>
      <c r="DF11" s="62">
        <f>IF(SUMPRODUCT(('حجز الإجازات'!$B$5:$B$104='الموظفون'!$B$9)*('حجز الإجازات'!$D$5:$D$104&lt;=DF$3)*(('حجز الإجازات'!$E$5:$E$104)&gt;=DF$3)*('حجز الإجازات'!$G$5:$G$104="معتمد")*ROW('حجز الإجازات'!$B$5:$B$104))=0,"",INDEX('حجز الإجازات'!$C$5:$C$104,(SUMPRODUCT(('حجز الإجازات'!$B$5:$B$104='الموظفون'!$B$9)*('حجز الإجازات'!$D$5:$D$104&lt;=DF$3)*(('حجز الإجازات'!$E$5:$E$104)&gt;=DF$3)*('حجز الإجازات'!$G$5:$G$104="معتمد")*ROW('حجز الإجازات'!$B$5:$B$104)))-5+1))</f>
        <v/>
      </c>
      <c r="DG11" s="62">
        <f>IF(SUMPRODUCT(('حجز الإجازات'!$B$5:$B$104='الموظفون'!$B$9)*('حجز الإجازات'!$D$5:$D$104&lt;=DG$3)*(('حجز الإجازات'!$E$5:$E$104)&gt;=DG$3)*('حجز الإجازات'!$G$5:$G$104="معتمد")*ROW('حجز الإجازات'!$B$5:$B$104))=0,"",INDEX('حجز الإجازات'!$C$5:$C$104,(SUMPRODUCT(('حجز الإجازات'!$B$5:$B$104='الموظفون'!$B$9)*('حجز الإجازات'!$D$5:$D$104&lt;=DG$3)*(('حجز الإجازات'!$E$5:$E$104)&gt;=DG$3)*('حجز الإجازات'!$G$5:$G$104="معتمد")*ROW('حجز الإجازات'!$B$5:$B$104)))-5+1))</f>
        <v/>
      </c>
      <c r="DH11" s="62">
        <f>IF(SUMPRODUCT(('حجز الإجازات'!$B$5:$B$104='الموظفون'!$B$9)*('حجز الإجازات'!$D$5:$D$104&lt;=DH$3)*(('حجز الإجازات'!$E$5:$E$104)&gt;=DH$3)*('حجز الإجازات'!$G$5:$G$104="معتمد")*ROW('حجز الإجازات'!$B$5:$B$104))=0,"",INDEX('حجز الإجازات'!$C$5:$C$104,(SUMPRODUCT(('حجز الإجازات'!$B$5:$B$104='الموظفون'!$B$9)*('حجز الإجازات'!$D$5:$D$104&lt;=DH$3)*(('حجز الإجازات'!$E$5:$E$104)&gt;=DH$3)*('حجز الإجازات'!$G$5:$G$104="معتمد")*ROW('حجز الإجازات'!$B$5:$B$104)))-5+1))</f>
        <v/>
      </c>
      <c r="DI11" s="62">
        <f>IF(SUMPRODUCT(('حجز الإجازات'!$B$5:$B$104='الموظفون'!$B$9)*('حجز الإجازات'!$D$5:$D$104&lt;=DI$3)*(('حجز الإجازات'!$E$5:$E$104)&gt;=DI$3)*('حجز الإجازات'!$G$5:$G$104="معتمد")*ROW('حجز الإجازات'!$B$5:$B$104))=0,"",INDEX('حجز الإجازات'!$C$5:$C$104,(SUMPRODUCT(('حجز الإجازات'!$B$5:$B$104='الموظفون'!$B$9)*('حجز الإجازات'!$D$5:$D$104&lt;=DI$3)*(('حجز الإجازات'!$E$5:$E$104)&gt;=DI$3)*('حجز الإجازات'!$G$5:$G$104="معتمد")*ROW('حجز الإجازات'!$B$5:$B$104)))-5+1))</f>
        <v/>
      </c>
      <c r="DJ11" s="62">
        <f>IF(SUMPRODUCT(('حجز الإجازات'!$B$5:$B$104='الموظفون'!$B$9)*('حجز الإجازات'!$D$5:$D$104&lt;=DJ$3)*(('حجز الإجازات'!$E$5:$E$104)&gt;=DJ$3)*('حجز الإجازات'!$G$5:$G$104="معتمد")*ROW('حجز الإجازات'!$B$5:$B$104))=0,"",INDEX('حجز الإجازات'!$C$5:$C$104,(SUMPRODUCT(('حجز الإجازات'!$B$5:$B$104='الموظفون'!$B$9)*('حجز الإجازات'!$D$5:$D$104&lt;=DJ$3)*(('حجز الإجازات'!$E$5:$E$104)&gt;=DJ$3)*('حجز الإجازات'!$G$5:$G$104="معتمد")*ROW('حجز الإجازات'!$B$5:$B$104)))-5+1))</f>
        <v/>
      </c>
      <c r="DK11" s="62">
        <f>IF(SUMPRODUCT(('حجز الإجازات'!$B$5:$B$104='الموظفون'!$B$9)*('حجز الإجازات'!$D$5:$D$104&lt;=DK$3)*(('حجز الإجازات'!$E$5:$E$104)&gt;=DK$3)*('حجز الإجازات'!$G$5:$G$104="معتمد")*ROW('حجز الإجازات'!$B$5:$B$104))=0,"",INDEX('حجز الإجازات'!$C$5:$C$104,(SUMPRODUCT(('حجز الإجازات'!$B$5:$B$104='الموظفون'!$B$9)*('حجز الإجازات'!$D$5:$D$104&lt;=DK$3)*(('حجز الإجازات'!$E$5:$E$104)&gt;=DK$3)*('حجز الإجازات'!$G$5:$G$104="معتمد")*ROW('حجز الإجازات'!$B$5:$B$104)))-5+1))</f>
        <v/>
      </c>
      <c r="DL11" s="62">
        <f>IF(SUMPRODUCT(('حجز الإجازات'!$B$5:$B$104='الموظفون'!$B$9)*('حجز الإجازات'!$D$5:$D$104&lt;=DL$3)*(('حجز الإجازات'!$E$5:$E$104)&gt;=DL$3)*('حجز الإجازات'!$G$5:$G$104="معتمد")*ROW('حجز الإجازات'!$B$5:$B$104))=0,"",INDEX('حجز الإجازات'!$C$5:$C$104,(SUMPRODUCT(('حجز الإجازات'!$B$5:$B$104='الموظفون'!$B$9)*('حجز الإجازات'!$D$5:$D$104&lt;=DL$3)*(('حجز الإجازات'!$E$5:$E$104)&gt;=DL$3)*('حجز الإجازات'!$G$5:$G$104="معتمد")*ROW('حجز الإجازات'!$B$5:$B$104)))-5+1))</f>
        <v/>
      </c>
      <c r="DM11" s="62">
        <f>IF(SUMPRODUCT(('حجز الإجازات'!$B$5:$B$104='الموظفون'!$B$9)*('حجز الإجازات'!$D$5:$D$104&lt;=DM$3)*(('حجز الإجازات'!$E$5:$E$104)&gt;=DM$3)*('حجز الإجازات'!$G$5:$G$104="معتمد")*ROW('حجز الإجازات'!$B$5:$B$104))=0,"",INDEX('حجز الإجازات'!$C$5:$C$104,(SUMPRODUCT(('حجز الإجازات'!$B$5:$B$104='الموظفون'!$B$9)*('حجز الإجازات'!$D$5:$D$104&lt;=DM$3)*(('حجز الإجازات'!$E$5:$E$104)&gt;=DM$3)*('حجز الإجازات'!$G$5:$G$104="معتمد")*ROW('حجز الإجازات'!$B$5:$B$104)))-5+1))</f>
        <v/>
      </c>
      <c r="DN11" s="62">
        <f>IF(SUMPRODUCT(('حجز الإجازات'!$B$5:$B$104='الموظفون'!$B$9)*('حجز الإجازات'!$D$5:$D$104&lt;=DN$3)*(('حجز الإجازات'!$E$5:$E$104)&gt;=DN$3)*('حجز الإجازات'!$G$5:$G$104="معتمد")*ROW('حجز الإجازات'!$B$5:$B$104))=0,"",INDEX('حجز الإجازات'!$C$5:$C$104,(SUMPRODUCT(('حجز الإجازات'!$B$5:$B$104='الموظفون'!$B$9)*('حجز الإجازات'!$D$5:$D$104&lt;=DN$3)*(('حجز الإجازات'!$E$5:$E$104)&gt;=DN$3)*('حجز الإجازات'!$G$5:$G$104="معتمد")*ROW('حجز الإجازات'!$B$5:$B$104)))-5+1))</f>
        <v/>
      </c>
      <c r="DO11" s="62">
        <f>IF(SUMPRODUCT(('حجز الإجازات'!$B$5:$B$104='الموظفون'!$B$9)*('حجز الإجازات'!$D$5:$D$104&lt;=DO$3)*(('حجز الإجازات'!$E$5:$E$104)&gt;=DO$3)*('حجز الإجازات'!$G$5:$G$104="معتمد")*ROW('حجز الإجازات'!$B$5:$B$104))=0,"",INDEX('حجز الإجازات'!$C$5:$C$104,(SUMPRODUCT(('حجز الإجازات'!$B$5:$B$104='الموظفون'!$B$9)*('حجز الإجازات'!$D$5:$D$104&lt;=DO$3)*(('حجز الإجازات'!$E$5:$E$104)&gt;=DO$3)*('حجز الإجازات'!$G$5:$G$104="معتمد")*ROW('حجز الإجازات'!$B$5:$B$104)))-5+1))</f>
        <v/>
      </c>
      <c r="DP11" s="62">
        <f>IF(SUMPRODUCT(('حجز الإجازات'!$B$5:$B$104='الموظفون'!$B$9)*('حجز الإجازات'!$D$5:$D$104&lt;=DP$3)*(('حجز الإجازات'!$E$5:$E$104)&gt;=DP$3)*('حجز الإجازات'!$G$5:$G$104="معتمد")*ROW('حجز الإجازات'!$B$5:$B$104))=0,"",INDEX('حجز الإجازات'!$C$5:$C$104,(SUMPRODUCT(('حجز الإجازات'!$B$5:$B$104='الموظفون'!$B$9)*('حجز الإجازات'!$D$5:$D$104&lt;=DP$3)*(('حجز الإجازات'!$E$5:$E$104)&gt;=DP$3)*('حجز الإجازات'!$G$5:$G$104="معتمد")*ROW('حجز الإجازات'!$B$5:$B$104)))-5+1))</f>
        <v/>
      </c>
      <c r="DQ11" s="62">
        <f>IF(SUMPRODUCT(('حجز الإجازات'!$B$5:$B$104='الموظفون'!$B$9)*('حجز الإجازات'!$D$5:$D$104&lt;=DQ$3)*(('حجز الإجازات'!$E$5:$E$104)&gt;=DQ$3)*('حجز الإجازات'!$G$5:$G$104="معتمد")*ROW('حجز الإجازات'!$B$5:$B$104))=0,"",INDEX('حجز الإجازات'!$C$5:$C$104,(SUMPRODUCT(('حجز الإجازات'!$B$5:$B$104='الموظفون'!$B$9)*('حجز الإجازات'!$D$5:$D$104&lt;=DQ$3)*(('حجز الإجازات'!$E$5:$E$104)&gt;=DQ$3)*('حجز الإجازات'!$G$5:$G$104="معتمد")*ROW('حجز الإجازات'!$B$5:$B$104)))-5+1))</f>
        <v/>
      </c>
      <c r="DR11" s="62">
        <f>IF(SUMPRODUCT(('حجز الإجازات'!$B$5:$B$104='الموظفون'!$B$9)*('حجز الإجازات'!$D$5:$D$104&lt;=DR$3)*(('حجز الإجازات'!$E$5:$E$104)&gt;=DR$3)*('حجز الإجازات'!$G$5:$G$104="معتمد")*ROW('حجز الإجازات'!$B$5:$B$104))=0,"",INDEX('حجز الإجازات'!$C$5:$C$104,(SUMPRODUCT(('حجز الإجازات'!$B$5:$B$104='الموظفون'!$B$9)*('حجز الإجازات'!$D$5:$D$104&lt;=DR$3)*(('حجز الإجازات'!$E$5:$E$104)&gt;=DR$3)*('حجز الإجازات'!$G$5:$G$104="معتمد")*ROW('حجز الإجازات'!$B$5:$B$104)))-5+1))</f>
        <v/>
      </c>
      <c r="DS11" s="62">
        <f>IF(SUMPRODUCT(('حجز الإجازات'!$B$5:$B$104='الموظفون'!$B$9)*('حجز الإجازات'!$D$5:$D$104&lt;=DS$3)*(('حجز الإجازات'!$E$5:$E$104)&gt;=DS$3)*('حجز الإجازات'!$G$5:$G$104="معتمد")*ROW('حجز الإجازات'!$B$5:$B$104))=0,"",INDEX('حجز الإجازات'!$C$5:$C$104,(SUMPRODUCT(('حجز الإجازات'!$B$5:$B$104='الموظفون'!$B$9)*('حجز الإجازات'!$D$5:$D$104&lt;=DS$3)*(('حجز الإجازات'!$E$5:$E$104)&gt;=DS$3)*('حجز الإجازات'!$G$5:$G$104="معتمد")*ROW('حجز الإجازات'!$B$5:$B$104)))-5+1))</f>
        <v/>
      </c>
      <c r="DT11" s="62">
        <f>IF(SUMPRODUCT(('حجز الإجازات'!$B$5:$B$104='الموظفون'!$B$9)*('حجز الإجازات'!$D$5:$D$104&lt;=DT$3)*(('حجز الإجازات'!$E$5:$E$104)&gt;=DT$3)*('حجز الإجازات'!$G$5:$G$104="معتمد")*ROW('حجز الإجازات'!$B$5:$B$104))=0,"",INDEX('حجز الإجازات'!$C$5:$C$104,(SUMPRODUCT(('حجز الإجازات'!$B$5:$B$104='الموظفون'!$B$9)*('حجز الإجازات'!$D$5:$D$104&lt;=DT$3)*(('حجز الإجازات'!$E$5:$E$104)&gt;=DT$3)*('حجز الإجازات'!$G$5:$G$104="معتمد")*ROW('حجز الإجازات'!$B$5:$B$104)))-5+1))</f>
        <v/>
      </c>
      <c r="DU11" s="62">
        <f>IF(SUMPRODUCT(('حجز الإجازات'!$B$5:$B$104='الموظفون'!$B$9)*('حجز الإجازات'!$D$5:$D$104&lt;=DU$3)*(('حجز الإجازات'!$E$5:$E$104)&gt;=DU$3)*('حجز الإجازات'!$G$5:$G$104="معتمد")*ROW('حجز الإجازات'!$B$5:$B$104))=0,"",INDEX('حجز الإجازات'!$C$5:$C$104,(SUMPRODUCT(('حجز الإجازات'!$B$5:$B$104='الموظفون'!$B$9)*('حجز الإجازات'!$D$5:$D$104&lt;=DU$3)*(('حجز الإجازات'!$E$5:$E$104)&gt;=DU$3)*('حجز الإجازات'!$G$5:$G$104="معتمد")*ROW('حجز الإجازات'!$B$5:$B$104)))-5+1))</f>
        <v/>
      </c>
      <c r="DV11" s="62">
        <f>IF(SUMPRODUCT(('حجز الإجازات'!$B$5:$B$104='الموظفون'!$B$9)*('حجز الإجازات'!$D$5:$D$104&lt;=DV$3)*(('حجز الإجازات'!$E$5:$E$104)&gt;=DV$3)*('حجز الإجازات'!$G$5:$G$104="معتمد")*ROW('حجز الإجازات'!$B$5:$B$104))=0,"",INDEX('حجز الإجازات'!$C$5:$C$104,(SUMPRODUCT(('حجز الإجازات'!$B$5:$B$104='الموظفون'!$B$9)*('حجز الإجازات'!$D$5:$D$104&lt;=DV$3)*(('حجز الإجازات'!$E$5:$E$104)&gt;=DV$3)*('حجز الإجازات'!$G$5:$G$104="معتمد")*ROW('حجز الإجازات'!$B$5:$B$104)))-5+1))</f>
        <v/>
      </c>
      <c r="DW11" s="62">
        <f>IF(SUMPRODUCT(('حجز الإجازات'!$B$5:$B$104='الموظفون'!$B$9)*('حجز الإجازات'!$D$5:$D$104&lt;=DW$3)*(('حجز الإجازات'!$E$5:$E$104)&gt;=DW$3)*('حجز الإجازات'!$G$5:$G$104="معتمد")*ROW('حجز الإجازات'!$B$5:$B$104))=0,"",INDEX('حجز الإجازات'!$C$5:$C$104,(SUMPRODUCT(('حجز الإجازات'!$B$5:$B$104='الموظفون'!$B$9)*('حجز الإجازات'!$D$5:$D$104&lt;=DW$3)*(('حجز الإجازات'!$E$5:$E$104)&gt;=DW$3)*('حجز الإجازات'!$G$5:$G$104="معتمد")*ROW('حجز الإجازات'!$B$5:$B$104)))-5+1))</f>
        <v/>
      </c>
      <c r="DX11" s="62">
        <f>IF(SUMPRODUCT(('حجز الإجازات'!$B$5:$B$104='الموظفون'!$B$9)*('حجز الإجازات'!$D$5:$D$104&lt;=DX$3)*(('حجز الإجازات'!$E$5:$E$104)&gt;=DX$3)*('حجز الإجازات'!$G$5:$G$104="معتمد")*ROW('حجز الإجازات'!$B$5:$B$104))=0,"",INDEX('حجز الإجازات'!$C$5:$C$104,(SUMPRODUCT(('حجز الإجازات'!$B$5:$B$104='الموظفون'!$B$9)*('حجز الإجازات'!$D$5:$D$104&lt;=DX$3)*(('حجز الإجازات'!$E$5:$E$104)&gt;=DX$3)*('حجز الإجازات'!$G$5:$G$104="معتمد")*ROW('حجز الإجازات'!$B$5:$B$104)))-5+1))</f>
        <v/>
      </c>
      <c r="DY11" s="62">
        <f>IF(SUMPRODUCT(('حجز الإجازات'!$B$5:$B$104='الموظفون'!$B$9)*('حجز الإجازات'!$D$5:$D$104&lt;=DY$3)*(('حجز الإجازات'!$E$5:$E$104)&gt;=DY$3)*('حجز الإجازات'!$G$5:$G$104="معتمد")*ROW('حجز الإجازات'!$B$5:$B$104))=0,"",INDEX('حجز الإجازات'!$C$5:$C$104,(SUMPRODUCT(('حجز الإجازات'!$B$5:$B$104='الموظفون'!$B$9)*('حجز الإجازات'!$D$5:$D$104&lt;=DY$3)*(('حجز الإجازات'!$E$5:$E$104)&gt;=DY$3)*('حجز الإجازات'!$G$5:$G$104="معتمد")*ROW('حجز الإجازات'!$B$5:$B$104)))-5+1))</f>
        <v/>
      </c>
      <c r="DZ11" s="62">
        <f>IF(SUMPRODUCT(('حجز الإجازات'!$B$5:$B$104='الموظفون'!$B$9)*('حجز الإجازات'!$D$5:$D$104&lt;=DZ$3)*(('حجز الإجازات'!$E$5:$E$104)&gt;=DZ$3)*('حجز الإجازات'!$G$5:$G$104="معتمد")*ROW('حجز الإجازات'!$B$5:$B$104))=0,"",INDEX('حجز الإجازات'!$C$5:$C$104,(SUMPRODUCT(('حجز الإجازات'!$B$5:$B$104='الموظفون'!$B$9)*('حجز الإجازات'!$D$5:$D$104&lt;=DZ$3)*(('حجز الإجازات'!$E$5:$E$104)&gt;=DZ$3)*('حجز الإجازات'!$G$5:$G$104="معتمد")*ROW('حجز الإجازات'!$B$5:$B$104)))-5+1))</f>
        <v/>
      </c>
      <c r="EA11" s="62">
        <f>IF(SUMPRODUCT(('حجز الإجازات'!$B$5:$B$104='الموظفون'!$B$9)*('حجز الإجازات'!$D$5:$D$104&lt;=EA$3)*(('حجز الإجازات'!$E$5:$E$104)&gt;=EA$3)*('حجز الإجازات'!$G$5:$G$104="معتمد")*ROW('حجز الإجازات'!$B$5:$B$104))=0,"",INDEX('حجز الإجازات'!$C$5:$C$104,(SUMPRODUCT(('حجز الإجازات'!$B$5:$B$104='الموظفون'!$B$9)*('حجز الإجازات'!$D$5:$D$104&lt;=EA$3)*(('حجز الإجازات'!$E$5:$E$104)&gt;=EA$3)*('حجز الإجازات'!$G$5:$G$104="معتمد")*ROW('حجز الإجازات'!$B$5:$B$104)))-5+1))</f>
        <v/>
      </c>
      <c r="EB11" s="62">
        <f>IF(SUMPRODUCT(('حجز الإجازات'!$B$5:$B$104='الموظفون'!$B$9)*('حجز الإجازات'!$D$5:$D$104&lt;=EB$3)*(('حجز الإجازات'!$E$5:$E$104)&gt;=EB$3)*('حجز الإجازات'!$G$5:$G$104="معتمد")*ROW('حجز الإجازات'!$B$5:$B$104))=0,"",INDEX('حجز الإجازات'!$C$5:$C$104,(SUMPRODUCT(('حجز الإجازات'!$B$5:$B$104='الموظفون'!$B$9)*('حجز الإجازات'!$D$5:$D$104&lt;=EB$3)*(('حجز الإجازات'!$E$5:$E$104)&gt;=EB$3)*('حجز الإجازات'!$G$5:$G$104="معتمد")*ROW('حجز الإجازات'!$B$5:$B$104)))-5+1))</f>
        <v/>
      </c>
      <c r="EC11" s="62">
        <f>IF(SUMPRODUCT(('حجز الإجازات'!$B$5:$B$104='الموظفون'!$B$9)*('حجز الإجازات'!$D$5:$D$104&lt;=EC$3)*(('حجز الإجازات'!$E$5:$E$104)&gt;=EC$3)*('حجز الإجازات'!$G$5:$G$104="معتمد")*ROW('حجز الإجازات'!$B$5:$B$104))=0,"",INDEX('حجز الإجازات'!$C$5:$C$104,(SUMPRODUCT(('حجز الإجازات'!$B$5:$B$104='الموظفون'!$B$9)*('حجز الإجازات'!$D$5:$D$104&lt;=EC$3)*(('حجز الإجازات'!$E$5:$E$104)&gt;=EC$3)*('حجز الإجازات'!$G$5:$G$104="معتمد")*ROW('حجز الإجازات'!$B$5:$B$104)))-5+1))</f>
        <v/>
      </c>
      <c r="ED11" s="62">
        <f>IF(SUMPRODUCT(('حجز الإجازات'!$B$5:$B$104='الموظفون'!$B$9)*('حجز الإجازات'!$D$5:$D$104&lt;=ED$3)*(('حجز الإجازات'!$E$5:$E$104)&gt;=ED$3)*('حجز الإجازات'!$G$5:$G$104="معتمد")*ROW('حجز الإجازات'!$B$5:$B$104))=0,"",INDEX('حجز الإجازات'!$C$5:$C$104,(SUMPRODUCT(('حجز الإجازات'!$B$5:$B$104='الموظفون'!$B$9)*('حجز الإجازات'!$D$5:$D$104&lt;=ED$3)*(('حجز الإجازات'!$E$5:$E$104)&gt;=ED$3)*('حجز الإجازات'!$G$5:$G$104="معتمد")*ROW('حجز الإجازات'!$B$5:$B$104)))-5+1))</f>
        <v/>
      </c>
      <c r="EE11" s="62">
        <f>IF(SUMPRODUCT(('حجز الإجازات'!$B$5:$B$104='الموظفون'!$B$9)*('حجز الإجازات'!$D$5:$D$104&lt;=EE$3)*(('حجز الإجازات'!$E$5:$E$104)&gt;=EE$3)*('حجز الإجازات'!$G$5:$G$104="معتمد")*ROW('حجز الإجازات'!$B$5:$B$104))=0,"",INDEX('حجز الإجازات'!$C$5:$C$104,(SUMPRODUCT(('حجز الإجازات'!$B$5:$B$104='الموظفون'!$B$9)*('حجز الإجازات'!$D$5:$D$104&lt;=EE$3)*(('حجز الإجازات'!$E$5:$E$104)&gt;=EE$3)*('حجز الإجازات'!$G$5:$G$104="معتمد")*ROW('حجز الإجازات'!$B$5:$B$104)))-5+1))</f>
        <v/>
      </c>
      <c r="EF11" s="62">
        <f>IF(SUMPRODUCT(('حجز الإجازات'!$B$5:$B$104='الموظفون'!$B$9)*('حجز الإجازات'!$D$5:$D$104&lt;=EF$3)*(('حجز الإجازات'!$E$5:$E$104)&gt;=EF$3)*('حجز الإجازات'!$G$5:$G$104="معتمد")*ROW('حجز الإجازات'!$B$5:$B$104))=0,"",INDEX('حجز الإجازات'!$C$5:$C$104,(SUMPRODUCT(('حجز الإجازات'!$B$5:$B$104='الموظفون'!$B$9)*('حجز الإجازات'!$D$5:$D$104&lt;=EF$3)*(('حجز الإجازات'!$E$5:$E$104)&gt;=EF$3)*('حجز الإجازات'!$G$5:$G$104="معتمد")*ROW('حجز الإجازات'!$B$5:$B$104)))-5+1))</f>
        <v/>
      </c>
      <c r="EG11" s="62">
        <f>IF(SUMPRODUCT(('حجز الإجازات'!$B$5:$B$104='الموظفون'!$B$9)*('حجز الإجازات'!$D$5:$D$104&lt;=EG$3)*(('حجز الإجازات'!$E$5:$E$104)&gt;=EG$3)*('حجز الإجازات'!$G$5:$G$104="معتمد")*ROW('حجز الإجازات'!$B$5:$B$104))=0,"",INDEX('حجز الإجازات'!$C$5:$C$104,(SUMPRODUCT(('حجز الإجازات'!$B$5:$B$104='الموظفون'!$B$9)*('حجز الإجازات'!$D$5:$D$104&lt;=EG$3)*(('حجز الإجازات'!$E$5:$E$104)&gt;=EG$3)*('حجز الإجازات'!$G$5:$G$104="معتمد")*ROW('حجز الإجازات'!$B$5:$B$104)))-5+1))</f>
        <v/>
      </c>
      <c r="EH11" s="62">
        <f>IF(SUMPRODUCT(('حجز الإجازات'!$B$5:$B$104='الموظفون'!$B$9)*('حجز الإجازات'!$D$5:$D$104&lt;=EH$3)*(('حجز الإجازات'!$E$5:$E$104)&gt;=EH$3)*('حجز الإجازات'!$G$5:$G$104="معتمد")*ROW('حجز الإجازات'!$B$5:$B$104))=0,"",INDEX('حجز الإجازات'!$C$5:$C$104,(SUMPRODUCT(('حجز الإجازات'!$B$5:$B$104='الموظفون'!$B$9)*('حجز الإجازات'!$D$5:$D$104&lt;=EH$3)*(('حجز الإجازات'!$E$5:$E$104)&gt;=EH$3)*('حجز الإجازات'!$G$5:$G$104="معتمد")*ROW('حجز الإجازات'!$B$5:$B$104)))-5+1))</f>
        <v/>
      </c>
      <c r="EI11" s="62">
        <f>IF(SUMPRODUCT(('حجز الإجازات'!$B$5:$B$104='الموظفون'!$B$9)*('حجز الإجازات'!$D$5:$D$104&lt;=EI$3)*(('حجز الإجازات'!$E$5:$E$104)&gt;=EI$3)*('حجز الإجازات'!$G$5:$G$104="معتمد")*ROW('حجز الإجازات'!$B$5:$B$104))=0,"",INDEX('حجز الإجازات'!$C$5:$C$104,(SUMPRODUCT(('حجز الإجازات'!$B$5:$B$104='الموظفون'!$B$9)*('حجز الإجازات'!$D$5:$D$104&lt;=EI$3)*(('حجز الإجازات'!$E$5:$E$104)&gt;=EI$3)*('حجز الإجازات'!$G$5:$G$104="معتمد")*ROW('حجز الإجازات'!$B$5:$B$104)))-5+1))</f>
        <v/>
      </c>
      <c r="EJ11" s="62">
        <f>IF(SUMPRODUCT(('حجز الإجازات'!$B$5:$B$104='الموظفون'!$B$9)*('حجز الإجازات'!$D$5:$D$104&lt;=EJ$3)*(('حجز الإجازات'!$E$5:$E$104)&gt;=EJ$3)*('حجز الإجازات'!$G$5:$G$104="معتمد")*ROW('حجز الإجازات'!$B$5:$B$104))=0,"",INDEX('حجز الإجازات'!$C$5:$C$104,(SUMPRODUCT(('حجز الإجازات'!$B$5:$B$104='الموظفون'!$B$9)*('حجز الإجازات'!$D$5:$D$104&lt;=EJ$3)*(('حجز الإجازات'!$E$5:$E$104)&gt;=EJ$3)*('حجز الإجازات'!$G$5:$G$104="معتمد")*ROW('حجز الإجازات'!$B$5:$B$104)))-5+1))</f>
        <v/>
      </c>
      <c r="EK11" s="62">
        <f>IF(SUMPRODUCT(('حجز الإجازات'!$B$5:$B$104='الموظفون'!$B$9)*('حجز الإجازات'!$D$5:$D$104&lt;=EK$3)*(('حجز الإجازات'!$E$5:$E$104)&gt;=EK$3)*('حجز الإجازات'!$G$5:$G$104="معتمد")*ROW('حجز الإجازات'!$B$5:$B$104))=0,"",INDEX('حجز الإجازات'!$C$5:$C$104,(SUMPRODUCT(('حجز الإجازات'!$B$5:$B$104='الموظفون'!$B$9)*('حجز الإجازات'!$D$5:$D$104&lt;=EK$3)*(('حجز الإجازات'!$E$5:$E$104)&gt;=EK$3)*('حجز الإجازات'!$G$5:$G$104="معتمد")*ROW('حجز الإجازات'!$B$5:$B$104)))-5+1))</f>
        <v/>
      </c>
      <c r="EL11" s="62">
        <f>IF(SUMPRODUCT(('حجز الإجازات'!$B$5:$B$104='الموظفون'!$B$9)*('حجز الإجازات'!$D$5:$D$104&lt;=EL$3)*(('حجز الإجازات'!$E$5:$E$104)&gt;=EL$3)*('حجز الإجازات'!$G$5:$G$104="معتمد")*ROW('حجز الإجازات'!$B$5:$B$104))=0,"",INDEX('حجز الإجازات'!$C$5:$C$104,(SUMPRODUCT(('حجز الإجازات'!$B$5:$B$104='الموظفون'!$B$9)*('حجز الإجازات'!$D$5:$D$104&lt;=EL$3)*(('حجز الإجازات'!$E$5:$E$104)&gt;=EL$3)*('حجز الإجازات'!$G$5:$G$104="معتمد")*ROW('حجز الإجازات'!$B$5:$B$104)))-5+1))</f>
        <v/>
      </c>
      <c r="EM11" s="62">
        <f>IF(SUMPRODUCT(('حجز الإجازات'!$B$5:$B$104='الموظفون'!$B$9)*('حجز الإجازات'!$D$5:$D$104&lt;=EM$3)*(('حجز الإجازات'!$E$5:$E$104)&gt;=EM$3)*('حجز الإجازات'!$G$5:$G$104="معتمد")*ROW('حجز الإجازات'!$B$5:$B$104))=0,"",INDEX('حجز الإجازات'!$C$5:$C$104,(SUMPRODUCT(('حجز الإجازات'!$B$5:$B$104='الموظفون'!$B$9)*('حجز الإجازات'!$D$5:$D$104&lt;=EM$3)*(('حجز الإجازات'!$E$5:$E$104)&gt;=EM$3)*('حجز الإجازات'!$G$5:$G$104="معتمد")*ROW('حجز الإجازات'!$B$5:$B$104)))-5+1))</f>
        <v/>
      </c>
      <c r="EN11" s="62">
        <f>IF(SUMPRODUCT(('حجز الإجازات'!$B$5:$B$104='الموظفون'!$B$9)*('حجز الإجازات'!$D$5:$D$104&lt;=EN$3)*(('حجز الإجازات'!$E$5:$E$104)&gt;=EN$3)*('حجز الإجازات'!$G$5:$G$104="معتمد")*ROW('حجز الإجازات'!$B$5:$B$104))=0,"",INDEX('حجز الإجازات'!$C$5:$C$104,(SUMPRODUCT(('حجز الإجازات'!$B$5:$B$104='الموظفون'!$B$9)*('حجز الإجازات'!$D$5:$D$104&lt;=EN$3)*(('حجز الإجازات'!$E$5:$E$104)&gt;=EN$3)*('حجز الإجازات'!$G$5:$G$104="معتمد")*ROW('حجز الإجازات'!$B$5:$B$104)))-5+1))</f>
        <v/>
      </c>
      <c r="EO11" s="62">
        <f>IF(SUMPRODUCT(('حجز الإجازات'!$B$5:$B$104='الموظفون'!$B$9)*('حجز الإجازات'!$D$5:$D$104&lt;=EO$3)*(('حجز الإجازات'!$E$5:$E$104)&gt;=EO$3)*('حجز الإجازات'!$G$5:$G$104="معتمد")*ROW('حجز الإجازات'!$B$5:$B$104))=0,"",INDEX('حجز الإجازات'!$C$5:$C$104,(SUMPRODUCT(('حجز الإجازات'!$B$5:$B$104='الموظفون'!$B$9)*('حجز الإجازات'!$D$5:$D$104&lt;=EO$3)*(('حجز الإجازات'!$E$5:$E$104)&gt;=EO$3)*('حجز الإجازات'!$G$5:$G$104="معتمد")*ROW('حجز الإجازات'!$B$5:$B$104)))-5+1))</f>
        <v/>
      </c>
      <c r="EP11" s="62">
        <f>IF(SUMPRODUCT(('حجز الإجازات'!$B$5:$B$104='الموظفون'!$B$9)*('حجز الإجازات'!$D$5:$D$104&lt;=EP$3)*(('حجز الإجازات'!$E$5:$E$104)&gt;=EP$3)*('حجز الإجازات'!$G$5:$G$104="معتمد")*ROW('حجز الإجازات'!$B$5:$B$104))=0,"",INDEX('حجز الإجازات'!$C$5:$C$104,(SUMPRODUCT(('حجز الإجازات'!$B$5:$B$104='الموظفون'!$B$9)*('حجز الإجازات'!$D$5:$D$104&lt;=EP$3)*(('حجز الإجازات'!$E$5:$E$104)&gt;=EP$3)*('حجز الإجازات'!$G$5:$G$104="معتمد")*ROW('حجز الإجازات'!$B$5:$B$104)))-5+1))</f>
        <v/>
      </c>
      <c r="EQ11" s="62">
        <f>IF(SUMPRODUCT(('حجز الإجازات'!$B$5:$B$104='الموظفون'!$B$9)*('حجز الإجازات'!$D$5:$D$104&lt;=EQ$3)*(('حجز الإجازات'!$E$5:$E$104)&gt;=EQ$3)*('حجز الإجازات'!$G$5:$G$104="معتمد")*ROW('حجز الإجازات'!$B$5:$B$104))=0,"",INDEX('حجز الإجازات'!$C$5:$C$104,(SUMPRODUCT(('حجز الإجازات'!$B$5:$B$104='الموظفون'!$B$9)*('حجز الإجازات'!$D$5:$D$104&lt;=EQ$3)*(('حجز الإجازات'!$E$5:$E$104)&gt;=EQ$3)*('حجز الإجازات'!$G$5:$G$104="معتمد")*ROW('حجز الإجازات'!$B$5:$B$104)))-5+1))</f>
        <v/>
      </c>
      <c r="ER11" s="62">
        <f>IF(SUMPRODUCT(('حجز الإجازات'!$B$5:$B$104='الموظفون'!$B$9)*('حجز الإجازات'!$D$5:$D$104&lt;=ER$3)*(('حجز الإجازات'!$E$5:$E$104)&gt;=ER$3)*('حجز الإجازات'!$G$5:$G$104="معتمد")*ROW('حجز الإجازات'!$B$5:$B$104))=0,"",INDEX('حجز الإجازات'!$C$5:$C$104,(SUMPRODUCT(('حجز الإجازات'!$B$5:$B$104='الموظفون'!$B$9)*('حجز الإجازات'!$D$5:$D$104&lt;=ER$3)*(('حجز الإجازات'!$E$5:$E$104)&gt;=ER$3)*('حجز الإجازات'!$G$5:$G$104="معتمد")*ROW('حجز الإجازات'!$B$5:$B$104)))-5+1))</f>
        <v/>
      </c>
      <c r="ES11" s="62">
        <f>IF(SUMPRODUCT(('حجز الإجازات'!$B$5:$B$104='الموظفون'!$B$9)*('حجز الإجازات'!$D$5:$D$104&lt;=ES$3)*(('حجز الإجازات'!$E$5:$E$104)&gt;=ES$3)*('حجز الإجازات'!$G$5:$G$104="معتمد")*ROW('حجز الإجازات'!$B$5:$B$104))=0,"",INDEX('حجز الإجازات'!$C$5:$C$104,(SUMPRODUCT(('حجز الإجازات'!$B$5:$B$104='الموظفون'!$B$9)*('حجز الإجازات'!$D$5:$D$104&lt;=ES$3)*(('حجز الإجازات'!$E$5:$E$104)&gt;=ES$3)*('حجز الإجازات'!$G$5:$G$104="معتمد")*ROW('حجز الإجازات'!$B$5:$B$104)))-5+1))</f>
        <v/>
      </c>
      <c r="ET11" s="62">
        <f>IF(SUMPRODUCT(('حجز الإجازات'!$B$5:$B$104='الموظفون'!$B$9)*('حجز الإجازات'!$D$5:$D$104&lt;=ET$3)*(('حجز الإجازات'!$E$5:$E$104)&gt;=ET$3)*('حجز الإجازات'!$G$5:$G$104="معتمد")*ROW('حجز الإجازات'!$B$5:$B$104))=0,"",INDEX('حجز الإجازات'!$C$5:$C$104,(SUMPRODUCT(('حجز الإجازات'!$B$5:$B$104='الموظفون'!$B$9)*('حجز الإجازات'!$D$5:$D$104&lt;=ET$3)*(('حجز الإجازات'!$E$5:$E$104)&gt;=ET$3)*('حجز الإجازات'!$G$5:$G$104="معتمد")*ROW('حجز الإجازات'!$B$5:$B$104)))-5+1))</f>
        <v/>
      </c>
      <c r="EU11" s="62">
        <f>IF(SUMPRODUCT(('حجز الإجازات'!$B$5:$B$104='الموظفون'!$B$9)*('حجز الإجازات'!$D$5:$D$104&lt;=EU$3)*(('حجز الإجازات'!$E$5:$E$104)&gt;=EU$3)*('حجز الإجازات'!$G$5:$G$104="معتمد")*ROW('حجز الإجازات'!$B$5:$B$104))=0,"",INDEX('حجز الإجازات'!$C$5:$C$104,(SUMPRODUCT(('حجز الإجازات'!$B$5:$B$104='الموظفون'!$B$9)*('حجز الإجازات'!$D$5:$D$104&lt;=EU$3)*(('حجز الإجازات'!$E$5:$E$104)&gt;=EU$3)*('حجز الإجازات'!$G$5:$G$104="معتمد")*ROW('حجز الإجازات'!$B$5:$B$104)))-5+1))</f>
        <v/>
      </c>
      <c r="EV11" s="62">
        <f>IF(SUMPRODUCT(('حجز الإجازات'!$B$5:$B$104='الموظفون'!$B$9)*('حجز الإجازات'!$D$5:$D$104&lt;=EV$3)*(('حجز الإجازات'!$E$5:$E$104)&gt;=EV$3)*('حجز الإجازات'!$G$5:$G$104="معتمد")*ROW('حجز الإجازات'!$B$5:$B$104))=0,"",INDEX('حجز الإجازات'!$C$5:$C$104,(SUMPRODUCT(('حجز الإجازات'!$B$5:$B$104='الموظفون'!$B$9)*('حجز الإجازات'!$D$5:$D$104&lt;=EV$3)*(('حجز الإجازات'!$E$5:$E$104)&gt;=EV$3)*('حجز الإجازات'!$G$5:$G$104="معتمد")*ROW('حجز الإجازات'!$B$5:$B$104)))-5+1))</f>
        <v/>
      </c>
      <c r="EW11" s="62">
        <f>IF(SUMPRODUCT(('حجز الإجازات'!$B$5:$B$104='الموظفون'!$B$9)*('حجز الإجازات'!$D$5:$D$104&lt;=EW$3)*(('حجز الإجازات'!$E$5:$E$104)&gt;=EW$3)*('حجز الإجازات'!$G$5:$G$104="معتمد")*ROW('حجز الإجازات'!$B$5:$B$104))=0,"",INDEX('حجز الإجازات'!$C$5:$C$104,(SUMPRODUCT(('حجز الإجازات'!$B$5:$B$104='الموظفون'!$B$9)*('حجز الإجازات'!$D$5:$D$104&lt;=EW$3)*(('حجز الإجازات'!$E$5:$E$104)&gt;=EW$3)*('حجز الإجازات'!$G$5:$G$104="معتمد")*ROW('حجز الإجازات'!$B$5:$B$104)))-5+1))</f>
        <v/>
      </c>
      <c r="EX11" s="62">
        <f>IF(SUMPRODUCT(('حجز الإجازات'!$B$5:$B$104='الموظفون'!$B$9)*('حجز الإجازات'!$D$5:$D$104&lt;=EX$3)*(('حجز الإجازات'!$E$5:$E$104)&gt;=EX$3)*('حجز الإجازات'!$G$5:$G$104="معتمد")*ROW('حجز الإجازات'!$B$5:$B$104))=0,"",INDEX('حجز الإجازات'!$C$5:$C$104,(SUMPRODUCT(('حجز الإجازات'!$B$5:$B$104='الموظفون'!$B$9)*('حجز الإجازات'!$D$5:$D$104&lt;=EX$3)*(('حجز الإجازات'!$E$5:$E$104)&gt;=EX$3)*('حجز الإجازات'!$G$5:$G$104="معتمد")*ROW('حجز الإجازات'!$B$5:$B$104)))-5+1))</f>
        <v/>
      </c>
      <c r="EY11" s="62">
        <f>IF(SUMPRODUCT(('حجز الإجازات'!$B$5:$B$104='الموظفون'!$B$9)*('حجز الإجازات'!$D$5:$D$104&lt;=EY$3)*(('حجز الإجازات'!$E$5:$E$104)&gt;=EY$3)*('حجز الإجازات'!$G$5:$G$104="معتمد")*ROW('حجز الإجازات'!$B$5:$B$104))=0,"",INDEX('حجز الإجازات'!$C$5:$C$104,(SUMPRODUCT(('حجز الإجازات'!$B$5:$B$104='الموظفون'!$B$9)*('حجز الإجازات'!$D$5:$D$104&lt;=EY$3)*(('حجز الإجازات'!$E$5:$E$104)&gt;=EY$3)*('حجز الإجازات'!$G$5:$G$104="معتمد")*ROW('حجز الإجازات'!$B$5:$B$104)))-5+1))</f>
        <v/>
      </c>
      <c r="EZ11" s="62">
        <f>IF(SUMPRODUCT(('حجز الإجازات'!$B$5:$B$104='الموظفون'!$B$9)*('حجز الإجازات'!$D$5:$D$104&lt;=EZ$3)*(('حجز الإجازات'!$E$5:$E$104)&gt;=EZ$3)*('حجز الإجازات'!$G$5:$G$104="معتمد")*ROW('حجز الإجازات'!$B$5:$B$104))=0,"",INDEX('حجز الإجازات'!$C$5:$C$104,(SUMPRODUCT(('حجز الإجازات'!$B$5:$B$104='الموظفون'!$B$9)*('حجز الإجازات'!$D$5:$D$104&lt;=EZ$3)*(('حجز الإجازات'!$E$5:$E$104)&gt;=EZ$3)*('حجز الإجازات'!$G$5:$G$104="معتمد")*ROW('حجز الإجازات'!$B$5:$B$104)))-5+1))</f>
        <v/>
      </c>
      <c r="FA11" s="62">
        <f>IF(SUMPRODUCT(('حجز الإجازات'!$B$5:$B$104='الموظفون'!$B$9)*('حجز الإجازات'!$D$5:$D$104&lt;=FA$3)*(('حجز الإجازات'!$E$5:$E$104)&gt;=FA$3)*('حجز الإجازات'!$G$5:$G$104="معتمد")*ROW('حجز الإجازات'!$B$5:$B$104))=0,"",INDEX('حجز الإجازات'!$C$5:$C$104,(SUMPRODUCT(('حجز الإجازات'!$B$5:$B$104='الموظفون'!$B$9)*('حجز الإجازات'!$D$5:$D$104&lt;=FA$3)*(('حجز الإجازات'!$E$5:$E$104)&gt;=FA$3)*('حجز الإجازات'!$G$5:$G$104="معتمد")*ROW('حجز الإجازات'!$B$5:$B$104)))-5+1))</f>
        <v/>
      </c>
      <c r="FB11" s="62">
        <f>IF(SUMPRODUCT(('حجز الإجازات'!$B$5:$B$104='الموظفون'!$B$9)*('حجز الإجازات'!$D$5:$D$104&lt;=FB$3)*(('حجز الإجازات'!$E$5:$E$104)&gt;=FB$3)*('حجز الإجازات'!$G$5:$G$104="معتمد")*ROW('حجز الإجازات'!$B$5:$B$104))=0,"",INDEX('حجز الإجازات'!$C$5:$C$104,(SUMPRODUCT(('حجز الإجازات'!$B$5:$B$104='الموظفون'!$B$9)*('حجز الإجازات'!$D$5:$D$104&lt;=FB$3)*(('حجز الإجازات'!$E$5:$E$104)&gt;=FB$3)*('حجز الإجازات'!$G$5:$G$104="معتمد")*ROW('حجز الإجازات'!$B$5:$B$104)))-5+1))</f>
        <v/>
      </c>
      <c r="FC11" s="62">
        <f>IF(SUMPRODUCT(('حجز الإجازات'!$B$5:$B$104='الموظفون'!$B$9)*('حجز الإجازات'!$D$5:$D$104&lt;=FC$3)*(('حجز الإجازات'!$E$5:$E$104)&gt;=FC$3)*('حجز الإجازات'!$G$5:$G$104="معتمد")*ROW('حجز الإجازات'!$B$5:$B$104))=0,"",INDEX('حجز الإجازات'!$C$5:$C$104,(SUMPRODUCT(('حجز الإجازات'!$B$5:$B$104='الموظفون'!$B$9)*('حجز الإجازات'!$D$5:$D$104&lt;=FC$3)*(('حجز الإجازات'!$E$5:$E$104)&gt;=FC$3)*('حجز الإجازات'!$G$5:$G$104="معتمد")*ROW('حجز الإجازات'!$B$5:$B$104)))-5+1))</f>
        <v/>
      </c>
      <c r="FD11" s="62">
        <f>IF(SUMPRODUCT(('حجز الإجازات'!$B$5:$B$104='الموظفون'!$B$9)*('حجز الإجازات'!$D$5:$D$104&lt;=FD$3)*(('حجز الإجازات'!$E$5:$E$104)&gt;=FD$3)*('حجز الإجازات'!$G$5:$G$104="معتمد")*ROW('حجز الإجازات'!$B$5:$B$104))=0,"",INDEX('حجز الإجازات'!$C$5:$C$104,(SUMPRODUCT(('حجز الإجازات'!$B$5:$B$104='الموظفون'!$B$9)*('حجز الإجازات'!$D$5:$D$104&lt;=FD$3)*(('حجز الإجازات'!$E$5:$E$104)&gt;=FD$3)*('حجز الإجازات'!$G$5:$G$104="معتمد")*ROW('حجز الإجازات'!$B$5:$B$104)))-5+1))</f>
        <v/>
      </c>
      <c r="FE11" s="62">
        <f>IF(SUMPRODUCT(('حجز الإجازات'!$B$5:$B$104='الموظفون'!$B$9)*('حجز الإجازات'!$D$5:$D$104&lt;=FE$3)*(('حجز الإجازات'!$E$5:$E$104)&gt;=FE$3)*('حجز الإجازات'!$G$5:$G$104="معتمد")*ROW('حجز الإجازات'!$B$5:$B$104))=0,"",INDEX('حجز الإجازات'!$C$5:$C$104,(SUMPRODUCT(('حجز الإجازات'!$B$5:$B$104='الموظفون'!$B$9)*('حجز الإجازات'!$D$5:$D$104&lt;=FE$3)*(('حجز الإجازات'!$E$5:$E$104)&gt;=FE$3)*('حجز الإجازات'!$G$5:$G$104="معتمد")*ROW('حجز الإجازات'!$B$5:$B$104)))-5+1))</f>
        <v/>
      </c>
      <c r="FF11" s="62">
        <f>IF(SUMPRODUCT(('حجز الإجازات'!$B$5:$B$104='الموظفون'!$B$9)*('حجز الإجازات'!$D$5:$D$104&lt;=FF$3)*(('حجز الإجازات'!$E$5:$E$104)&gt;=FF$3)*('حجز الإجازات'!$G$5:$G$104="معتمد")*ROW('حجز الإجازات'!$B$5:$B$104))=0,"",INDEX('حجز الإجازات'!$C$5:$C$104,(SUMPRODUCT(('حجز الإجازات'!$B$5:$B$104='الموظفون'!$B$9)*('حجز الإجازات'!$D$5:$D$104&lt;=FF$3)*(('حجز الإجازات'!$E$5:$E$104)&gt;=FF$3)*('حجز الإجازات'!$G$5:$G$104="معتمد")*ROW('حجز الإجازات'!$B$5:$B$104)))-5+1))</f>
        <v/>
      </c>
      <c r="FG11" s="62">
        <f>IF(SUMPRODUCT(('حجز الإجازات'!$B$5:$B$104='الموظفون'!$B$9)*('حجز الإجازات'!$D$5:$D$104&lt;=FG$3)*(('حجز الإجازات'!$E$5:$E$104)&gt;=FG$3)*('حجز الإجازات'!$G$5:$G$104="معتمد")*ROW('حجز الإجازات'!$B$5:$B$104))=0,"",INDEX('حجز الإجازات'!$C$5:$C$104,(SUMPRODUCT(('حجز الإجازات'!$B$5:$B$104='الموظفون'!$B$9)*('حجز الإجازات'!$D$5:$D$104&lt;=FG$3)*(('حجز الإجازات'!$E$5:$E$104)&gt;=FG$3)*('حجز الإجازات'!$G$5:$G$104="معتمد")*ROW('حجز الإجازات'!$B$5:$B$104)))-5+1))</f>
        <v/>
      </c>
      <c r="FH11" s="62">
        <f>IF(SUMPRODUCT(('حجز الإجازات'!$B$5:$B$104='الموظفون'!$B$9)*('حجز الإجازات'!$D$5:$D$104&lt;=FH$3)*(('حجز الإجازات'!$E$5:$E$104)&gt;=FH$3)*('حجز الإجازات'!$G$5:$G$104="معتمد")*ROW('حجز الإجازات'!$B$5:$B$104))=0,"",INDEX('حجز الإجازات'!$C$5:$C$104,(SUMPRODUCT(('حجز الإجازات'!$B$5:$B$104='الموظفون'!$B$9)*('حجز الإجازات'!$D$5:$D$104&lt;=FH$3)*(('حجز الإجازات'!$E$5:$E$104)&gt;=FH$3)*('حجز الإجازات'!$G$5:$G$104="معتمد")*ROW('حجز الإجازات'!$B$5:$B$104)))-5+1))</f>
        <v/>
      </c>
      <c r="FI11" s="62">
        <f>IF(SUMPRODUCT(('حجز الإجازات'!$B$5:$B$104='الموظفون'!$B$9)*('حجز الإجازات'!$D$5:$D$104&lt;=FI$3)*(('حجز الإجازات'!$E$5:$E$104)&gt;=FI$3)*('حجز الإجازات'!$G$5:$G$104="معتمد")*ROW('حجز الإجازات'!$B$5:$B$104))=0,"",INDEX('حجز الإجازات'!$C$5:$C$104,(SUMPRODUCT(('حجز الإجازات'!$B$5:$B$104='الموظفون'!$B$9)*('حجز الإجازات'!$D$5:$D$104&lt;=FI$3)*(('حجز الإجازات'!$E$5:$E$104)&gt;=FI$3)*('حجز الإجازات'!$G$5:$G$104="معتمد")*ROW('حجز الإجازات'!$B$5:$B$104)))-5+1))</f>
        <v/>
      </c>
      <c r="FJ11" s="62">
        <f>IF(SUMPRODUCT(('حجز الإجازات'!$B$5:$B$104='الموظفون'!$B$9)*('حجز الإجازات'!$D$5:$D$104&lt;=FJ$3)*(('حجز الإجازات'!$E$5:$E$104)&gt;=FJ$3)*('حجز الإجازات'!$G$5:$G$104="معتمد")*ROW('حجز الإجازات'!$B$5:$B$104))=0,"",INDEX('حجز الإجازات'!$C$5:$C$104,(SUMPRODUCT(('حجز الإجازات'!$B$5:$B$104='الموظفون'!$B$9)*('حجز الإجازات'!$D$5:$D$104&lt;=FJ$3)*(('حجز الإجازات'!$E$5:$E$104)&gt;=FJ$3)*('حجز الإجازات'!$G$5:$G$104="معتمد")*ROW('حجز الإجازات'!$B$5:$B$104)))-5+1))</f>
        <v/>
      </c>
      <c r="FK11" s="62">
        <f>IF(SUMPRODUCT(('حجز الإجازات'!$B$5:$B$104='الموظفون'!$B$9)*('حجز الإجازات'!$D$5:$D$104&lt;=FK$3)*(('حجز الإجازات'!$E$5:$E$104)&gt;=FK$3)*('حجز الإجازات'!$G$5:$G$104="معتمد")*ROW('حجز الإجازات'!$B$5:$B$104))=0,"",INDEX('حجز الإجازات'!$C$5:$C$104,(SUMPRODUCT(('حجز الإجازات'!$B$5:$B$104='الموظفون'!$B$9)*('حجز الإجازات'!$D$5:$D$104&lt;=FK$3)*(('حجز الإجازات'!$E$5:$E$104)&gt;=FK$3)*('حجز الإجازات'!$G$5:$G$104="معتمد")*ROW('حجز الإجازات'!$B$5:$B$104)))-5+1))</f>
        <v/>
      </c>
      <c r="FL11" s="62">
        <f>IF(SUMPRODUCT(('حجز الإجازات'!$B$5:$B$104='الموظفون'!$B$9)*('حجز الإجازات'!$D$5:$D$104&lt;=FL$3)*(('حجز الإجازات'!$E$5:$E$104)&gt;=FL$3)*('حجز الإجازات'!$G$5:$G$104="معتمد")*ROW('حجز الإجازات'!$B$5:$B$104))=0,"",INDEX('حجز الإجازات'!$C$5:$C$104,(SUMPRODUCT(('حجز الإجازات'!$B$5:$B$104='الموظفون'!$B$9)*('حجز الإجازات'!$D$5:$D$104&lt;=FL$3)*(('حجز الإجازات'!$E$5:$E$104)&gt;=FL$3)*('حجز الإجازات'!$G$5:$G$104="معتمد")*ROW('حجز الإجازات'!$B$5:$B$104)))-5+1))</f>
        <v/>
      </c>
      <c r="FM11" s="62">
        <f>IF(SUMPRODUCT(('حجز الإجازات'!$B$5:$B$104='الموظفون'!$B$9)*('حجز الإجازات'!$D$5:$D$104&lt;=FM$3)*(('حجز الإجازات'!$E$5:$E$104)&gt;=FM$3)*('حجز الإجازات'!$G$5:$G$104="معتمد")*ROW('حجز الإجازات'!$B$5:$B$104))=0,"",INDEX('حجز الإجازات'!$C$5:$C$104,(SUMPRODUCT(('حجز الإجازات'!$B$5:$B$104='الموظفون'!$B$9)*('حجز الإجازات'!$D$5:$D$104&lt;=FM$3)*(('حجز الإجازات'!$E$5:$E$104)&gt;=FM$3)*('حجز الإجازات'!$G$5:$G$104="معتمد")*ROW('حجز الإجازات'!$B$5:$B$104)))-5+1))</f>
        <v/>
      </c>
      <c r="FN11" s="62">
        <f>IF(SUMPRODUCT(('حجز الإجازات'!$B$5:$B$104='الموظفون'!$B$9)*('حجز الإجازات'!$D$5:$D$104&lt;=FN$3)*(('حجز الإجازات'!$E$5:$E$104)&gt;=FN$3)*('حجز الإجازات'!$G$5:$G$104="معتمد")*ROW('حجز الإجازات'!$B$5:$B$104))=0,"",INDEX('حجز الإجازات'!$C$5:$C$104,(SUMPRODUCT(('حجز الإجازات'!$B$5:$B$104='الموظفون'!$B$9)*('حجز الإجازات'!$D$5:$D$104&lt;=FN$3)*(('حجز الإجازات'!$E$5:$E$104)&gt;=FN$3)*('حجز الإجازات'!$G$5:$G$104="معتمد")*ROW('حجز الإجازات'!$B$5:$B$104)))-5+1))</f>
        <v/>
      </c>
      <c r="FO11" s="62">
        <f>IF(SUMPRODUCT(('حجز الإجازات'!$B$5:$B$104='الموظفون'!$B$9)*('حجز الإجازات'!$D$5:$D$104&lt;=FO$3)*(('حجز الإجازات'!$E$5:$E$104)&gt;=FO$3)*('حجز الإجازات'!$G$5:$G$104="معتمد")*ROW('حجز الإجازات'!$B$5:$B$104))=0,"",INDEX('حجز الإجازات'!$C$5:$C$104,(SUMPRODUCT(('حجز الإجازات'!$B$5:$B$104='الموظفون'!$B$9)*('حجز الإجازات'!$D$5:$D$104&lt;=FO$3)*(('حجز الإجازات'!$E$5:$E$104)&gt;=FO$3)*('حجز الإجازات'!$G$5:$G$104="معتمد")*ROW('حجز الإجازات'!$B$5:$B$104)))-5+1))</f>
        <v/>
      </c>
      <c r="FP11" s="62">
        <f>IF(SUMPRODUCT(('حجز الإجازات'!$B$5:$B$104='الموظفون'!$B$9)*('حجز الإجازات'!$D$5:$D$104&lt;=FP$3)*(('حجز الإجازات'!$E$5:$E$104)&gt;=FP$3)*('حجز الإجازات'!$G$5:$G$104="معتمد")*ROW('حجز الإجازات'!$B$5:$B$104))=0,"",INDEX('حجز الإجازات'!$C$5:$C$104,(SUMPRODUCT(('حجز الإجازات'!$B$5:$B$104='الموظفون'!$B$9)*('حجز الإجازات'!$D$5:$D$104&lt;=FP$3)*(('حجز الإجازات'!$E$5:$E$104)&gt;=FP$3)*('حجز الإجازات'!$G$5:$G$104="معتمد")*ROW('حجز الإجازات'!$B$5:$B$104)))-5+1))</f>
        <v/>
      </c>
      <c r="FQ11" s="62">
        <f>IF(SUMPRODUCT(('حجز الإجازات'!$B$5:$B$104='الموظفون'!$B$9)*('حجز الإجازات'!$D$5:$D$104&lt;=FQ$3)*(('حجز الإجازات'!$E$5:$E$104)&gt;=FQ$3)*('حجز الإجازات'!$G$5:$G$104="معتمد")*ROW('حجز الإجازات'!$B$5:$B$104))=0,"",INDEX('حجز الإجازات'!$C$5:$C$104,(SUMPRODUCT(('حجز الإجازات'!$B$5:$B$104='الموظفون'!$B$9)*('حجز الإجازات'!$D$5:$D$104&lt;=FQ$3)*(('حجز الإجازات'!$E$5:$E$104)&gt;=FQ$3)*('حجز الإجازات'!$G$5:$G$104="معتمد")*ROW('حجز الإجازات'!$B$5:$B$104)))-5+1))</f>
        <v/>
      </c>
      <c r="FR11" s="62">
        <f>IF(SUMPRODUCT(('حجز الإجازات'!$B$5:$B$104='الموظفون'!$B$9)*('حجز الإجازات'!$D$5:$D$104&lt;=FR$3)*(('حجز الإجازات'!$E$5:$E$104)&gt;=FR$3)*('حجز الإجازات'!$G$5:$G$104="معتمد")*ROW('حجز الإجازات'!$B$5:$B$104))=0,"",INDEX('حجز الإجازات'!$C$5:$C$104,(SUMPRODUCT(('حجز الإجازات'!$B$5:$B$104='الموظفون'!$B$9)*('حجز الإجازات'!$D$5:$D$104&lt;=FR$3)*(('حجز الإجازات'!$E$5:$E$104)&gt;=FR$3)*('حجز الإجازات'!$G$5:$G$104="معتمد")*ROW('حجز الإجازات'!$B$5:$B$104)))-5+1))</f>
        <v/>
      </c>
      <c r="FS11" s="62">
        <f>IF(SUMPRODUCT(('حجز الإجازات'!$B$5:$B$104='الموظفون'!$B$9)*('حجز الإجازات'!$D$5:$D$104&lt;=FS$3)*(('حجز الإجازات'!$E$5:$E$104)&gt;=FS$3)*('حجز الإجازات'!$G$5:$G$104="معتمد")*ROW('حجز الإجازات'!$B$5:$B$104))=0,"",INDEX('حجز الإجازات'!$C$5:$C$104,(SUMPRODUCT(('حجز الإجازات'!$B$5:$B$104='الموظفون'!$B$9)*('حجز الإجازات'!$D$5:$D$104&lt;=FS$3)*(('حجز الإجازات'!$E$5:$E$104)&gt;=FS$3)*('حجز الإجازات'!$G$5:$G$104="معتمد")*ROW('حجز الإجازات'!$B$5:$B$104)))-5+1))</f>
        <v/>
      </c>
      <c r="FT11" s="62">
        <f>IF(SUMPRODUCT(('حجز الإجازات'!$B$5:$B$104='الموظفون'!$B$9)*('حجز الإجازات'!$D$5:$D$104&lt;=FT$3)*(('حجز الإجازات'!$E$5:$E$104)&gt;=FT$3)*('حجز الإجازات'!$G$5:$G$104="معتمد")*ROW('حجز الإجازات'!$B$5:$B$104))=0,"",INDEX('حجز الإجازات'!$C$5:$C$104,(SUMPRODUCT(('حجز الإجازات'!$B$5:$B$104='الموظفون'!$B$9)*('حجز الإجازات'!$D$5:$D$104&lt;=FT$3)*(('حجز الإجازات'!$E$5:$E$104)&gt;=FT$3)*('حجز الإجازات'!$G$5:$G$104="معتمد")*ROW('حجز الإجازات'!$B$5:$B$104)))-5+1))</f>
        <v/>
      </c>
      <c r="FU11" s="62">
        <f>IF(SUMPRODUCT(('حجز الإجازات'!$B$5:$B$104='الموظفون'!$B$9)*('حجز الإجازات'!$D$5:$D$104&lt;=FU$3)*(('حجز الإجازات'!$E$5:$E$104)&gt;=FU$3)*('حجز الإجازات'!$G$5:$G$104="معتمد")*ROW('حجز الإجازات'!$B$5:$B$104))=0,"",INDEX('حجز الإجازات'!$C$5:$C$104,(SUMPRODUCT(('حجز الإجازات'!$B$5:$B$104='الموظفون'!$B$9)*('حجز الإجازات'!$D$5:$D$104&lt;=FU$3)*(('حجز الإجازات'!$E$5:$E$104)&gt;=FU$3)*('حجز الإجازات'!$G$5:$G$104="معتمد")*ROW('حجز الإجازات'!$B$5:$B$104)))-5+1))</f>
        <v/>
      </c>
      <c r="FV11" s="62">
        <f>IF(SUMPRODUCT(('حجز الإجازات'!$B$5:$B$104='الموظفون'!$B$9)*('حجز الإجازات'!$D$5:$D$104&lt;=FV$3)*(('حجز الإجازات'!$E$5:$E$104)&gt;=FV$3)*('حجز الإجازات'!$G$5:$G$104="معتمد")*ROW('حجز الإجازات'!$B$5:$B$104))=0,"",INDEX('حجز الإجازات'!$C$5:$C$104,(SUMPRODUCT(('حجز الإجازات'!$B$5:$B$104='الموظفون'!$B$9)*('حجز الإجازات'!$D$5:$D$104&lt;=FV$3)*(('حجز الإجازات'!$E$5:$E$104)&gt;=FV$3)*('حجز الإجازات'!$G$5:$G$104="معتمد")*ROW('حجز الإجازات'!$B$5:$B$104)))-5+1))</f>
        <v/>
      </c>
      <c r="FW11" s="62">
        <f>IF(SUMPRODUCT(('حجز الإجازات'!$B$5:$B$104='الموظفون'!$B$9)*('حجز الإجازات'!$D$5:$D$104&lt;=FW$3)*(('حجز الإجازات'!$E$5:$E$104)&gt;=FW$3)*('حجز الإجازات'!$G$5:$G$104="معتمد")*ROW('حجز الإجازات'!$B$5:$B$104))=0,"",INDEX('حجز الإجازات'!$C$5:$C$104,(SUMPRODUCT(('حجز الإجازات'!$B$5:$B$104='الموظفون'!$B$9)*('حجز الإجازات'!$D$5:$D$104&lt;=FW$3)*(('حجز الإجازات'!$E$5:$E$104)&gt;=FW$3)*('حجز الإجازات'!$G$5:$G$104="معتمد")*ROW('حجز الإجازات'!$B$5:$B$104)))-5+1))</f>
        <v/>
      </c>
      <c r="FX11" s="62">
        <f>IF(SUMPRODUCT(('حجز الإجازات'!$B$5:$B$104='الموظفون'!$B$9)*('حجز الإجازات'!$D$5:$D$104&lt;=FX$3)*(('حجز الإجازات'!$E$5:$E$104)&gt;=FX$3)*('حجز الإجازات'!$G$5:$G$104="معتمد")*ROW('حجز الإجازات'!$B$5:$B$104))=0,"",INDEX('حجز الإجازات'!$C$5:$C$104,(SUMPRODUCT(('حجز الإجازات'!$B$5:$B$104='الموظفون'!$B$9)*('حجز الإجازات'!$D$5:$D$104&lt;=FX$3)*(('حجز الإجازات'!$E$5:$E$104)&gt;=FX$3)*('حجز الإجازات'!$G$5:$G$104="معتمد")*ROW('حجز الإجازات'!$B$5:$B$104)))-5+1))</f>
        <v/>
      </c>
      <c r="FY11" s="62">
        <f>IF(SUMPRODUCT(('حجز الإجازات'!$B$5:$B$104='الموظفون'!$B$9)*('حجز الإجازات'!$D$5:$D$104&lt;=FY$3)*(('حجز الإجازات'!$E$5:$E$104)&gt;=FY$3)*('حجز الإجازات'!$G$5:$G$104="معتمد")*ROW('حجز الإجازات'!$B$5:$B$104))=0,"",INDEX('حجز الإجازات'!$C$5:$C$104,(SUMPRODUCT(('حجز الإجازات'!$B$5:$B$104='الموظفون'!$B$9)*('حجز الإجازات'!$D$5:$D$104&lt;=FY$3)*(('حجز الإجازات'!$E$5:$E$104)&gt;=FY$3)*('حجز الإجازات'!$G$5:$G$104="معتمد")*ROW('حجز الإجازات'!$B$5:$B$104)))-5+1))</f>
        <v/>
      </c>
      <c r="FZ11" s="62">
        <f>IF(SUMPRODUCT(('حجز الإجازات'!$B$5:$B$104='الموظفون'!$B$9)*('حجز الإجازات'!$D$5:$D$104&lt;=FZ$3)*(('حجز الإجازات'!$E$5:$E$104)&gt;=FZ$3)*('حجز الإجازات'!$G$5:$G$104="معتمد")*ROW('حجز الإجازات'!$B$5:$B$104))=0,"",INDEX('حجز الإجازات'!$C$5:$C$104,(SUMPRODUCT(('حجز الإجازات'!$B$5:$B$104='الموظفون'!$B$9)*('حجز الإجازات'!$D$5:$D$104&lt;=FZ$3)*(('حجز الإجازات'!$E$5:$E$104)&gt;=FZ$3)*('حجز الإجازات'!$G$5:$G$104="معتمد")*ROW('حجز الإجازات'!$B$5:$B$104)))-5+1))</f>
        <v/>
      </c>
      <c r="GA11" s="62">
        <f>IF(SUMPRODUCT(('حجز الإجازات'!$B$5:$B$104='الموظفون'!$B$9)*('حجز الإجازات'!$D$5:$D$104&lt;=GA$3)*(('حجز الإجازات'!$E$5:$E$104)&gt;=GA$3)*('حجز الإجازات'!$G$5:$G$104="معتمد")*ROW('حجز الإجازات'!$B$5:$B$104))=0,"",INDEX('حجز الإجازات'!$C$5:$C$104,(SUMPRODUCT(('حجز الإجازات'!$B$5:$B$104='الموظفون'!$B$9)*('حجز الإجازات'!$D$5:$D$104&lt;=GA$3)*(('حجز الإجازات'!$E$5:$E$104)&gt;=GA$3)*('حجز الإجازات'!$G$5:$G$104="معتمد")*ROW('حجز الإجازات'!$B$5:$B$104)))-5+1))</f>
        <v/>
      </c>
      <c r="GB11" s="62">
        <f>IF(SUMPRODUCT(('حجز الإجازات'!$B$5:$B$104='الموظفون'!$B$9)*('حجز الإجازات'!$D$5:$D$104&lt;=GB$3)*(('حجز الإجازات'!$E$5:$E$104)&gt;=GB$3)*('حجز الإجازات'!$G$5:$G$104="معتمد")*ROW('حجز الإجازات'!$B$5:$B$104))=0,"",INDEX('حجز الإجازات'!$C$5:$C$104,(SUMPRODUCT(('حجز الإجازات'!$B$5:$B$104='الموظفون'!$B$9)*('حجز الإجازات'!$D$5:$D$104&lt;=GB$3)*(('حجز الإجازات'!$E$5:$E$104)&gt;=GB$3)*('حجز الإجازات'!$G$5:$G$104="معتمد")*ROW('حجز الإجازات'!$B$5:$B$104)))-5+1))</f>
        <v/>
      </c>
      <c r="GC11" s="62">
        <f>IF(SUMPRODUCT(('حجز الإجازات'!$B$5:$B$104='الموظفون'!$B$9)*('حجز الإجازات'!$D$5:$D$104&lt;=GC$3)*(('حجز الإجازات'!$E$5:$E$104)&gt;=GC$3)*('حجز الإجازات'!$G$5:$G$104="معتمد")*ROW('حجز الإجازات'!$B$5:$B$104))=0,"",INDEX('حجز الإجازات'!$C$5:$C$104,(SUMPRODUCT(('حجز الإجازات'!$B$5:$B$104='الموظفون'!$B$9)*('حجز الإجازات'!$D$5:$D$104&lt;=GC$3)*(('حجز الإجازات'!$E$5:$E$104)&gt;=GC$3)*('حجز الإجازات'!$G$5:$G$104="معتمد")*ROW('حجز الإجازات'!$B$5:$B$104)))-5+1))</f>
        <v/>
      </c>
      <c r="GD11" s="62">
        <f>IF(SUMPRODUCT(('حجز الإجازات'!$B$5:$B$104='الموظفون'!$B$9)*('حجز الإجازات'!$D$5:$D$104&lt;=GD$3)*(('حجز الإجازات'!$E$5:$E$104)&gt;=GD$3)*('حجز الإجازات'!$G$5:$G$104="معتمد")*ROW('حجز الإجازات'!$B$5:$B$104))=0,"",INDEX('حجز الإجازات'!$C$5:$C$104,(SUMPRODUCT(('حجز الإجازات'!$B$5:$B$104='الموظفون'!$B$9)*('حجز الإجازات'!$D$5:$D$104&lt;=GD$3)*(('حجز الإجازات'!$E$5:$E$104)&gt;=GD$3)*('حجز الإجازات'!$G$5:$G$104="معتمد")*ROW('حجز الإجازات'!$B$5:$B$104)))-5+1))</f>
        <v/>
      </c>
      <c r="GE11" s="62">
        <f>IF(SUMPRODUCT(('حجز الإجازات'!$B$5:$B$104='الموظفون'!$B$9)*('حجز الإجازات'!$D$5:$D$104&lt;=GE$3)*(('حجز الإجازات'!$E$5:$E$104)&gt;=GE$3)*('حجز الإجازات'!$G$5:$G$104="معتمد")*ROW('حجز الإجازات'!$B$5:$B$104))=0,"",INDEX('حجز الإجازات'!$C$5:$C$104,(SUMPRODUCT(('حجز الإجازات'!$B$5:$B$104='الموظفون'!$B$9)*('حجز الإجازات'!$D$5:$D$104&lt;=GE$3)*(('حجز الإجازات'!$E$5:$E$104)&gt;=GE$3)*('حجز الإجازات'!$G$5:$G$104="معتمد")*ROW('حجز الإجازات'!$B$5:$B$104)))-5+1))</f>
        <v/>
      </c>
      <c r="GF11" s="62">
        <f>IF(SUMPRODUCT(('حجز الإجازات'!$B$5:$B$104='الموظفون'!$B$9)*('حجز الإجازات'!$D$5:$D$104&lt;=GF$3)*(('حجز الإجازات'!$E$5:$E$104)&gt;=GF$3)*('حجز الإجازات'!$G$5:$G$104="معتمد")*ROW('حجز الإجازات'!$B$5:$B$104))=0,"",INDEX('حجز الإجازات'!$C$5:$C$104,(SUMPRODUCT(('حجز الإجازات'!$B$5:$B$104='الموظفون'!$B$9)*('حجز الإجازات'!$D$5:$D$104&lt;=GF$3)*(('حجز الإجازات'!$E$5:$E$104)&gt;=GF$3)*('حجز الإجازات'!$G$5:$G$104="معتمد")*ROW('حجز الإجازات'!$B$5:$B$104)))-5+1))</f>
        <v/>
      </c>
      <c r="GG11" s="62">
        <f>IF(SUMPRODUCT(('حجز الإجازات'!$B$5:$B$104='الموظفون'!$B$9)*('حجز الإجازات'!$D$5:$D$104&lt;=GG$3)*(('حجز الإجازات'!$E$5:$E$104)&gt;=GG$3)*('حجز الإجازات'!$G$5:$G$104="معتمد")*ROW('حجز الإجازات'!$B$5:$B$104))=0,"",INDEX('حجز الإجازات'!$C$5:$C$104,(SUMPRODUCT(('حجز الإجازات'!$B$5:$B$104='الموظفون'!$B$9)*('حجز الإجازات'!$D$5:$D$104&lt;=GG$3)*(('حجز الإجازات'!$E$5:$E$104)&gt;=GG$3)*('حجز الإجازات'!$G$5:$G$104="معتمد")*ROW('حجز الإجازات'!$B$5:$B$104)))-5+1))</f>
        <v/>
      </c>
      <c r="GH11" s="62">
        <f>IF(SUMPRODUCT(('حجز الإجازات'!$B$5:$B$104='الموظفون'!$B$9)*('حجز الإجازات'!$D$5:$D$104&lt;=GH$3)*(('حجز الإجازات'!$E$5:$E$104)&gt;=GH$3)*('حجز الإجازات'!$G$5:$G$104="معتمد")*ROW('حجز الإجازات'!$B$5:$B$104))=0,"",INDEX('حجز الإجازات'!$C$5:$C$104,(SUMPRODUCT(('حجز الإجازات'!$B$5:$B$104='الموظفون'!$B$9)*('حجز الإجازات'!$D$5:$D$104&lt;=GH$3)*(('حجز الإجازات'!$E$5:$E$104)&gt;=GH$3)*('حجز الإجازات'!$G$5:$G$104="معتمد")*ROW('حجز الإجازات'!$B$5:$B$104)))-5+1))</f>
        <v/>
      </c>
      <c r="GI11" s="62">
        <f>IF(SUMPRODUCT(('حجز الإجازات'!$B$5:$B$104='الموظفون'!$B$9)*('حجز الإجازات'!$D$5:$D$104&lt;=GI$3)*(('حجز الإجازات'!$E$5:$E$104)&gt;=GI$3)*('حجز الإجازات'!$G$5:$G$104="معتمد")*ROW('حجز الإجازات'!$B$5:$B$104))=0,"",INDEX('حجز الإجازات'!$C$5:$C$104,(SUMPRODUCT(('حجز الإجازات'!$B$5:$B$104='الموظفون'!$B$9)*('حجز الإجازات'!$D$5:$D$104&lt;=GI$3)*(('حجز الإجازات'!$E$5:$E$104)&gt;=GI$3)*('حجز الإجازات'!$G$5:$G$104="معتمد")*ROW('حجز الإجازات'!$B$5:$B$104)))-5+1))</f>
        <v/>
      </c>
      <c r="GJ11" s="62">
        <f>IF(SUMPRODUCT(('حجز الإجازات'!$B$5:$B$104='الموظفون'!$B$9)*('حجز الإجازات'!$D$5:$D$104&lt;=GJ$3)*(('حجز الإجازات'!$E$5:$E$104)&gt;=GJ$3)*('حجز الإجازات'!$G$5:$G$104="معتمد")*ROW('حجز الإجازات'!$B$5:$B$104))=0,"",INDEX('حجز الإجازات'!$C$5:$C$104,(SUMPRODUCT(('حجز الإجازات'!$B$5:$B$104='الموظفون'!$B$9)*('حجز الإجازات'!$D$5:$D$104&lt;=GJ$3)*(('حجز الإجازات'!$E$5:$E$104)&gt;=GJ$3)*('حجز الإجازات'!$G$5:$G$104="معتمد")*ROW('حجز الإجازات'!$B$5:$B$104)))-5+1))</f>
        <v/>
      </c>
      <c r="GK11" s="62">
        <f>IF(SUMPRODUCT(('حجز الإجازات'!$B$5:$B$104='الموظفون'!$B$9)*('حجز الإجازات'!$D$5:$D$104&lt;=GK$3)*(('حجز الإجازات'!$E$5:$E$104)&gt;=GK$3)*('حجز الإجازات'!$G$5:$G$104="معتمد")*ROW('حجز الإجازات'!$B$5:$B$104))=0,"",INDEX('حجز الإجازات'!$C$5:$C$104,(SUMPRODUCT(('حجز الإجازات'!$B$5:$B$104='الموظفون'!$B$9)*('حجز الإجازات'!$D$5:$D$104&lt;=GK$3)*(('حجز الإجازات'!$E$5:$E$104)&gt;=GK$3)*('حجز الإجازات'!$G$5:$G$104="معتمد")*ROW('حجز الإجازات'!$B$5:$B$104)))-5+1))</f>
        <v/>
      </c>
      <c r="GL11" s="62">
        <f>IF(SUMPRODUCT(('حجز الإجازات'!$B$5:$B$104='الموظفون'!$B$9)*('حجز الإجازات'!$D$5:$D$104&lt;=GL$3)*(('حجز الإجازات'!$E$5:$E$104)&gt;=GL$3)*('حجز الإجازات'!$G$5:$G$104="معتمد")*ROW('حجز الإجازات'!$B$5:$B$104))=0,"",INDEX('حجز الإجازات'!$C$5:$C$104,(SUMPRODUCT(('حجز الإجازات'!$B$5:$B$104='الموظفون'!$B$9)*('حجز الإجازات'!$D$5:$D$104&lt;=GL$3)*(('حجز الإجازات'!$E$5:$E$104)&gt;=GL$3)*('حجز الإجازات'!$G$5:$G$104="معتمد")*ROW('حجز الإجازات'!$B$5:$B$104)))-5+1))</f>
        <v/>
      </c>
      <c r="GM11" s="62">
        <f>IF(SUMPRODUCT(('حجز الإجازات'!$B$5:$B$104='الموظفون'!$B$9)*('حجز الإجازات'!$D$5:$D$104&lt;=GM$3)*(('حجز الإجازات'!$E$5:$E$104)&gt;=GM$3)*('حجز الإجازات'!$G$5:$G$104="معتمد")*ROW('حجز الإجازات'!$B$5:$B$104))=0,"",INDEX('حجز الإجازات'!$C$5:$C$104,(SUMPRODUCT(('حجز الإجازات'!$B$5:$B$104='الموظفون'!$B$9)*('حجز الإجازات'!$D$5:$D$104&lt;=GM$3)*(('حجز الإجازات'!$E$5:$E$104)&gt;=GM$3)*('حجز الإجازات'!$G$5:$G$104="معتمد")*ROW('حجز الإجازات'!$B$5:$B$104)))-5+1))</f>
        <v/>
      </c>
      <c r="GN11" s="62">
        <f>IF(SUMPRODUCT(('حجز الإجازات'!$B$5:$B$104='الموظفون'!$B$9)*('حجز الإجازات'!$D$5:$D$104&lt;=GN$3)*(('حجز الإجازات'!$E$5:$E$104)&gt;=GN$3)*('حجز الإجازات'!$G$5:$G$104="معتمد")*ROW('حجز الإجازات'!$B$5:$B$104))=0,"",INDEX('حجز الإجازات'!$C$5:$C$104,(SUMPRODUCT(('حجز الإجازات'!$B$5:$B$104='الموظفون'!$B$9)*('حجز الإجازات'!$D$5:$D$104&lt;=GN$3)*(('حجز الإجازات'!$E$5:$E$104)&gt;=GN$3)*('حجز الإجازات'!$G$5:$G$104="معتمد")*ROW('حجز الإجازات'!$B$5:$B$104)))-5+1))</f>
        <v/>
      </c>
      <c r="GO11" s="62">
        <f>IF(SUMPRODUCT(('حجز الإجازات'!$B$5:$B$104='الموظفون'!$B$9)*('حجز الإجازات'!$D$5:$D$104&lt;=GO$3)*(('حجز الإجازات'!$E$5:$E$104)&gt;=GO$3)*('حجز الإجازات'!$G$5:$G$104="معتمد")*ROW('حجز الإجازات'!$B$5:$B$104))=0,"",INDEX('حجز الإجازات'!$C$5:$C$104,(SUMPRODUCT(('حجز الإجازات'!$B$5:$B$104='الموظفون'!$B$9)*('حجز الإجازات'!$D$5:$D$104&lt;=GO$3)*(('حجز الإجازات'!$E$5:$E$104)&gt;=GO$3)*('حجز الإجازات'!$G$5:$G$104="معتمد")*ROW('حجز الإجازات'!$B$5:$B$104)))-5+1))</f>
        <v/>
      </c>
      <c r="GP11" s="62">
        <f>IF(SUMPRODUCT(('حجز الإجازات'!$B$5:$B$104='الموظفون'!$B$9)*('حجز الإجازات'!$D$5:$D$104&lt;=GP$3)*(('حجز الإجازات'!$E$5:$E$104)&gt;=GP$3)*('حجز الإجازات'!$G$5:$G$104="معتمد")*ROW('حجز الإجازات'!$B$5:$B$104))=0,"",INDEX('حجز الإجازات'!$C$5:$C$104,(SUMPRODUCT(('حجز الإجازات'!$B$5:$B$104='الموظفون'!$B$9)*('حجز الإجازات'!$D$5:$D$104&lt;=GP$3)*(('حجز الإجازات'!$E$5:$E$104)&gt;=GP$3)*('حجز الإجازات'!$G$5:$G$104="معتمد")*ROW('حجز الإجازات'!$B$5:$B$104)))-5+1))</f>
        <v/>
      </c>
      <c r="GQ11" s="62">
        <f>IF(SUMPRODUCT(('حجز الإجازات'!$B$5:$B$104='الموظفون'!$B$9)*('حجز الإجازات'!$D$5:$D$104&lt;=GQ$3)*(('حجز الإجازات'!$E$5:$E$104)&gt;=GQ$3)*('حجز الإجازات'!$G$5:$G$104="معتمد")*ROW('حجز الإجازات'!$B$5:$B$104))=0,"",INDEX('حجز الإجازات'!$C$5:$C$104,(SUMPRODUCT(('حجز الإجازات'!$B$5:$B$104='الموظفون'!$B$9)*('حجز الإجازات'!$D$5:$D$104&lt;=GQ$3)*(('حجز الإجازات'!$E$5:$E$104)&gt;=GQ$3)*('حجز الإجازات'!$G$5:$G$104="معتمد")*ROW('حجز الإجازات'!$B$5:$B$104)))-5+1))</f>
        <v/>
      </c>
      <c r="GR11" s="62">
        <f>IF(SUMPRODUCT(('حجز الإجازات'!$B$5:$B$104='الموظفون'!$B$9)*('حجز الإجازات'!$D$5:$D$104&lt;=GR$3)*(('حجز الإجازات'!$E$5:$E$104)&gt;=GR$3)*('حجز الإجازات'!$G$5:$G$104="معتمد")*ROW('حجز الإجازات'!$B$5:$B$104))=0,"",INDEX('حجز الإجازات'!$C$5:$C$104,(SUMPRODUCT(('حجز الإجازات'!$B$5:$B$104='الموظفون'!$B$9)*('حجز الإجازات'!$D$5:$D$104&lt;=GR$3)*(('حجز الإجازات'!$E$5:$E$104)&gt;=GR$3)*('حجز الإجازات'!$G$5:$G$104="معتمد")*ROW('حجز الإجازات'!$B$5:$B$104)))-5+1))</f>
        <v/>
      </c>
      <c r="GS11" s="62">
        <f>IF(SUMPRODUCT(('حجز الإجازات'!$B$5:$B$104='الموظفون'!$B$9)*('حجز الإجازات'!$D$5:$D$104&lt;=GS$3)*(('حجز الإجازات'!$E$5:$E$104)&gt;=GS$3)*('حجز الإجازات'!$G$5:$G$104="معتمد")*ROW('حجز الإجازات'!$B$5:$B$104))=0,"",INDEX('حجز الإجازات'!$C$5:$C$104,(SUMPRODUCT(('حجز الإجازات'!$B$5:$B$104='الموظفون'!$B$9)*('حجز الإجازات'!$D$5:$D$104&lt;=GS$3)*(('حجز الإجازات'!$E$5:$E$104)&gt;=GS$3)*('حجز الإجازات'!$G$5:$G$104="معتمد")*ROW('حجز الإجازات'!$B$5:$B$104)))-5+1))</f>
        <v/>
      </c>
      <c r="GT11" s="62">
        <f>IF(SUMPRODUCT(('حجز الإجازات'!$B$5:$B$104='الموظفون'!$B$9)*('حجز الإجازات'!$D$5:$D$104&lt;=GT$3)*(('حجز الإجازات'!$E$5:$E$104)&gt;=GT$3)*('حجز الإجازات'!$G$5:$G$104="معتمد")*ROW('حجز الإجازات'!$B$5:$B$104))=0,"",INDEX('حجز الإجازات'!$C$5:$C$104,(SUMPRODUCT(('حجز الإجازات'!$B$5:$B$104='الموظفون'!$B$9)*('حجز الإجازات'!$D$5:$D$104&lt;=GT$3)*(('حجز الإجازات'!$E$5:$E$104)&gt;=GT$3)*('حجز الإجازات'!$G$5:$G$104="معتمد")*ROW('حجز الإجازات'!$B$5:$B$104)))-5+1))</f>
        <v/>
      </c>
      <c r="GU11" s="62">
        <f>IF(SUMPRODUCT(('حجز الإجازات'!$B$5:$B$104='الموظفون'!$B$9)*('حجز الإجازات'!$D$5:$D$104&lt;=GU$3)*(('حجز الإجازات'!$E$5:$E$104)&gt;=GU$3)*('حجز الإجازات'!$G$5:$G$104="معتمد")*ROW('حجز الإجازات'!$B$5:$B$104))=0,"",INDEX('حجز الإجازات'!$C$5:$C$104,(SUMPRODUCT(('حجز الإجازات'!$B$5:$B$104='الموظفون'!$B$9)*('حجز الإجازات'!$D$5:$D$104&lt;=GU$3)*(('حجز الإجازات'!$E$5:$E$104)&gt;=GU$3)*('حجز الإجازات'!$G$5:$G$104="معتمد")*ROW('حجز الإجازات'!$B$5:$B$104)))-5+1))</f>
        <v/>
      </c>
      <c r="GV11" s="62">
        <f>IF(SUMPRODUCT(('حجز الإجازات'!$B$5:$B$104='الموظفون'!$B$9)*('حجز الإجازات'!$D$5:$D$104&lt;=GV$3)*(('حجز الإجازات'!$E$5:$E$104)&gt;=GV$3)*('حجز الإجازات'!$G$5:$G$104="معتمد")*ROW('حجز الإجازات'!$B$5:$B$104))=0,"",INDEX('حجز الإجازات'!$C$5:$C$104,(SUMPRODUCT(('حجز الإجازات'!$B$5:$B$104='الموظفون'!$B$9)*('حجز الإجازات'!$D$5:$D$104&lt;=GV$3)*(('حجز الإجازات'!$E$5:$E$104)&gt;=GV$3)*('حجز الإجازات'!$G$5:$G$104="معتمد")*ROW('حجز الإجازات'!$B$5:$B$104)))-5+1))</f>
        <v/>
      </c>
      <c r="GW11" s="62">
        <f>IF(SUMPRODUCT(('حجز الإجازات'!$B$5:$B$104='الموظفون'!$B$9)*('حجز الإجازات'!$D$5:$D$104&lt;=GW$3)*(('حجز الإجازات'!$E$5:$E$104)&gt;=GW$3)*('حجز الإجازات'!$G$5:$G$104="معتمد")*ROW('حجز الإجازات'!$B$5:$B$104))=0,"",INDEX('حجز الإجازات'!$C$5:$C$104,(SUMPRODUCT(('حجز الإجازات'!$B$5:$B$104='الموظفون'!$B$9)*('حجز الإجازات'!$D$5:$D$104&lt;=GW$3)*(('حجز الإجازات'!$E$5:$E$104)&gt;=GW$3)*('حجز الإجازات'!$G$5:$G$104="معتمد")*ROW('حجز الإجازات'!$B$5:$B$104)))-5+1))</f>
        <v/>
      </c>
      <c r="GX11" s="62">
        <f>IF(SUMPRODUCT(('حجز الإجازات'!$B$5:$B$104='الموظفون'!$B$9)*('حجز الإجازات'!$D$5:$D$104&lt;=GX$3)*(('حجز الإجازات'!$E$5:$E$104)&gt;=GX$3)*('حجز الإجازات'!$G$5:$G$104="معتمد")*ROW('حجز الإجازات'!$B$5:$B$104))=0,"",INDEX('حجز الإجازات'!$C$5:$C$104,(SUMPRODUCT(('حجز الإجازات'!$B$5:$B$104='الموظفون'!$B$9)*('حجز الإجازات'!$D$5:$D$104&lt;=GX$3)*(('حجز الإجازات'!$E$5:$E$104)&gt;=GX$3)*('حجز الإجازات'!$G$5:$G$104="معتمد")*ROW('حجز الإجازات'!$B$5:$B$104)))-5+1))</f>
        <v/>
      </c>
      <c r="GY11" s="62">
        <f>IF(SUMPRODUCT(('حجز الإجازات'!$B$5:$B$104='الموظفون'!$B$9)*('حجز الإجازات'!$D$5:$D$104&lt;=GY$3)*(('حجز الإجازات'!$E$5:$E$104)&gt;=GY$3)*('حجز الإجازات'!$G$5:$G$104="معتمد")*ROW('حجز الإجازات'!$B$5:$B$104))=0,"",INDEX('حجز الإجازات'!$C$5:$C$104,(SUMPRODUCT(('حجز الإجازات'!$B$5:$B$104='الموظفون'!$B$9)*('حجز الإجازات'!$D$5:$D$104&lt;=GY$3)*(('حجز الإجازات'!$E$5:$E$104)&gt;=GY$3)*('حجز الإجازات'!$G$5:$G$104="معتمد")*ROW('حجز الإجازات'!$B$5:$B$104)))-5+1))</f>
        <v/>
      </c>
      <c r="GZ11" s="62">
        <f>IF(SUMPRODUCT(('حجز الإجازات'!$B$5:$B$104='الموظفون'!$B$9)*('حجز الإجازات'!$D$5:$D$104&lt;=GZ$3)*(('حجز الإجازات'!$E$5:$E$104)&gt;=GZ$3)*('حجز الإجازات'!$G$5:$G$104="معتمد")*ROW('حجز الإجازات'!$B$5:$B$104))=0,"",INDEX('حجز الإجازات'!$C$5:$C$104,(SUMPRODUCT(('حجز الإجازات'!$B$5:$B$104='الموظفون'!$B$9)*('حجز الإجازات'!$D$5:$D$104&lt;=GZ$3)*(('حجز الإجازات'!$E$5:$E$104)&gt;=GZ$3)*('حجز الإجازات'!$G$5:$G$104="معتمد")*ROW('حجز الإجازات'!$B$5:$B$104)))-5+1))</f>
        <v/>
      </c>
      <c r="HA11" s="62">
        <f>IF(SUMPRODUCT(('حجز الإجازات'!$B$5:$B$104='الموظفون'!$B$9)*('حجز الإجازات'!$D$5:$D$104&lt;=HA$3)*(('حجز الإجازات'!$E$5:$E$104)&gt;=HA$3)*('حجز الإجازات'!$G$5:$G$104="معتمد")*ROW('حجز الإجازات'!$B$5:$B$104))=0,"",INDEX('حجز الإجازات'!$C$5:$C$104,(SUMPRODUCT(('حجز الإجازات'!$B$5:$B$104='الموظفون'!$B$9)*('حجز الإجازات'!$D$5:$D$104&lt;=HA$3)*(('حجز الإجازات'!$E$5:$E$104)&gt;=HA$3)*('حجز الإجازات'!$G$5:$G$104="معتمد")*ROW('حجز الإجازات'!$B$5:$B$104)))-5+1))</f>
        <v/>
      </c>
      <c r="HB11" s="62">
        <f>IF(SUMPRODUCT(('حجز الإجازات'!$B$5:$B$104='الموظفون'!$B$9)*('حجز الإجازات'!$D$5:$D$104&lt;=HB$3)*(('حجز الإجازات'!$E$5:$E$104)&gt;=HB$3)*('حجز الإجازات'!$G$5:$G$104="معتمد")*ROW('حجز الإجازات'!$B$5:$B$104))=0,"",INDEX('حجز الإجازات'!$C$5:$C$104,(SUMPRODUCT(('حجز الإجازات'!$B$5:$B$104='الموظفون'!$B$9)*('حجز الإجازات'!$D$5:$D$104&lt;=HB$3)*(('حجز الإجازات'!$E$5:$E$104)&gt;=HB$3)*('حجز الإجازات'!$G$5:$G$104="معتمد")*ROW('حجز الإجازات'!$B$5:$B$104)))-5+1))</f>
        <v/>
      </c>
      <c r="HC11" s="62">
        <f>IF(SUMPRODUCT(('حجز الإجازات'!$B$5:$B$104='الموظفون'!$B$9)*('حجز الإجازات'!$D$5:$D$104&lt;=HC$3)*(('حجز الإجازات'!$E$5:$E$104)&gt;=HC$3)*('حجز الإجازات'!$G$5:$G$104="معتمد")*ROW('حجز الإجازات'!$B$5:$B$104))=0,"",INDEX('حجز الإجازات'!$C$5:$C$104,(SUMPRODUCT(('حجز الإجازات'!$B$5:$B$104='الموظفون'!$B$9)*('حجز الإجازات'!$D$5:$D$104&lt;=HC$3)*(('حجز الإجازات'!$E$5:$E$104)&gt;=HC$3)*('حجز الإجازات'!$G$5:$G$104="معتمد")*ROW('حجز الإجازات'!$B$5:$B$104)))-5+1))</f>
        <v/>
      </c>
      <c r="HD11" s="62">
        <f>IF(SUMPRODUCT(('حجز الإجازات'!$B$5:$B$104='الموظفون'!$B$9)*('حجز الإجازات'!$D$5:$D$104&lt;=HD$3)*(('حجز الإجازات'!$E$5:$E$104)&gt;=HD$3)*('حجز الإجازات'!$G$5:$G$104="معتمد")*ROW('حجز الإجازات'!$B$5:$B$104))=0,"",INDEX('حجز الإجازات'!$C$5:$C$104,(SUMPRODUCT(('حجز الإجازات'!$B$5:$B$104='الموظفون'!$B$9)*('حجز الإجازات'!$D$5:$D$104&lt;=HD$3)*(('حجز الإجازات'!$E$5:$E$104)&gt;=HD$3)*('حجز الإجازات'!$G$5:$G$104="معتمد")*ROW('حجز الإجازات'!$B$5:$B$104)))-5+1))</f>
        <v/>
      </c>
      <c r="HE11" s="62">
        <f>IF(SUMPRODUCT(('حجز الإجازات'!$B$5:$B$104='الموظفون'!$B$9)*('حجز الإجازات'!$D$5:$D$104&lt;=HE$3)*(('حجز الإجازات'!$E$5:$E$104)&gt;=HE$3)*('حجز الإجازات'!$G$5:$G$104="معتمد")*ROW('حجز الإجازات'!$B$5:$B$104))=0,"",INDEX('حجز الإجازات'!$C$5:$C$104,(SUMPRODUCT(('حجز الإجازات'!$B$5:$B$104='الموظفون'!$B$9)*('حجز الإجازات'!$D$5:$D$104&lt;=HE$3)*(('حجز الإجازات'!$E$5:$E$104)&gt;=HE$3)*('حجز الإجازات'!$G$5:$G$104="معتمد")*ROW('حجز الإجازات'!$B$5:$B$104)))-5+1))</f>
        <v/>
      </c>
      <c r="HF11" s="62">
        <f>IF(SUMPRODUCT(('حجز الإجازات'!$B$5:$B$104='الموظفون'!$B$9)*('حجز الإجازات'!$D$5:$D$104&lt;=HF$3)*(('حجز الإجازات'!$E$5:$E$104)&gt;=HF$3)*('حجز الإجازات'!$G$5:$G$104="معتمد")*ROW('حجز الإجازات'!$B$5:$B$104))=0,"",INDEX('حجز الإجازات'!$C$5:$C$104,(SUMPRODUCT(('حجز الإجازات'!$B$5:$B$104='الموظفون'!$B$9)*('حجز الإجازات'!$D$5:$D$104&lt;=HF$3)*(('حجز الإجازات'!$E$5:$E$104)&gt;=HF$3)*('حجز الإجازات'!$G$5:$G$104="معتمد")*ROW('حجز الإجازات'!$B$5:$B$104)))-5+1))</f>
        <v/>
      </c>
      <c r="HG11" s="62">
        <f>IF(SUMPRODUCT(('حجز الإجازات'!$B$5:$B$104='الموظفون'!$B$9)*('حجز الإجازات'!$D$5:$D$104&lt;=HG$3)*(('حجز الإجازات'!$E$5:$E$104)&gt;=HG$3)*('حجز الإجازات'!$G$5:$G$104="معتمد")*ROW('حجز الإجازات'!$B$5:$B$104))=0,"",INDEX('حجز الإجازات'!$C$5:$C$104,(SUMPRODUCT(('حجز الإجازات'!$B$5:$B$104='الموظفون'!$B$9)*('حجز الإجازات'!$D$5:$D$104&lt;=HG$3)*(('حجز الإجازات'!$E$5:$E$104)&gt;=HG$3)*('حجز الإجازات'!$G$5:$G$104="معتمد")*ROW('حجز الإجازات'!$B$5:$B$104)))-5+1))</f>
        <v/>
      </c>
      <c r="HH11" s="62">
        <f>IF(SUMPRODUCT(('حجز الإجازات'!$B$5:$B$104='الموظفون'!$B$9)*('حجز الإجازات'!$D$5:$D$104&lt;=HH$3)*(('حجز الإجازات'!$E$5:$E$104)&gt;=HH$3)*('حجز الإجازات'!$G$5:$G$104="معتمد")*ROW('حجز الإجازات'!$B$5:$B$104))=0,"",INDEX('حجز الإجازات'!$C$5:$C$104,(SUMPRODUCT(('حجز الإجازات'!$B$5:$B$104='الموظفون'!$B$9)*('حجز الإجازات'!$D$5:$D$104&lt;=HH$3)*(('حجز الإجازات'!$E$5:$E$104)&gt;=HH$3)*('حجز الإجازات'!$G$5:$G$104="معتمد")*ROW('حجز الإجازات'!$B$5:$B$104)))-5+1))</f>
        <v/>
      </c>
      <c r="HI11" s="62">
        <f>IF(SUMPRODUCT(('حجز الإجازات'!$B$5:$B$104='الموظفون'!$B$9)*('حجز الإجازات'!$D$5:$D$104&lt;=HI$3)*(('حجز الإجازات'!$E$5:$E$104)&gt;=HI$3)*('حجز الإجازات'!$G$5:$G$104="معتمد")*ROW('حجز الإجازات'!$B$5:$B$104))=0,"",INDEX('حجز الإجازات'!$C$5:$C$104,(SUMPRODUCT(('حجز الإجازات'!$B$5:$B$104='الموظفون'!$B$9)*('حجز الإجازات'!$D$5:$D$104&lt;=HI$3)*(('حجز الإجازات'!$E$5:$E$104)&gt;=HI$3)*('حجز الإجازات'!$G$5:$G$104="معتمد")*ROW('حجز الإجازات'!$B$5:$B$104)))-5+1))</f>
        <v/>
      </c>
      <c r="HJ11" s="62">
        <f>IF(SUMPRODUCT(('حجز الإجازات'!$B$5:$B$104='الموظفون'!$B$9)*('حجز الإجازات'!$D$5:$D$104&lt;=HJ$3)*(('حجز الإجازات'!$E$5:$E$104)&gt;=HJ$3)*('حجز الإجازات'!$G$5:$G$104="معتمد")*ROW('حجز الإجازات'!$B$5:$B$104))=0,"",INDEX('حجز الإجازات'!$C$5:$C$104,(SUMPRODUCT(('حجز الإجازات'!$B$5:$B$104='الموظفون'!$B$9)*('حجز الإجازات'!$D$5:$D$104&lt;=HJ$3)*(('حجز الإجازات'!$E$5:$E$104)&gt;=HJ$3)*('حجز الإجازات'!$G$5:$G$104="معتمد")*ROW('حجز الإجازات'!$B$5:$B$104)))-5+1))</f>
        <v/>
      </c>
      <c r="HK11" s="62">
        <f>IF(SUMPRODUCT(('حجز الإجازات'!$B$5:$B$104='الموظفون'!$B$9)*('حجز الإجازات'!$D$5:$D$104&lt;=HK$3)*(('حجز الإجازات'!$E$5:$E$104)&gt;=HK$3)*('حجز الإجازات'!$G$5:$G$104="معتمد")*ROW('حجز الإجازات'!$B$5:$B$104))=0,"",INDEX('حجز الإجازات'!$C$5:$C$104,(SUMPRODUCT(('حجز الإجازات'!$B$5:$B$104='الموظفون'!$B$9)*('حجز الإجازات'!$D$5:$D$104&lt;=HK$3)*(('حجز الإجازات'!$E$5:$E$104)&gt;=HK$3)*('حجز الإجازات'!$G$5:$G$104="معتمد")*ROW('حجز الإجازات'!$B$5:$B$104)))-5+1))</f>
        <v/>
      </c>
      <c r="HL11" s="62">
        <f>IF(SUMPRODUCT(('حجز الإجازات'!$B$5:$B$104='الموظفون'!$B$9)*('حجز الإجازات'!$D$5:$D$104&lt;=HL$3)*(('حجز الإجازات'!$E$5:$E$104)&gt;=HL$3)*('حجز الإجازات'!$G$5:$G$104="معتمد")*ROW('حجز الإجازات'!$B$5:$B$104))=0,"",INDEX('حجز الإجازات'!$C$5:$C$104,(SUMPRODUCT(('حجز الإجازات'!$B$5:$B$104='الموظفون'!$B$9)*('حجز الإجازات'!$D$5:$D$104&lt;=HL$3)*(('حجز الإجازات'!$E$5:$E$104)&gt;=HL$3)*('حجز الإجازات'!$G$5:$G$104="معتمد")*ROW('حجز الإجازات'!$B$5:$B$104)))-5+1))</f>
        <v/>
      </c>
      <c r="HM11" s="62">
        <f>IF(SUMPRODUCT(('حجز الإجازات'!$B$5:$B$104='الموظفون'!$B$9)*('حجز الإجازات'!$D$5:$D$104&lt;=HM$3)*(('حجز الإجازات'!$E$5:$E$104)&gt;=HM$3)*('حجز الإجازات'!$G$5:$G$104="معتمد")*ROW('حجز الإجازات'!$B$5:$B$104))=0,"",INDEX('حجز الإجازات'!$C$5:$C$104,(SUMPRODUCT(('حجز الإجازات'!$B$5:$B$104='الموظفون'!$B$9)*('حجز الإجازات'!$D$5:$D$104&lt;=HM$3)*(('حجز الإجازات'!$E$5:$E$104)&gt;=HM$3)*('حجز الإجازات'!$G$5:$G$104="معتمد")*ROW('حجز الإجازات'!$B$5:$B$104)))-5+1))</f>
        <v/>
      </c>
      <c r="HN11" s="62">
        <f>IF(SUMPRODUCT(('حجز الإجازات'!$B$5:$B$104='الموظفون'!$B$9)*('حجز الإجازات'!$D$5:$D$104&lt;=HN$3)*(('حجز الإجازات'!$E$5:$E$104)&gt;=HN$3)*('حجز الإجازات'!$G$5:$G$104="معتمد")*ROW('حجز الإجازات'!$B$5:$B$104))=0,"",INDEX('حجز الإجازات'!$C$5:$C$104,(SUMPRODUCT(('حجز الإجازات'!$B$5:$B$104='الموظفون'!$B$9)*('حجز الإجازات'!$D$5:$D$104&lt;=HN$3)*(('حجز الإجازات'!$E$5:$E$104)&gt;=HN$3)*('حجز الإجازات'!$G$5:$G$104="معتمد")*ROW('حجز الإجازات'!$B$5:$B$104)))-5+1))</f>
        <v/>
      </c>
      <c r="HO11" s="62">
        <f>IF(SUMPRODUCT(('حجز الإجازات'!$B$5:$B$104='الموظفون'!$B$9)*('حجز الإجازات'!$D$5:$D$104&lt;=HO$3)*(('حجز الإجازات'!$E$5:$E$104)&gt;=HO$3)*('حجز الإجازات'!$G$5:$G$104="معتمد")*ROW('حجز الإجازات'!$B$5:$B$104))=0,"",INDEX('حجز الإجازات'!$C$5:$C$104,(SUMPRODUCT(('حجز الإجازات'!$B$5:$B$104='الموظفون'!$B$9)*('حجز الإجازات'!$D$5:$D$104&lt;=HO$3)*(('حجز الإجازات'!$E$5:$E$104)&gt;=HO$3)*('حجز الإجازات'!$G$5:$G$104="معتمد")*ROW('حجز الإجازات'!$B$5:$B$104)))-5+1))</f>
        <v/>
      </c>
      <c r="HP11" s="62">
        <f>IF(SUMPRODUCT(('حجز الإجازات'!$B$5:$B$104='الموظفون'!$B$9)*('حجز الإجازات'!$D$5:$D$104&lt;=HP$3)*(('حجز الإجازات'!$E$5:$E$104)&gt;=HP$3)*('حجز الإجازات'!$G$5:$G$104="معتمد")*ROW('حجز الإجازات'!$B$5:$B$104))=0,"",INDEX('حجز الإجازات'!$C$5:$C$104,(SUMPRODUCT(('حجز الإجازات'!$B$5:$B$104='الموظفون'!$B$9)*('حجز الإجازات'!$D$5:$D$104&lt;=HP$3)*(('حجز الإجازات'!$E$5:$E$104)&gt;=HP$3)*('حجز الإجازات'!$G$5:$G$104="معتمد")*ROW('حجز الإجازات'!$B$5:$B$104)))-5+1))</f>
        <v/>
      </c>
      <c r="HQ11" s="62">
        <f>IF(SUMPRODUCT(('حجز الإجازات'!$B$5:$B$104='الموظفون'!$B$9)*('حجز الإجازات'!$D$5:$D$104&lt;=HQ$3)*(('حجز الإجازات'!$E$5:$E$104)&gt;=HQ$3)*('حجز الإجازات'!$G$5:$G$104="معتمد")*ROW('حجز الإجازات'!$B$5:$B$104))=0,"",INDEX('حجز الإجازات'!$C$5:$C$104,(SUMPRODUCT(('حجز الإجازات'!$B$5:$B$104='الموظفون'!$B$9)*('حجز الإجازات'!$D$5:$D$104&lt;=HQ$3)*(('حجز الإجازات'!$E$5:$E$104)&gt;=HQ$3)*('حجز الإجازات'!$G$5:$G$104="معتمد")*ROW('حجز الإجازات'!$B$5:$B$104)))-5+1))</f>
        <v/>
      </c>
      <c r="HR11" s="62">
        <f>IF(SUMPRODUCT(('حجز الإجازات'!$B$5:$B$104='الموظفون'!$B$9)*('حجز الإجازات'!$D$5:$D$104&lt;=HR$3)*(('حجز الإجازات'!$E$5:$E$104)&gt;=HR$3)*('حجز الإجازات'!$G$5:$G$104="معتمد")*ROW('حجز الإجازات'!$B$5:$B$104))=0,"",INDEX('حجز الإجازات'!$C$5:$C$104,(SUMPRODUCT(('حجز الإجازات'!$B$5:$B$104='الموظفون'!$B$9)*('حجز الإجازات'!$D$5:$D$104&lt;=HR$3)*(('حجز الإجازات'!$E$5:$E$104)&gt;=HR$3)*('حجز الإجازات'!$G$5:$G$104="معتمد")*ROW('حجز الإجازات'!$B$5:$B$104)))-5+1))</f>
        <v/>
      </c>
      <c r="HS11" s="62">
        <f>IF(SUMPRODUCT(('حجز الإجازات'!$B$5:$B$104='الموظفون'!$B$9)*('حجز الإجازات'!$D$5:$D$104&lt;=HS$3)*(('حجز الإجازات'!$E$5:$E$104)&gt;=HS$3)*('حجز الإجازات'!$G$5:$G$104="معتمد")*ROW('حجز الإجازات'!$B$5:$B$104))=0,"",INDEX('حجز الإجازات'!$C$5:$C$104,(SUMPRODUCT(('حجز الإجازات'!$B$5:$B$104='الموظفون'!$B$9)*('حجز الإجازات'!$D$5:$D$104&lt;=HS$3)*(('حجز الإجازات'!$E$5:$E$104)&gt;=HS$3)*('حجز الإجازات'!$G$5:$G$104="معتمد")*ROW('حجز الإجازات'!$B$5:$B$104)))-5+1))</f>
        <v/>
      </c>
      <c r="HT11" s="62">
        <f>IF(SUMPRODUCT(('حجز الإجازات'!$B$5:$B$104='الموظفون'!$B$9)*('حجز الإجازات'!$D$5:$D$104&lt;=HT$3)*(('حجز الإجازات'!$E$5:$E$104)&gt;=HT$3)*('حجز الإجازات'!$G$5:$G$104="معتمد")*ROW('حجز الإجازات'!$B$5:$B$104))=0,"",INDEX('حجز الإجازات'!$C$5:$C$104,(SUMPRODUCT(('حجز الإجازات'!$B$5:$B$104='الموظفون'!$B$9)*('حجز الإجازات'!$D$5:$D$104&lt;=HT$3)*(('حجز الإجازات'!$E$5:$E$104)&gt;=HT$3)*('حجز الإجازات'!$G$5:$G$104="معتمد")*ROW('حجز الإجازات'!$B$5:$B$104)))-5+1))</f>
        <v/>
      </c>
      <c r="HU11" s="62">
        <f>IF(SUMPRODUCT(('حجز الإجازات'!$B$5:$B$104='الموظفون'!$B$9)*('حجز الإجازات'!$D$5:$D$104&lt;=HU$3)*(('حجز الإجازات'!$E$5:$E$104)&gt;=HU$3)*('حجز الإجازات'!$G$5:$G$104="معتمد")*ROW('حجز الإجازات'!$B$5:$B$104))=0,"",INDEX('حجز الإجازات'!$C$5:$C$104,(SUMPRODUCT(('حجز الإجازات'!$B$5:$B$104='الموظفون'!$B$9)*('حجز الإجازات'!$D$5:$D$104&lt;=HU$3)*(('حجز الإجازات'!$E$5:$E$104)&gt;=HU$3)*('حجز الإجازات'!$G$5:$G$104="معتمد")*ROW('حجز الإجازات'!$B$5:$B$104)))-5+1))</f>
        <v/>
      </c>
      <c r="HV11" s="62">
        <f>IF(SUMPRODUCT(('حجز الإجازات'!$B$5:$B$104='الموظفون'!$B$9)*('حجز الإجازات'!$D$5:$D$104&lt;=HV$3)*(('حجز الإجازات'!$E$5:$E$104)&gt;=HV$3)*('حجز الإجازات'!$G$5:$G$104="معتمد")*ROW('حجز الإجازات'!$B$5:$B$104))=0,"",INDEX('حجز الإجازات'!$C$5:$C$104,(SUMPRODUCT(('حجز الإجازات'!$B$5:$B$104='الموظفون'!$B$9)*('حجز الإجازات'!$D$5:$D$104&lt;=HV$3)*(('حجز الإجازات'!$E$5:$E$104)&gt;=HV$3)*('حجز الإجازات'!$G$5:$G$104="معتمد")*ROW('حجز الإجازات'!$B$5:$B$104)))-5+1))</f>
        <v/>
      </c>
      <c r="HW11" s="62">
        <f>IF(SUMPRODUCT(('حجز الإجازات'!$B$5:$B$104='الموظفون'!$B$9)*('حجز الإجازات'!$D$5:$D$104&lt;=HW$3)*(('حجز الإجازات'!$E$5:$E$104)&gt;=HW$3)*('حجز الإجازات'!$G$5:$G$104="معتمد")*ROW('حجز الإجازات'!$B$5:$B$104))=0,"",INDEX('حجز الإجازات'!$C$5:$C$104,(SUMPRODUCT(('حجز الإجازات'!$B$5:$B$104='الموظفون'!$B$9)*('حجز الإجازات'!$D$5:$D$104&lt;=HW$3)*(('حجز الإجازات'!$E$5:$E$104)&gt;=HW$3)*('حجز الإجازات'!$G$5:$G$104="معتمد")*ROW('حجز الإجازات'!$B$5:$B$104)))-5+1))</f>
        <v/>
      </c>
      <c r="HX11" s="62">
        <f>IF(SUMPRODUCT(('حجز الإجازات'!$B$5:$B$104='الموظفون'!$B$9)*('حجز الإجازات'!$D$5:$D$104&lt;=HX$3)*(('حجز الإجازات'!$E$5:$E$104)&gt;=HX$3)*('حجز الإجازات'!$G$5:$G$104="معتمد")*ROW('حجز الإجازات'!$B$5:$B$104))=0,"",INDEX('حجز الإجازات'!$C$5:$C$104,(SUMPRODUCT(('حجز الإجازات'!$B$5:$B$104='الموظفون'!$B$9)*('حجز الإجازات'!$D$5:$D$104&lt;=HX$3)*(('حجز الإجازات'!$E$5:$E$104)&gt;=HX$3)*('حجز الإجازات'!$G$5:$G$104="معتمد")*ROW('حجز الإجازات'!$B$5:$B$104)))-5+1))</f>
        <v/>
      </c>
      <c r="HY11" s="62">
        <f>IF(SUMPRODUCT(('حجز الإجازات'!$B$5:$B$104='الموظفون'!$B$9)*('حجز الإجازات'!$D$5:$D$104&lt;=HY$3)*(('حجز الإجازات'!$E$5:$E$104)&gt;=HY$3)*('حجز الإجازات'!$G$5:$G$104="معتمد")*ROW('حجز الإجازات'!$B$5:$B$104))=0,"",INDEX('حجز الإجازات'!$C$5:$C$104,(SUMPRODUCT(('حجز الإجازات'!$B$5:$B$104='الموظفون'!$B$9)*('حجز الإجازات'!$D$5:$D$104&lt;=HY$3)*(('حجز الإجازات'!$E$5:$E$104)&gt;=HY$3)*('حجز الإجازات'!$G$5:$G$104="معتمد")*ROW('حجز الإجازات'!$B$5:$B$104)))-5+1))</f>
        <v/>
      </c>
      <c r="HZ11" s="62">
        <f>IF(SUMPRODUCT(('حجز الإجازات'!$B$5:$B$104='الموظفون'!$B$9)*('حجز الإجازات'!$D$5:$D$104&lt;=HZ$3)*(('حجز الإجازات'!$E$5:$E$104)&gt;=HZ$3)*('حجز الإجازات'!$G$5:$G$104="معتمد")*ROW('حجز الإجازات'!$B$5:$B$104))=0,"",INDEX('حجز الإجازات'!$C$5:$C$104,(SUMPRODUCT(('حجز الإجازات'!$B$5:$B$104='الموظفون'!$B$9)*('حجز الإجازات'!$D$5:$D$104&lt;=HZ$3)*(('حجز الإجازات'!$E$5:$E$104)&gt;=HZ$3)*('حجز الإجازات'!$G$5:$G$104="معتمد")*ROW('حجز الإجازات'!$B$5:$B$104)))-5+1))</f>
        <v/>
      </c>
      <c r="IA11" s="62">
        <f>IF(SUMPRODUCT(('حجز الإجازات'!$B$5:$B$104='الموظفون'!$B$9)*('حجز الإجازات'!$D$5:$D$104&lt;=IA$3)*(('حجز الإجازات'!$E$5:$E$104)&gt;=IA$3)*('حجز الإجازات'!$G$5:$G$104="معتمد")*ROW('حجز الإجازات'!$B$5:$B$104))=0,"",INDEX('حجز الإجازات'!$C$5:$C$104,(SUMPRODUCT(('حجز الإجازات'!$B$5:$B$104='الموظفون'!$B$9)*('حجز الإجازات'!$D$5:$D$104&lt;=IA$3)*(('حجز الإجازات'!$E$5:$E$104)&gt;=IA$3)*('حجز الإجازات'!$G$5:$G$104="معتمد")*ROW('حجز الإجازات'!$B$5:$B$104)))-5+1))</f>
        <v/>
      </c>
      <c r="IB11" s="62">
        <f>IF(SUMPRODUCT(('حجز الإجازات'!$B$5:$B$104='الموظفون'!$B$9)*('حجز الإجازات'!$D$5:$D$104&lt;=IB$3)*(('حجز الإجازات'!$E$5:$E$104)&gt;=IB$3)*('حجز الإجازات'!$G$5:$G$104="معتمد")*ROW('حجز الإجازات'!$B$5:$B$104))=0,"",INDEX('حجز الإجازات'!$C$5:$C$104,(SUMPRODUCT(('حجز الإجازات'!$B$5:$B$104='الموظفون'!$B$9)*('حجز الإجازات'!$D$5:$D$104&lt;=IB$3)*(('حجز الإجازات'!$E$5:$E$104)&gt;=IB$3)*('حجز الإجازات'!$G$5:$G$104="معتمد")*ROW('حجز الإجازات'!$B$5:$B$104)))-5+1))</f>
        <v/>
      </c>
      <c r="IC11" s="62">
        <f>IF(SUMPRODUCT(('حجز الإجازات'!$B$5:$B$104='الموظفون'!$B$9)*('حجز الإجازات'!$D$5:$D$104&lt;=IC$3)*(('حجز الإجازات'!$E$5:$E$104)&gt;=IC$3)*('حجز الإجازات'!$G$5:$G$104="معتمد")*ROW('حجز الإجازات'!$B$5:$B$104))=0,"",INDEX('حجز الإجازات'!$C$5:$C$104,(SUMPRODUCT(('حجز الإجازات'!$B$5:$B$104='الموظفون'!$B$9)*('حجز الإجازات'!$D$5:$D$104&lt;=IC$3)*(('حجز الإجازات'!$E$5:$E$104)&gt;=IC$3)*('حجز الإجازات'!$G$5:$G$104="معتمد")*ROW('حجز الإجازات'!$B$5:$B$104)))-5+1))</f>
        <v/>
      </c>
      <c r="ID11" s="62">
        <f>IF(SUMPRODUCT(('حجز الإجازات'!$B$5:$B$104='الموظفون'!$B$9)*('حجز الإجازات'!$D$5:$D$104&lt;=ID$3)*(('حجز الإجازات'!$E$5:$E$104)&gt;=ID$3)*('حجز الإجازات'!$G$5:$G$104="معتمد")*ROW('حجز الإجازات'!$B$5:$B$104))=0,"",INDEX('حجز الإجازات'!$C$5:$C$104,(SUMPRODUCT(('حجز الإجازات'!$B$5:$B$104='الموظفون'!$B$9)*('حجز الإجازات'!$D$5:$D$104&lt;=ID$3)*(('حجز الإجازات'!$E$5:$E$104)&gt;=ID$3)*('حجز الإجازات'!$G$5:$G$104="معتمد")*ROW('حجز الإجازات'!$B$5:$B$104)))-5+1))</f>
        <v/>
      </c>
      <c r="IE11" s="62">
        <f>IF(SUMPRODUCT(('حجز الإجازات'!$B$5:$B$104='الموظفون'!$B$9)*('حجز الإجازات'!$D$5:$D$104&lt;=IE$3)*(('حجز الإجازات'!$E$5:$E$104)&gt;=IE$3)*('حجز الإجازات'!$G$5:$G$104="معتمد")*ROW('حجز الإجازات'!$B$5:$B$104))=0,"",INDEX('حجز الإجازات'!$C$5:$C$104,(SUMPRODUCT(('حجز الإجازات'!$B$5:$B$104='الموظفون'!$B$9)*('حجز الإجازات'!$D$5:$D$104&lt;=IE$3)*(('حجز الإجازات'!$E$5:$E$104)&gt;=IE$3)*('حجز الإجازات'!$G$5:$G$104="معتمد")*ROW('حجز الإجازات'!$B$5:$B$104)))-5+1))</f>
        <v/>
      </c>
      <c r="IF11" s="62">
        <f>IF(SUMPRODUCT(('حجز الإجازات'!$B$5:$B$104='الموظفون'!$B$9)*('حجز الإجازات'!$D$5:$D$104&lt;=IF$3)*(('حجز الإجازات'!$E$5:$E$104)&gt;=IF$3)*('حجز الإجازات'!$G$5:$G$104="معتمد")*ROW('حجز الإجازات'!$B$5:$B$104))=0,"",INDEX('حجز الإجازات'!$C$5:$C$104,(SUMPRODUCT(('حجز الإجازات'!$B$5:$B$104='الموظفون'!$B$9)*('حجز الإجازات'!$D$5:$D$104&lt;=IF$3)*(('حجز الإجازات'!$E$5:$E$104)&gt;=IF$3)*('حجز الإجازات'!$G$5:$G$104="معتمد")*ROW('حجز الإجازات'!$B$5:$B$104)))-5+1))</f>
        <v/>
      </c>
      <c r="IG11" s="62">
        <f>IF(SUMPRODUCT(('حجز الإجازات'!$B$5:$B$104='الموظفون'!$B$9)*('حجز الإجازات'!$D$5:$D$104&lt;=IG$3)*(('حجز الإجازات'!$E$5:$E$104)&gt;=IG$3)*('حجز الإجازات'!$G$5:$G$104="معتمد")*ROW('حجز الإجازات'!$B$5:$B$104))=0,"",INDEX('حجز الإجازات'!$C$5:$C$104,(SUMPRODUCT(('حجز الإجازات'!$B$5:$B$104='الموظفون'!$B$9)*('حجز الإجازات'!$D$5:$D$104&lt;=IG$3)*(('حجز الإجازات'!$E$5:$E$104)&gt;=IG$3)*('حجز الإجازات'!$G$5:$G$104="معتمد")*ROW('حجز الإجازات'!$B$5:$B$104)))-5+1))</f>
        <v/>
      </c>
      <c r="IH11" s="62">
        <f>IF(SUMPRODUCT(('حجز الإجازات'!$B$5:$B$104='الموظفون'!$B$9)*('حجز الإجازات'!$D$5:$D$104&lt;=IH$3)*(('حجز الإجازات'!$E$5:$E$104)&gt;=IH$3)*('حجز الإجازات'!$G$5:$G$104="معتمد")*ROW('حجز الإجازات'!$B$5:$B$104))=0,"",INDEX('حجز الإجازات'!$C$5:$C$104,(SUMPRODUCT(('حجز الإجازات'!$B$5:$B$104='الموظفون'!$B$9)*('حجز الإجازات'!$D$5:$D$104&lt;=IH$3)*(('حجز الإجازات'!$E$5:$E$104)&gt;=IH$3)*('حجز الإجازات'!$G$5:$G$104="معتمد")*ROW('حجز الإجازات'!$B$5:$B$104)))-5+1))</f>
        <v/>
      </c>
      <c r="II11" s="62">
        <f>IF(SUMPRODUCT(('حجز الإجازات'!$B$5:$B$104='الموظفون'!$B$9)*('حجز الإجازات'!$D$5:$D$104&lt;=II$3)*(('حجز الإجازات'!$E$5:$E$104)&gt;=II$3)*('حجز الإجازات'!$G$5:$G$104="معتمد")*ROW('حجز الإجازات'!$B$5:$B$104))=0,"",INDEX('حجز الإجازات'!$C$5:$C$104,(SUMPRODUCT(('حجز الإجازات'!$B$5:$B$104='الموظفون'!$B$9)*('حجز الإجازات'!$D$5:$D$104&lt;=II$3)*(('حجز الإجازات'!$E$5:$E$104)&gt;=II$3)*('حجز الإجازات'!$G$5:$G$104="معتمد")*ROW('حجز الإجازات'!$B$5:$B$104)))-5+1))</f>
        <v/>
      </c>
      <c r="IJ11" s="62">
        <f>IF(SUMPRODUCT(('حجز الإجازات'!$B$5:$B$104='الموظفون'!$B$9)*('حجز الإجازات'!$D$5:$D$104&lt;=IJ$3)*(('حجز الإجازات'!$E$5:$E$104)&gt;=IJ$3)*('حجز الإجازات'!$G$5:$G$104="معتمد")*ROW('حجز الإجازات'!$B$5:$B$104))=0,"",INDEX('حجز الإجازات'!$C$5:$C$104,(SUMPRODUCT(('حجز الإجازات'!$B$5:$B$104='الموظفون'!$B$9)*('حجز الإجازات'!$D$5:$D$104&lt;=IJ$3)*(('حجز الإجازات'!$E$5:$E$104)&gt;=IJ$3)*('حجز الإجازات'!$G$5:$G$104="معتمد")*ROW('حجز الإجازات'!$B$5:$B$104)))-5+1))</f>
        <v/>
      </c>
      <c r="IK11" s="62">
        <f>IF(SUMPRODUCT(('حجز الإجازات'!$B$5:$B$104='الموظفون'!$B$9)*('حجز الإجازات'!$D$5:$D$104&lt;=IK$3)*(('حجز الإجازات'!$E$5:$E$104)&gt;=IK$3)*('حجز الإجازات'!$G$5:$G$104="معتمد")*ROW('حجز الإجازات'!$B$5:$B$104))=0,"",INDEX('حجز الإجازات'!$C$5:$C$104,(SUMPRODUCT(('حجز الإجازات'!$B$5:$B$104='الموظفون'!$B$9)*('حجز الإجازات'!$D$5:$D$104&lt;=IK$3)*(('حجز الإجازات'!$E$5:$E$104)&gt;=IK$3)*('حجز الإجازات'!$G$5:$G$104="معتمد")*ROW('حجز الإجازات'!$B$5:$B$104)))-5+1))</f>
        <v/>
      </c>
      <c r="IL11" s="62">
        <f>IF(SUMPRODUCT(('حجز الإجازات'!$B$5:$B$104='الموظفون'!$B$9)*('حجز الإجازات'!$D$5:$D$104&lt;=IL$3)*(('حجز الإجازات'!$E$5:$E$104)&gt;=IL$3)*('حجز الإجازات'!$G$5:$G$104="معتمد")*ROW('حجز الإجازات'!$B$5:$B$104))=0,"",INDEX('حجز الإجازات'!$C$5:$C$104,(SUMPRODUCT(('حجز الإجازات'!$B$5:$B$104='الموظفون'!$B$9)*('حجز الإجازات'!$D$5:$D$104&lt;=IL$3)*(('حجز الإجازات'!$E$5:$E$104)&gt;=IL$3)*('حجز الإجازات'!$G$5:$G$104="معتمد")*ROW('حجز الإجازات'!$B$5:$B$104)))-5+1))</f>
        <v/>
      </c>
      <c r="IM11" s="62">
        <f>IF(SUMPRODUCT(('حجز الإجازات'!$B$5:$B$104='الموظفون'!$B$9)*('حجز الإجازات'!$D$5:$D$104&lt;=IM$3)*(('حجز الإجازات'!$E$5:$E$104)&gt;=IM$3)*('حجز الإجازات'!$G$5:$G$104="معتمد")*ROW('حجز الإجازات'!$B$5:$B$104))=0,"",INDEX('حجز الإجازات'!$C$5:$C$104,(SUMPRODUCT(('حجز الإجازات'!$B$5:$B$104='الموظفون'!$B$9)*('حجز الإجازات'!$D$5:$D$104&lt;=IM$3)*(('حجز الإجازات'!$E$5:$E$104)&gt;=IM$3)*('حجز الإجازات'!$G$5:$G$104="معتمد")*ROW('حجز الإجازات'!$B$5:$B$104)))-5+1))</f>
        <v/>
      </c>
      <c r="IN11" s="62">
        <f>IF(SUMPRODUCT(('حجز الإجازات'!$B$5:$B$104='الموظفون'!$B$9)*('حجز الإجازات'!$D$5:$D$104&lt;=IN$3)*(('حجز الإجازات'!$E$5:$E$104)&gt;=IN$3)*('حجز الإجازات'!$G$5:$G$104="معتمد")*ROW('حجز الإجازات'!$B$5:$B$104))=0,"",INDEX('حجز الإجازات'!$C$5:$C$104,(SUMPRODUCT(('حجز الإجازات'!$B$5:$B$104='الموظفون'!$B$9)*('حجز الإجازات'!$D$5:$D$104&lt;=IN$3)*(('حجز الإجازات'!$E$5:$E$104)&gt;=IN$3)*('حجز الإجازات'!$G$5:$G$104="معتمد")*ROW('حجز الإجازات'!$B$5:$B$104)))-5+1))</f>
        <v/>
      </c>
      <c r="IO11" s="62">
        <f>IF(SUMPRODUCT(('حجز الإجازات'!$B$5:$B$104='الموظفون'!$B$9)*('حجز الإجازات'!$D$5:$D$104&lt;=IO$3)*(('حجز الإجازات'!$E$5:$E$104)&gt;=IO$3)*('حجز الإجازات'!$G$5:$G$104="معتمد")*ROW('حجز الإجازات'!$B$5:$B$104))=0,"",INDEX('حجز الإجازات'!$C$5:$C$104,(SUMPRODUCT(('حجز الإجازات'!$B$5:$B$104='الموظفون'!$B$9)*('حجز الإجازات'!$D$5:$D$104&lt;=IO$3)*(('حجز الإجازات'!$E$5:$E$104)&gt;=IO$3)*('حجز الإجازات'!$G$5:$G$104="معتمد")*ROW('حجز الإجازات'!$B$5:$B$104)))-5+1))</f>
        <v/>
      </c>
      <c r="IP11" s="62">
        <f>IF(SUMPRODUCT(('حجز الإجازات'!$B$5:$B$104='الموظفون'!$B$9)*('حجز الإجازات'!$D$5:$D$104&lt;=IP$3)*(('حجز الإجازات'!$E$5:$E$104)&gt;=IP$3)*('حجز الإجازات'!$G$5:$G$104="معتمد")*ROW('حجز الإجازات'!$B$5:$B$104))=0,"",INDEX('حجز الإجازات'!$C$5:$C$104,(SUMPRODUCT(('حجز الإجازات'!$B$5:$B$104='الموظفون'!$B$9)*('حجز الإجازات'!$D$5:$D$104&lt;=IP$3)*(('حجز الإجازات'!$E$5:$E$104)&gt;=IP$3)*('حجز الإجازات'!$G$5:$G$104="معتمد")*ROW('حجز الإجازات'!$B$5:$B$104)))-5+1))</f>
        <v/>
      </c>
      <c r="IQ11" s="62">
        <f>IF(SUMPRODUCT(('حجز الإجازات'!$B$5:$B$104='الموظفون'!$B$9)*('حجز الإجازات'!$D$5:$D$104&lt;=IQ$3)*(('حجز الإجازات'!$E$5:$E$104)&gt;=IQ$3)*('حجز الإجازات'!$G$5:$G$104="معتمد")*ROW('حجز الإجازات'!$B$5:$B$104))=0,"",INDEX('حجز الإجازات'!$C$5:$C$104,(SUMPRODUCT(('حجز الإجازات'!$B$5:$B$104='الموظفون'!$B$9)*('حجز الإجازات'!$D$5:$D$104&lt;=IQ$3)*(('حجز الإجازات'!$E$5:$E$104)&gt;=IQ$3)*('حجز الإجازات'!$G$5:$G$104="معتمد")*ROW('حجز الإجازات'!$B$5:$B$104)))-5+1))</f>
        <v/>
      </c>
      <c r="IR11" s="62">
        <f>IF(SUMPRODUCT(('حجز الإجازات'!$B$5:$B$104='الموظفون'!$B$9)*('حجز الإجازات'!$D$5:$D$104&lt;=IR$3)*(('حجز الإجازات'!$E$5:$E$104)&gt;=IR$3)*('حجز الإجازات'!$G$5:$G$104="معتمد")*ROW('حجز الإجازات'!$B$5:$B$104))=0,"",INDEX('حجز الإجازات'!$C$5:$C$104,(SUMPRODUCT(('حجز الإجازات'!$B$5:$B$104='الموظفون'!$B$9)*('حجز الإجازات'!$D$5:$D$104&lt;=IR$3)*(('حجز الإجازات'!$E$5:$E$104)&gt;=IR$3)*('حجز الإجازات'!$G$5:$G$104="معتمد")*ROW('حجز الإجازات'!$B$5:$B$104)))-5+1))</f>
        <v/>
      </c>
      <c r="IS11" s="62">
        <f>IF(SUMPRODUCT(('حجز الإجازات'!$B$5:$B$104='الموظفون'!$B$9)*('حجز الإجازات'!$D$5:$D$104&lt;=IS$3)*(('حجز الإجازات'!$E$5:$E$104)&gt;=IS$3)*('حجز الإجازات'!$G$5:$G$104="معتمد")*ROW('حجز الإجازات'!$B$5:$B$104))=0,"",INDEX('حجز الإجازات'!$C$5:$C$104,(SUMPRODUCT(('حجز الإجازات'!$B$5:$B$104='الموظفون'!$B$9)*('حجز الإجازات'!$D$5:$D$104&lt;=IS$3)*(('حجز الإجازات'!$E$5:$E$104)&gt;=IS$3)*('حجز الإجازات'!$G$5:$G$104="معتمد")*ROW('حجز الإجازات'!$B$5:$B$104)))-5+1))</f>
        <v/>
      </c>
      <c r="IT11" s="62">
        <f>IF(SUMPRODUCT(('حجز الإجازات'!$B$5:$B$104='الموظفون'!$B$9)*('حجز الإجازات'!$D$5:$D$104&lt;=IT$3)*(('حجز الإجازات'!$E$5:$E$104)&gt;=IT$3)*('حجز الإجازات'!$G$5:$G$104="معتمد")*ROW('حجز الإجازات'!$B$5:$B$104))=0,"",INDEX('حجز الإجازات'!$C$5:$C$104,(SUMPRODUCT(('حجز الإجازات'!$B$5:$B$104='الموظفون'!$B$9)*('حجز الإجازات'!$D$5:$D$104&lt;=IT$3)*(('حجز الإجازات'!$E$5:$E$104)&gt;=IT$3)*('حجز الإجازات'!$G$5:$G$104="معتمد")*ROW('حجز الإجازات'!$B$5:$B$104)))-5+1))</f>
        <v/>
      </c>
      <c r="IU11" s="62">
        <f>IF(SUMPRODUCT(('حجز الإجازات'!$B$5:$B$104='الموظفون'!$B$9)*('حجز الإجازات'!$D$5:$D$104&lt;=IU$3)*(('حجز الإجازات'!$E$5:$E$104)&gt;=IU$3)*('حجز الإجازات'!$G$5:$G$104="معتمد")*ROW('حجز الإجازات'!$B$5:$B$104))=0,"",INDEX('حجز الإجازات'!$C$5:$C$104,(SUMPRODUCT(('حجز الإجازات'!$B$5:$B$104='الموظفون'!$B$9)*('حجز الإجازات'!$D$5:$D$104&lt;=IU$3)*(('حجز الإجازات'!$E$5:$E$104)&gt;=IU$3)*('حجز الإجازات'!$G$5:$G$104="معتمد")*ROW('حجز الإجازات'!$B$5:$B$104)))-5+1))</f>
        <v/>
      </c>
      <c r="IV11" s="62">
        <f>IF(SUMPRODUCT(('حجز الإجازات'!$B$5:$B$104='الموظفون'!$B$9)*('حجز الإجازات'!$D$5:$D$104&lt;=IV$3)*(('حجز الإجازات'!$E$5:$E$104)&gt;=IV$3)*('حجز الإجازات'!$G$5:$G$104="معتمد")*ROW('حجز الإجازات'!$B$5:$B$104))=0,"",INDEX('حجز الإجازات'!$C$5:$C$104,(SUMPRODUCT(('حجز الإجازات'!$B$5:$B$104='الموظفون'!$B$9)*('حجز الإجازات'!$D$5:$D$104&lt;=IV$3)*(('حجز الإجازات'!$E$5:$E$104)&gt;=IV$3)*('حجز الإجازات'!$G$5:$G$104="معتمد")*ROW('حجز الإجازات'!$B$5:$B$104)))-5+1))</f>
        <v/>
      </c>
      <c r="IW11" s="62">
        <f>IF(SUMPRODUCT(('حجز الإجازات'!$B$5:$B$104='الموظفون'!$B$9)*('حجز الإجازات'!$D$5:$D$104&lt;=IW$3)*(('حجز الإجازات'!$E$5:$E$104)&gt;=IW$3)*('حجز الإجازات'!$G$5:$G$104="معتمد")*ROW('حجز الإجازات'!$B$5:$B$104))=0,"",INDEX('حجز الإجازات'!$C$5:$C$104,(SUMPRODUCT(('حجز الإجازات'!$B$5:$B$104='الموظفون'!$B$9)*('حجز الإجازات'!$D$5:$D$104&lt;=IW$3)*(('حجز الإجازات'!$E$5:$E$104)&gt;=IW$3)*('حجز الإجازات'!$G$5:$G$104="معتمد")*ROW('حجز الإجازات'!$B$5:$B$104)))-5+1))</f>
        <v/>
      </c>
      <c r="IX11" s="62">
        <f>IF(SUMPRODUCT(('حجز الإجازات'!$B$5:$B$104='الموظفون'!$B$9)*('حجز الإجازات'!$D$5:$D$104&lt;=IX$3)*(('حجز الإجازات'!$E$5:$E$104)&gt;=IX$3)*('حجز الإجازات'!$G$5:$G$104="معتمد")*ROW('حجز الإجازات'!$B$5:$B$104))=0,"",INDEX('حجز الإجازات'!$C$5:$C$104,(SUMPRODUCT(('حجز الإجازات'!$B$5:$B$104='الموظفون'!$B$9)*('حجز الإجازات'!$D$5:$D$104&lt;=IX$3)*(('حجز الإجازات'!$E$5:$E$104)&gt;=IX$3)*('حجز الإجازات'!$G$5:$G$104="معتمد")*ROW('حجز الإجازات'!$B$5:$B$104)))-5+1))</f>
        <v/>
      </c>
      <c r="IY11" s="62">
        <f>IF(SUMPRODUCT(('حجز الإجازات'!$B$5:$B$104='الموظفون'!$B$9)*('حجز الإجازات'!$D$5:$D$104&lt;=IY$3)*(('حجز الإجازات'!$E$5:$E$104)&gt;=IY$3)*('حجز الإجازات'!$G$5:$G$104="معتمد")*ROW('حجز الإجازات'!$B$5:$B$104))=0,"",INDEX('حجز الإجازات'!$C$5:$C$104,(SUMPRODUCT(('حجز الإجازات'!$B$5:$B$104='الموظفون'!$B$9)*('حجز الإجازات'!$D$5:$D$104&lt;=IY$3)*(('حجز الإجازات'!$E$5:$E$104)&gt;=IY$3)*('حجز الإجازات'!$G$5:$G$104="معتمد")*ROW('حجز الإجازات'!$B$5:$B$104)))-5+1))</f>
        <v/>
      </c>
      <c r="IZ11" s="62">
        <f>IF(SUMPRODUCT(('حجز الإجازات'!$B$5:$B$104='الموظفون'!$B$9)*('حجز الإجازات'!$D$5:$D$104&lt;=IZ$3)*(('حجز الإجازات'!$E$5:$E$104)&gt;=IZ$3)*('حجز الإجازات'!$G$5:$G$104="معتمد")*ROW('حجز الإجازات'!$B$5:$B$104))=0,"",INDEX('حجز الإجازات'!$C$5:$C$104,(SUMPRODUCT(('حجز الإجازات'!$B$5:$B$104='الموظفون'!$B$9)*('حجز الإجازات'!$D$5:$D$104&lt;=IZ$3)*(('حجز الإجازات'!$E$5:$E$104)&gt;=IZ$3)*('حجز الإجازات'!$G$5:$G$104="معتمد")*ROW('حجز الإجازات'!$B$5:$B$104)))-5+1))</f>
        <v/>
      </c>
      <c r="JA11" s="62">
        <f>IF(SUMPRODUCT(('حجز الإجازات'!$B$5:$B$104='الموظفون'!$B$9)*('حجز الإجازات'!$D$5:$D$104&lt;=JA$3)*(('حجز الإجازات'!$E$5:$E$104)&gt;=JA$3)*('حجز الإجازات'!$G$5:$G$104="معتمد")*ROW('حجز الإجازات'!$B$5:$B$104))=0,"",INDEX('حجز الإجازات'!$C$5:$C$104,(SUMPRODUCT(('حجز الإجازات'!$B$5:$B$104='الموظفون'!$B$9)*('حجز الإجازات'!$D$5:$D$104&lt;=JA$3)*(('حجز الإجازات'!$E$5:$E$104)&gt;=JA$3)*('حجز الإجازات'!$G$5:$G$104="معتمد")*ROW('حجز الإجازات'!$B$5:$B$104)))-5+1))</f>
        <v/>
      </c>
      <c r="JB11" s="62">
        <f>IF(SUMPRODUCT(('حجز الإجازات'!$B$5:$B$104='الموظفون'!$B$9)*('حجز الإجازات'!$D$5:$D$104&lt;=JB$3)*(('حجز الإجازات'!$E$5:$E$104)&gt;=JB$3)*('حجز الإجازات'!$G$5:$G$104="معتمد")*ROW('حجز الإجازات'!$B$5:$B$104))=0,"",INDEX('حجز الإجازات'!$C$5:$C$104,(SUMPRODUCT(('حجز الإجازات'!$B$5:$B$104='الموظفون'!$B$9)*('حجز الإجازات'!$D$5:$D$104&lt;=JB$3)*(('حجز الإجازات'!$E$5:$E$104)&gt;=JB$3)*('حجز الإجازات'!$G$5:$G$104="معتمد")*ROW('حجز الإجازات'!$B$5:$B$104)))-5+1))</f>
        <v/>
      </c>
      <c r="JC11" s="62">
        <f>IF(SUMPRODUCT(('حجز الإجازات'!$B$5:$B$104='الموظفون'!$B$9)*('حجز الإجازات'!$D$5:$D$104&lt;=JC$3)*(('حجز الإجازات'!$E$5:$E$104)&gt;=JC$3)*('حجز الإجازات'!$G$5:$G$104="معتمد")*ROW('حجز الإجازات'!$B$5:$B$104))=0,"",INDEX('حجز الإجازات'!$C$5:$C$104,(SUMPRODUCT(('حجز الإجازات'!$B$5:$B$104='الموظفون'!$B$9)*('حجز الإجازات'!$D$5:$D$104&lt;=JC$3)*(('حجز الإجازات'!$E$5:$E$104)&gt;=JC$3)*('حجز الإجازات'!$G$5:$G$104="معتمد")*ROW('حجز الإجازات'!$B$5:$B$104)))-5+1))</f>
        <v/>
      </c>
      <c r="JD11" s="62">
        <f>IF(SUMPRODUCT(('حجز الإجازات'!$B$5:$B$104='الموظفون'!$B$9)*('حجز الإجازات'!$D$5:$D$104&lt;=JD$3)*(('حجز الإجازات'!$E$5:$E$104)&gt;=JD$3)*('حجز الإجازات'!$G$5:$G$104="معتمد")*ROW('حجز الإجازات'!$B$5:$B$104))=0,"",INDEX('حجز الإجازات'!$C$5:$C$104,(SUMPRODUCT(('حجز الإجازات'!$B$5:$B$104='الموظفون'!$B$9)*('حجز الإجازات'!$D$5:$D$104&lt;=JD$3)*(('حجز الإجازات'!$E$5:$E$104)&gt;=JD$3)*('حجز الإجازات'!$G$5:$G$104="معتمد")*ROW('حجز الإجازات'!$B$5:$B$104)))-5+1))</f>
        <v/>
      </c>
      <c r="JE11" s="62">
        <f>IF(SUMPRODUCT(('حجز الإجازات'!$B$5:$B$104='الموظفون'!$B$9)*('حجز الإجازات'!$D$5:$D$104&lt;=JE$3)*(('حجز الإجازات'!$E$5:$E$104)&gt;=JE$3)*('حجز الإجازات'!$G$5:$G$104="معتمد")*ROW('حجز الإجازات'!$B$5:$B$104))=0,"",INDEX('حجز الإجازات'!$C$5:$C$104,(SUMPRODUCT(('حجز الإجازات'!$B$5:$B$104='الموظفون'!$B$9)*('حجز الإجازات'!$D$5:$D$104&lt;=JE$3)*(('حجز الإجازات'!$E$5:$E$104)&gt;=JE$3)*('حجز الإجازات'!$G$5:$G$104="معتمد")*ROW('حجز الإجازات'!$B$5:$B$104)))-5+1))</f>
        <v/>
      </c>
      <c r="JF11" s="62">
        <f>IF(SUMPRODUCT(('حجز الإجازات'!$B$5:$B$104='الموظفون'!$B$9)*('حجز الإجازات'!$D$5:$D$104&lt;=JF$3)*(('حجز الإجازات'!$E$5:$E$104)&gt;=JF$3)*('حجز الإجازات'!$G$5:$G$104="معتمد")*ROW('حجز الإجازات'!$B$5:$B$104))=0,"",INDEX('حجز الإجازات'!$C$5:$C$104,(SUMPRODUCT(('حجز الإجازات'!$B$5:$B$104='الموظفون'!$B$9)*('حجز الإجازات'!$D$5:$D$104&lt;=JF$3)*(('حجز الإجازات'!$E$5:$E$104)&gt;=JF$3)*('حجز الإجازات'!$G$5:$G$104="معتمد")*ROW('حجز الإجازات'!$B$5:$B$104)))-5+1))</f>
        <v/>
      </c>
      <c r="JG11" s="62">
        <f>IF(SUMPRODUCT(('حجز الإجازات'!$B$5:$B$104='الموظفون'!$B$9)*('حجز الإجازات'!$D$5:$D$104&lt;=JG$3)*(('حجز الإجازات'!$E$5:$E$104)&gt;=JG$3)*('حجز الإجازات'!$G$5:$G$104="معتمد")*ROW('حجز الإجازات'!$B$5:$B$104))=0,"",INDEX('حجز الإجازات'!$C$5:$C$104,(SUMPRODUCT(('حجز الإجازات'!$B$5:$B$104='الموظفون'!$B$9)*('حجز الإجازات'!$D$5:$D$104&lt;=JG$3)*(('حجز الإجازات'!$E$5:$E$104)&gt;=JG$3)*('حجز الإجازات'!$G$5:$G$104="معتمد")*ROW('حجز الإجازات'!$B$5:$B$104)))-5+1))</f>
        <v/>
      </c>
      <c r="JH11" s="62">
        <f>IF(SUMPRODUCT(('حجز الإجازات'!$B$5:$B$104='الموظفون'!$B$9)*('حجز الإجازات'!$D$5:$D$104&lt;=JH$3)*(('حجز الإجازات'!$E$5:$E$104)&gt;=JH$3)*('حجز الإجازات'!$G$5:$G$104="معتمد")*ROW('حجز الإجازات'!$B$5:$B$104))=0,"",INDEX('حجز الإجازات'!$C$5:$C$104,(SUMPRODUCT(('حجز الإجازات'!$B$5:$B$104='الموظفون'!$B$9)*('حجز الإجازات'!$D$5:$D$104&lt;=JH$3)*(('حجز الإجازات'!$E$5:$E$104)&gt;=JH$3)*('حجز الإجازات'!$G$5:$G$104="معتمد")*ROW('حجز الإجازات'!$B$5:$B$104)))-5+1))</f>
        <v/>
      </c>
      <c r="JI11" s="62">
        <f>IF(SUMPRODUCT(('حجز الإجازات'!$B$5:$B$104='الموظفون'!$B$9)*('حجز الإجازات'!$D$5:$D$104&lt;=JI$3)*(('حجز الإجازات'!$E$5:$E$104)&gt;=JI$3)*('حجز الإجازات'!$G$5:$G$104="معتمد")*ROW('حجز الإجازات'!$B$5:$B$104))=0,"",INDEX('حجز الإجازات'!$C$5:$C$104,(SUMPRODUCT(('حجز الإجازات'!$B$5:$B$104='الموظفون'!$B$9)*('حجز الإجازات'!$D$5:$D$104&lt;=JI$3)*(('حجز الإجازات'!$E$5:$E$104)&gt;=JI$3)*('حجز الإجازات'!$G$5:$G$104="معتمد")*ROW('حجز الإجازات'!$B$5:$B$104)))-5+1))</f>
        <v/>
      </c>
      <c r="JJ11" s="62">
        <f>IF(SUMPRODUCT(('حجز الإجازات'!$B$5:$B$104='الموظفون'!$B$9)*('حجز الإجازات'!$D$5:$D$104&lt;=JJ$3)*(('حجز الإجازات'!$E$5:$E$104)&gt;=JJ$3)*('حجز الإجازات'!$G$5:$G$104="معتمد")*ROW('حجز الإجازات'!$B$5:$B$104))=0,"",INDEX('حجز الإجازات'!$C$5:$C$104,(SUMPRODUCT(('حجز الإجازات'!$B$5:$B$104='الموظفون'!$B$9)*('حجز الإجازات'!$D$5:$D$104&lt;=JJ$3)*(('حجز الإجازات'!$E$5:$E$104)&gt;=JJ$3)*('حجز الإجازات'!$G$5:$G$104="معتمد")*ROW('حجز الإجازات'!$B$5:$B$104)))-5+1))</f>
        <v/>
      </c>
      <c r="JK11" s="62">
        <f>IF(SUMPRODUCT(('حجز الإجازات'!$B$5:$B$104='الموظفون'!$B$9)*('حجز الإجازات'!$D$5:$D$104&lt;=JK$3)*(('حجز الإجازات'!$E$5:$E$104)&gt;=JK$3)*('حجز الإجازات'!$G$5:$G$104="معتمد")*ROW('حجز الإجازات'!$B$5:$B$104))=0,"",INDEX('حجز الإجازات'!$C$5:$C$104,(SUMPRODUCT(('حجز الإجازات'!$B$5:$B$104='الموظفون'!$B$9)*('حجز الإجازات'!$D$5:$D$104&lt;=JK$3)*(('حجز الإجازات'!$E$5:$E$104)&gt;=JK$3)*('حجز الإجازات'!$G$5:$G$104="معتمد")*ROW('حجز الإجازات'!$B$5:$B$104)))-5+1))</f>
        <v/>
      </c>
      <c r="JL11" s="62">
        <f>IF(SUMPRODUCT(('حجز الإجازات'!$B$5:$B$104='الموظفون'!$B$9)*('حجز الإجازات'!$D$5:$D$104&lt;=JL$3)*(('حجز الإجازات'!$E$5:$E$104)&gt;=JL$3)*('حجز الإجازات'!$G$5:$G$104="معتمد")*ROW('حجز الإجازات'!$B$5:$B$104))=0,"",INDEX('حجز الإجازات'!$C$5:$C$104,(SUMPRODUCT(('حجز الإجازات'!$B$5:$B$104='الموظفون'!$B$9)*('حجز الإجازات'!$D$5:$D$104&lt;=JL$3)*(('حجز الإجازات'!$E$5:$E$104)&gt;=JL$3)*('حجز الإجازات'!$G$5:$G$104="معتمد")*ROW('حجز الإجازات'!$B$5:$B$104)))-5+1))</f>
        <v/>
      </c>
      <c r="JM11" s="62">
        <f>IF(SUMPRODUCT(('حجز الإجازات'!$B$5:$B$104='الموظفون'!$B$9)*('حجز الإجازات'!$D$5:$D$104&lt;=JM$3)*(('حجز الإجازات'!$E$5:$E$104)&gt;=JM$3)*('حجز الإجازات'!$G$5:$G$104="معتمد")*ROW('حجز الإجازات'!$B$5:$B$104))=0,"",INDEX('حجز الإجازات'!$C$5:$C$104,(SUMPRODUCT(('حجز الإجازات'!$B$5:$B$104='الموظفون'!$B$9)*('حجز الإجازات'!$D$5:$D$104&lt;=JM$3)*(('حجز الإجازات'!$E$5:$E$104)&gt;=JM$3)*('حجز الإجازات'!$G$5:$G$104="معتمد")*ROW('حجز الإجازات'!$B$5:$B$104)))-5+1))</f>
        <v/>
      </c>
      <c r="JN11" s="62">
        <f>IF(SUMPRODUCT(('حجز الإجازات'!$B$5:$B$104='الموظفون'!$B$9)*('حجز الإجازات'!$D$5:$D$104&lt;=JN$3)*(('حجز الإجازات'!$E$5:$E$104)&gt;=JN$3)*('حجز الإجازات'!$G$5:$G$104="معتمد")*ROW('حجز الإجازات'!$B$5:$B$104))=0,"",INDEX('حجز الإجازات'!$C$5:$C$104,(SUMPRODUCT(('حجز الإجازات'!$B$5:$B$104='الموظفون'!$B$9)*('حجز الإجازات'!$D$5:$D$104&lt;=JN$3)*(('حجز الإجازات'!$E$5:$E$104)&gt;=JN$3)*('حجز الإجازات'!$G$5:$G$104="معتمد")*ROW('حجز الإجازات'!$B$5:$B$104)))-5+1))</f>
        <v/>
      </c>
      <c r="JO11" s="62">
        <f>IF(SUMPRODUCT(('حجز الإجازات'!$B$5:$B$104='الموظفون'!$B$9)*('حجز الإجازات'!$D$5:$D$104&lt;=JO$3)*(('حجز الإجازات'!$E$5:$E$104)&gt;=JO$3)*('حجز الإجازات'!$G$5:$G$104="معتمد")*ROW('حجز الإجازات'!$B$5:$B$104))=0,"",INDEX('حجز الإجازات'!$C$5:$C$104,(SUMPRODUCT(('حجز الإجازات'!$B$5:$B$104='الموظفون'!$B$9)*('حجز الإجازات'!$D$5:$D$104&lt;=JO$3)*(('حجز الإجازات'!$E$5:$E$104)&gt;=JO$3)*('حجز الإجازات'!$G$5:$G$104="معتمد")*ROW('حجز الإجازات'!$B$5:$B$104)))-5+1))</f>
        <v/>
      </c>
      <c r="JP11" s="62">
        <f>IF(SUMPRODUCT(('حجز الإجازات'!$B$5:$B$104='الموظفون'!$B$9)*('حجز الإجازات'!$D$5:$D$104&lt;=JP$3)*(('حجز الإجازات'!$E$5:$E$104)&gt;=JP$3)*('حجز الإجازات'!$G$5:$G$104="معتمد")*ROW('حجز الإجازات'!$B$5:$B$104))=0,"",INDEX('حجز الإجازات'!$C$5:$C$104,(SUMPRODUCT(('حجز الإجازات'!$B$5:$B$104='الموظفون'!$B$9)*('حجز الإجازات'!$D$5:$D$104&lt;=JP$3)*(('حجز الإجازات'!$E$5:$E$104)&gt;=JP$3)*('حجز الإجازات'!$G$5:$G$104="معتمد")*ROW('حجز الإجازات'!$B$5:$B$104)))-5+1))</f>
        <v/>
      </c>
      <c r="JQ11" s="62">
        <f>IF(SUMPRODUCT(('حجز الإجازات'!$B$5:$B$104='الموظفون'!$B$9)*('حجز الإجازات'!$D$5:$D$104&lt;=JQ$3)*(('حجز الإجازات'!$E$5:$E$104)&gt;=JQ$3)*('حجز الإجازات'!$G$5:$G$104="معتمد")*ROW('حجز الإجازات'!$B$5:$B$104))=0,"",INDEX('حجز الإجازات'!$C$5:$C$104,(SUMPRODUCT(('حجز الإجازات'!$B$5:$B$104='الموظفون'!$B$9)*('حجز الإجازات'!$D$5:$D$104&lt;=JQ$3)*(('حجز الإجازات'!$E$5:$E$104)&gt;=JQ$3)*('حجز الإجازات'!$G$5:$G$104="معتمد")*ROW('حجز الإجازات'!$B$5:$B$104)))-5+1))</f>
        <v/>
      </c>
      <c r="JR11" s="62">
        <f>IF(SUMPRODUCT(('حجز الإجازات'!$B$5:$B$104='الموظفون'!$B$9)*('حجز الإجازات'!$D$5:$D$104&lt;=JR$3)*(('حجز الإجازات'!$E$5:$E$104)&gt;=JR$3)*('حجز الإجازات'!$G$5:$G$104="معتمد")*ROW('حجز الإجازات'!$B$5:$B$104))=0,"",INDEX('حجز الإجازات'!$C$5:$C$104,(SUMPRODUCT(('حجز الإجازات'!$B$5:$B$104='الموظفون'!$B$9)*('حجز الإجازات'!$D$5:$D$104&lt;=JR$3)*(('حجز الإجازات'!$E$5:$E$104)&gt;=JR$3)*('حجز الإجازات'!$G$5:$G$104="معتمد")*ROW('حجز الإجازات'!$B$5:$B$104)))-5+1))</f>
        <v/>
      </c>
      <c r="JS11" s="62">
        <f>IF(SUMPRODUCT(('حجز الإجازات'!$B$5:$B$104='الموظفون'!$B$9)*('حجز الإجازات'!$D$5:$D$104&lt;=JS$3)*(('حجز الإجازات'!$E$5:$E$104)&gt;=JS$3)*('حجز الإجازات'!$G$5:$G$104="معتمد")*ROW('حجز الإجازات'!$B$5:$B$104))=0,"",INDEX('حجز الإجازات'!$C$5:$C$104,(SUMPRODUCT(('حجز الإجازات'!$B$5:$B$104='الموظفون'!$B$9)*('حجز الإجازات'!$D$5:$D$104&lt;=JS$3)*(('حجز الإجازات'!$E$5:$E$104)&gt;=JS$3)*('حجز الإجازات'!$G$5:$G$104="معتمد")*ROW('حجز الإجازات'!$B$5:$B$104)))-5+1))</f>
        <v/>
      </c>
      <c r="JT11" s="62">
        <f>IF(SUMPRODUCT(('حجز الإجازات'!$B$5:$B$104='الموظفون'!$B$9)*('حجز الإجازات'!$D$5:$D$104&lt;=JT$3)*(('حجز الإجازات'!$E$5:$E$104)&gt;=JT$3)*('حجز الإجازات'!$G$5:$G$104="معتمد")*ROW('حجز الإجازات'!$B$5:$B$104))=0,"",INDEX('حجز الإجازات'!$C$5:$C$104,(SUMPRODUCT(('حجز الإجازات'!$B$5:$B$104='الموظفون'!$B$9)*('حجز الإجازات'!$D$5:$D$104&lt;=JT$3)*(('حجز الإجازات'!$E$5:$E$104)&gt;=JT$3)*('حجز الإجازات'!$G$5:$G$104="معتمد")*ROW('حجز الإجازات'!$B$5:$B$104)))-5+1))</f>
        <v/>
      </c>
      <c r="JU11" s="62">
        <f>IF(SUMPRODUCT(('حجز الإجازات'!$B$5:$B$104='الموظفون'!$B$9)*('حجز الإجازات'!$D$5:$D$104&lt;=JU$3)*(('حجز الإجازات'!$E$5:$E$104)&gt;=JU$3)*('حجز الإجازات'!$G$5:$G$104="معتمد")*ROW('حجز الإجازات'!$B$5:$B$104))=0,"",INDEX('حجز الإجازات'!$C$5:$C$104,(SUMPRODUCT(('حجز الإجازات'!$B$5:$B$104='الموظفون'!$B$9)*('حجز الإجازات'!$D$5:$D$104&lt;=JU$3)*(('حجز الإجازات'!$E$5:$E$104)&gt;=JU$3)*('حجز الإجازات'!$G$5:$G$104="معتمد")*ROW('حجز الإجازات'!$B$5:$B$104)))-5+1))</f>
        <v/>
      </c>
      <c r="JV11" s="62">
        <f>IF(SUMPRODUCT(('حجز الإجازات'!$B$5:$B$104='الموظفون'!$B$9)*('حجز الإجازات'!$D$5:$D$104&lt;=JV$3)*(('حجز الإجازات'!$E$5:$E$104)&gt;=JV$3)*('حجز الإجازات'!$G$5:$G$104="معتمد")*ROW('حجز الإجازات'!$B$5:$B$104))=0,"",INDEX('حجز الإجازات'!$C$5:$C$104,(SUMPRODUCT(('حجز الإجازات'!$B$5:$B$104='الموظفون'!$B$9)*('حجز الإجازات'!$D$5:$D$104&lt;=JV$3)*(('حجز الإجازات'!$E$5:$E$104)&gt;=JV$3)*('حجز الإجازات'!$G$5:$G$104="معتمد")*ROW('حجز الإجازات'!$B$5:$B$104)))-5+1))</f>
        <v/>
      </c>
      <c r="JW11" s="62">
        <f>IF(SUMPRODUCT(('حجز الإجازات'!$B$5:$B$104='الموظفون'!$B$9)*('حجز الإجازات'!$D$5:$D$104&lt;=JW$3)*(('حجز الإجازات'!$E$5:$E$104)&gt;=JW$3)*('حجز الإجازات'!$G$5:$G$104="معتمد")*ROW('حجز الإجازات'!$B$5:$B$104))=0,"",INDEX('حجز الإجازات'!$C$5:$C$104,(SUMPRODUCT(('حجز الإجازات'!$B$5:$B$104='الموظفون'!$B$9)*('حجز الإجازات'!$D$5:$D$104&lt;=JW$3)*(('حجز الإجازات'!$E$5:$E$104)&gt;=JW$3)*('حجز الإجازات'!$G$5:$G$104="معتمد")*ROW('حجز الإجازات'!$B$5:$B$104)))-5+1))</f>
        <v/>
      </c>
      <c r="JX11" s="62">
        <f>IF(SUMPRODUCT(('حجز الإجازات'!$B$5:$B$104='الموظفون'!$B$9)*('حجز الإجازات'!$D$5:$D$104&lt;=JX$3)*(('حجز الإجازات'!$E$5:$E$104)&gt;=JX$3)*('حجز الإجازات'!$G$5:$G$104="معتمد")*ROW('حجز الإجازات'!$B$5:$B$104))=0,"",INDEX('حجز الإجازات'!$C$5:$C$104,(SUMPRODUCT(('حجز الإجازات'!$B$5:$B$104='الموظفون'!$B$9)*('حجز الإجازات'!$D$5:$D$104&lt;=JX$3)*(('حجز الإجازات'!$E$5:$E$104)&gt;=JX$3)*('حجز الإجازات'!$G$5:$G$104="معتمد")*ROW('حجز الإجازات'!$B$5:$B$104)))-5+1))</f>
        <v/>
      </c>
      <c r="JY11" s="62">
        <f>IF(SUMPRODUCT(('حجز الإجازات'!$B$5:$B$104='الموظفون'!$B$9)*('حجز الإجازات'!$D$5:$D$104&lt;=JY$3)*(('حجز الإجازات'!$E$5:$E$104)&gt;=JY$3)*('حجز الإجازات'!$G$5:$G$104="معتمد")*ROW('حجز الإجازات'!$B$5:$B$104))=0,"",INDEX('حجز الإجازات'!$C$5:$C$104,(SUMPRODUCT(('حجز الإجازات'!$B$5:$B$104='الموظفون'!$B$9)*('حجز الإجازات'!$D$5:$D$104&lt;=JY$3)*(('حجز الإجازات'!$E$5:$E$104)&gt;=JY$3)*('حجز الإجازات'!$G$5:$G$104="معتمد")*ROW('حجز الإجازات'!$B$5:$B$104)))-5+1))</f>
        <v/>
      </c>
      <c r="JZ11" s="62">
        <f>IF(SUMPRODUCT(('حجز الإجازات'!$B$5:$B$104='الموظفون'!$B$9)*('حجز الإجازات'!$D$5:$D$104&lt;=JZ$3)*(('حجز الإجازات'!$E$5:$E$104)&gt;=JZ$3)*('حجز الإجازات'!$G$5:$G$104="معتمد")*ROW('حجز الإجازات'!$B$5:$B$104))=0,"",INDEX('حجز الإجازات'!$C$5:$C$104,(SUMPRODUCT(('حجز الإجازات'!$B$5:$B$104='الموظفون'!$B$9)*('حجز الإجازات'!$D$5:$D$104&lt;=JZ$3)*(('حجز الإجازات'!$E$5:$E$104)&gt;=JZ$3)*('حجز الإجازات'!$G$5:$G$104="معتمد")*ROW('حجز الإجازات'!$B$5:$B$104)))-5+1))</f>
        <v/>
      </c>
      <c r="KA11" s="62">
        <f>IF(SUMPRODUCT(('حجز الإجازات'!$B$5:$B$104='الموظفون'!$B$9)*('حجز الإجازات'!$D$5:$D$104&lt;=KA$3)*(('حجز الإجازات'!$E$5:$E$104)&gt;=KA$3)*('حجز الإجازات'!$G$5:$G$104="معتمد")*ROW('حجز الإجازات'!$B$5:$B$104))=0,"",INDEX('حجز الإجازات'!$C$5:$C$104,(SUMPRODUCT(('حجز الإجازات'!$B$5:$B$104='الموظفون'!$B$9)*('حجز الإجازات'!$D$5:$D$104&lt;=KA$3)*(('حجز الإجازات'!$E$5:$E$104)&gt;=KA$3)*('حجز الإجازات'!$G$5:$G$104="معتمد")*ROW('حجز الإجازات'!$B$5:$B$104)))-5+1))</f>
        <v/>
      </c>
      <c r="KB11" s="62">
        <f>IF(SUMPRODUCT(('حجز الإجازات'!$B$5:$B$104='الموظفون'!$B$9)*('حجز الإجازات'!$D$5:$D$104&lt;=KB$3)*(('حجز الإجازات'!$E$5:$E$104)&gt;=KB$3)*('حجز الإجازات'!$G$5:$G$104="معتمد")*ROW('حجز الإجازات'!$B$5:$B$104))=0,"",INDEX('حجز الإجازات'!$C$5:$C$104,(SUMPRODUCT(('حجز الإجازات'!$B$5:$B$104='الموظفون'!$B$9)*('حجز الإجازات'!$D$5:$D$104&lt;=KB$3)*(('حجز الإجازات'!$E$5:$E$104)&gt;=KB$3)*('حجز الإجازات'!$G$5:$G$104="معتمد")*ROW('حجز الإجازات'!$B$5:$B$104)))-5+1))</f>
        <v/>
      </c>
      <c r="KC11" s="62">
        <f>IF(SUMPRODUCT(('حجز الإجازات'!$B$5:$B$104='الموظفون'!$B$9)*('حجز الإجازات'!$D$5:$D$104&lt;=KC$3)*(('حجز الإجازات'!$E$5:$E$104)&gt;=KC$3)*('حجز الإجازات'!$G$5:$G$104="معتمد")*ROW('حجز الإجازات'!$B$5:$B$104))=0,"",INDEX('حجز الإجازات'!$C$5:$C$104,(SUMPRODUCT(('حجز الإجازات'!$B$5:$B$104='الموظفون'!$B$9)*('حجز الإجازات'!$D$5:$D$104&lt;=KC$3)*(('حجز الإجازات'!$E$5:$E$104)&gt;=KC$3)*('حجز الإجازات'!$G$5:$G$104="معتمد")*ROW('حجز الإجازات'!$B$5:$B$104)))-5+1))</f>
        <v/>
      </c>
      <c r="KD11" s="62">
        <f>IF(SUMPRODUCT(('حجز الإجازات'!$B$5:$B$104='الموظفون'!$B$9)*('حجز الإجازات'!$D$5:$D$104&lt;=KD$3)*(('حجز الإجازات'!$E$5:$E$104)&gt;=KD$3)*('حجز الإجازات'!$G$5:$G$104="معتمد")*ROW('حجز الإجازات'!$B$5:$B$104))=0,"",INDEX('حجز الإجازات'!$C$5:$C$104,(SUMPRODUCT(('حجز الإجازات'!$B$5:$B$104='الموظفون'!$B$9)*('حجز الإجازات'!$D$5:$D$104&lt;=KD$3)*(('حجز الإجازات'!$E$5:$E$104)&gt;=KD$3)*('حجز الإجازات'!$G$5:$G$104="معتمد")*ROW('حجز الإجازات'!$B$5:$B$104)))-5+1))</f>
        <v/>
      </c>
      <c r="KE11" s="62">
        <f>IF(SUMPRODUCT(('حجز الإجازات'!$B$5:$B$104='الموظفون'!$B$9)*('حجز الإجازات'!$D$5:$D$104&lt;=KE$3)*(('حجز الإجازات'!$E$5:$E$104)&gt;=KE$3)*('حجز الإجازات'!$G$5:$G$104="معتمد")*ROW('حجز الإجازات'!$B$5:$B$104))=0,"",INDEX('حجز الإجازات'!$C$5:$C$104,(SUMPRODUCT(('حجز الإجازات'!$B$5:$B$104='الموظفون'!$B$9)*('حجز الإجازات'!$D$5:$D$104&lt;=KE$3)*(('حجز الإجازات'!$E$5:$E$104)&gt;=KE$3)*('حجز الإجازات'!$G$5:$G$104="معتمد")*ROW('حجز الإجازات'!$B$5:$B$104)))-5+1))</f>
        <v/>
      </c>
      <c r="KF11" s="62">
        <f>IF(SUMPRODUCT(('حجز الإجازات'!$B$5:$B$104='الموظفون'!$B$9)*('حجز الإجازات'!$D$5:$D$104&lt;=KF$3)*(('حجز الإجازات'!$E$5:$E$104)&gt;=KF$3)*('حجز الإجازات'!$G$5:$G$104="معتمد")*ROW('حجز الإجازات'!$B$5:$B$104))=0,"",INDEX('حجز الإجازات'!$C$5:$C$104,(SUMPRODUCT(('حجز الإجازات'!$B$5:$B$104='الموظفون'!$B$9)*('حجز الإجازات'!$D$5:$D$104&lt;=KF$3)*(('حجز الإجازات'!$E$5:$E$104)&gt;=KF$3)*('حجز الإجازات'!$G$5:$G$104="معتمد")*ROW('حجز الإجازات'!$B$5:$B$104)))-5+1))</f>
        <v/>
      </c>
      <c r="KG11" s="62">
        <f>IF(SUMPRODUCT(('حجز الإجازات'!$B$5:$B$104='الموظفون'!$B$9)*('حجز الإجازات'!$D$5:$D$104&lt;=KG$3)*(('حجز الإجازات'!$E$5:$E$104)&gt;=KG$3)*('حجز الإجازات'!$G$5:$G$104="معتمد")*ROW('حجز الإجازات'!$B$5:$B$104))=0,"",INDEX('حجز الإجازات'!$C$5:$C$104,(SUMPRODUCT(('حجز الإجازات'!$B$5:$B$104='الموظفون'!$B$9)*('حجز الإجازات'!$D$5:$D$104&lt;=KG$3)*(('حجز الإجازات'!$E$5:$E$104)&gt;=KG$3)*('حجز الإجازات'!$G$5:$G$104="معتمد")*ROW('حجز الإجازات'!$B$5:$B$104)))-5+1))</f>
        <v/>
      </c>
      <c r="KH11" s="62">
        <f>IF(SUMPRODUCT(('حجز الإجازات'!$B$5:$B$104='الموظفون'!$B$9)*('حجز الإجازات'!$D$5:$D$104&lt;=KH$3)*(('حجز الإجازات'!$E$5:$E$104)&gt;=KH$3)*('حجز الإجازات'!$G$5:$G$104="معتمد")*ROW('حجز الإجازات'!$B$5:$B$104))=0,"",INDEX('حجز الإجازات'!$C$5:$C$104,(SUMPRODUCT(('حجز الإجازات'!$B$5:$B$104='الموظفون'!$B$9)*('حجز الإجازات'!$D$5:$D$104&lt;=KH$3)*(('حجز الإجازات'!$E$5:$E$104)&gt;=KH$3)*('حجز الإجازات'!$G$5:$G$104="معتمد")*ROW('حجز الإجازات'!$B$5:$B$104)))-5+1))</f>
        <v/>
      </c>
      <c r="KI11" s="62">
        <f>IF(SUMPRODUCT(('حجز الإجازات'!$B$5:$B$104='الموظفون'!$B$9)*('حجز الإجازات'!$D$5:$D$104&lt;=KI$3)*(('حجز الإجازات'!$E$5:$E$104)&gt;=KI$3)*('حجز الإجازات'!$G$5:$G$104="معتمد")*ROW('حجز الإجازات'!$B$5:$B$104))=0,"",INDEX('حجز الإجازات'!$C$5:$C$104,(SUMPRODUCT(('حجز الإجازات'!$B$5:$B$104='الموظفون'!$B$9)*('حجز الإجازات'!$D$5:$D$104&lt;=KI$3)*(('حجز الإجازات'!$E$5:$E$104)&gt;=KI$3)*('حجز الإجازات'!$G$5:$G$104="معتمد")*ROW('حجز الإجازات'!$B$5:$B$104)))-5+1))</f>
        <v/>
      </c>
      <c r="KJ11" s="62">
        <f>IF(SUMPRODUCT(('حجز الإجازات'!$B$5:$B$104='الموظفون'!$B$9)*('حجز الإجازات'!$D$5:$D$104&lt;=KJ$3)*(('حجز الإجازات'!$E$5:$E$104)&gt;=KJ$3)*('حجز الإجازات'!$G$5:$G$104="معتمد")*ROW('حجز الإجازات'!$B$5:$B$104))=0,"",INDEX('حجز الإجازات'!$C$5:$C$104,(SUMPRODUCT(('حجز الإجازات'!$B$5:$B$104='الموظفون'!$B$9)*('حجز الإجازات'!$D$5:$D$104&lt;=KJ$3)*(('حجز الإجازات'!$E$5:$E$104)&gt;=KJ$3)*('حجز الإجازات'!$G$5:$G$104="معتمد")*ROW('حجز الإجازات'!$B$5:$B$104)))-5+1))</f>
        <v/>
      </c>
      <c r="KK11" s="62">
        <f>IF(SUMPRODUCT(('حجز الإجازات'!$B$5:$B$104='الموظفون'!$B$9)*('حجز الإجازات'!$D$5:$D$104&lt;=KK$3)*(('حجز الإجازات'!$E$5:$E$104)&gt;=KK$3)*('حجز الإجازات'!$G$5:$G$104="معتمد")*ROW('حجز الإجازات'!$B$5:$B$104))=0,"",INDEX('حجز الإجازات'!$C$5:$C$104,(SUMPRODUCT(('حجز الإجازات'!$B$5:$B$104='الموظفون'!$B$9)*('حجز الإجازات'!$D$5:$D$104&lt;=KK$3)*(('حجز الإجازات'!$E$5:$E$104)&gt;=KK$3)*('حجز الإجازات'!$G$5:$G$104="معتمد")*ROW('حجز الإجازات'!$B$5:$B$104)))-5+1))</f>
        <v/>
      </c>
      <c r="KL11" s="62">
        <f>IF(SUMPRODUCT(('حجز الإجازات'!$B$5:$B$104='الموظفون'!$B$9)*('حجز الإجازات'!$D$5:$D$104&lt;=KL$3)*(('حجز الإجازات'!$E$5:$E$104)&gt;=KL$3)*('حجز الإجازات'!$G$5:$G$104="معتمد")*ROW('حجز الإجازات'!$B$5:$B$104))=0,"",INDEX('حجز الإجازات'!$C$5:$C$104,(SUMPRODUCT(('حجز الإجازات'!$B$5:$B$104='الموظفون'!$B$9)*('حجز الإجازات'!$D$5:$D$104&lt;=KL$3)*(('حجز الإجازات'!$E$5:$E$104)&gt;=KL$3)*('حجز الإجازات'!$G$5:$G$104="معتمد")*ROW('حجز الإجازات'!$B$5:$B$104)))-5+1))</f>
        <v/>
      </c>
      <c r="KM11" s="62">
        <f>IF(SUMPRODUCT(('حجز الإجازات'!$B$5:$B$104='الموظفون'!$B$9)*('حجز الإجازات'!$D$5:$D$104&lt;=KM$3)*(('حجز الإجازات'!$E$5:$E$104)&gt;=KM$3)*('حجز الإجازات'!$G$5:$G$104="معتمد")*ROW('حجز الإجازات'!$B$5:$B$104))=0,"",INDEX('حجز الإجازات'!$C$5:$C$104,(SUMPRODUCT(('حجز الإجازات'!$B$5:$B$104='الموظفون'!$B$9)*('حجز الإجازات'!$D$5:$D$104&lt;=KM$3)*(('حجز الإجازات'!$E$5:$E$104)&gt;=KM$3)*('حجز الإجازات'!$G$5:$G$104="معتمد")*ROW('حجز الإجازات'!$B$5:$B$104)))-5+1))</f>
        <v/>
      </c>
      <c r="KN11" s="62">
        <f>IF(SUMPRODUCT(('حجز الإجازات'!$B$5:$B$104='الموظفون'!$B$9)*('حجز الإجازات'!$D$5:$D$104&lt;=KN$3)*(('حجز الإجازات'!$E$5:$E$104)&gt;=KN$3)*('حجز الإجازات'!$G$5:$G$104="معتمد")*ROW('حجز الإجازات'!$B$5:$B$104))=0,"",INDEX('حجز الإجازات'!$C$5:$C$104,(SUMPRODUCT(('حجز الإجازات'!$B$5:$B$104='الموظفون'!$B$9)*('حجز الإجازات'!$D$5:$D$104&lt;=KN$3)*(('حجز الإجازات'!$E$5:$E$104)&gt;=KN$3)*('حجز الإجازات'!$G$5:$G$104="معتمد")*ROW('حجز الإجازات'!$B$5:$B$104)))-5+1))</f>
        <v/>
      </c>
      <c r="KO11" s="62">
        <f>IF(SUMPRODUCT(('حجز الإجازات'!$B$5:$B$104='الموظفون'!$B$9)*('حجز الإجازات'!$D$5:$D$104&lt;=KO$3)*(('حجز الإجازات'!$E$5:$E$104)&gt;=KO$3)*('حجز الإجازات'!$G$5:$G$104="معتمد")*ROW('حجز الإجازات'!$B$5:$B$104))=0,"",INDEX('حجز الإجازات'!$C$5:$C$104,(SUMPRODUCT(('حجز الإجازات'!$B$5:$B$104='الموظفون'!$B$9)*('حجز الإجازات'!$D$5:$D$104&lt;=KO$3)*(('حجز الإجازات'!$E$5:$E$104)&gt;=KO$3)*('حجز الإجازات'!$G$5:$G$104="معتمد")*ROW('حجز الإجازات'!$B$5:$B$104)))-5+1))</f>
        <v/>
      </c>
      <c r="KP11" s="62">
        <f>IF(SUMPRODUCT(('حجز الإجازات'!$B$5:$B$104='الموظفون'!$B$9)*('حجز الإجازات'!$D$5:$D$104&lt;=KP$3)*(('حجز الإجازات'!$E$5:$E$104)&gt;=KP$3)*('حجز الإجازات'!$G$5:$G$104="معتمد")*ROW('حجز الإجازات'!$B$5:$B$104))=0,"",INDEX('حجز الإجازات'!$C$5:$C$104,(SUMPRODUCT(('حجز الإجازات'!$B$5:$B$104='الموظفون'!$B$9)*('حجز الإجازات'!$D$5:$D$104&lt;=KP$3)*(('حجز الإجازات'!$E$5:$E$104)&gt;=KP$3)*('حجز الإجازات'!$G$5:$G$104="معتمد")*ROW('حجز الإجازات'!$B$5:$B$104)))-5+1))</f>
        <v/>
      </c>
      <c r="KQ11" s="62">
        <f>IF(SUMPRODUCT(('حجز الإجازات'!$B$5:$B$104='الموظفون'!$B$9)*('حجز الإجازات'!$D$5:$D$104&lt;=KQ$3)*(('حجز الإجازات'!$E$5:$E$104)&gt;=KQ$3)*('حجز الإجازات'!$G$5:$G$104="معتمد")*ROW('حجز الإجازات'!$B$5:$B$104))=0,"",INDEX('حجز الإجازات'!$C$5:$C$104,(SUMPRODUCT(('حجز الإجازات'!$B$5:$B$104='الموظفون'!$B$9)*('حجز الإجازات'!$D$5:$D$104&lt;=KQ$3)*(('حجز الإجازات'!$E$5:$E$104)&gt;=KQ$3)*('حجز الإجازات'!$G$5:$G$104="معتمد")*ROW('حجز الإجازات'!$B$5:$B$104)))-5+1))</f>
        <v/>
      </c>
      <c r="KR11" s="62">
        <f>IF(SUMPRODUCT(('حجز الإجازات'!$B$5:$B$104='الموظفون'!$B$9)*('حجز الإجازات'!$D$5:$D$104&lt;=KR$3)*(('حجز الإجازات'!$E$5:$E$104)&gt;=KR$3)*('حجز الإجازات'!$G$5:$G$104="معتمد")*ROW('حجز الإجازات'!$B$5:$B$104))=0,"",INDEX('حجز الإجازات'!$C$5:$C$104,(SUMPRODUCT(('حجز الإجازات'!$B$5:$B$104='الموظفون'!$B$9)*('حجز الإجازات'!$D$5:$D$104&lt;=KR$3)*(('حجز الإجازات'!$E$5:$E$104)&gt;=KR$3)*('حجز الإجازات'!$G$5:$G$104="معتمد")*ROW('حجز الإجازات'!$B$5:$B$104)))-5+1))</f>
        <v/>
      </c>
      <c r="KS11" s="62">
        <f>IF(SUMPRODUCT(('حجز الإجازات'!$B$5:$B$104='الموظفون'!$B$9)*('حجز الإجازات'!$D$5:$D$104&lt;=KS$3)*(('حجز الإجازات'!$E$5:$E$104)&gt;=KS$3)*('حجز الإجازات'!$G$5:$G$104="معتمد")*ROW('حجز الإجازات'!$B$5:$B$104))=0,"",INDEX('حجز الإجازات'!$C$5:$C$104,(SUMPRODUCT(('حجز الإجازات'!$B$5:$B$104='الموظفون'!$B$9)*('حجز الإجازات'!$D$5:$D$104&lt;=KS$3)*(('حجز الإجازات'!$E$5:$E$104)&gt;=KS$3)*('حجز الإجازات'!$G$5:$G$104="معتمد")*ROW('حجز الإجازات'!$B$5:$B$104)))-5+1))</f>
        <v/>
      </c>
      <c r="KT11" s="62">
        <f>IF(SUMPRODUCT(('حجز الإجازات'!$B$5:$B$104='الموظفون'!$B$9)*('حجز الإجازات'!$D$5:$D$104&lt;=KT$3)*(('حجز الإجازات'!$E$5:$E$104)&gt;=KT$3)*('حجز الإجازات'!$G$5:$G$104="معتمد")*ROW('حجز الإجازات'!$B$5:$B$104))=0,"",INDEX('حجز الإجازات'!$C$5:$C$104,(SUMPRODUCT(('حجز الإجازات'!$B$5:$B$104='الموظفون'!$B$9)*('حجز الإجازات'!$D$5:$D$104&lt;=KT$3)*(('حجز الإجازات'!$E$5:$E$104)&gt;=KT$3)*('حجز الإجازات'!$G$5:$G$104="معتمد")*ROW('حجز الإجازات'!$B$5:$B$104)))-5+1))</f>
        <v/>
      </c>
      <c r="KU11" s="62">
        <f>IF(SUMPRODUCT(('حجز الإجازات'!$B$5:$B$104='الموظفون'!$B$9)*('حجز الإجازات'!$D$5:$D$104&lt;=KU$3)*(('حجز الإجازات'!$E$5:$E$104)&gt;=KU$3)*('حجز الإجازات'!$G$5:$G$104="معتمد")*ROW('حجز الإجازات'!$B$5:$B$104))=0,"",INDEX('حجز الإجازات'!$C$5:$C$104,(SUMPRODUCT(('حجز الإجازات'!$B$5:$B$104='الموظفون'!$B$9)*('حجز الإجازات'!$D$5:$D$104&lt;=KU$3)*(('حجز الإجازات'!$E$5:$E$104)&gt;=KU$3)*('حجز الإجازات'!$G$5:$G$104="معتمد")*ROW('حجز الإجازات'!$B$5:$B$104)))-5+1))</f>
        <v/>
      </c>
      <c r="KV11" s="62">
        <f>IF(SUMPRODUCT(('حجز الإجازات'!$B$5:$B$104='الموظفون'!$B$9)*('حجز الإجازات'!$D$5:$D$104&lt;=KV$3)*(('حجز الإجازات'!$E$5:$E$104)&gt;=KV$3)*('حجز الإجازات'!$G$5:$G$104="معتمد")*ROW('حجز الإجازات'!$B$5:$B$104))=0,"",INDEX('حجز الإجازات'!$C$5:$C$104,(SUMPRODUCT(('حجز الإجازات'!$B$5:$B$104='الموظفون'!$B$9)*('حجز الإجازات'!$D$5:$D$104&lt;=KV$3)*(('حجز الإجازات'!$E$5:$E$104)&gt;=KV$3)*('حجز الإجازات'!$G$5:$G$104="معتمد")*ROW('حجز الإجازات'!$B$5:$B$104)))-5+1))</f>
        <v/>
      </c>
      <c r="KW11" s="62">
        <f>IF(SUMPRODUCT(('حجز الإجازات'!$B$5:$B$104='الموظفون'!$B$9)*('حجز الإجازات'!$D$5:$D$104&lt;=KW$3)*(('حجز الإجازات'!$E$5:$E$104)&gt;=KW$3)*('حجز الإجازات'!$G$5:$G$104="معتمد")*ROW('حجز الإجازات'!$B$5:$B$104))=0,"",INDEX('حجز الإجازات'!$C$5:$C$104,(SUMPRODUCT(('حجز الإجازات'!$B$5:$B$104='الموظفون'!$B$9)*('حجز الإجازات'!$D$5:$D$104&lt;=KW$3)*(('حجز الإجازات'!$E$5:$E$104)&gt;=KW$3)*('حجز الإجازات'!$G$5:$G$104="معتمد")*ROW('حجز الإجازات'!$B$5:$B$104)))-5+1))</f>
        <v/>
      </c>
      <c r="KX11" s="62">
        <f>IF(SUMPRODUCT(('حجز الإجازات'!$B$5:$B$104='الموظفون'!$B$9)*('حجز الإجازات'!$D$5:$D$104&lt;=KX$3)*(('حجز الإجازات'!$E$5:$E$104)&gt;=KX$3)*('حجز الإجازات'!$G$5:$G$104="معتمد")*ROW('حجز الإجازات'!$B$5:$B$104))=0,"",INDEX('حجز الإجازات'!$C$5:$C$104,(SUMPRODUCT(('حجز الإجازات'!$B$5:$B$104='الموظفون'!$B$9)*('حجز الإجازات'!$D$5:$D$104&lt;=KX$3)*(('حجز الإجازات'!$E$5:$E$104)&gt;=KX$3)*('حجز الإجازات'!$G$5:$G$104="معتمد")*ROW('حجز الإجازات'!$B$5:$B$104)))-5+1))</f>
        <v/>
      </c>
      <c r="KY11" s="62">
        <f>IF(SUMPRODUCT(('حجز الإجازات'!$B$5:$B$104='الموظفون'!$B$9)*('حجز الإجازات'!$D$5:$D$104&lt;=KY$3)*(('حجز الإجازات'!$E$5:$E$104)&gt;=KY$3)*('حجز الإجازات'!$G$5:$G$104="معتمد")*ROW('حجز الإجازات'!$B$5:$B$104))=0,"",INDEX('حجز الإجازات'!$C$5:$C$104,(SUMPRODUCT(('حجز الإجازات'!$B$5:$B$104='الموظفون'!$B$9)*('حجز الإجازات'!$D$5:$D$104&lt;=KY$3)*(('حجز الإجازات'!$E$5:$E$104)&gt;=KY$3)*('حجز الإجازات'!$G$5:$G$104="معتمد")*ROW('حجز الإجازات'!$B$5:$B$104)))-5+1))</f>
        <v/>
      </c>
      <c r="KZ11" s="62">
        <f>IF(SUMPRODUCT(('حجز الإجازات'!$B$5:$B$104='الموظفون'!$B$9)*('حجز الإجازات'!$D$5:$D$104&lt;=KZ$3)*(('حجز الإجازات'!$E$5:$E$104)&gt;=KZ$3)*('حجز الإجازات'!$G$5:$G$104="معتمد")*ROW('حجز الإجازات'!$B$5:$B$104))=0,"",INDEX('حجز الإجازات'!$C$5:$C$104,(SUMPRODUCT(('حجز الإجازات'!$B$5:$B$104='الموظفون'!$B$9)*('حجز الإجازات'!$D$5:$D$104&lt;=KZ$3)*(('حجز الإجازات'!$E$5:$E$104)&gt;=KZ$3)*('حجز الإجازات'!$G$5:$G$104="معتمد")*ROW('حجز الإجازات'!$B$5:$B$104)))-5+1))</f>
        <v/>
      </c>
      <c r="LA11" s="62">
        <f>IF(SUMPRODUCT(('حجز الإجازات'!$B$5:$B$104='الموظفون'!$B$9)*('حجز الإجازات'!$D$5:$D$104&lt;=LA$3)*(('حجز الإجازات'!$E$5:$E$104)&gt;=LA$3)*('حجز الإجازات'!$G$5:$G$104="معتمد")*ROW('حجز الإجازات'!$B$5:$B$104))=0,"",INDEX('حجز الإجازات'!$C$5:$C$104,(SUMPRODUCT(('حجز الإجازات'!$B$5:$B$104='الموظفون'!$B$9)*('حجز الإجازات'!$D$5:$D$104&lt;=LA$3)*(('حجز الإجازات'!$E$5:$E$104)&gt;=LA$3)*('حجز الإجازات'!$G$5:$G$104="معتمد")*ROW('حجز الإجازات'!$B$5:$B$104)))-5+1))</f>
        <v/>
      </c>
      <c r="LB11" s="62">
        <f>IF(SUMPRODUCT(('حجز الإجازات'!$B$5:$B$104='الموظفون'!$B$9)*('حجز الإجازات'!$D$5:$D$104&lt;=LB$3)*(('حجز الإجازات'!$E$5:$E$104)&gt;=LB$3)*('حجز الإجازات'!$G$5:$G$104="معتمد")*ROW('حجز الإجازات'!$B$5:$B$104))=0,"",INDEX('حجز الإجازات'!$C$5:$C$104,(SUMPRODUCT(('حجز الإجازات'!$B$5:$B$104='الموظفون'!$B$9)*('حجز الإجازات'!$D$5:$D$104&lt;=LB$3)*(('حجز الإجازات'!$E$5:$E$104)&gt;=LB$3)*('حجز الإجازات'!$G$5:$G$104="معتمد")*ROW('حجز الإجازات'!$B$5:$B$104)))-5+1))</f>
        <v/>
      </c>
      <c r="LC11" s="62">
        <f>IF(SUMPRODUCT(('حجز الإجازات'!$B$5:$B$104='الموظفون'!$B$9)*('حجز الإجازات'!$D$5:$D$104&lt;=LC$3)*(('حجز الإجازات'!$E$5:$E$104)&gt;=LC$3)*('حجز الإجازات'!$G$5:$G$104="معتمد")*ROW('حجز الإجازات'!$B$5:$B$104))=0,"",INDEX('حجز الإجازات'!$C$5:$C$104,(SUMPRODUCT(('حجز الإجازات'!$B$5:$B$104='الموظفون'!$B$9)*('حجز الإجازات'!$D$5:$D$104&lt;=LC$3)*(('حجز الإجازات'!$E$5:$E$104)&gt;=LC$3)*('حجز الإجازات'!$G$5:$G$104="معتمد")*ROW('حجز الإجازات'!$B$5:$B$104)))-5+1))</f>
        <v/>
      </c>
      <c r="LD11" s="62">
        <f>IF(SUMPRODUCT(('حجز الإجازات'!$B$5:$B$104='الموظفون'!$B$9)*('حجز الإجازات'!$D$5:$D$104&lt;=LD$3)*(('حجز الإجازات'!$E$5:$E$104)&gt;=LD$3)*('حجز الإجازات'!$G$5:$G$104="معتمد")*ROW('حجز الإجازات'!$B$5:$B$104))=0,"",INDEX('حجز الإجازات'!$C$5:$C$104,(SUMPRODUCT(('حجز الإجازات'!$B$5:$B$104='الموظفون'!$B$9)*('حجز الإجازات'!$D$5:$D$104&lt;=LD$3)*(('حجز الإجازات'!$E$5:$E$104)&gt;=LD$3)*('حجز الإجازات'!$G$5:$G$104="معتمد")*ROW('حجز الإجازات'!$B$5:$B$104)))-5+1))</f>
        <v/>
      </c>
      <c r="LE11" s="62">
        <f>IF(SUMPRODUCT(('حجز الإجازات'!$B$5:$B$104='الموظفون'!$B$9)*('حجز الإجازات'!$D$5:$D$104&lt;=LE$3)*(('حجز الإجازات'!$E$5:$E$104)&gt;=LE$3)*('حجز الإجازات'!$G$5:$G$104="معتمد")*ROW('حجز الإجازات'!$B$5:$B$104))=0,"",INDEX('حجز الإجازات'!$C$5:$C$104,(SUMPRODUCT(('حجز الإجازات'!$B$5:$B$104='الموظفون'!$B$9)*('حجز الإجازات'!$D$5:$D$104&lt;=LE$3)*(('حجز الإجازات'!$E$5:$E$104)&gt;=LE$3)*('حجز الإجازات'!$G$5:$G$104="معتمد")*ROW('حجز الإجازات'!$B$5:$B$104)))-5+1))</f>
        <v/>
      </c>
      <c r="LF11" s="62">
        <f>IF(SUMPRODUCT(('حجز الإجازات'!$B$5:$B$104='الموظفون'!$B$9)*('حجز الإجازات'!$D$5:$D$104&lt;=LF$3)*(('حجز الإجازات'!$E$5:$E$104)&gt;=LF$3)*('حجز الإجازات'!$G$5:$G$104="معتمد")*ROW('حجز الإجازات'!$B$5:$B$104))=0,"",INDEX('حجز الإجازات'!$C$5:$C$104,(SUMPRODUCT(('حجز الإجازات'!$B$5:$B$104='الموظفون'!$B$9)*('حجز الإجازات'!$D$5:$D$104&lt;=LF$3)*(('حجز الإجازات'!$E$5:$E$104)&gt;=LF$3)*('حجز الإجازات'!$G$5:$G$104="معتمد")*ROW('حجز الإجازات'!$B$5:$B$104)))-5+1))</f>
        <v/>
      </c>
      <c r="LG11" s="62">
        <f>IF(SUMPRODUCT(('حجز الإجازات'!$B$5:$B$104='الموظفون'!$B$9)*('حجز الإجازات'!$D$5:$D$104&lt;=LG$3)*(('حجز الإجازات'!$E$5:$E$104)&gt;=LG$3)*('حجز الإجازات'!$G$5:$G$104="معتمد")*ROW('حجز الإجازات'!$B$5:$B$104))=0,"",INDEX('حجز الإجازات'!$C$5:$C$104,(SUMPRODUCT(('حجز الإجازات'!$B$5:$B$104='الموظفون'!$B$9)*('حجز الإجازات'!$D$5:$D$104&lt;=LG$3)*(('حجز الإجازات'!$E$5:$E$104)&gt;=LG$3)*('حجز الإجازات'!$G$5:$G$104="معتمد")*ROW('حجز الإجازات'!$B$5:$B$104)))-5+1))</f>
        <v/>
      </c>
      <c r="LH11" s="62">
        <f>IF(SUMPRODUCT(('حجز الإجازات'!$B$5:$B$104='الموظفون'!$B$9)*('حجز الإجازات'!$D$5:$D$104&lt;=LH$3)*(('حجز الإجازات'!$E$5:$E$104)&gt;=LH$3)*('حجز الإجازات'!$G$5:$G$104="معتمد")*ROW('حجز الإجازات'!$B$5:$B$104))=0,"",INDEX('حجز الإجازات'!$C$5:$C$104,(SUMPRODUCT(('حجز الإجازات'!$B$5:$B$104='الموظفون'!$B$9)*('حجز الإجازات'!$D$5:$D$104&lt;=LH$3)*(('حجز الإجازات'!$E$5:$E$104)&gt;=LH$3)*('حجز الإجازات'!$G$5:$G$104="معتمد")*ROW('حجز الإجازات'!$B$5:$B$104)))-5+1))</f>
        <v/>
      </c>
      <c r="LI11" s="62">
        <f>IF(SUMPRODUCT(('حجز الإجازات'!$B$5:$B$104='الموظفون'!$B$9)*('حجز الإجازات'!$D$5:$D$104&lt;=LI$3)*(('حجز الإجازات'!$E$5:$E$104)&gt;=LI$3)*('حجز الإجازات'!$G$5:$G$104="معتمد")*ROW('حجز الإجازات'!$B$5:$B$104))=0,"",INDEX('حجز الإجازات'!$C$5:$C$104,(SUMPRODUCT(('حجز الإجازات'!$B$5:$B$104='الموظفون'!$B$9)*('حجز الإجازات'!$D$5:$D$104&lt;=LI$3)*(('حجز الإجازات'!$E$5:$E$104)&gt;=LI$3)*('حجز الإجازات'!$G$5:$G$104="معتمد")*ROW('حجز الإجازات'!$B$5:$B$104)))-5+1))</f>
        <v/>
      </c>
      <c r="LJ11" s="62">
        <f>IF(SUMPRODUCT(('حجز الإجازات'!$B$5:$B$104='الموظفون'!$B$9)*('حجز الإجازات'!$D$5:$D$104&lt;=LJ$3)*(('حجز الإجازات'!$E$5:$E$104)&gt;=LJ$3)*('حجز الإجازات'!$G$5:$G$104="معتمد")*ROW('حجز الإجازات'!$B$5:$B$104))=0,"",INDEX('حجز الإجازات'!$C$5:$C$104,(SUMPRODUCT(('حجز الإجازات'!$B$5:$B$104='الموظفون'!$B$9)*('حجز الإجازات'!$D$5:$D$104&lt;=LJ$3)*(('حجز الإجازات'!$E$5:$E$104)&gt;=LJ$3)*('حجز الإجازات'!$G$5:$G$104="معتمد")*ROW('حجز الإجازات'!$B$5:$B$104)))-5+1))</f>
        <v/>
      </c>
      <c r="LK11" s="62">
        <f>IF(SUMPRODUCT(('حجز الإجازات'!$B$5:$B$104='الموظفون'!$B$9)*('حجز الإجازات'!$D$5:$D$104&lt;=LK$3)*(('حجز الإجازات'!$E$5:$E$104)&gt;=LK$3)*('حجز الإجازات'!$G$5:$G$104="معتمد")*ROW('حجز الإجازات'!$B$5:$B$104))=0,"",INDEX('حجز الإجازات'!$C$5:$C$104,(SUMPRODUCT(('حجز الإجازات'!$B$5:$B$104='الموظفون'!$B$9)*('حجز الإجازات'!$D$5:$D$104&lt;=LK$3)*(('حجز الإجازات'!$E$5:$E$104)&gt;=LK$3)*('حجز الإجازات'!$G$5:$G$104="معتمد")*ROW('حجز الإجازات'!$B$5:$B$104)))-5+1))</f>
        <v/>
      </c>
      <c r="LL11" s="62">
        <f>IF(SUMPRODUCT(('حجز الإجازات'!$B$5:$B$104='الموظفون'!$B$9)*('حجز الإجازات'!$D$5:$D$104&lt;=LL$3)*(('حجز الإجازات'!$E$5:$E$104)&gt;=LL$3)*('حجز الإجازات'!$G$5:$G$104="معتمد")*ROW('حجز الإجازات'!$B$5:$B$104))=0,"",INDEX('حجز الإجازات'!$C$5:$C$104,(SUMPRODUCT(('حجز الإجازات'!$B$5:$B$104='الموظفون'!$B$9)*('حجز الإجازات'!$D$5:$D$104&lt;=LL$3)*(('حجز الإجازات'!$E$5:$E$104)&gt;=LL$3)*('حجز الإجازات'!$G$5:$G$104="معتمد")*ROW('حجز الإجازات'!$B$5:$B$104)))-5+1))</f>
        <v/>
      </c>
      <c r="LM11" s="62">
        <f>IF(SUMPRODUCT(('حجز الإجازات'!$B$5:$B$104='الموظفون'!$B$9)*('حجز الإجازات'!$D$5:$D$104&lt;=LM$3)*(('حجز الإجازات'!$E$5:$E$104)&gt;=LM$3)*('حجز الإجازات'!$G$5:$G$104="معتمد")*ROW('حجز الإجازات'!$B$5:$B$104))=0,"",INDEX('حجز الإجازات'!$C$5:$C$104,(SUMPRODUCT(('حجز الإجازات'!$B$5:$B$104='الموظفون'!$B$9)*('حجز الإجازات'!$D$5:$D$104&lt;=LM$3)*(('حجز الإجازات'!$E$5:$E$104)&gt;=LM$3)*('حجز الإجازات'!$G$5:$G$104="معتمد")*ROW('حجز الإجازات'!$B$5:$B$104)))-5+1))</f>
        <v/>
      </c>
      <c r="LN11" s="62">
        <f>IF(SUMPRODUCT(('حجز الإجازات'!$B$5:$B$104='الموظفون'!$B$9)*('حجز الإجازات'!$D$5:$D$104&lt;=LN$3)*(('حجز الإجازات'!$E$5:$E$104)&gt;=LN$3)*('حجز الإجازات'!$G$5:$G$104="معتمد")*ROW('حجز الإجازات'!$B$5:$B$104))=0,"",INDEX('حجز الإجازات'!$C$5:$C$104,(SUMPRODUCT(('حجز الإجازات'!$B$5:$B$104='الموظفون'!$B$9)*('حجز الإجازات'!$D$5:$D$104&lt;=LN$3)*(('حجز الإجازات'!$E$5:$E$104)&gt;=LN$3)*('حجز الإجازات'!$G$5:$G$104="معتمد")*ROW('حجز الإجازات'!$B$5:$B$104)))-5+1))</f>
        <v/>
      </c>
      <c r="LO11" s="62">
        <f>IF(SUMPRODUCT(('حجز الإجازات'!$B$5:$B$104='الموظفون'!$B$9)*('حجز الإجازات'!$D$5:$D$104&lt;=LO$3)*(('حجز الإجازات'!$E$5:$E$104)&gt;=LO$3)*('حجز الإجازات'!$G$5:$G$104="معتمد")*ROW('حجز الإجازات'!$B$5:$B$104))=0,"",INDEX('حجز الإجازات'!$C$5:$C$104,(SUMPRODUCT(('حجز الإجازات'!$B$5:$B$104='الموظفون'!$B$9)*('حجز الإجازات'!$D$5:$D$104&lt;=LO$3)*(('حجز الإجازات'!$E$5:$E$104)&gt;=LO$3)*('حجز الإجازات'!$G$5:$G$104="معتمد")*ROW('حجز الإجازات'!$B$5:$B$104)))-5+1))</f>
        <v/>
      </c>
      <c r="LP11" s="62">
        <f>IF(SUMPRODUCT(('حجز الإجازات'!$B$5:$B$104='الموظفون'!$B$9)*('حجز الإجازات'!$D$5:$D$104&lt;=LP$3)*(('حجز الإجازات'!$E$5:$E$104)&gt;=LP$3)*('حجز الإجازات'!$G$5:$G$104="معتمد")*ROW('حجز الإجازات'!$B$5:$B$104))=0,"",INDEX('حجز الإجازات'!$C$5:$C$104,(SUMPRODUCT(('حجز الإجازات'!$B$5:$B$104='الموظفون'!$B$9)*('حجز الإجازات'!$D$5:$D$104&lt;=LP$3)*(('حجز الإجازات'!$E$5:$E$104)&gt;=LP$3)*('حجز الإجازات'!$G$5:$G$104="معتمد")*ROW('حجز الإجازات'!$B$5:$B$104)))-5+1))</f>
        <v/>
      </c>
      <c r="LQ11" s="62">
        <f>IF(SUMPRODUCT(('حجز الإجازات'!$B$5:$B$104='الموظفون'!$B$9)*('حجز الإجازات'!$D$5:$D$104&lt;=LQ$3)*(('حجز الإجازات'!$E$5:$E$104)&gt;=LQ$3)*('حجز الإجازات'!$G$5:$G$104="معتمد")*ROW('حجز الإجازات'!$B$5:$B$104))=0,"",INDEX('حجز الإجازات'!$C$5:$C$104,(SUMPRODUCT(('حجز الإجازات'!$B$5:$B$104='الموظفون'!$B$9)*('حجز الإجازات'!$D$5:$D$104&lt;=LQ$3)*(('حجز الإجازات'!$E$5:$E$104)&gt;=LQ$3)*('حجز الإجازات'!$G$5:$G$104="معتمد")*ROW('حجز الإجازات'!$B$5:$B$104)))-5+1))</f>
        <v/>
      </c>
      <c r="LR11" s="62">
        <f>IF(SUMPRODUCT(('حجز الإجازات'!$B$5:$B$104='الموظفون'!$B$9)*('حجز الإجازات'!$D$5:$D$104&lt;=LR$3)*(('حجز الإجازات'!$E$5:$E$104)&gt;=LR$3)*('حجز الإجازات'!$G$5:$G$104="معتمد")*ROW('حجز الإجازات'!$B$5:$B$104))=0,"",INDEX('حجز الإجازات'!$C$5:$C$104,(SUMPRODUCT(('حجز الإجازات'!$B$5:$B$104='الموظفون'!$B$9)*('حجز الإجازات'!$D$5:$D$104&lt;=LR$3)*(('حجز الإجازات'!$E$5:$E$104)&gt;=LR$3)*('حجز الإجازات'!$G$5:$G$104="معتمد")*ROW('حجز الإجازات'!$B$5:$B$104)))-5+1))</f>
        <v/>
      </c>
      <c r="LS11" s="62">
        <f>IF(SUMPRODUCT(('حجز الإجازات'!$B$5:$B$104='الموظفون'!$B$9)*('حجز الإجازات'!$D$5:$D$104&lt;=LS$3)*(('حجز الإجازات'!$E$5:$E$104)&gt;=LS$3)*('حجز الإجازات'!$G$5:$G$104="معتمد")*ROW('حجز الإجازات'!$B$5:$B$104))=0,"",INDEX('حجز الإجازات'!$C$5:$C$104,(SUMPRODUCT(('حجز الإجازات'!$B$5:$B$104='الموظفون'!$B$9)*('حجز الإجازات'!$D$5:$D$104&lt;=LS$3)*(('حجز الإجازات'!$E$5:$E$104)&gt;=LS$3)*('حجز الإجازات'!$G$5:$G$104="معتمد")*ROW('حجز الإجازات'!$B$5:$B$104)))-5+1))</f>
        <v/>
      </c>
      <c r="LT11" s="62">
        <f>IF(SUMPRODUCT(('حجز الإجازات'!$B$5:$B$104='الموظفون'!$B$9)*('حجز الإجازات'!$D$5:$D$104&lt;=LT$3)*(('حجز الإجازات'!$E$5:$E$104)&gt;=LT$3)*('حجز الإجازات'!$G$5:$G$104="معتمد")*ROW('حجز الإجازات'!$B$5:$B$104))=0,"",INDEX('حجز الإجازات'!$C$5:$C$104,(SUMPRODUCT(('حجز الإجازات'!$B$5:$B$104='الموظفون'!$B$9)*('حجز الإجازات'!$D$5:$D$104&lt;=LT$3)*(('حجز الإجازات'!$E$5:$E$104)&gt;=LT$3)*('حجز الإجازات'!$G$5:$G$104="معتمد")*ROW('حجز الإجازات'!$B$5:$B$104)))-5+1))</f>
        <v/>
      </c>
      <c r="LU11" s="62">
        <f>IF(SUMPRODUCT(('حجز الإجازات'!$B$5:$B$104='الموظفون'!$B$9)*('حجز الإجازات'!$D$5:$D$104&lt;=LU$3)*(('حجز الإجازات'!$E$5:$E$104)&gt;=LU$3)*('حجز الإجازات'!$G$5:$G$104="معتمد")*ROW('حجز الإجازات'!$B$5:$B$104))=0,"",INDEX('حجز الإجازات'!$C$5:$C$104,(SUMPRODUCT(('حجز الإجازات'!$B$5:$B$104='الموظفون'!$B$9)*('حجز الإجازات'!$D$5:$D$104&lt;=LU$3)*(('حجز الإجازات'!$E$5:$E$104)&gt;=LU$3)*('حجز الإجازات'!$G$5:$G$104="معتمد")*ROW('حجز الإجازات'!$B$5:$B$104)))-5+1))</f>
        <v/>
      </c>
      <c r="LV11" s="62">
        <f>IF(SUMPRODUCT(('حجز الإجازات'!$B$5:$B$104='الموظفون'!$B$9)*('حجز الإجازات'!$D$5:$D$104&lt;=LV$3)*(('حجز الإجازات'!$E$5:$E$104)&gt;=LV$3)*('حجز الإجازات'!$G$5:$G$104="معتمد")*ROW('حجز الإجازات'!$B$5:$B$104))=0,"",INDEX('حجز الإجازات'!$C$5:$C$104,(SUMPRODUCT(('حجز الإجازات'!$B$5:$B$104='الموظفون'!$B$9)*('حجز الإجازات'!$D$5:$D$104&lt;=LV$3)*(('حجز الإجازات'!$E$5:$E$104)&gt;=LV$3)*('حجز الإجازات'!$G$5:$G$104="معتمد")*ROW('حجز الإجازات'!$B$5:$B$104)))-5+1))</f>
        <v/>
      </c>
      <c r="LW11" s="62">
        <f>IF(SUMPRODUCT(('حجز الإجازات'!$B$5:$B$104='الموظفون'!$B$9)*('حجز الإجازات'!$D$5:$D$104&lt;=LW$3)*(('حجز الإجازات'!$E$5:$E$104)&gt;=LW$3)*('حجز الإجازات'!$G$5:$G$104="معتمد")*ROW('حجز الإجازات'!$B$5:$B$104))=0,"",INDEX('حجز الإجازات'!$C$5:$C$104,(SUMPRODUCT(('حجز الإجازات'!$B$5:$B$104='الموظفون'!$B$9)*('حجز الإجازات'!$D$5:$D$104&lt;=LW$3)*(('حجز الإجازات'!$E$5:$E$104)&gt;=LW$3)*('حجز الإجازات'!$G$5:$G$104="معتمد")*ROW('حجز الإجازات'!$B$5:$B$104)))-5+1))</f>
        <v/>
      </c>
      <c r="LX11" s="62">
        <f>IF(SUMPRODUCT(('حجز الإجازات'!$B$5:$B$104='الموظفون'!$B$9)*('حجز الإجازات'!$D$5:$D$104&lt;=LX$3)*(('حجز الإجازات'!$E$5:$E$104)&gt;=LX$3)*('حجز الإجازات'!$G$5:$G$104="معتمد")*ROW('حجز الإجازات'!$B$5:$B$104))=0,"",INDEX('حجز الإجازات'!$C$5:$C$104,(SUMPRODUCT(('حجز الإجازات'!$B$5:$B$104='الموظفون'!$B$9)*('حجز الإجازات'!$D$5:$D$104&lt;=LX$3)*(('حجز الإجازات'!$E$5:$E$104)&gt;=LX$3)*('حجز الإجازات'!$G$5:$G$104="معتمد")*ROW('حجز الإجازات'!$B$5:$B$104)))-5+1))</f>
        <v/>
      </c>
      <c r="LY11" s="62">
        <f>IF(SUMPRODUCT(('حجز الإجازات'!$B$5:$B$104='الموظفون'!$B$9)*('حجز الإجازات'!$D$5:$D$104&lt;=LY$3)*(('حجز الإجازات'!$E$5:$E$104)&gt;=LY$3)*('حجز الإجازات'!$G$5:$G$104="معتمد")*ROW('حجز الإجازات'!$B$5:$B$104))=0,"",INDEX('حجز الإجازات'!$C$5:$C$104,(SUMPRODUCT(('حجز الإجازات'!$B$5:$B$104='الموظفون'!$B$9)*('حجز الإجازات'!$D$5:$D$104&lt;=LY$3)*(('حجز الإجازات'!$E$5:$E$104)&gt;=LY$3)*('حجز الإجازات'!$G$5:$G$104="معتمد")*ROW('حجز الإجازات'!$B$5:$B$104)))-5+1))</f>
        <v/>
      </c>
      <c r="LZ11" s="62">
        <f>IF(SUMPRODUCT(('حجز الإجازات'!$B$5:$B$104='الموظفون'!$B$9)*('حجز الإجازات'!$D$5:$D$104&lt;=LZ$3)*(('حجز الإجازات'!$E$5:$E$104)&gt;=LZ$3)*('حجز الإجازات'!$G$5:$G$104="معتمد")*ROW('حجز الإجازات'!$B$5:$B$104))=0,"",INDEX('حجز الإجازات'!$C$5:$C$104,(SUMPRODUCT(('حجز الإجازات'!$B$5:$B$104='الموظفون'!$B$9)*('حجز الإجازات'!$D$5:$D$104&lt;=LZ$3)*(('حجز الإجازات'!$E$5:$E$104)&gt;=LZ$3)*('حجز الإجازات'!$G$5:$G$104="معتمد")*ROW('حجز الإجازات'!$B$5:$B$104)))-5+1))</f>
        <v/>
      </c>
      <c r="MA11" s="62">
        <f>IF(SUMPRODUCT(('حجز الإجازات'!$B$5:$B$104='الموظفون'!$B$9)*('حجز الإجازات'!$D$5:$D$104&lt;=MA$3)*(('حجز الإجازات'!$E$5:$E$104)&gt;=MA$3)*('حجز الإجازات'!$G$5:$G$104="معتمد")*ROW('حجز الإجازات'!$B$5:$B$104))=0,"",INDEX('حجز الإجازات'!$C$5:$C$104,(SUMPRODUCT(('حجز الإجازات'!$B$5:$B$104='الموظفون'!$B$9)*('حجز الإجازات'!$D$5:$D$104&lt;=MA$3)*(('حجز الإجازات'!$E$5:$E$104)&gt;=MA$3)*('حجز الإجازات'!$G$5:$G$104="معتمد")*ROW('حجز الإجازات'!$B$5:$B$104)))-5+1))</f>
        <v/>
      </c>
      <c r="MB11" s="62">
        <f>IF(SUMPRODUCT(('حجز الإجازات'!$B$5:$B$104='الموظفون'!$B$9)*('حجز الإجازات'!$D$5:$D$104&lt;=MB$3)*(('حجز الإجازات'!$E$5:$E$104)&gt;=MB$3)*('حجز الإجازات'!$G$5:$G$104="معتمد")*ROW('حجز الإجازات'!$B$5:$B$104))=0,"",INDEX('حجز الإجازات'!$C$5:$C$104,(SUMPRODUCT(('حجز الإجازات'!$B$5:$B$104='الموظفون'!$B$9)*('حجز الإجازات'!$D$5:$D$104&lt;=MB$3)*(('حجز الإجازات'!$E$5:$E$104)&gt;=MB$3)*('حجز الإجازات'!$G$5:$G$104="معتمد")*ROW('حجز الإجازات'!$B$5:$B$104)))-5+1))</f>
        <v/>
      </c>
      <c r="MC11" s="62">
        <f>IF(SUMPRODUCT(('حجز الإجازات'!$B$5:$B$104='الموظفون'!$B$9)*('حجز الإجازات'!$D$5:$D$104&lt;=MC$3)*(('حجز الإجازات'!$E$5:$E$104)&gt;=MC$3)*('حجز الإجازات'!$G$5:$G$104="معتمد")*ROW('حجز الإجازات'!$B$5:$B$104))=0,"",INDEX('حجز الإجازات'!$C$5:$C$104,(SUMPRODUCT(('حجز الإجازات'!$B$5:$B$104='الموظفون'!$B$9)*('حجز الإجازات'!$D$5:$D$104&lt;=MC$3)*(('حجز الإجازات'!$E$5:$E$104)&gt;=MC$3)*('حجز الإجازات'!$G$5:$G$104="معتمد")*ROW('حجز الإجازات'!$B$5:$B$104)))-5+1))</f>
        <v/>
      </c>
      <c r="MD11" s="62">
        <f>IF(SUMPRODUCT(('حجز الإجازات'!$B$5:$B$104='الموظفون'!$B$9)*('حجز الإجازات'!$D$5:$D$104&lt;=MD$3)*(('حجز الإجازات'!$E$5:$E$104)&gt;=MD$3)*('حجز الإجازات'!$G$5:$G$104="معتمد")*ROW('حجز الإجازات'!$B$5:$B$104))=0,"",INDEX('حجز الإجازات'!$C$5:$C$104,(SUMPRODUCT(('حجز الإجازات'!$B$5:$B$104='الموظفون'!$B$9)*('حجز الإجازات'!$D$5:$D$104&lt;=MD$3)*(('حجز الإجازات'!$E$5:$E$104)&gt;=MD$3)*('حجز الإجازات'!$G$5:$G$104="معتمد")*ROW('حجز الإجازات'!$B$5:$B$104)))-5+1))</f>
        <v/>
      </c>
      <c r="ME11" s="62">
        <f>IF(SUMPRODUCT(('حجز الإجازات'!$B$5:$B$104='الموظفون'!$B$9)*('حجز الإجازات'!$D$5:$D$104&lt;=ME$3)*(('حجز الإجازات'!$E$5:$E$104)&gt;=ME$3)*('حجز الإجازات'!$G$5:$G$104="معتمد")*ROW('حجز الإجازات'!$B$5:$B$104))=0,"",INDEX('حجز الإجازات'!$C$5:$C$104,(SUMPRODUCT(('حجز الإجازات'!$B$5:$B$104='الموظفون'!$B$9)*('حجز الإجازات'!$D$5:$D$104&lt;=ME$3)*(('حجز الإجازات'!$E$5:$E$104)&gt;=ME$3)*('حجز الإجازات'!$G$5:$G$104="معتمد")*ROW('حجز الإجازات'!$B$5:$B$104)))-5+1))</f>
        <v/>
      </c>
      <c r="MF11" s="62">
        <f>IF(SUMPRODUCT(('حجز الإجازات'!$B$5:$B$104='الموظفون'!$B$9)*('حجز الإجازات'!$D$5:$D$104&lt;=MF$3)*(('حجز الإجازات'!$E$5:$E$104)&gt;=MF$3)*('حجز الإجازات'!$G$5:$G$104="معتمد")*ROW('حجز الإجازات'!$B$5:$B$104))=0,"",INDEX('حجز الإجازات'!$C$5:$C$104,(SUMPRODUCT(('حجز الإجازات'!$B$5:$B$104='الموظفون'!$B$9)*('حجز الإجازات'!$D$5:$D$104&lt;=MF$3)*(('حجز الإجازات'!$E$5:$E$104)&gt;=MF$3)*('حجز الإجازات'!$G$5:$G$104="معتمد")*ROW('حجز الإجازات'!$B$5:$B$104)))-5+1))</f>
        <v/>
      </c>
      <c r="MG11" s="62">
        <f>IF(SUMPRODUCT(('حجز الإجازات'!$B$5:$B$104='الموظفون'!$B$9)*('حجز الإجازات'!$D$5:$D$104&lt;=MG$3)*(('حجز الإجازات'!$E$5:$E$104)&gt;=MG$3)*('حجز الإجازات'!$G$5:$G$104="معتمد")*ROW('حجز الإجازات'!$B$5:$B$104))=0,"",INDEX('حجز الإجازات'!$C$5:$C$104,(SUMPRODUCT(('حجز الإجازات'!$B$5:$B$104='الموظفون'!$B$9)*('حجز الإجازات'!$D$5:$D$104&lt;=MG$3)*(('حجز الإجازات'!$E$5:$E$104)&gt;=MG$3)*('حجز الإجازات'!$G$5:$G$104="معتمد")*ROW('حجز الإجازات'!$B$5:$B$104)))-5+1))</f>
        <v/>
      </c>
      <c r="MH11" s="62">
        <f>IF(SUMPRODUCT(('حجز الإجازات'!$B$5:$B$104='الموظفون'!$B$9)*('حجز الإجازات'!$D$5:$D$104&lt;=MH$3)*(('حجز الإجازات'!$E$5:$E$104)&gt;=MH$3)*('حجز الإجازات'!$G$5:$G$104="معتمد")*ROW('حجز الإجازات'!$B$5:$B$104))=0,"",INDEX('حجز الإجازات'!$C$5:$C$104,(SUMPRODUCT(('حجز الإجازات'!$B$5:$B$104='الموظفون'!$B$9)*('حجز الإجازات'!$D$5:$D$104&lt;=MH$3)*(('حجز الإجازات'!$E$5:$E$104)&gt;=MH$3)*('حجز الإجازات'!$G$5:$G$104="معتمد")*ROW('حجز الإجازات'!$B$5:$B$104)))-5+1))</f>
        <v/>
      </c>
      <c r="MI11" s="62">
        <f>IF(SUMPRODUCT(('حجز الإجازات'!$B$5:$B$104='الموظفون'!$B$9)*('حجز الإجازات'!$D$5:$D$104&lt;=MI$3)*(('حجز الإجازات'!$E$5:$E$104)&gt;=MI$3)*('حجز الإجازات'!$G$5:$G$104="معتمد")*ROW('حجز الإجازات'!$B$5:$B$104))=0,"",INDEX('حجز الإجازات'!$C$5:$C$104,(SUMPRODUCT(('حجز الإجازات'!$B$5:$B$104='الموظفون'!$B$9)*('حجز الإجازات'!$D$5:$D$104&lt;=MI$3)*(('حجز الإجازات'!$E$5:$E$104)&gt;=MI$3)*('حجز الإجازات'!$G$5:$G$104="معتمد")*ROW('حجز الإجازات'!$B$5:$B$104)))-5+1))</f>
        <v/>
      </c>
      <c r="MJ11" s="62">
        <f>IF(SUMPRODUCT(('حجز الإجازات'!$B$5:$B$104='الموظفون'!$B$9)*('حجز الإجازات'!$D$5:$D$104&lt;=MJ$3)*(('حجز الإجازات'!$E$5:$E$104)&gt;=MJ$3)*('حجز الإجازات'!$G$5:$G$104="معتمد")*ROW('حجز الإجازات'!$B$5:$B$104))=0,"",INDEX('حجز الإجازات'!$C$5:$C$104,(SUMPRODUCT(('حجز الإجازات'!$B$5:$B$104='الموظفون'!$B$9)*('حجز الإجازات'!$D$5:$D$104&lt;=MJ$3)*(('حجز الإجازات'!$E$5:$E$104)&gt;=MJ$3)*('حجز الإجازات'!$G$5:$G$104="معتمد")*ROW('حجز الإجازات'!$B$5:$B$104)))-5+1))</f>
        <v/>
      </c>
      <c r="MK11" s="62">
        <f>IF(SUMPRODUCT(('حجز الإجازات'!$B$5:$B$104='الموظفون'!$B$9)*('حجز الإجازات'!$D$5:$D$104&lt;=MK$3)*(('حجز الإجازات'!$E$5:$E$104)&gt;=MK$3)*('حجز الإجازات'!$G$5:$G$104="معتمد")*ROW('حجز الإجازات'!$B$5:$B$104))=0,"",INDEX('حجز الإجازات'!$C$5:$C$104,(SUMPRODUCT(('حجز الإجازات'!$B$5:$B$104='الموظفون'!$B$9)*('حجز الإجازات'!$D$5:$D$104&lt;=MK$3)*(('حجز الإجازات'!$E$5:$E$104)&gt;=MK$3)*('حجز الإجازات'!$G$5:$G$104="معتمد")*ROW('حجز الإجازات'!$B$5:$B$104)))-5+1))</f>
        <v/>
      </c>
      <c r="ML11" s="62">
        <f>IF(SUMPRODUCT(('حجز الإجازات'!$B$5:$B$104='الموظفون'!$B$9)*('حجز الإجازات'!$D$5:$D$104&lt;=ML$3)*(('حجز الإجازات'!$E$5:$E$104)&gt;=ML$3)*('حجز الإجازات'!$G$5:$G$104="معتمد")*ROW('حجز الإجازات'!$B$5:$B$104))=0,"",INDEX('حجز الإجازات'!$C$5:$C$104,(SUMPRODUCT(('حجز الإجازات'!$B$5:$B$104='الموظفون'!$B$9)*('حجز الإجازات'!$D$5:$D$104&lt;=ML$3)*(('حجز الإجازات'!$E$5:$E$104)&gt;=ML$3)*('حجز الإجازات'!$G$5:$G$104="معتمد")*ROW('حجز الإجازات'!$B$5:$B$104)))-5+1))</f>
        <v/>
      </c>
      <c r="MM11" s="62">
        <f>IF(SUMPRODUCT(('حجز الإجازات'!$B$5:$B$104='الموظفون'!$B$9)*('حجز الإجازات'!$D$5:$D$104&lt;=MM$3)*(('حجز الإجازات'!$E$5:$E$104)&gt;=MM$3)*('حجز الإجازات'!$G$5:$G$104="معتمد")*ROW('حجز الإجازات'!$B$5:$B$104))=0,"",INDEX('حجز الإجازات'!$C$5:$C$104,(SUMPRODUCT(('حجز الإجازات'!$B$5:$B$104='الموظفون'!$B$9)*('حجز الإجازات'!$D$5:$D$104&lt;=MM$3)*(('حجز الإجازات'!$E$5:$E$104)&gt;=MM$3)*('حجز الإجازات'!$G$5:$G$104="معتمد")*ROW('حجز الإجازات'!$B$5:$B$104)))-5+1))</f>
        <v/>
      </c>
      <c r="MN11" s="62">
        <f>IF(SUMPRODUCT(('حجز الإجازات'!$B$5:$B$104='الموظفون'!$B$9)*('حجز الإجازات'!$D$5:$D$104&lt;=MN$3)*(('حجز الإجازات'!$E$5:$E$104)&gt;=MN$3)*('حجز الإجازات'!$G$5:$G$104="معتمد")*ROW('حجز الإجازات'!$B$5:$B$104))=0,"",INDEX('حجز الإجازات'!$C$5:$C$104,(SUMPRODUCT(('حجز الإجازات'!$B$5:$B$104='الموظفون'!$B$9)*('حجز الإجازات'!$D$5:$D$104&lt;=MN$3)*(('حجز الإجازات'!$E$5:$E$104)&gt;=MN$3)*('حجز الإجازات'!$G$5:$G$104="معتمد")*ROW('حجز الإجازات'!$B$5:$B$104)))-5+1))</f>
        <v/>
      </c>
      <c r="MO11" s="62">
        <f>IF(SUMPRODUCT(('حجز الإجازات'!$B$5:$B$104='الموظفون'!$B$9)*('حجز الإجازات'!$D$5:$D$104&lt;=MO$3)*(('حجز الإجازات'!$E$5:$E$104)&gt;=MO$3)*('حجز الإجازات'!$G$5:$G$104="معتمد")*ROW('حجز الإجازات'!$B$5:$B$104))=0,"",INDEX('حجز الإجازات'!$C$5:$C$104,(SUMPRODUCT(('حجز الإجازات'!$B$5:$B$104='الموظفون'!$B$9)*('حجز الإجازات'!$D$5:$D$104&lt;=MO$3)*(('حجز الإجازات'!$E$5:$E$104)&gt;=MO$3)*('حجز الإجازات'!$G$5:$G$104="معتمد")*ROW('حجز الإجازات'!$B$5:$B$104)))-5+1))</f>
        <v/>
      </c>
      <c r="MP11" s="62">
        <f>IF(SUMPRODUCT(('حجز الإجازات'!$B$5:$B$104='الموظفون'!$B$9)*('حجز الإجازات'!$D$5:$D$104&lt;=MP$3)*(('حجز الإجازات'!$E$5:$E$104)&gt;=MP$3)*('حجز الإجازات'!$G$5:$G$104="معتمد")*ROW('حجز الإجازات'!$B$5:$B$104))=0,"",INDEX('حجز الإجازات'!$C$5:$C$104,(SUMPRODUCT(('حجز الإجازات'!$B$5:$B$104='الموظفون'!$B$9)*('حجز الإجازات'!$D$5:$D$104&lt;=MP$3)*(('حجز الإجازات'!$E$5:$E$104)&gt;=MP$3)*('حجز الإجازات'!$G$5:$G$104="معتمد")*ROW('حجز الإجازات'!$B$5:$B$104)))-5+1))</f>
        <v/>
      </c>
      <c r="MQ11" s="62">
        <f>IF(SUMPRODUCT(('حجز الإجازات'!$B$5:$B$104='الموظفون'!$B$9)*('حجز الإجازات'!$D$5:$D$104&lt;=MQ$3)*(('حجز الإجازات'!$E$5:$E$104)&gt;=MQ$3)*('حجز الإجازات'!$G$5:$G$104="معتمد")*ROW('حجز الإجازات'!$B$5:$B$104))=0,"",INDEX('حجز الإجازات'!$C$5:$C$104,(SUMPRODUCT(('حجز الإجازات'!$B$5:$B$104='الموظفون'!$B$9)*('حجز الإجازات'!$D$5:$D$104&lt;=MQ$3)*(('حجز الإجازات'!$E$5:$E$104)&gt;=MQ$3)*('حجز الإجازات'!$G$5:$G$104="معتمد")*ROW('حجز الإجازات'!$B$5:$B$104)))-5+1))</f>
        <v/>
      </c>
      <c r="MR11" s="62">
        <f>IF(SUMPRODUCT(('حجز الإجازات'!$B$5:$B$104='الموظفون'!$B$9)*('حجز الإجازات'!$D$5:$D$104&lt;=MR$3)*(('حجز الإجازات'!$E$5:$E$104)&gt;=MR$3)*('حجز الإجازات'!$G$5:$G$104="معتمد")*ROW('حجز الإجازات'!$B$5:$B$104))=0,"",INDEX('حجز الإجازات'!$C$5:$C$104,(SUMPRODUCT(('حجز الإجازات'!$B$5:$B$104='الموظفون'!$B$9)*('حجز الإجازات'!$D$5:$D$104&lt;=MR$3)*(('حجز الإجازات'!$E$5:$E$104)&gt;=MR$3)*('حجز الإجازات'!$G$5:$G$104="معتمد")*ROW('حجز الإجازات'!$B$5:$B$104)))-5+1))</f>
        <v/>
      </c>
      <c r="MS11" s="62">
        <f>IF(SUMPRODUCT(('حجز الإجازات'!$B$5:$B$104='الموظفون'!$B$9)*('حجز الإجازات'!$D$5:$D$104&lt;=MS$3)*(('حجز الإجازات'!$E$5:$E$104)&gt;=MS$3)*('حجز الإجازات'!$G$5:$G$104="معتمد")*ROW('حجز الإجازات'!$B$5:$B$104))=0,"",INDEX('حجز الإجازات'!$C$5:$C$104,(SUMPRODUCT(('حجز الإجازات'!$B$5:$B$104='الموظفون'!$B$9)*('حجز الإجازات'!$D$5:$D$104&lt;=MS$3)*(('حجز الإجازات'!$E$5:$E$104)&gt;=MS$3)*('حجز الإجازات'!$G$5:$G$104="معتمد")*ROW('حجز الإجازات'!$B$5:$B$104)))-5+1))</f>
        <v/>
      </c>
      <c r="MT11" s="62">
        <f>IF(SUMPRODUCT(('حجز الإجازات'!$B$5:$B$104='الموظفون'!$B$9)*('حجز الإجازات'!$D$5:$D$104&lt;=MT$3)*(('حجز الإجازات'!$E$5:$E$104)&gt;=MT$3)*('حجز الإجازات'!$G$5:$G$104="معتمد")*ROW('حجز الإجازات'!$B$5:$B$104))=0,"",INDEX('حجز الإجازات'!$C$5:$C$104,(SUMPRODUCT(('حجز الإجازات'!$B$5:$B$104='الموظفون'!$B$9)*('حجز الإجازات'!$D$5:$D$104&lt;=MT$3)*(('حجز الإجازات'!$E$5:$E$104)&gt;=MT$3)*('حجز الإجازات'!$G$5:$G$104="معتمد")*ROW('حجز الإجازات'!$B$5:$B$104)))-5+1))</f>
        <v/>
      </c>
      <c r="MU11" s="62">
        <f>IF(SUMPRODUCT(('حجز الإجازات'!$B$5:$B$104='الموظفون'!$B$9)*('حجز الإجازات'!$D$5:$D$104&lt;=MU$3)*(('حجز الإجازات'!$E$5:$E$104)&gt;=MU$3)*('حجز الإجازات'!$G$5:$G$104="معتمد")*ROW('حجز الإجازات'!$B$5:$B$104))=0,"",INDEX('حجز الإجازات'!$C$5:$C$104,(SUMPRODUCT(('حجز الإجازات'!$B$5:$B$104='الموظفون'!$B$9)*('حجز الإجازات'!$D$5:$D$104&lt;=MU$3)*(('حجز الإجازات'!$E$5:$E$104)&gt;=MU$3)*('حجز الإجازات'!$G$5:$G$104="معتمد")*ROW('حجز الإجازات'!$B$5:$B$104)))-5+1))</f>
        <v/>
      </c>
      <c r="MV11" s="62">
        <f>IF(SUMPRODUCT(('حجز الإجازات'!$B$5:$B$104='الموظفون'!$B$9)*('حجز الإجازات'!$D$5:$D$104&lt;=MV$3)*(('حجز الإجازات'!$E$5:$E$104)&gt;=MV$3)*('حجز الإجازات'!$G$5:$G$104="معتمد")*ROW('حجز الإجازات'!$B$5:$B$104))=0,"",INDEX('حجز الإجازات'!$C$5:$C$104,(SUMPRODUCT(('حجز الإجازات'!$B$5:$B$104='الموظفون'!$B$9)*('حجز الإجازات'!$D$5:$D$104&lt;=MV$3)*(('حجز الإجازات'!$E$5:$E$104)&gt;=MV$3)*('حجز الإجازات'!$G$5:$G$104="معتمد")*ROW('حجز الإجازات'!$B$5:$B$104)))-5+1))</f>
        <v/>
      </c>
      <c r="MW11" s="62">
        <f>IF(SUMPRODUCT(('حجز الإجازات'!$B$5:$B$104='الموظفون'!$B$9)*('حجز الإجازات'!$D$5:$D$104&lt;=MW$3)*(('حجز الإجازات'!$E$5:$E$104)&gt;=MW$3)*('حجز الإجازات'!$G$5:$G$104="معتمد")*ROW('حجز الإجازات'!$B$5:$B$104))=0,"",INDEX('حجز الإجازات'!$C$5:$C$104,(SUMPRODUCT(('حجز الإجازات'!$B$5:$B$104='الموظفون'!$B$9)*('حجز الإجازات'!$D$5:$D$104&lt;=MW$3)*(('حجز الإجازات'!$E$5:$E$104)&gt;=MW$3)*('حجز الإجازات'!$G$5:$G$104="معتمد")*ROW('حجز الإجازات'!$B$5:$B$104)))-5+1))</f>
        <v/>
      </c>
      <c r="MX11" s="62">
        <f>IF(SUMPRODUCT(('حجز الإجازات'!$B$5:$B$104='الموظفون'!$B$9)*('حجز الإجازات'!$D$5:$D$104&lt;=MX$3)*(('حجز الإجازات'!$E$5:$E$104)&gt;=MX$3)*('حجز الإجازات'!$G$5:$G$104="معتمد")*ROW('حجز الإجازات'!$B$5:$B$104))=0,"",INDEX('حجز الإجازات'!$C$5:$C$104,(SUMPRODUCT(('حجز الإجازات'!$B$5:$B$104='الموظفون'!$B$9)*('حجز الإجازات'!$D$5:$D$104&lt;=MX$3)*(('حجز الإجازات'!$E$5:$E$104)&gt;=MX$3)*('حجز الإجازات'!$G$5:$G$104="معتمد")*ROW('حجز الإجازات'!$B$5:$B$104)))-5+1))</f>
        <v/>
      </c>
      <c r="MY11" s="62">
        <f>IF(SUMPRODUCT(('حجز الإجازات'!$B$5:$B$104='الموظفون'!$B$9)*('حجز الإجازات'!$D$5:$D$104&lt;=MY$3)*(('حجز الإجازات'!$E$5:$E$104)&gt;=MY$3)*('حجز الإجازات'!$G$5:$G$104="معتمد")*ROW('حجز الإجازات'!$B$5:$B$104))=0,"",INDEX('حجز الإجازات'!$C$5:$C$104,(SUMPRODUCT(('حجز الإجازات'!$B$5:$B$104='الموظفون'!$B$9)*('حجز الإجازات'!$D$5:$D$104&lt;=MY$3)*(('حجز الإجازات'!$E$5:$E$104)&gt;=MY$3)*('حجز الإجازات'!$G$5:$G$104="معتمد")*ROW('حجز الإجازات'!$B$5:$B$104)))-5+1))</f>
        <v/>
      </c>
      <c r="MZ11" s="62">
        <f>IF(SUMPRODUCT(('حجز الإجازات'!$B$5:$B$104='الموظفون'!$B$9)*('حجز الإجازات'!$D$5:$D$104&lt;=MZ$3)*(('حجز الإجازات'!$E$5:$E$104)&gt;=MZ$3)*('حجز الإجازات'!$G$5:$G$104="معتمد")*ROW('حجز الإجازات'!$B$5:$B$104))=0,"",INDEX('حجز الإجازات'!$C$5:$C$104,(SUMPRODUCT(('حجز الإجازات'!$B$5:$B$104='الموظفون'!$B$9)*('حجز الإجازات'!$D$5:$D$104&lt;=MZ$3)*(('حجز الإجازات'!$E$5:$E$104)&gt;=MZ$3)*('حجز الإجازات'!$G$5:$G$104="معتمد")*ROW('حجز الإجازات'!$B$5:$B$104)))-5+1))</f>
        <v/>
      </c>
      <c r="NA11" s="62">
        <f>IF(SUMPRODUCT(('حجز الإجازات'!$B$5:$B$104='الموظفون'!$B$9)*('حجز الإجازات'!$D$5:$D$104&lt;=NA$3)*(('حجز الإجازات'!$E$5:$E$104)&gt;=NA$3)*('حجز الإجازات'!$G$5:$G$104="معتمد")*ROW('حجز الإجازات'!$B$5:$B$104))=0,"",INDEX('حجز الإجازات'!$C$5:$C$104,(SUMPRODUCT(('حجز الإجازات'!$B$5:$B$104='الموظفون'!$B$9)*('حجز الإجازات'!$D$5:$D$104&lt;=NA$3)*(('حجز الإجازات'!$E$5:$E$104)&gt;=NA$3)*('حجز الإجازات'!$G$5:$G$104="معتمد")*ROW('حجز الإجازات'!$B$5:$B$104)))-5+1))</f>
        <v/>
      </c>
      <c r="NB11" s="62">
        <f>IF(SUMPRODUCT(('حجز الإجازات'!$B$5:$B$104='الموظفون'!$B$9)*('حجز الإجازات'!$D$5:$D$104&lt;=NB$3)*(('حجز الإجازات'!$E$5:$E$104)&gt;=NB$3)*('حجز الإجازات'!$G$5:$G$104="معتمد")*ROW('حجز الإجازات'!$B$5:$B$104))=0,"",INDEX('حجز الإجازات'!$C$5:$C$104,(SUMPRODUCT(('حجز الإجازات'!$B$5:$B$104='الموظفون'!$B$9)*('حجز الإجازات'!$D$5:$D$104&lt;=NB$3)*(('حجز الإجازات'!$E$5:$E$104)&gt;=NB$3)*('حجز الإجازات'!$G$5:$G$104="معتمد")*ROW('حجز الإجازات'!$B$5:$B$104)))-5+1))</f>
        <v/>
      </c>
      <c r="NC11" s="62">
        <f>IF(SUMPRODUCT(('حجز الإجازات'!$B$5:$B$104='الموظفون'!$B$9)*('حجز الإجازات'!$D$5:$D$104&lt;=NC$3)*(('حجز الإجازات'!$E$5:$E$104)&gt;=NC$3)*('حجز الإجازات'!$G$5:$G$104="معتمد")*ROW('حجز الإجازات'!$B$5:$B$104))=0,"",INDEX('حجز الإجازات'!$C$5:$C$104,(SUMPRODUCT(('حجز الإجازات'!$B$5:$B$104='الموظفون'!$B$9)*('حجز الإجازات'!$D$5:$D$104&lt;=NC$3)*(('حجز الإجازات'!$E$5:$E$104)&gt;=NC$3)*('حجز الإجازات'!$G$5:$G$104="معتمد")*ROW('حجز الإجازات'!$B$5:$B$104)))-5+1))</f>
        <v/>
      </c>
      <c r="ND11" s="62">
        <f>IF(SUMPRODUCT(('حجز الإجازات'!$B$5:$B$104='الموظفون'!$B$9)*('حجز الإجازات'!$D$5:$D$104&lt;=ND$3)*(('حجز الإجازات'!$E$5:$E$104)&gt;=ND$3)*('حجز الإجازات'!$G$5:$G$104="معتمد")*ROW('حجز الإجازات'!$B$5:$B$104))=0,"",INDEX('حجز الإجازات'!$C$5:$C$104,(SUMPRODUCT(('حجز الإجازات'!$B$5:$B$104='الموظفون'!$B$9)*('حجز الإجازات'!$D$5:$D$104&lt;=ND$3)*(('حجز الإجازات'!$E$5:$E$104)&gt;=ND$3)*('حجز الإجازات'!$G$5:$G$104="معتمد")*ROW('حجز الإجازات'!$B$5:$B$104)))-5+1))</f>
        <v/>
      </c>
      <c r="NE11" s="74">
        <f>SUMPRODUCT(--(D11:ND11&lt;&gt;""))</f>
        <v/>
      </c>
    </row>
    <row r="12">
      <c r="B12" s="67" t="inlineStr">
        <is>
          <t>عدد المُجازين</t>
        </is>
      </c>
      <c r="D12" s="64">
        <f>SUMPRODUCT(--(D4:D11&lt;&gt;""))</f>
        <v/>
      </c>
      <c r="E12" s="64">
        <f>SUMPRODUCT(--(E4:E11&lt;&gt;""))</f>
        <v/>
      </c>
      <c r="F12" s="64">
        <f>SUMPRODUCT(--(F4:F11&lt;&gt;""))</f>
        <v/>
      </c>
      <c r="G12" s="64">
        <f>SUMPRODUCT(--(G4:G11&lt;&gt;""))</f>
        <v/>
      </c>
      <c r="H12" s="64">
        <f>SUMPRODUCT(--(H4:H11&lt;&gt;""))</f>
        <v/>
      </c>
      <c r="I12" s="64">
        <f>SUMPRODUCT(--(I4:I11&lt;&gt;""))</f>
        <v/>
      </c>
      <c r="J12" s="64">
        <f>SUMPRODUCT(--(J4:J11&lt;&gt;""))</f>
        <v/>
      </c>
      <c r="K12" s="64">
        <f>SUMPRODUCT(--(K4:K11&lt;&gt;""))</f>
        <v/>
      </c>
      <c r="L12" s="64">
        <f>SUMPRODUCT(--(L4:L11&lt;&gt;""))</f>
        <v/>
      </c>
      <c r="M12" s="64">
        <f>SUMPRODUCT(--(M4:M11&lt;&gt;""))</f>
        <v/>
      </c>
      <c r="N12" s="64">
        <f>SUMPRODUCT(--(N4:N11&lt;&gt;""))</f>
        <v/>
      </c>
      <c r="O12" s="64">
        <f>SUMPRODUCT(--(O4:O11&lt;&gt;""))</f>
        <v/>
      </c>
      <c r="P12" s="64">
        <f>SUMPRODUCT(--(P4:P11&lt;&gt;""))</f>
        <v/>
      </c>
      <c r="Q12" s="64">
        <f>SUMPRODUCT(--(Q4:Q11&lt;&gt;""))</f>
        <v/>
      </c>
      <c r="R12" s="64">
        <f>SUMPRODUCT(--(R4:R11&lt;&gt;""))</f>
        <v/>
      </c>
      <c r="S12" s="64">
        <f>SUMPRODUCT(--(S4:S11&lt;&gt;""))</f>
        <v/>
      </c>
      <c r="T12" s="64">
        <f>SUMPRODUCT(--(T4:T11&lt;&gt;""))</f>
        <v/>
      </c>
      <c r="U12" s="64">
        <f>SUMPRODUCT(--(U4:U11&lt;&gt;""))</f>
        <v/>
      </c>
      <c r="V12" s="64">
        <f>SUMPRODUCT(--(V4:V11&lt;&gt;""))</f>
        <v/>
      </c>
      <c r="W12" s="64">
        <f>SUMPRODUCT(--(W4:W11&lt;&gt;""))</f>
        <v/>
      </c>
      <c r="X12" s="64">
        <f>SUMPRODUCT(--(X4:X11&lt;&gt;""))</f>
        <v/>
      </c>
      <c r="Y12" s="64">
        <f>SUMPRODUCT(--(Y4:Y11&lt;&gt;""))</f>
        <v/>
      </c>
      <c r="Z12" s="64">
        <f>SUMPRODUCT(--(Z4:Z11&lt;&gt;""))</f>
        <v/>
      </c>
      <c r="AA12" s="64">
        <f>SUMPRODUCT(--(AA4:AA11&lt;&gt;""))</f>
        <v/>
      </c>
      <c r="AB12" s="64">
        <f>SUMPRODUCT(--(AB4:AB11&lt;&gt;""))</f>
        <v/>
      </c>
      <c r="AC12" s="64">
        <f>SUMPRODUCT(--(AC4:AC11&lt;&gt;""))</f>
        <v/>
      </c>
      <c r="AD12" s="64">
        <f>SUMPRODUCT(--(AD4:AD11&lt;&gt;""))</f>
        <v/>
      </c>
      <c r="AE12" s="64">
        <f>SUMPRODUCT(--(AE4:AE11&lt;&gt;""))</f>
        <v/>
      </c>
      <c r="AF12" s="64">
        <f>SUMPRODUCT(--(AF4:AF11&lt;&gt;""))</f>
        <v/>
      </c>
      <c r="AG12" s="64">
        <f>SUMPRODUCT(--(AG4:AG11&lt;&gt;""))</f>
        <v/>
      </c>
      <c r="AH12" s="64">
        <f>SUMPRODUCT(--(AH4:AH11&lt;&gt;""))</f>
        <v/>
      </c>
      <c r="AI12" s="64">
        <f>SUMPRODUCT(--(AI4:AI11&lt;&gt;""))</f>
        <v/>
      </c>
      <c r="AJ12" s="64">
        <f>SUMPRODUCT(--(AJ4:AJ11&lt;&gt;""))</f>
        <v/>
      </c>
      <c r="AK12" s="64">
        <f>SUMPRODUCT(--(AK4:AK11&lt;&gt;""))</f>
        <v/>
      </c>
      <c r="AL12" s="64">
        <f>SUMPRODUCT(--(AL4:AL11&lt;&gt;""))</f>
        <v/>
      </c>
      <c r="AM12" s="64">
        <f>SUMPRODUCT(--(AM4:AM11&lt;&gt;""))</f>
        <v/>
      </c>
      <c r="AN12" s="64">
        <f>SUMPRODUCT(--(AN4:AN11&lt;&gt;""))</f>
        <v/>
      </c>
      <c r="AO12" s="64">
        <f>SUMPRODUCT(--(AO4:AO11&lt;&gt;""))</f>
        <v/>
      </c>
      <c r="AP12" s="64">
        <f>SUMPRODUCT(--(AP4:AP11&lt;&gt;""))</f>
        <v/>
      </c>
      <c r="AQ12" s="64">
        <f>SUMPRODUCT(--(AQ4:AQ11&lt;&gt;""))</f>
        <v/>
      </c>
      <c r="AR12" s="64">
        <f>SUMPRODUCT(--(AR4:AR11&lt;&gt;""))</f>
        <v/>
      </c>
      <c r="AS12" s="64">
        <f>SUMPRODUCT(--(AS4:AS11&lt;&gt;""))</f>
        <v/>
      </c>
      <c r="AT12" s="64">
        <f>SUMPRODUCT(--(AT4:AT11&lt;&gt;""))</f>
        <v/>
      </c>
      <c r="AU12" s="64">
        <f>SUMPRODUCT(--(AU4:AU11&lt;&gt;""))</f>
        <v/>
      </c>
      <c r="AV12" s="64">
        <f>SUMPRODUCT(--(AV4:AV11&lt;&gt;""))</f>
        <v/>
      </c>
      <c r="AW12" s="64">
        <f>SUMPRODUCT(--(AW4:AW11&lt;&gt;""))</f>
        <v/>
      </c>
      <c r="AX12" s="64">
        <f>SUMPRODUCT(--(AX4:AX11&lt;&gt;""))</f>
        <v/>
      </c>
      <c r="AY12" s="64">
        <f>SUMPRODUCT(--(AY4:AY11&lt;&gt;""))</f>
        <v/>
      </c>
      <c r="AZ12" s="64">
        <f>SUMPRODUCT(--(AZ4:AZ11&lt;&gt;""))</f>
        <v/>
      </c>
      <c r="BA12" s="64">
        <f>SUMPRODUCT(--(BA4:BA11&lt;&gt;""))</f>
        <v/>
      </c>
      <c r="BB12" s="64">
        <f>SUMPRODUCT(--(BB4:BB11&lt;&gt;""))</f>
        <v/>
      </c>
      <c r="BC12" s="64">
        <f>SUMPRODUCT(--(BC4:BC11&lt;&gt;""))</f>
        <v/>
      </c>
      <c r="BD12" s="64">
        <f>SUMPRODUCT(--(BD4:BD11&lt;&gt;""))</f>
        <v/>
      </c>
      <c r="BE12" s="64">
        <f>SUMPRODUCT(--(BE4:BE11&lt;&gt;""))</f>
        <v/>
      </c>
      <c r="BF12" s="64">
        <f>SUMPRODUCT(--(BF4:BF11&lt;&gt;""))</f>
        <v/>
      </c>
      <c r="BG12" s="64">
        <f>SUMPRODUCT(--(BG4:BG11&lt;&gt;""))</f>
        <v/>
      </c>
      <c r="BH12" s="64">
        <f>SUMPRODUCT(--(BH4:BH11&lt;&gt;""))</f>
        <v/>
      </c>
      <c r="BI12" s="64">
        <f>SUMPRODUCT(--(BI4:BI11&lt;&gt;""))</f>
        <v/>
      </c>
      <c r="BJ12" s="64">
        <f>SUMPRODUCT(--(BJ4:BJ11&lt;&gt;""))</f>
        <v/>
      </c>
      <c r="BK12" s="64">
        <f>SUMPRODUCT(--(BK4:BK11&lt;&gt;""))</f>
        <v/>
      </c>
      <c r="BL12" s="64">
        <f>SUMPRODUCT(--(BL4:BL11&lt;&gt;""))</f>
        <v/>
      </c>
      <c r="BM12" s="64">
        <f>SUMPRODUCT(--(BM4:BM11&lt;&gt;""))</f>
        <v/>
      </c>
      <c r="BN12" s="64">
        <f>SUMPRODUCT(--(BN4:BN11&lt;&gt;""))</f>
        <v/>
      </c>
      <c r="BO12" s="64">
        <f>SUMPRODUCT(--(BO4:BO11&lt;&gt;""))</f>
        <v/>
      </c>
      <c r="BP12" s="64">
        <f>SUMPRODUCT(--(BP4:BP11&lt;&gt;""))</f>
        <v/>
      </c>
      <c r="BQ12" s="64">
        <f>SUMPRODUCT(--(BQ4:BQ11&lt;&gt;""))</f>
        <v/>
      </c>
      <c r="BR12" s="64">
        <f>SUMPRODUCT(--(BR4:BR11&lt;&gt;""))</f>
        <v/>
      </c>
      <c r="BS12" s="64">
        <f>SUMPRODUCT(--(BS4:BS11&lt;&gt;""))</f>
        <v/>
      </c>
      <c r="BT12" s="64">
        <f>SUMPRODUCT(--(BT4:BT11&lt;&gt;""))</f>
        <v/>
      </c>
      <c r="BU12" s="64">
        <f>SUMPRODUCT(--(BU4:BU11&lt;&gt;""))</f>
        <v/>
      </c>
      <c r="BV12" s="64">
        <f>SUMPRODUCT(--(BV4:BV11&lt;&gt;""))</f>
        <v/>
      </c>
      <c r="BW12" s="64">
        <f>SUMPRODUCT(--(BW4:BW11&lt;&gt;""))</f>
        <v/>
      </c>
      <c r="BX12" s="64">
        <f>SUMPRODUCT(--(BX4:BX11&lt;&gt;""))</f>
        <v/>
      </c>
      <c r="BY12" s="64">
        <f>SUMPRODUCT(--(BY4:BY11&lt;&gt;""))</f>
        <v/>
      </c>
      <c r="BZ12" s="64">
        <f>SUMPRODUCT(--(BZ4:BZ11&lt;&gt;""))</f>
        <v/>
      </c>
      <c r="CA12" s="64">
        <f>SUMPRODUCT(--(CA4:CA11&lt;&gt;""))</f>
        <v/>
      </c>
      <c r="CB12" s="64">
        <f>SUMPRODUCT(--(CB4:CB11&lt;&gt;""))</f>
        <v/>
      </c>
      <c r="CC12" s="64">
        <f>SUMPRODUCT(--(CC4:CC11&lt;&gt;""))</f>
        <v/>
      </c>
      <c r="CD12" s="64">
        <f>SUMPRODUCT(--(CD4:CD11&lt;&gt;""))</f>
        <v/>
      </c>
      <c r="CE12" s="64">
        <f>SUMPRODUCT(--(CE4:CE11&lt;&gt;""))</f>
        <v/>
      </c>
      <c r="CF12" s="64">
        <f>SUMPRODUCT(--(CF4:CF11&lt;&gt;""))</f>
        <v/>
      </c>
      <c r="CG12" s="64">
        <f>SUMPRODUCT(--(CG4:CG11&lt;&gt;""))</f>
        <v/>
      </c>
      <c r="CH12" s="64">
        <f>SUMPRODUCT(--(CH4:CH11&lt;&gt;""))</f>
        <v/>
      </c>
      <c r="CI12" s="64">
        <f>SUMPRODUCT(--(CI4:CI11&lt;&gt;""))</f>
        <v/>
      </c>
      <c r="CJ12" s="64">
        <f>SUMPRODUCT(--(CJ4:CJ11&lt;&gt;""))</f>
        <v/>
      </c>
      <c r="CK12" s="64">
        <f>SUMPRODUCT(--(CK4:CK11&lt;&gt;""))</f>
        <v/>
      </c>
      <c r="CL12" s="64">
        <f>SUMPRODUCT(--(CL4:CL11&lt;&gt;""))</f>
        <v/>
      </c>
      <c r="CM12" s="64">
        <f>SUMPRODUCT(--(CM4:CM11&lt;&gt;""))</f>
        <v/>
      </c>
      <c r="CN12" s="64">
        <f>SUMPRODUCT(--(CN4:CN11&lt;&gt;""))</f>
        <v/>
      </c>
      <c r="CO12" s="64">
        <f>SUMPRODUCT(--(CO4:CO11&lt;&gt;""))</f>
        <v/>
      </c>
      <c r="CP12" s="64">
        <f>SUMPRODUCT(--(CP4:CP11&lt;&gt;""))</f>
        <v/>
      </c>
      <c r="CQ12" s="64">
        <f>SUMPRODUCT(--(CQ4:CQ11&lt;&gt;""))</f>
        <v/>
      </c>
      <c r="CR12" s="64">
        <f>SUMPRODUCT(--(CR4:CR11&lt;&gt;""))</f>
        <v/>
      </c>
      <c r="CS12" s="64">
        <f>SUMPRODUCT(--(CS4:CS11&lt;&gt;""))</f>
        <v/>
      </c>
      <c r="CT12" s="64">
        <f>SUMPRODUCT(--(CT4:CT11&lt;&gt;""))</f>
        <v/>
      </c>
      <c r="CU12" s="64">
        <f>SUMPRODUCT(--(CU4:CU11&lt;&gt;""))</f>
        <v/>
      </c>
      <c r="CV12" s="64">
        <f>SUMPRODUCT(--(CV4:CV11&lt;&gt;""))</f>
        <v/>
      </c>
      <c r="CW12" s="64">
        <f>SUMPRODUCT(--(CW4:CW11&lt;&gt;""))</f>
        <v/>
      </c>
      <c r="CX12" s="64">
        <f>SUMPRODUCT(--(CX4:CX11&lt;&gt;""))</f>
        <v/>
      </c>
      <c r="CY12" s="64">
        <f>SUMPRODUCT(--(CY4:CY11&lt;&gt;""))</f>
        <v/>
      </c>
      <c r="CZ12" s="64">
        <f>SUMPRODUCT(--(CZ4:CZ11&lt;&gt;""))</f>
        <v/>
      </c>
      <c r="DA12" s="64">
        <f>SUMPRODUCT(--(DA4:DA11&lt;&gt;""))</f>
        <v/>
      </c>
      <c r="DB12" s="64">
        <f>SUMPRODUCT(--(DB4:DB11&lt;&gt;""))</f>
        <v/>
      </c>
      <c r="DC12" s="64">
        <f>SUMPRODUCT(--(DC4:DC11&lt;&gt;""))</f>
        <v/>
      </c>
      <c r="DD12" s="64">
        <f>SUMPRODUCT(--(DD4:DD11&lt;&gt;""))</f>
        <v/>
      </c>
      <c r="DE12" s="64">
        <f>SUMPRODUCT(--(DE4:DE11&lt;&gt;""))</f>
        <v/>
      </c>
      <c r="DF12" s="64">
        <f>SUMPRODUCT(--(DF4:DF11&lt;&gt;""))</f>
        <v/>
      </c>
      <c r="DG12" s="64">
        <f>SUMPRODUCT(--(DG4:DG11&lt;&gt;""))</f>
        <v/>
      </c>
      <c r="DH12" s="64">
        <f>SUMPRODUCT(--(DH4:DH11&lt;&gt;""))</f>
        <v/>
      </c>
      <c r="DI12" s="64">
        <f>SUMPRODUCT(--(DI4:DI11&lt;&gt;""))</f>
        <v/>
      </c>
      <c r="DJ12" s="64">
        <f>SUMPRODUCT(--(DJ4:DJ11&lt;&gt;""))</f>
        <v/>
      </c>
      <c r="DK12" s="64">
        <f>SUMPRODUCT(--(DK4:DK11&lt;&gt;""))</f>
        <v/>
      </c>
      <c r="DL12" s="64">
        <f>SUMPRODUCT(--(DL4:DL11&lt;&gt;""))</f>
        <v/>
      </c>
      <c r="DM12" s="64">
        <f>SUMPRODUCT(--(DM4:DM11&lt;&gt;""))</f>
        <v/>
      </c>
      <c r="DN12" s="64">
        <f>SUMPRODUCT(--(DN4:DN11&lt;&gt;""))</f>
        <v/>
      </c>
      <c r="DO12" s="64">
        <f>SUMPRODUCT(--(DO4:DO11&lt;&gt;""))</f>
        <v/>
      </c>
      <c r="DP12" s="64">
        <f>SUMPRODUCT(--(DP4:DP11&lt;&gt;""))</f>
        <v/>
      </c>
      <c r="DQ12" s="64">
        <f>SUMPRODUCT(--(DQ4:DQ11&lt;&gt;""))</f>
        <v/>
      </c>
      <c r="DR12" s="64">
        <f>SUMPRODUCT(--(DR4:DR11&lt;&gt;""))</f>
        <v/>
      </c>
      <c r="DS12" s="64">
        <f>SUMPRODUCT(--(DS4:DS11&lt;&gt;""))</f>
        <v/>
      </c>
      <c r="DT12" s="64">
        <f>SUMPRODUCT(--(DT4:DT11&lt;&gt;""))</f>
        <v/>
      </c>
      <c r="DU12" s="64">
        <f>SUMPRODUCT(--(DU4:DU11&lt;&gt;""))</f>
        <v/>
      </c>
      <c r="DV12" s="64">
        <f>SUMPRODUCT(--(DV4:DV11&lt;&gt;""))</f>
        <v/>
      </c>
      <c r="DW12" s="64">
        <f>SUMPRODUCT(--(DW4:DW11&lt;&gt;""))</f>
        <v/>
      </c>
      <c r="DX12" s="64">
        <f>SUMPRODUCT(--(DX4:DX11&lt;&gt;""))</f>
        <v/>
      </c>
      <c r="DY12" s="64">
        <f>SUMPRODUCT(--(DY4:DY11&lt;&gt;""))</f>
        <v/>
      </c>
      <c r="DZ12" s="64">
        <f>SUMPRODUCT(--(DZ4:DZ11&lt;&gt;""))</f>
        <v/>
      </c>
      <c r="EA12" s="64">
        <f>SUMPRODUCT(--(EA4:EA11&lt;&gt;""))</f>
        <v/>
      </c>
      <c r="EB12" s="64">
        <f>SUMPRODUCT(--(EB4:EB11&lt;&gt;""))</f>
        <v/>
      </c>
      <c r="EC12" s="64">
        <f>SUMPRODUCT(--(EC4:EC11&lt;&gt;""))</f>
        <v/>
      </c>
      <c r="ED12" s="64">
        <f>SUMPRODUCT(--(ED4:ED11&lt;&gt;""))</f>
        <v/>
      </c>
      <c r="EE12" s="64">
        <f>SUMPRODUCT(--(EE4:EE11&lt;&gt;""))</f>
        <v/>
      </c>
      <c r="EF12" s="64">
        <f>SUMPRODUCT(--(EF4:EF11&lt;&gt;""))</f>
        <v/>
      </c>
      <c r="EG12" s="64">
        <f>SUMPRODUCT(--(EG4:EG11&lt;&gt;""))</f>
        <v/>
      </c>
      <c r="EH12" s="64">
        <f>SUMPRODUCT(--(EH4:EH11&lt;&gt;""))</f>
        <v/>
      </c>
      <c r="EI12" s="64">
        <f>SUMPRODUCT(--(EI4:EI11&lt;&gt;""))</f>
        <v/>
      </c>
      <c r="EJ12" s="64">
        <f>SUMPRODUCT(--(EJ4:EJ11&lt;&gt;""))</f>
        <v/>
      </c>
      <c r="EK12" s="64">
        <f>SUMPRODUCT(--(EK4:EK11&lt;&gt;""))</f>
        <v/>
      </c>
      <c r="EL12" s="64">
        <f>SUMPRODUCT(--(EL4:EL11&lt;&gt;""))</f>
        <v/>
      </c>
      <c r="EM12" s="64">
        <f>SUMPRODUCT(--(EM4:EM11&lt;&gt;""))</f>
        <v/>
      </c>
      <c r="EN12" s="64">
        <f>SUMPRODUCT(--(EN4:EN11&lt;&gt;""))</f>
        <v/>
      </c>
      <c r="EO12" s="64">
        <f>SUMPRODUCT(--(EO4:EO11&lt;&gt;""))</f>
        <v/>
      </c>
      <c r="EP12" s="64">
        <f>SUMPRODUCT(--(EP4:EP11&lt;&gt;""))</f>
        <v/>
      </c>
      <c r="EQ12" s="64">
        <f>SUMPRODUCT(--(EQ4:EQ11&lt;&gt;""))</f>
        <v/>
      </c>
      <c r="ER12" s="64">
        <f>SUMPRODUCT(--(ER4:ER11&lt;&gt;""))</f>
        <v/>
      </c>
      <c r="ES12" s="64">
        <f>SUMPRODUCT(--(ES4:ES11&lt;&gt;""))</f>
        <v/>
      </c>
      <c r="ET12" s="64">
        <f>SUMPRODUCT(--(ET4:ET11&lt;&gt;""))</f>
        <v/>
      </c>
      <c r="EU12" s="64">
        <f>SUMPRODUCT(--(EU4:EU11&lt;&gt;""))</f>
        <v/>
      </c>
      <c r="EV12" s="64">
        <f>SUMPRODUCT(--(EV4:EV11&lt;&gt;""))</f>
        <v/>
      </c>
      <c r="EW12" s="64">
        <f>SUMPRODUCT(--(EW4:EW11&lt;&gt;""))</f>
        <v/>
      </c>
      <c r="EX12" s="64">
        <f>SUMPRODUCT(--(EX4:EX11&lt;&gt;""))</f>
        <v/>
      </c>
      <c r="EY12" s="64">
        <f>SUMPRODUCT(--(EY4:EY11&lt;&gt;""))</f>
        <v/>
      </c>
      <c r="EZ12" s="64">
        <f>SUMPRODUCT(--(EZ4:EZ11&lt;&gt;""))</f>
        <v/>
      </c>
      <c r="FA12" s="64">
        <f>SUMPRODUCT(--(FA4:FA11&lt;&gt;""))</f>
        <v/>
      </c>
      <c r="FB12" s="64">
        <f>SUMPRODUCT(--(FB4:FB11&lt;&gt;""))</f>
        <v/>
      </c>
      <c r="FC12" s="64">
        <f>SUMPRODUCT(--(FC4:FC11&lt;&gt;""))</f>
        <v/>
      </c>
      <c r="FD12" s="64">
        <f>SUMPRODUCT(--(FD4:FD11&lt;&gt;""))</f>
        <v/>
      </c>
      <c r="FE12" s="64">
        <f>SUMPRODUCT(--(FE4:FE11&lt;&gt;""))</f>
        <v/>
      </c>
      <c r="FF12" s="64">
        <f>SUMPRODUCT(--(FF4:FF11&lt;&gt;""))</f>
        <v/>
      </c>
      <c r="FG12" s="64">
        <f>SUMPRODUCT(--(FG4:FG11&lt;&gt;""))</f>
        <v/>
      </c>
      <c r="FH12" s="64">
        <f>SUMPRODUCT(--(FH4:FH11&lt;&gt;""))</f>
        <v/>
      </c>
      <c r="FI12" s="64">
        <f>SUMPRODUCT(--(FI4:FI11&lt;&gt;""))</f>
        <v/>
      </c>
      <c r="FJ12" s="64">
        <f>SUMPRODUCT(--(FJ4:FJ11&lt;&gt;""))</f>
        <v/>
      </c>
      <c r="FK12" s="64">
        <f>SUMPRODUCT(--(FK4:FK11&lt;&gt;""))</f>
        <v/>
      </c>
      <c r="FL12" s="64">
        <f>SUMPRODUCT(--(FL4:FL11&lt;&gt;""))</f>
        <v/>
      </c>
      <c r="FM12" s="64">
        <f>SUMPRODUCT(--(FM4:FM11&lt;&gt;""))</f>
        <v/>
      </c>
      <c r="FN12" s="64">
        <f>SUMPRODUCT(--(FN4:FN11&lt;&gt;""))</f>
        <v/>
      </c>
      <c r="FO12" s="64">
        <f>SUMPRODUCT(--(FO4:FO11&lt;&gt;""))</f>
        <v/>
      </c>
      <c r="FP12" s="64">
        <f>SUMPRODUCT(--(FP4:FP11&lt;&gt;""))</f>
        <v/>
      </c>
      <c r="FQ12" s="64">
        <f>SUMPRODUCT(--(FQ4:FQ11&lt;&gt;""))</f>
        <v/>
      </c>
      <c r="FR12" s="64">
        <f>SUMPRODUCT(--(FR4:FR11&lt;&gt;""))</f>
        <v/>
      </c>
      <c r="FS12" s="64">
        <f>SUMPRODUCT(--(FS4:FS11&lt;&gt;""))</f>
        <v/>
      </c>
      <c r="FT12" s="64">
        <f>SUMPRODUCT(--(FT4:FT11&lt;&gt;""))</f>
        <v/>
      </c>
      <c r="FU12" s="64">
        <f>SUMPRODUCT(--(FU4:FU11&lt;&gt;""))</f>
        <v/>
      </c>
      <c r="FV12" s="64">
        <f>SUMPRODUCT(--(FV4:FV11&lt;&gt;""))</f>
        <v/>
      </c>
      <c r="FW12" s="64">
        <f>SUMPRODUCT(--(FW4:FW11&lt;&gt;""))</f>
        <v/>
      </c>
      <c r="FX12" s="64">
        <f>SUMPRODUCT(--(FX4:FX11&lt;&gt;""))</f>
        <v/>
      </c>
      <c r="FY12" s="64">
        <f>SUMPRODUCT(--(FY4:FY11&lt;&gt;""))</f>
        <v/>
      </c>
      <c r="FZ12" s="64">
        <f>SUMPRODUCT(--(FZ4:FZ11&lt;&gt;""))</f>
        <v/>
      </c>
      <c r="GA12" s="64">
        <f>SUMPRODUCT(--(GA4:GA11&lt;&gt;""))</f>
        <v/>
      </c>
      <c r="GB12" s="64">
        <f>SUMPRODUCT(--(GB4:GB11&lt;&gt;""))</f>
        <v/>
      </c>
      <c r="GC12" s="64">
        <f>SUMPRODUCT(--(GC4:GC11&lt;&gt;""))</f>
        <v/>
      </c>
      <c r="GD12" s="64">
        <f>SUMPRODUCT(--(GD4:GD11&lt;&gt;""))</f>
        <v/>
      </c>
      <c r="GE12" s="64">
        <f>SUMPRODUCT(--(GE4:GE11&lt;&gt;""))</f>
        <v/>
      </c>
      <c r="GF12" s="64">
        <f>SUMPRODUCT(--(GF4:GF11&lt;&gt;""))</f>
        <v/>
      </c>
      <c r="GG12" s="64">
        <f>SUMPRODUCT(--(GG4:GG11&lt;&gt;""))</f>
        <v/>
      </c>
      <c r="GH12" s="64">
        <f>SUMPRODUCT(--(GH4:GH11&lt;&gt;""))</f>
        <v/>
      </c>
      <c r="GI12" s="64">
        <f>SUMPRODUCT(--(GI4:GI11&lt;&gt;""))</f>
        <v/>
      </c>
      <c r="GJ12" s="64">
        <f>SUMPRODUCT(--(GJ4:GJ11&lt;&gt;""))</f>
        <v/>
      </c>
      <c r="GK12" s="64">
        <f>SUMPRODUCT(--(GK4:GK11&lt;&gt;""))</f>
        <v/>
      </c>
      <c r="GL12" s="64">
        <f>SUMPRODUCT(--(GL4:GL11&lt;&gt;""))</f>
        <v/>
      </c>
      <c r="GM12" s="64">
        <f>SUMPRODUCT(--(GM4:GM11&lt;&gt;""))</f>
        <v/>
      </c>
      <c r="GN12" s="64">
        <f>SUMPRODUCT(--(GN4:GN11&lt;&gt;""))</f>
        <v/>
      </c>
      <c r="GO12" s="64">
        <f>SUMPRODUCT(--(GO4:GO11&lt;&gt;""))</f>
        <v/>
      </c>
      <c r="GP12" s="64">
        <f>SUMPRODUCT(--(GP4:GP11&lt;&gt;""))</f>
        <v/>
      </c>
      <c r="GQ12" s="64">
        <f>SUMPRODUCT(--(GQ4:GQ11&lt;&gt;""))</f>
        <v/>
      </c>
      <c r="GR12" s="64">
        <f>SUMPRODUCT(--(GR4:GR11&lt;&gt;""))</f>
        <v/>
      </c>
      <c r="GS12" s="64">
        <f>SUMPRODUCT(--(GS4:GS11&lt;&gt;""))</f>
        <v/>
      </c>
      <c r="GT12" s="64">
        <f>SUMPRODUCT(--(GT4:GT11&lt;&gt;""))</f>
        <v/>
      </c>
      <c r="GU12" s="64">
        <f>SUMPRODUCT(--(GU4:GU11&lt;&gt;""))</f>
        <v/>
      </c>
      <c r="GV12" s="64">
        <f>SUMPRODUCT(--(GV4:GV11&lt;&gt;""))</f>
        <v/>
      </c>
      <c r="GW12" s="64">
        <f>SUMPRODUCT(--(GW4:GW11&lt;&gt;""))</f>
        <v/>
      </c>
      <c r="GX12" s="64">
        <f>SUMPRODUCT(--(GX4:GX11&lt;&gt;""))</f>
        <v/>
      </c>
      <c r="GY12" s="64">
        <f>SUMPRODUCT(--(GY4:GY11&lt;&gt;""))</f>
        <v/>
      </c>
      <c r="GZ12" s="64">
        <f>SUMPRODUCT(--(GZ4:GZ11&lt;&gt;""))</f>
        <v/>
      </c>
      <c r="HA12" s="64">
        <f>SUMPRODUCT(--(HA4:HA11&lt;&gt;""))</f>
        <v/>
      </c>
      <c r="HB12" s="64">
        <f>SUMPRODUCT(--(HB4:HB11&lt;&gt;""))</f>
        <v/>
      </c>
      <c r="HC12" s="64">
        <f>SUMPRODUCT(--(HC4:HC11&lt;&gt;""))</f>
        <v/>
      </c>
      <c r="HD12" s="64">
        <f>SUMPRODUCT(--(HD4:HD11&lt;&gt;""))</f>
        <v/>
      </c>
      <c r="HE12" s="64">
        <f>SUMPRODUCT(--(HE4:HE11&lt;&gt;""))</f>
        <v/>
      </c>
      <c r="HF12" s="64">
        <f>SUMPRODUCT(--(HF4:HF11&lt;&gt;""))</f>
        <v/>
      </c>
      <c r="HG12" s="64">
        <f>SUMPRODUCT(--(HG4:HG11&lt;&gt;""))</f>
        <v/>
      </c>
      <c r="HH12" s="64">
        <f>SUMPRODUCT(--(HH4:HH11&lt;&gt;""))</f>
        <v/>
      </c>
      <c r="HI12" s="64">
        <f>SUMPRODUCT(--(HI4:HI11&lt;&gt;""))</f>
        <v/>
      </c>
      <c r="HJ12" s="64">
        <f>SUMPRODUCT(--(HJ4:HJ11&lt;&gt;""))</f>
        <v/>
      </c>
      <c r="HK12" s="64">
        <f>SUMPRODUCT(--(HK4:HK11&lt;&gt;""))</f>
        <v/>
      </c>
      <c r="HL12" s="64">
        <f>SUMPRODUCT(--(HL4:HL11&lt;&gt;""))</f>
        <v/>
      </c>
      <c r="HM12" s="64">
        <f>SUMPRODUCT(--(HM4:HM11&lt;&gt;""))</f>
        <v/>
      </c>
      <c r="HN12" s="64">
        <f>SUMPRODUCT(--(HN4:HN11&lt;&gt;""))</f>
        <v/>
      </c>
      <c r="HO12" s="64">
        <f>SUMPRODUCT(--(HO4:HO11&lt;&gt;""))</f>
        <v/>
      </c>
      <c r="HP12" s="64">
        <f>SUMPRODUCT(--(HP4:HP11&lt;&gt;""))</f>
        <v/>
      </c>
      <c r="HQ12" s="64">
        <f>SUMPRODUCT(--(HQ4:HQ11&lt;&gt;""))</f>
        <v/>
      </c>
      <c r="HR12" s="64">
        <f>SUMPRODUCT(--(HR4:HR11&lt;&gt;""))</f>
        <v/>
      </c>
      <c r="HS12" s="64">
        <f>SUMPRODUCT(--(HS4:HS11&lt;&gt;""))</f>
        <v/>
      </c>
      <c r="HT12" s="64">
        <f>SUMPRODUCT(--(HT4:HT11&lt;&gt;""))</f>
        <v/>
      </c>
      <c r="HU12" s="64">
        <f>SUMPRODUCT(--(HU4:HU11&lt;&gt;""))</f>
        <v/>
      </c>
      <c r="HV12" s="64">
        <f>SUMPRODUCT(--(HV4:HV11&lt;&gt;""))</f>
        <v/>
      </c>
      <c r="HW12" s="64">
        <f>SUMPRODUCT(--(HW4:HW11&lt;&gt;""))</f>
        <v/>
      </c>
      <c r="HX12" s="64">
        <f>SUMPRODUCT(--(HX4:HX11&lt;&gt;""))</f>
        <v/>
      </c>
      <c r="HY12" s="64">
        <f>SUMPRODUCT(--(HY4:HY11&lt;&gt;""))</f>
        <v/>
      </c>
      <c r="HZ12" s="64">
        <f>SUMPRODUCT(--(HZ4:HZ11&lt;&gt;""))</f>
        <v/>
      </c>
      <c r="IA12" s="64">
        <f>SUMPRODUCT(--(IA4:IA11&lt;&gt;""))</f>
        <v/>
      </c>
      <c r="IB12" s="64">
        <f>SUMPRODUCT(--(IB4:IB11&lt;&gt;""))</f>
        <v/>
      </c>
      <c r="IC12" s="64">
        <f>SUMPRODUCT(--(IC4:IC11&lt;&gt;""))</f>
        <v/>
      </c>
      <c r="ID12" s="64">
        <f>SUMPRODUCT(--(ID4:ID11&lt;&gt;""))</f>
        <v/>
      </c>
      <c r="IE12" s="64">
        <f>SUMPRODUCT(--(IE4:IE11&lt;&gt;""))</f>
        <v/>
      </c>
      <c r="IF12" s="64">
        <f>SUMPRODUCT(--(IF4:IF11&lt;&gt;""))</f>
        <v/>
      </c>
      <c r="IG12" s="64">
        <f>SUMPRODUCT(--(IG4:IG11&lt;&gt;""))</f>
        <v/>
      </c>
      <c r="IH12" s="64">
        <f>SUMPRODUCT(--(IH4:IH11&lt;&gt;""))</f>
        <v/>
      </c>
      <c r="II12" s="64">
        <f>SUMPRODUCT(--(II4:II11&lt;&gt;""))</f>
        <v/>
      </c>
      <c r="IJ12" s="64">
        <f>SUMPRODUCT(--(IJ4:IJ11&lt;&gt;""))</f>
        <v/>
      </c>
      <c r="IK12" s="64">
        <f>SUMPRODUCT(--(IK4:IK11&lt;&gt;""))</f>
        <v/>
      </c>
      <c r="IL12" s="64">
        <f>SUMPRODUCT(--(IL4:IL11&lt;&gt;""))</f>
        <v/>
      </c>
      <c r="IM12" s="64">
        <f>SUMPRODUCT(--(IM4:IM11&lt;&gt;""))</f>
        <v/>
      </c>
      <c r="IN12" s="64">
        <f>SUMPRODUCT(--(IN4:IN11&lt;&gt;""))</f>
        <v/>
      </c>
      <c r="IO12" s="64">
        <f>SUMPRODUCT(--(IO4:IO11&lt;&gt;""))</f>
        <v/>
      </c>
      <c r="IP12" s="64">
        <f>SUMPRODUCT(--(IP4:IP11&lt;&gt;""))</f>
        <v/>
      </c>
      <c r="IQ12" s="64">
        <f>SUMPRODUCT(--(IQ4:IQ11&lt;&gt;""))</f>
        <v/>
      </c>
      <c r="IR12" s="64">
        <f>SUMPRODUCT(--(IR4:IR11&lt;&gt;""))</f>
        <v/>
      </c>
      <c r="IS12" s="64">
        <f>SUMPRODUCT(--(IS4:IS11&lt;&gt;""))</f>
        <v/>
      </c>
      <c r="IT12" s="64">
        <f>SUMPRODUCT(--(IT4:IT11&lt;&gt;""))</f>
        <v/>
      </c>
      <c r="IU12" s="64">
        <f>SUMPRODUCT(--(IU4:IU11&lt;&gt;""))</f>
        <v/>
      </c>
      <c r="IV12" s="64">
        <f>SUMPRODUCT(--(IV4:IV11&lt;&gt;""))</f>
        <v/>
      </c>
      <c r="IW12" s="64">
        <f>SUMPRODUCT(--(IW4:IW11&lt;&gt;""))</f>
        <v/>
      </c>
      <c r="IX12" s="64">
        <f>SUMPRODUCT(--(IX4:IX11&lt;&gt;""))</f>
        <v/>
      </c>
      <c r="IY12" s="64">
        <f>SUMPRODUCT(--(IY4:IY11&lt;&gt;""))</f>
        <v/>
      </c>
      <c r="IZ12" s="64">
        <f>SUMPRODUCT(--(IZ4:IZ11&lt;&gt;""))</f>
        <v/>
      </c>
      <c r="JA12" s="64">
        <f>SUMPRODUCT(--(JA4:JA11&lt;&gt;""))</f>
        <v/>
      </c>
      <c r="JB12" s="64">
        <f>SUMPRODUCT(--(JB4:JB11&lt;&gt;""))</f>
        <v/>
      </c>
      <c r="JC12" s="64">
        <f>SUMPRODUCT(--(JC4:JC11&lt;&gt;""))</f>
        <v/>
      </c>
      <c r="JD12" s="64">
        <f>SUMPRODUCT(--(JD4:JD11&lt;&gt;""))</f>
        <v/>
      </c>
      <c r="JE12" s="64">
        <f>SUMPRODUCT(--(JE4:JE11&lt;&gt;""))</f>
        <v/>
      </c>
      <c r="JF12" s="64">
        <f>SUMPRODUCT(--(JF4:JF11&lt;&gt;""))</f>
        <v/>
      </c>
      <c r="JG12" s="64">
        <f>SUMPRODUCT(--(JG4:JG11&lt;&gt;""))</f>
        <v/>
      </c>
      <c r="JH12" s="64">
        <f>SUMPRODUCT(--(JH4:JH11&lt;&gt;""))</f>
        <v/>
      </c>
      <c r="JI12" s="64">
        <f>SUMPRODUCT(--(JI4:JI11&lt;&gt;""))</f>
        <v/>
      </c>
      <c r="JJ12" s="64">
        <f>SUMPRODUCT(--(JJ4:JJ11&lt;&gt;""))</f>
        <v/>
      </c>
      <c r="JK12" s="64">
        <f>SUMPRODUCT(--(JK4:JK11&lt;&gt;""))</f>
        <v/>
      </c>
      <c r="JL12" s="64">
        <f>SUMPRODUCT(--(JL4:JL11&lt;&gt;""))</f>
        <v/>
      </c>
      <c r="JM12" s="64">
        <f>SUMPRODUCT(--(JM4:JM11&lt;&gt;""))</f>
        <v/>
      </c>
      <c r="JN12" s="64">
        <f>SUMPRODUCT(--(JN4:JN11&lt;&gt;""))</f>
        <v/>
      </c>
      <c r="JO12" s="64">
        <f>SUMPRODUCT(--(JO4:JO11&lt;&gt;""))</f>
        <v/>
      </c>
      <c r="JP12" s="64">
        <f>SUMPRODUCT(--(JP4:JP11&lt;&gt;""))</f>
        <v/>
      </c>
      <c r="JQ12" s="64">
        <f>SUMPRODUCT(--(JQ4:JQ11&lt;&gt;""))</f>
        <v/>
      </c>
      <c r="JR12" s="64">
        <f>SUMPRODUCT(--(JR4:JR11&lt;&gt;""))</f>
        <v/>
      </c>
      <c r="JS12" s="64">
        <f>SUMPRODUCT(--(JS4:JS11&lt;&gt;""))</f>
        <v/>
      </c>
      <c r="JT12" s="64">
        <f>SUMPRODUCT(--(JT4:JT11&lt;&gt;""))</f>
        <v/>
      </c>
      <c r="JU12" s="64">
        <f>SUMPRODUCT(--(JU4:JU11&lt;&gt;""))</f>
        <v/>
      </c>
      <c r="JV12" s="64">
        <f>SUMPRODUCT(--(JV4:JV11&lt;&gt;""))</f>
        <v/>
      </c>
      <c r="JW12" s="64">
        <f>SUMPRODUCT(--(JW4:JW11&lt;&gt;""))</f>
        <v/>
      </c>
      <c r="JX12" s="64">
        <f>SUMPRODUCT(--(JX4:JX11&lt;&gt;""))</f>
        <v/>
      </c>
      <c r="JY12" s="64">
        <f>SUMPRODUCT(--(JY4:JY11&lt;&gt;""))</f>
        <v/>
      </c>
      <c r="JZ12" s="64">
        <f>SUMPRODUCT(--(JZ4:JZ11&lt;&gt;""))</f>
        <v/>
      </c>
      <c r="KA12" s="64">
        <f>SUMPRODUCT(--(KA4:KA11&lt;&gt;""))</f>
        <v/>
      </c>
      <c r="KB12" s="64">
        <f>SUMPRODUCT(--(KB4:KB11&lt;&gt;""))</f>
        <v/>
      </c>
      <c r="KC12" s="64">
        <f>SUMPRODUCT(--(KC4:KC11&lt;&gt;""))</f>
        <v/>
      </c>
      <c r="KD12" s="64">
        <f>SUMPRODUCT(--(KD4:KD11&lt;&gt;""))</f>
        <v/>
      </c>
      <c r="KE12" s="64">
        <f>SUMPRODUCT(--(KE4:KE11&lt;&gt;""))</f>
        <v/>
      </c>
      <c r="KF12" s="64">
        <f>SUMPRODUCT(--(KF4:KF11&lt;&gt;""))</f>
        <v/>
      </c>
      <c r="KG12" s="64">
        <f>SUMPRODUCT(--(KG4:KG11&lt;&gt;""))</f>
        <v/>
      </c>
      <c r="KH12" s="64">
        <f>SUMPRODUCT(--(KH4:KH11&lt;&gt;""))</f>
        <v/>
      </c>
      <c r="KI12" s="64">
        <f>SUMPRODUCT(--(KI4:KI11&lt;&gt;""))</f>
        <v/>
      </c>
      <c r="KJ12" s="64">
        <f>SUMPRODUCT(--(KJ4:KJ11&lt;&gt;""))</f>
        <v/>
      </c>
      <c r="KK12" s="64">
        <f>SUMPRODUCT(--(KK4:KK11&lt;&gt;""))</f>
        <v/>
      </c>
      <c r="KL12" s="64">
        <f>SUMPRODUCT(--(KL4:KL11&lt;&gt;""))</f>
        <v/>
      </c>
      <c r="KM12" s="64">
        <f>SUMPRODUCT(--(KM4:KM11&lt;&gt;""))</f>
        <v/>
      </c>
      <c r="KN12" s="64">
        <f>SUMPRODUCT(--(KN4:KN11&lt;&gt;""))</f>
        <v/>
      </c>
      <c r="KO12" s="64">
        <f>SUMPRODUCT(--(KO4:KO11&lt;&gt;""))</f>
        <v/>
      </c>
      <c r="KP12" s="64">
        <f>SUMPRODUCT(--(KP4:KP11&lt;&gt;""))</f>
        <v/>
      </c>
      <c r="KQ12" s="64">
        <f>SUMPRODUCT(--(KQ4:KQ11&lt;&gt;""))</f>
        <v/>
      </c>
      <c r="KR12" s="64">
        <f>SUMPRODUCT(--(KR4:KR11&lt;&gt;""))</f>
        <v/>
      </c>
      <c r="KS12" s="64">
        <f>SUMPRODUCT(--(KS4:KS11&lt;&gt;""))</f>
        <v/>
      </c>
      <c r="KT12" s="64">
        <f>SUMPRODUCT(--(KT4:KT11&lt;&gt;""))</f>
        <v/>
      </c>
      <c r="KU12" s="64">
        <f>SUMPRODUCT(--(KU4:KU11&lt;&gt;""))</f>
        <v/>
      </c>
      <c r="KV12" s="64">
        <f>SUMPRODUCT(--(KV4:KV11&lt;&gt;""))</f>
        <v/>
      </c>
      <c r="KW12" s="64">
        <f>SUMPRODUCT(--(KW4:KW11&lt;&gt;""))</f>
        <v/>
      </c>
      <c r="KX12" s="64">
        <f>SUMPRODUCT(--(KX4:KX11&lt;&gt;""))</f>
        <v/>
      </c>
      <c r="KY12" s="64">
        <f>SUMPRODUCT(--(KY4:KY11&lt;&gt;""))</f>
        <v/>
      </c>
      <c r="KZ12" s="64">
        <f>SUMPRODUCT(--(KZ4:KZ11&lt;&gt;""))</f>
        <v/>
      </c>
      <c r="LA12" s="64">
        <f>SUMPRODUCT(--(LA4:LA11&lt;&gt;""))</f>
        <v/>
      </c>
      <c r="LB12" s="64">
        <f>SUMPRODUCT(--(LB4:LB11&lt;&gt;""))</f>
        <v/>
      </c>
      <c r="LC12" s="64">
        <f>SUMPRODUCT(--(LC4:LC11&lt;&gt;""))</f>
        <v/>
      </c>
      <c r="LD12" s="64">
        <f>SUMPRODUCT(--(LD4:LD11&lt;&gt;""))</f>
        <v/>
      </c>
      <c r="LE12" s="64">
        <f>SUMPRODUCT(--(LE4:LE11&lt;&gt;""))</f>
        <v/>
      </c>
      <c r="LF12" s="64">
        <f>SUMPRODUCT(--(LF4:LF11&lt;&gt;""))</f>
        <v/>
      </c>
      <c r="LG12" s="64">
        <f>SUMPRODUCT(--(LG4:LG11&lt;&gt;""))</f>
        <v/>
      </c>
      <c r="LH12" s="64">
        <f>SUMPRODUCT(--(LH4:LH11&lt;&gt;""))</f>
        <v/>
      </c>
      <c r="LI12" s="64">
        <f>SUMPRODUCT(--(LI4:LI11&lt;&gt;""))</f>
        <v/>
      </c>
      <c r="LJ12" s="64">
        <f>SUMPRODUCT(--(LJ4:LJ11&lt;&gt;""))</f>
        <v/>
      </c>
      <c r="LK12" s="64">
        <f>SUMPRODUCT(--(LK4:LK11&lt;&gt;""))</f>
        <v/>
      </c>
      <c r="LL12" s="64">
        <f>SUMPRODUCT(--(LL4:LL11&lt;&gt;""))</f>
        <v/>
      </c>
      <c r="LM12" s="64">
        <f>SUMPRODUCT(--(LM4:LM11&lt;&gt;""))</f>
        <v/>
      </c>
      <c r="LN12" s="64">
        <f>SUMPRODUCT(--(LN4:LN11&lt;&gt;""))</f>
        <v/>
      </c>
      <c r="LO12" s="64">
        <f>SUMPRODUCT(--(LO4:LO11&lt;&gt;""))</f>
        <v/>
      </c>
      <c r="LP12" s="64">
        <f>SUMPRODUCT(--(LP4:LP11&lt;&gt;""))</f>
        <v/>
      </c>
      <c r="LQ12" s="64">
        <f>SUMPRODUCT(--(LQ4:LQ11&lt;&gt;""))</f>
        <v/>
      </c>
      <c r="LR12" s="64">
        <f>SUMPRODUCT(--(LR4:LR11&lt;&gt;""))</f>
        <v/>
      </c>
      <c r="LS12" s="64">
        <f>SUMPRODUCT(--(LS4:LS11&lt;&gt;""))</f>
        <v/>
      </c>
      <c r="LT12" s="64">
        <f>SUMPRODUCT(--(LT4:LT11&lt;&gt;""))</f>
        <v/>
      </c>
      <c r="LU12" s="64">
        <f>SUMPRODUCT(--(LU4:LU11&lt;&gt;""))</f>
        <v/>
      </c>
      <c r="LV12" s="64">
        <f>SUMPRODUCT(--(LV4:LV11&lt;&gt;""))</f>
        <v/>
      </c>
      <c r="LW12" s="64">
        <f>SUMPRODUCT(--(LW4:LW11&lt;&gt;""))</f>
        <v/>
      </c>
      <c r="LX12" s="64">
        <f>SUMPRODUCT(--(LX4:LX11&lt;&gt;""))</f>
        <v/>
      </c>
      <c r="LY12" s="64">
        <f>SUMPRODUCT(--(LY4:LY11&lt;&gt;""))</f>
        <v/>
      </c>
      <c r="LZ12" s="64">
        <f>SUMPRODUCT(--(LZ4:LZ11&lt;&gt;""))</f>
        <v/>
      </c>
      <c r="MA12" s="64">
        <f>SUMPRODUCT(--(MA4:MA11&lt;&gt;""))</f>
        <v/>
      </c>
      <c r="MB12" s="64">
        <f>SUMPRODUCT(--(MB4:MB11&lt;&gt;""))</f>
        <v/>
      </c>
      <c r="MC12" s="64">
        <f>SUMPRODUCT(--(MC4:MC11&lt;&gt;""))</f>
        <v/>
      </c>
      <c r="MD12" s="64">
        <f>SUMPRODUCT(--(MD4:MD11&lt;&gt;""))</f>
        <v/>
      </c>
      <c r="ME12" s="64">
        <f>SUMPRODUCT(--(ME4:ME11&lt;&gt;""))</f>
        <v/>
      </c>
      <c r="MF12" s="64">
        <f>SUMPRODUCT(--(MF4:MF11&lt;&gt;""))</f>
        <v/>
      </c>
      <c r="MG12" s="64">
        <f>SUMPRODUCT(--(MG4:MG11&lt;&gt;""))</f>
        <v/>
      </c>
      <c r="MH12" s="64">
        <f>SUMPRODUCT(--(MH4:MH11&lt;&gt;""))</f>
        <v/>
      </c>
      <c r="MI12" s="64">
        <f>SUMPRODUCT(--(MI4:MI11&lt;&gt;""))</f>
        <v/>
      </c>
      <c r="MJ12" s="64">
        <f>SUMPRODUCT(--(MJ4:MJ11&lt;&gt;""))</f>
        <v/>
      </c>
      <c r="MK12" s="64">
        <f>SUMPRODUCT(--(MK4:MK11&lt;&gt;""))</f>
        <v/>
      </c>
      <c r="ML12" s="64">
        <f>SUMPRODUCT(--(ML4:ML11&lt;&gt;""))</f>
        <v/>
      </c>
      <c r="MM12" s="64">
        <f>SUMPRODUCT(--(MM4:MM11&lt;&gt;""))</f>
        <v/>
      </c>
      <c r="MN12" s="64">
        <f>SUMPRODUCT(--(MN4:MN11&lt;&gt;""))</f>
        <v/>
      </c>
      <c r="MO12" s="64">
        <f>SUMPRODUCT(--(MO4:MO11&lt;&gt;""))</f>
        <v/>
      </c>
      <c r="MP12" s="64">
        <f>SUMPRODUCT(--(MP4:MP11&lt;&gt;""))</f>
        <v/>
      </c>
      <c r="MQ12" s="64">
        <f>SUMPRODUCT(--(MQ4:MQ11&lt;&gt;""))</f>
        <v/>
      </c>
      <c r="MR12" s="64">
        <f>SUMPRODUCT(--(MR4:MR11&lt;&gt;""))</f>
        <v/>
      </c>
      <c r="MS12" s="64">
        <f>SUMPRODUCT(--(MS4:MS11&lt;&gt;""))</f>
        <v/>
      </c>
      <c r="MT12" s="64">
        <f>SUMPRODUCT(--(MT4:MT11&lt;&gt;""))</f>
        <v/>
      </c>
      <c r="MU12" s="64">
        <f>SUMPRODUCT(--(MU4:MU11&lt;&gt;""))</f>
        <v/>
      </c>
      <c r="MV12" s="64">
        <f>SUMPRODUCT(--(MV4:MV11&lt;&gt;""))</f>
        <v/>
      </c>
      <c r="MW12" s="64">
        <f>SUMPRODUCT(--(MW4:MW11&lt;&gt;""))</f>
        <v/>
      </c>
      <c r="MX12" s="64">
        <f>SUMPRODUCT(--(MX4:MX11&lt;&gt;""))</f>
        <v/>
      </c>
      <c r="MY12" s="64">
        <f>SUMPRODUCT(--(MY4:MY11&lt;&gt;""))</f>
        <v/>
      </c>
      <c r="MZ12" s="64">
        <f>SUMPRODUCT(--(MZ4:MZ11&lt;&gt;""))</f>
        <v/>
      </c>
      <c r="NA12" s="64">
        <f>SUMPRODUCT(--(NA4:NA11&lt;&gt;""))</f>
        <v/>
      </c>
      <c r="NB12" s="64">
        <f>SUMPRODUCT(--(NB4:NB11&lt;&gt;""))</f>
        <v/>
      </c>
      <c r="NC12" s="64">
        <f>SUMPRODUCT(--(NC4:NC11&lt;&gt;""))</f>
        <v/>
      </c>
      <c r="ND12" s="64">
        <f>SUMPRODUCT(--(ND4:ND11&lt;&gt;""))</f>
        <v/>
      </c>
    </row>
    <row r="14">
      <c r="B14" s="68" t="inlineStr">
        <is>
          <t>مفتاح ألوان الإجازات:</t>
        </is>
      </c>
    </row>
    <row r="15">
      <c r="B15" s="15" t="inlineStr">
        <is>
          <t>سنوية</t>
        </is>
      </c>
    </row>
    <row r="16">
      <c r="B16" s="17" t="inlineStr">
        <is>
          <t>عارض</t>
        </is>
      </c>
    </row>
    <row r="17">
      <c r="B17" s="18" t="inlineStr">
        <is>
          <t>دورية</t>
        </is>
      </c>
    </row>
    <row r="18">
      <c r="B18" s="19" t="inlineStr">
        <is>
          <t>مرضية</t>
        </is>
      </c>
    </row>
    <row r="19">
      <c r="B19" s="20" t="inlineStr">
        <is>
          <t>مرافق مريض</t>
        </is>
      </c>
    </row>
    <row r="20">
      <c r="B20" s="21" t="inlineStr">
        <is>
          <t>أخرى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conditionalFormatting sqref="D12">
    <cfRule type="cellIs" priority="1" operator="greaterThan" dxfId="4">
      <formula>MaxLeave</formula>
    </cfRule>
  </conditionalFormatting>
  <conditionalFormatting sqref="E12">
    <cfRule type="cellIs" priority="2" operator="greaterThan" dxfId="4">
      <formula>MaxLeave</formula>
    </cfRule>
  </conditionalFormatting>
  <conditionalFormatting sqref="F12">
    <cfRule type="cellIs" priority="3" operator="greaterThan" dxfId="4">
      <formula>MaxLeave</formula>
    </cfRule>
  </conditionalFormatting>
  <conditionalFormatting sqref="G12">
    <cfRule type="cellIs" priority="4" operator="greaterThan" dxfId="4">
      <formula>MaxLeave</formula>
    </cfRule>
  </conditionalFormatting>
  <conditionalFormatting sqref="H12">
    <cfRule type="cellIs" priority="5" operator="greaterThan" dxfId="4">
      <formula>MaxLeave</formula>
    </cfRule>
  </conditionalFormatting>
  <conditionalFormatting sqref="I12">
    <cfRule type="cellIs" priority="6" operator="greaterThan" dxfId="4">
      <formula>MaxLeave</formula>
    </cfRule>
  </conditionalFormatting>
  <conditionalFormatting sqref="J12">
    <cfRule type="cellIs" priority="7" operator="greaterThan" dxfId="4">
      <formula>MaxLeave</formula>
    </cfRule>
  </conditionalFormatting>
  <conditionalFormatting sqref="K12">
    <cfRule type="cellIs" priority="8" operator="greaterThan" dxfId="4">
      <formula>MaxLeave</formula>
    </cfRule>
  </conditionalFormatting>
  <conditionalFormatting sqref="L12">
    <cfRule type="cellIs" priority="9" operator="greaterThan" dxfId="4">
      <formula>MaxLeave</formula>
    </cfRule>
  </conditionalFormatting>
  <conditionalFormatting sqref="M12">
    <cfRule type="cellIs" priority="10" operator="greaterThan" dxfId="4">
      <formula>MaxLeave</formula>
    </cfRule>
  </conditionalFormatting>
  <conditionalFormatting sqref="N12">
    <cfRule type="cellIs" priority="11" operator="greaterThan" dxfId="4">
      <formula>MaxLeave</formula>
    </cfRule>
  </conditionalFormatting>
  <conditionalFormatting sqref="O12">
    <cfRule type="cellIs" priority="12" operator="greaterThan" dxfId="4">
      <formula>MaxLeave</formula>
    </cfRule>
  </conditionalFormatting>
  <conditionalFormatting sqref="P12">
    <cfRule type="cellIs" priority="13" operator="greaterThan" dxfId="4">
      <formula>MaxLeave</formula>
    </cfRule>
  </conditionalFormatting>
  <conditionalFormatting sqref="Q12">
    <cfRule type="cellIs" priority="14" operator="greaterThan" dxfId="4">
      <formula>MaxLeave</formula>
    </cfRule>
  </conditionalFormatting>
  <conditionalFormatting sqref="R12">
    <cfRule type="cellIs" priority="15" operator="greaterThan" dxfId="4">
      <formula>MaxLeave</formula>
    </cfRule>
  </conditionalFormatting>
  <conditionalFormatting sqref="S12">
    <cfRule type="cellIs" priority="16" operator="greaterThan" dxfId="4">
      <formula>MaxLeave</formula>
    </cfRule>
  </conditionalFormatting>
  <conditionalFormatting sqref="T12">
    <cfRule type="cellIs" priority="17" operator="greaterThan" dxfId="4">
      <formula>MaxLeave</formula>
    </cfRule>
  </conditionalFormatting>
  <conditionalFormatting sqref="U12">
    <cfRule type="cellIs" priority="18" operator="greaterThan" dxfId="4">
      <formula>MaxLeave</formula>
    </cfRule>
  </conditionalFormatting>
  <conditionalFormatting sqref="V12">
    <cfRule type="cellIs" priority="19" operator="greaterThan" dxfId="4">
      <formula>MaxLeave</formula>
    </cfRule>
  </conditionalFormatting>
  <conditionalFormatting sqref="W12">
    <cfRule type="cellIs" priority="20" operator="greaterThan" dxfId="4">
      <formula>MaxLeave</formula>
    </cfRule>
  </conditionalFormatting>
  <conditionalFormatting sqref="X12">
    <cfRule type="cellIs" priority="21" operator="greaterThan" dxfId="4">
      <formula>MaxLeave</formula>
    </cfRule>
  </conditionalFormatting>
  <conditionalFormatting sqref="Y12">
    <cfRule type="cellIs" priority="22" operator="greaterThan" dxfId="4">
      <formula>MaxLeave</formula>
    </cfRule>
  </conditionalFormatting>
  <conditionalFormatting sqref="Z12">
    <cfRule type="cellIs" priority="23" operator="greaterThan" dxfId="4">
      <formula>MaxLeave</formula>
    </cfRule>
  </conditionalFormatting>
  <conditionalFormatting sqref="AA12">
    <cfRule type="cellIs" priority="24" operator="greaterThan" dxfId="4">
      <formula>MaxLeave</formula>
    </cfRule>
  </conditionalFormatting>
  <conditionalFormatting sqref="AB12">
    <cfRule type="cellIs" priority="25" operator="greaterThan" dxfId="4">
      <formula>MaxLeave</formula>
    </cfRule>
  </conditionalFormatting>
  <conditionalFormatting sqref="AC12">
    <cfRule type="cellIs" priority="26" operator="greaterThan" dxfId="4">
      <formula>MaxLeave</formula>
    </cfRule>
  </conditionalFormatting>
  <conditionalFormatting sqref="AD12">
    <cfRule type="cellIs" priority="27" operator="greaterThan" dxfId="4">
      <formula>MaxLeave</formula>
    </cfRule>
  </conditionalFormatting>
  <conditionalFormatting sqref="AE12">
    <cfRule type="cellIs" priority="28" operator="greaterThan" dxfId="4">
      <formula>MaxLeave</formula>
    </cfRule>
  </conditionalFormatting>
  <conditionalFormatting sqref="AF12">
    <cfRule type="cellIs" priority="29" operator="greaterThan" dxfId="4">
      <formula>MaxLeave</formula>
    </cfRule>
  </conditionalFormatting>
  <conditionalFormatting sqref="AG12">
    <cfRule type="cellIs" priority="30" operator="greaterThan" dxfId="4">
      <formula>MaxLeave</formula>
    </cfRule>
  </conditionalFormatting>
  <conditionalFormatting sqref="AH12">
    <cfRule type="cellIs" priority="31" operator="greaterThan" dxfId="4">
      <formula>MaxLeave</formula>
    </cfRule>
  </conditionalFormatting>
  <conditionalFormatting sqref="AI12">
    <cfRule type="cellIs" priority="32" operator="greaterThan" dxfId="4">
      <formula>MaxLeave</formula>
    </cfRule>
  </conditionalFormatting>
  <conditionalFormatting sqref="AJ12">
    <cfRule type="cellIs" priority="33" operator="greaterThan" dxfId="4">
      <formula>MaxLeave</formula>
    </cfRule>
  </conditionalFormatting>
  <conditionalFormatting sqref="AK12">
    <cfRule type="cellIs" priority="34" operator="greaterThan" dxfId="4">
      <formula>MaxLeave</formula>
    </cfRule>
  </conditionalFormatting>
  <conditionalFormatting sqref="AL12">
    <cfRule type="cellIs" priority="35" operator="greaterThan" dxfId="4">
      <formula>MaxLeave</formula>
    </cfRule>
  </conditionalFormatting>
  <conditionalFormatting sqref="AM12">
    <cfRule type="cellIs" priority="36" operator="greaterThan" dxfId="4">
      <formula>MaxLeave</formula>
    </cfRule>
  </conditionalFormatting>
  <conditionalFormatting sqref="AN12">
    <cfRule type="cellIs" priority="37" operator="greaterThan" dxfId="4">
      <formula>MaxLeave</formula>
    </cfRule>
  </conditionalFormatting>
  <conditionalFormatting sqref="AO12">
    <cfRule type="cellIs" priority="38" operator="greaterThan" dxfId="4">
      <formula>MaxLeave</formula>
    </cfRule>
  </conditionalFormatting>
  <conditionalFormatting sqref="AP12">
    <cfRule type="cellIs" priority="39" operator="greaterThan" dxfId="4">
      <formula>MaxLeave</formula>
    </cfRule>
  </conditionalFormatting>
  <conditionalFormatting sqref="AQ12">
    <cfRule type="cellIs" priority="40" operator="greaterThan" dxfId="4">
      <formula>MaxLeave</formula>
    </cfRule>
  </conditionalFormatting>
  <conditionalFormatting sqref="AR12">
    <cfRule type="cellIs" priority="41" operator="greaterThan" dxfId="4">
      <formula>MaxLeave</formula>
    </cfRule>
  </conditionalFormatting>
  <conditionalFormatting sqref="AS12">
    <cfRule type="cellIs" priority="42" operator="greaterThan" dxfId="4">
      <formula>MaxLeave</formula>
    </cfRule>
  </conditionalFormatting>
  <conditionalFormatting sqref="AT12">
    <cfRule type="cellIs" priority="43" operator="greaterThan" dxfId="4">
      <formula>MaxLeave</formula>
    </cfRule>
  </conditionalFormatting>
  <conditionalFormatting sqref="AU12">
    <cfRule type="cellIs" priority="44" operator="greaterThan" dxfId="4">
      <formula>MaxLeave</formula>
    </cfRule>
  </conditionalFormatting>
  <conditionalFormatting sqref="AV12">
    <cfRule type="cellIs" priority="45" operator="greaterThan" dxfId="4">
      <formula>MaxLeave</formula>
    </cfRule>
  </conditionalFormatting>
  <conditionalFormatting sqref="AW12">
    <cfRule type="cellIs" priority="46" operator="greaterThan" dxfId="4">
      <formula>MaxLeave</formula>
    </cfRule>
  </conditionalFormatting>
  <conditionalFormatting sqref="AX12">
    <cfRule type="cellIs" priority="47" operator="greaterThan" dxfId="4">
      <formula>MaxLeave</formula>
    </cfRule>
  </conditionalFormatting>
  <conditionalFormatting sqref="AY12">
    <cfRule type="cellIs" priority="48" operator="greaterThan" dxfId="4">
      <formula>MaxLeave</formula>
    </cfRule>
  </conditionalFormatting>
  <conditionalFormatting sqref="AZ12">
    <cfRule type="cellIs" priority="49" operator="greaterThan" dxfId="4">
      <formula>MaxLeave</formula>
    </cfRule>
  </conditionalFormatting>
  <conditionalFormatting sqref="BA12">
    <cfRule type="cellIs" priority="50" operator="greaterThan" dxfId="4">
      <formula>MaxLeave</formula>
    </cfRule>
  </conditionalFormatting>
  <conditionalFormatting sqref="BB12">
    <cfRule type="cellIs" priority="51" operator="greaterThan" dxfId="4">
      <formula>MaxLeave</formula>
    </cfRule>
  </conditionalFormatting>
  <conditionalFormatting sqref="BC12">
    <cfRule type="cellIs" priority="52" operator="greaterThan" dxfId="4">
      <formula>MaxLeave</formula>
    </cfRule>
  </conditionalFormatting>
  <conditionalFormatting sqref="BD12">
    <cfRule type="cellIs" priority="53" operator="greaterThan" dxfId="4">
      <formula>MaxLeave</formula>
    </cfRule>
  </conditionalFormatting>
  <conditionalFormatting sqref="BE12">
    <cfRule type="cellIs" priority="54" operator="greaterThan" dxfId="4">
      <formula>MaxLeave</formula>
    </cfRule>
  </conditionalFormatting>
  <conditionalFormatting sqref="BF12">
    <cfRule type="cellIs" priority="55" operator="greaterThan" dxfId="4">
      <formula>MaxLeave</formula>
    </cfRule>
  </conditionalFormatting>
  <conditionalFormatting sqref="BG12">
    <cfRule type="cellIs" priority="56" operator="greaterThan" dxfId="4">
      <formula>MaxLeave</formula>
    </cfRule>
  </conditionalFormatting>
  <conditionalFormatting sqref="BH12">
    <cfRule type="cellIs" priority="57" operator="greaterThan" dxfId="4">
      <formula>MaxLeave</formula>
    </cfRule>
  </conditionalFormatting>
  <conditionalFormatting sqref="BI12">
    <cfRule type="cellIs" priority="58" operator="greaterThan" dxfId="4">
      <formula>MaxLeave</formula>
    </cfRule>
  </conditionalFormatting>
  <conditionalFormatting sqref="BJ12">
    <cfRule type="cellIs" priority="59" operator="greaterThan" dxfId="4">
      <formula>MaxLeave</formula>
    </cfRule>
  </conditionalFormatting>
  <conditionalFormatting sqref="BK12">
    <cfRule type="cellIs" priority="60" operator="greaterThan" dxfId="4">
      <formula>MaxLeave</formula>
    </cfRule>
  </conditionalFormatting>
  <conditionalFormatting sqref="BL12">
    <cfRule type="cellIs" priority="61" operator="greaterThan" dxfId="4">
      <formula>MaxLeave</formula>
    </cfRule>
  </conditionalFormatting>
  <conditionalFormatting sqref="BM12">
    <cfRule type="cellIs" priority="62" operator="greaterThan" dxfId="4">
      <formula>MaxLeave</formula>
    </cfRule>
  </conditionalFormatting>
  <conditionalFormatting sqref="BN12">
    <cfRule type="cellIs" priority="63" operator="greaterThan" dxfId="4">
      <formula>MaxLeave</formula>
    </cfRule>
  </conditionalFormatting>
  <conditionalFormatting sqref="BO12">
    <cfRule type="cellIs" priority="64" operator="greaterThan" dxfId="4">
      <formula>MaxLeave</formula>
    </cfRule>
  </conditionalFormatting>
  <conditionalFormatting sqref="BP12">
    <cfRule type="cellIs" priority="65" operator="greaterThan" dxfId="4">
      <formula>MaxLeave</formula>
    </cfRule>
  </conditionalFormatting>
  <conditionalFormatting sqref="BQ12">
    <cfRule type="cellIs" priority="66" operator="greaterThan" dxfId="4">
      <formula>MaxLeave</formula>
    </cfRule>
  </conditionalFormatting>
  <conditionalFormatting sqref="BR12">
    <cfRule type="cellIs" priority="67" operator="greaterThan" dxfId="4">
      <formula>MaxLeave</formula>
    </cfRule>
  </conditionalFormatting>
  <conditionalFormatting sqref="BS12">
    <cfRule type="cellIs" priority="68" operator="greaterThan" dxfId="4">
      <formula>MaxLeave</formula>
    </cfRule>
  </conditionalFormatting>
  <conditionalFormatting sqref="BT12">
    <cfRule type="cellIs" priority="69" operator="greaterThan" dxfId="4">
      <formula>MaxLeave</formula>
    </cfRule>
  </conditionalFormatting>
  <conditionalFormatting sqref="BU12">
    <cfRule type="cellIs" priority="70" operator="greaterThan" dxfId="4">
      <formula>MaxLeave</formula>
    </cfRule>
  </conditionalFormatting>
  <conditionalFormatting sqref="BV12">
    <cfRule type="cellIs" priority="71" operator="greaterThan" dxfId="4">
      <formula>MaxLeave</formula>
    </cfRule>
  </conditionalFormatting>
  <conditionalFormatting sqref="BW12">
    <cfRule type="cellIs" priority="72" operator="greaterThan" dxfId="4">
      <formula>MaxLeave</formula>
    </cfRule>
  </conditionalFormatting>
  <conditionalFormatting sqref="BX12">
    <cfRule type="cellIs" priority="73" operator="greaterThan" dxfId="4">
      <formula>MaxLeave</formula>
    </cfRule>
  </conditionalFormatting>
  <conditionalFormatting sqref="BY12">
    <cfRule type="cellIs" priority="74" operator="greaterThan" dxfId="4">
      <formula>MaxLeave</formula>
    </cfRule>
  </conditionalFormatting>
  <conditionalFormatting sqref="BZ12">
    <cfRule type="cellIs" priority="75" operator="greaterThan" dxfId="4">
      <formula>MaxLeave</formula>
    </cfRule>
  </conditionalFormatting>
  <conditionalFormatting sqref="CA12">
    <cfRule type="cellIs" priority="76" operator="greaterThan" dxfId="4">
      <formula>MaxLeave</formula>
    </cfRule>
  </conditionalFormatting>
  <conditionalFormatting sqref="CB12">
    <cfRule type="cellIs" priority="77" operator="greaterThan" dxfId="4">
      <formula>MaxLeave</formula>
    </cfRule>
  </conditionalFormatting>
  <conditionalFormatting sqref="CC12">
    <cfRule type="cellIs" priority="78" operator="greaterThan" dxfId="4">
      <formula>MaxLeave</formula>
    </cfRule>
  </conditionalFormatting>
  <conditionalFormatting sqref="CD12">
    <cfRule type="cellIs" priority="79" operator="greaterThan" dxfId="4">
      <formula>MaxLeave</formula>
    </cfRule>
  </conditionalFormatting>
  <conditionalFormatting sqref="CE12">
    <cfRule type="cellIs" priority="80" operator="greaterThan" dxfId="4">
      <formula>MaxLeave</formula>
    </cfRule>
  </conditionalFormatting>
  <conditionalFormatting sqref="CF12">
    <cfRule type="cellIs" priority="81" operator="greaterThan" dxfId="4">
      <formula>MaxLeave</formula>
    </cfRule>
  </conditionalFormatting>
  <conditionalFormatting sqref="CG12">
    <cfRule type="cellIs" priority="82" operator="greaterThan" dxfId="4">
      <formula>MaxLeave</formula>
    </cfRule>
  </conditionalFormatting>
  <conditionalFormatting sqref="CH12">
    <cfRule type="cellIs" priority="83" operator="greaterThan" dxfId="4">
      <formula>MaxLeave</formula>
    </cfRule>
  </conditionalFormatting>
  <conditionalFormatting sqref="CI12">
    <cfRule type="cellIs" priority="84" operator="greaterThan" dxfId="4">
      <formula>MaxLeave</formula>
    </cfRule>
  </conditionalFormatting>
  <conditionalFormatting sqref="CJ12">
    <cfRule type="cellIs" priority="85" operator="greaterThan" dxfId="4">
      <formula>MaxLeave</formula>
    </cfRule>
  </conditionalFormatting>
  <conditionalFormatting sqref="CK12">
    <cfRule type="cellIs" priority="86" operator="greaterThan" dxfId="4">
      <formula>MaxLeave</formula>
    </cfRule>
  </conditionalFormatting>
  <conditionalFormatting sqref="CL12">
    <cfRule type="cellIs" priority="87" operator="greaterThan" dxfId="4">
      <formula>MaxLeave</formula>
    </cfRule>
  </conditionalFormatting>
  <conditionalFormatting sqref="CM12">
    <cfRule type="cellIs" priority="88" operator="greaterThan" dxfId="4">
      <formula>MaxLeave</formula>
    </cfRule>
  </conditionalFormatting>
  <conditionalFormatting sqref="CN12">
    <cfRule type="cellIs" priority="89" operator="greaterThan" dxfId="4">
      <formula>MaxLeave</formula>
    </cfRule>
  </conditionalFormatting>
  <conditionalFormatting sqref="CO12">
    <cfRule type="cellIs" priority="90" operator="greaterThan" dxfId="4">
      <formula>MaxLeave</formula>
    </cfRule>
  </conditionalFormatting>
  <conditionalFormatting sqref="CP12">
    <cfRule type="cellIs" priority="91" operator="greaterThan" dxfId="4">
      <formula>MaxLeave</formula>
    </cfRule>
  </conditionalFormatting>
  <conditionalFormatting sqref="CQ12">
    <cfRule type="cellIs" priority="92" operator="greaterThan" dxfId="4">
      <formula>MaxLeave</formula>
    </cfRule>
  </conditionalFormatting>
  <conditionalFormatting sqref="CR12">
    <cfRule type="cellIs" priority="93" operator="greaterThan" dxfId="4">
      <formula>MaxLeave</formula>
    </cfRule>
  </conditionalFormatting>
  <conditionalFormatting sqref="CS12">
    <cfRule type="cellIs" priority="94" operator="greaterThan" dxfId="4">
      <formula>MaxLeave</formula>
    </cfRule>
  </conditionalFormatting>
  <conditionalFormatting sqref="CT12">
    <cfRule type="cellIs" priority="95" operator="greaterThan" dxfId="4">
      <formula>MaxLeave</formula>
    </cfRule>
  </conditionalFormatting>
  <conditionalFormatting sqref="CU12">
    <cfRule type="cellIs" priority="96" operator="greaterThan" dxfId="4">
      <formula>MaxLeave</formula>
    </cfRule>
  </conditionalFormatting>
  <conditionalFormatting sqref="CV12">
    <cfRule type="cellIs" priority="97" operator="greaterThan" dxfId="4">
      <formula>MaxLeave</formula>
    </cfRule>
  </conditionalFormatting>
  <conditionalFormatting sqref="CW12">
    <cfRule type="cellIs" priority="98" operator="greaterThan" dxfId="4">
      <formula>MaxLeave</formula>
    </cfRule>
  </conditionalFormatting>
  <conditionalFormatting sqref="CX12">
    <cfRule type="cellIs" priority="99" operator="greaterThan" dxfId="4">
      <formula>MaxLeave</formula>
    </cfRule>
  </conditionalFormatting>
  <conditionalFormatting sqref="CY12">
    <cfRule type="cellIs" priority="100" operator="greaterThan" dxfId="4">
      <formula>MaxLeave</formula>
    </cfRule>
  </conditionalFormatting>
  <conditionalFormatting sqref="CZ12">
    <cfRule type="cellIs" priority="101" operator="greaterThan" dxfId="4">
      <formula>MaxLeave</formula>
    </cfRule>
  </conditionalFormatting>
  <conditionalFormatting sqref="DA12">
    <cfRule type="cellIs" priority="102" operator="greaterThan" dxfId="4">
      <formula>MaxLeave</formula>
    </cfRule>
  </conditionalFormatting>
  <conditionalFormatting sqref="DB12">
    <cfRule type="cellIs" priority="103" operator="greaterThan" dxfId="4">
      <formula>MaxLeave</formula>
    </cfRule>
  </conditionalFormatting>
  <conditionalFormatting sqref="DC12">
    <cfRule type="cellIs" priority="104" operator="greaterThan" dxfId="4">
      <formula>MaxLeave</formula>
    </cfRule>
  </conditionalFormatting>
  <conditionalFormatting sqref="DD12">
    <cfRule type="cellIs" priority="105" operator="greaterThan" dxfId="4">
      <formula>MaxLeave</formula>
    </cfRule>
  </conditionalFormatting>
  <conditionalFormatting sqref="DE12">
    <cfRule type="cellIs" priority="106" operator="greaterThan" dxfId="4">
      <formula>MaxLeave</formula>
    </cfRule>
  </conditionalFormatting>
  <conditionalFormatting sqref="DF12">
    <cfRule type="cellIs" priority="107" operator="greaterThan" dxfId="4">
      <formula>MaxLeave</formula>
    </cfRule>
  </conditionalFormatting>
  <conditionalFormatting sqref="DG12">
    <cfRule type="cellIs" priority="108" operator="greaterThan" dxfId="4">
      <formula>MaxLeave</formula>
    </cfRule>
  </conditionalFormatting>
  <conditionalFormatting sqref="DH12">
    <cfRule type="cellIs" priority="109" operator="greaterThan" dxfId="4">
      <formula>MaxLeave</formula>
    </cfRule>
  </conditionalFormatting>
  <conditionalFormatting sqref="DI12">
    <cfRule type="cellIs" priority="110" operator="greaterThan" dxfId="4">
      <formula>MaxLeave</formula>
    </cfRule>
  </conditionalFormatting>
  <conditionalFormatting sqref="DJ12">
    <cfRule type="cellIs" priority="111" operator="greaterThan" dxfId="4">
      <formula>MaxLeave</formula>
    </cfRule>
  </conditionalFormatting>
  <conditionalFormatting sqref="DK12">
    <cfRule type="cellIs" priority="112" operator="greaterThan" dxfId="4">
      <formula>MaxLeave</formula>
    </cfRule>
  </conditionalFormatting>
  <conditionalFormatting sqref="DL12">
    <cfRule type="cellIs" priority="113" operator="greaterThan" dxfId="4">
      <formula>MaxLeave</formula>
    </cfRule>
  </conditionalFormatting>
  <conditionalFormatting sqref="DM12">
    <cfRule type="cellIs" priority="114" operator="greaterThan" dxfId="4">
      <formula>MaxLeave</formula>
    </cfRule>
  </conditionalFormatting>
  <conditionalFormatting sqref="DN12">
    <cfRule type="cellIs" priority="115" operator="greaterThan" dxfId="4">
      <formula>MaxLeave</formula>
    </cfRule>
  </conditionalFormatting>
  <conditionalFormatting sqref="DO12">
    <cfRule type="cellIs" priority="116" operator="greaterThan" dxfId="4">
      <formula>MaxLeave</formula>
    </cfRule>
  </conditionalFormatting>
  <conditionalFormatting sqref="DP12">
    <cfRule type="cellIs" priority="117" operator="greaterThan" dxfId="4">
      <formula>MaxLeave</formula>
    </cfRule>
  </conditionalFormatting>
  <conditionalFormatting sqref="DQ12">
    <cfRule type="cellIs" priority="118" operator="greaterThan" dxfId="4">
      <formula>MaxLeave</formula>
    </cfRule>
  </conditionalFormatting>
  <conditionalFormatting sqref="DR12">
    <cfRule type="cellIs" priority="119" operator="greaterThan" dxfId="4">
      <formula>MaxLeave</formula>
    </cfRule>
  </conditionalFormatting>
  <conditionalFormatting sqref="DS12">
    <cfRule type="cellIs" priority="120" operator="greaterThan" dxfId="4">
      <formula>MaxLeave</formula>
    </cfRule>
  </conditionalFormatting>
  <conditionalFormatting sqref="DT12">
    <cfRule type="cellIs" priority="121" operator="greaterThan" dxfId="4">
      <formula>MaxLeave</formula>
    </cfRule>
  </conditionalFormatting>
  <conditionalFormatting sqref="DU12">
    <cfRule type="cellIs" priority="122" operator="greaterThan" dxfId="4">
      <formula>MaxLeave</formula>
    </cfRule>
  </conditionalFormatting>
  <conditionalFormatting sqref="DV12">
    <cfRule type="cellIs" priority="123" operator="greaterThan" dxfId="4">
      <formula>MaxLeave</formula>
    </cfRule>
  </conditionalFormatting>
  <conditionalFormatting sqref="DW12">
    <cfRule type="cellIs" priority="124" operator="greaterThan" dxfId="4">
      <formula>MaxLeave</formula>
    </cfRule>
  </conditionalFormatting>
  <conditionalFormatting sqref="DX12">
    <cfRule type="cellIs" priority="125" operator="greaterThan" dxfId="4">
      <formula>MaxLeave</formula>
    </cfRule>
  </conditionalFormatting>
  <conditionalFormatting sqref="DY12">
    <cfRule type="cellIs" priority="126" operator="greaterThan" dxfId="4">
      <formula>MaxLeave</formula>
    </cfRule>
  </conditionalFormatting>
  <conditionalFormatting sqref="DZ12">
    <cfRule type="cellIs" priority="127" operator="greaterThan" dxfId="4">
      <formula>MaxLeave</formula>
    </cfRule>
  </conditionalFormatting>
  <conditionalFormatting sqref="EA12">
    <cfRule type="cellIs" priority="128" operator="greaterThan" dxfId="4">
      <formula>MaxLeave</formula>
    </cfRule>
  </conditionalFormatting>
  <conditionalFormatting sqref="EB12">
    <cfRule type="cellIs" priority="129" operator="greaterThan" dxfId="4">
      <formula>MaxLeave</formula>
    </cfRule>
  </conditionalFormatting>
  <conditionalFormatting sqref="EC12">
    <cfRule type="cellIs" priority="130" operator="greaterThan" dxfId="4">
      <formula>MaxLeave</formula>
    </cfRule>
  </conditionalFormatting>
  <conditionalFormatting sqref="ED12">
    <cfRule type="cellIs" priority="131" operator="greaterThan" dxfId="4">
      <formula>MaxLeave</formula>
    </cfRule>
  </conditionalFormatting>
  <conditionalFormatting sqref="EE12">
    <cfRule type="cellIs" priority="132" operator="greaterThan" dxfId="4">
      <formula>MaxLeave</formula>
    </cfRule>
  </conditionalFormatting>
  <conditionalFormatting sqref="EF12">
    <cfRule type="cellIs" priority="133" operator="greaterThan" dxfId="4">
      <formula>MaxLeave</formula>
    </cfRule>
  </conditionalFormatting>
  <conditionalFormatting sqref="EG12">
    <cfRule type="cellIs" priority="134" operator="greaterThan" dxfId="4">
      <formula>MaxLeave</formula>
    </cfRule>
  </conditionalFormatting>
  <conditionalFormatting sqref="EH12">
    <cfRule type="cellIs" priority="135" operator="greaterThan" dxfId="4">
      <formula>MaxLeave</formula>
    </cfRule>
  </conditionalFormatting>
  <conditionalFormatting sqref="EI12">
    <cfRule type="cellIs" priority="136" operator="greaterThan" dxfId="4">
      <formula>MaxLeave</formula>
    </cfRule>
  </conditionalFormatting>
  <conditionalFormatting sqref="EJ12">
    <cfRule type="cellIs" priority="137" operator="greaterThan" dxfId="4">
      <formula>MaxLeave</formula>
    </cfRule>
  </conditionalFormatting>
  <conditionalFormatting sqref="EK12">
    <cfRule type="cellIs" priority="138" operator="greaterThan" dxfId="4">
      <formula>MaxLeave</formula>
    </cfRule>
  </conditionalFormatting>
  <conditionalFormatting sqref="EL12">
    <cfRule type="cellIs" priority="139" operator="greaterThan" dxfId="4">
      <formula>MaxLeave</formula>
    </cfRule>
  </conditionalFormatting>
  <conditionalFormatting sqref="EM12">
    <cfRule type="cellIs" priority="140" operator="greaterThan" dxfId="4">
      <formula>MaxLeave</formula>
    </cfRule>
  </conditionalFormatting>
  <conditionalFormatting sqref="EN12">
    <cfRule type="cellIs" priority="141" operator="greaterThan" dxfId="4">
      <formula>MaxLeave</formula>
    </cfRule>
  </conditionalFormatting>
  <conditionalFormatting sqref="EO12">
    <cfRule type="cellIs" priority="142" operator="greaterThan" dxfId="4">
      <formula>MaxLeave</formula>
    </cfRule>
  </conditionalFormatting>
  <conditionalFormatting sqref="EP12">
    <cfRule type="cellIs" priority="143" operator="greaterThan" dxfId="4">
      <formula>MaxLeave</formula>
    </cfRule>
  </conditionalFormatting>
  <conditionalFormatting sqref="EQ12">
    <cfRule type="cellIs" priority="144" operator="greaterThan" dxfId="4">
      <formula>MaxLeave</formula>
    </cfRule>
  </conditionalFormatting>
  <conditionalFormatting sqref="ER12">
    <cfRule type="cellIs" priority="145" operator="greaterThan" dxfId="4">
      <formula>MaxLeave</formula>
    </cfRule>
  </conditionalFormatting>
  <conditionalFormatting sqref="ES12">
    <cfRule type="cellIs" priority="146" operator="greaterThan" dxfId="4">
      <formula>MaxLeave</formula>
    </cfRule>
  </conditionalFormatting>
  <conditionalFormatting sqref="ET12">
    <cfRule type="cellIs" priority="147" operator="greaterThan" dxfId="4">
      <formula>MaxLeave</formula>
    </cfRule>
  </conditionalFormatting>
  <conditionalFormatting sqref="EU12">
    <cfRule type="cellIs" priority="148" operator="greaterThan" dxfId="4">
      <formula>MaxLeave</formula>
    </cfRule>
  </conditionalFormatting>
  <conditionalFormatting sqref="EV12">
    <cfRule type="cellIs" priority="149" operator="greaterThan" dxfId="4">
      <formula>MaxLeave</formula>
    </cfRule>
  </conditionalFormatting>
  <conditionalFormatting sqref="EW12">
    <cfRule type="cellIs" priority="150" operator="greaterThan" dxfId="4">
      <formula>MaxLeave</formula>
    </cfRule>
  </conditionalFormatting>
  <conditionalFormatting sqref="EX12">
    <cfRule type="cellIs" priority="151" operator="greaterThan" dxfId="4">
      <formula>MaxLeave</formula>
    </cfRule>
  </conditionalFormatting>
  <conditionalFormatting sqref="EY12">
    <cfRule type="cellIs" priority="152" operator="greaterThan" dxfId="4">
      <formula>MaxLeave</formula>
    </cfRule>
  </conditionalFormatting>
  <conditionalFormatting sqref="EZ12">
    <cfRule type="cellIs" priority="153" operator="greaterThan" dxfId="4">
      <formula>MaxLeave</formula>
    </cfRule>
  </conditionalFormatting>
  <conditionalFormatting sqref="FA12">
    <cfRule type="cellIs" priority="154" operator="greaterThan" dxfId="4">
      <formula>MaxLeave</formula>
    </cfRule>
  </conditionalFormatting>
  <conditionalFormatting sqref="FB12">
    <cfRule type="cellIs" priority="155" operator="greaterThan" dxfId="4">
      <formula>MaxLeave</formula>
    </cfRule>
  </conditionalFormatting>
  <conditionalFormatting sqref="FC12">
    <cfRule type="cellIs" priority="156" operator="greaterThan" dxfId="4">
      <formula>MaxLeave</formula>
    </cfRule>
  </conditionalFormatting>
  <conditionalFormatting sqref="FD12">
    <cfRule type="cellIs" priority="157" operator="greaterThan" dxfId="4">
      <formula>MaxLeave</formula>
    </cfRule>
  </conditionalFormatting>
  <conditionalFormatting sqref="FE12">
    <cfRule type="cellIs" priority="158" operator="greaterThan" dxfId="4">
      <formula>MaxLeave</formula>
    </cfRule>
  </conditionalFormatting>
  <conditionalFormatting sqref="FF12">
    <cfRule type="cellIs" priority="159" operator="greaterThan" dxfId="4">
      <formula>MaxLeave</formula>
    </cfRule>
  </conditionalFormatting>
  <conditionalFormatting sqref="FG12">
    <cfRule type="cellIs" priority="160" operator="greaterThan" dxfId="4">
      <formula>MaxLeave</formula>
    </cfRule>
  </conditionalFormatting>
  <conditionalFormatting sqref="FH12">
    <cfRule type="cellIs" priority="161" operator="greaterThan" dxfId="4">
      <formula>MaxLeave</formula>
    </cfRule>
  </conditionalFormatting>
  <conditionalFormatting sqref="FI12">
    <cfRule type="cellIs" priority="162" operator="greaterThan" dxfId="4">
      <formula>MaxLeave</formula>
    </cfRule>
  </conditionalFormatting>
  <conditionalFormatting sqref="FJ12">
    <cfRule type="cellIs" priority="163" operator="greaterThan" dxfId="4">
      <formula>MaxLeave</formula>
    </cfRule>
  </conditionalFormatting>
  <conditionalFormatting sqref="FK12">
    <cfRule type="cellIs" priority="164" operator="greaterThan" dxfId="4">
      <formula>MaxLeave</formula>
    </cfRule>
  </conditionalFormatting>
  <conditionalFormatting sqref="FL12">
    <cfRule type="cellIs" priority="165" operator="greaterThan" dxfId="4">
      <formula>MaxLeave</formula>
    </cfRule>
  </conditionalFormatting>
  <conditionalFormatting sqref="FM12">
    <cfRule type="cellIs" priority="166" operator="greaterThan" dxfId="4">
      <formula>MaxLeave</formula>
    </cfRule>
  </conditionalFormatting>
  <conditionalFormatting sqref="FN12">
    <cfRule type="cellIs" priority="167" operator="greaterThan" dxfId="4">
      <formula>MaxLeave</formula>
    </cfRule>
  </conditionalFormatting>
  <conditionalFormatting sqref="FO12">
    <cfRule type="cellIs" priority="168" operator="greaterThan" dxfId="4">
      <formula>MaxLeave</formula>
    </cfRule>
  </conditionalFormatting>
  <conditionalFormatting sqref="FP12">
    <cfRule type="cellIs" priority="169" operator="greaterThan" dxfId="4">
      <formula>MaxLeave</formula>
    </cfRule>
  </conditionalFormatting>
  <conditionalFormatting sqref="FQ12">
    <cfRule type="cellIs" priority="170" operator="greaterThan" dxfId="4">
      <formula>MaxLeave</formula>
    </cfRule>
  </conditionalFormatting>
  <conditionalFormatting sqref="FR12">
    <cfRule type="cellIs" priority="171" operator="greaterThan" dxfId="4">
      <formula>MaxLeave</formula>
    </cfRule>
  </conditionalFormatting>
  <conditionalFormatting sqref="FS12">
    <cfRule type="cellIs" priority="172" operator="greaterThan" dxfId="4">
      <formula>MaxLeave</formula>
    </cfRule>
  </conditionalFormatting>
  <conditionalFormatting sqref="FT12">
    <cfRule type="cellIs" priority="173" operator="greaterThan" dxfId="4">
      <formula>MaxLeave</formula>
    </cfRule>
  </conditionalFormatting>
  <conditionalFormatting sqref="FU12">
    <cfRule type="cellIs" priority="174" operator="greaterThan" dxfId="4">
      <formula>MaxLeave</formula>
    </cfRule>
  </conditionalFormatting>
  <conditionalFormatting sqref="FV12">
    <cfRule type="cellIs" priority="175" operator="greaterThan" dxfId="4">
      <formula>MaxLeave</formula>
    </cfRule>
  </conditionalFormatting>
  <conditionalFormatting sqref="FW12">
    <cfRule type="cellIs" priority="176" operator="greaterThan" dxfId="4">
      <formula>MaxLeave</formula>
    </cfRule>
  </conditionalFormatting>
  <conditionalFormatting sqref="FX12">
    <cfRule type="cellIs" priority="177" operator="greaterThan" dxfId="4">
      <formula>MaxLeave</formula>
    </cfRule>
  </conditionalFormatting>
  <conditionalFormatting sqref="FY12">
    <cfRule type="cellIs" priority="178" operator="greaterThan" dxfId="4">
      <formula>MaxLeave</formula>
    </cfRule>
  </conditionalFormatting>
  <conditionalFormatting sqref="FZ12">
    <cfRule type="cellIs" priority="179" operator="greaterThan" dxfId="4">
      <formula>MaxLeave</formula>
    </cfRule>
  </conditionalFormatting>
  <conditionalFormatting sqref="GA12">
    <cfRule type="cellIs" priority="180" operator="greaterThan" dxfId="4">
      <formula>MaxLeave</formula>
    </cfRule>
  </conditionalFormatting>
  <conditionalFormatting sqref="GB12">
    <cfRule type="cellIs" priority="181" operator="greaterThan" dxfId="4">
      <formula>MaxLeave</formula>
    </cfRule>
  </conditionalFormatting>
  <conditionalFormatting sqref="GC12">
    <cfRule type="cellIs" priority="182" operator="greaterThan" dxfId="4">
      <formula>MaxLeave</formula>
    </cfRule>
  </conditionalFormatting>
  <conditionalFormatting sqref="GD12">
    <cfRule type="cellIs" priority="183" operator="greaterThan" dxfId="4">
      <formula>MaxLeave</formula>
    </cfRule>
  </conditionalFormatting>
  <conditionalFormatting sqref="GE12">
    <cfRule type="cellIs" priority="184" operator="greaterThan" dxfId="4">
      <formula>MaxLeave</formula>
    </cfRule>
  </conditionalFormatting>
  <conditionalFormatting sqref="GF12">
    <cfRule type="cellIs" priority="185" operator="greaterThan" dxfId="4">
      <formula>MaxLeave</formula>
    </cfRule>
  </conditionalFormatting>
  <conditionalFormatting sqref="GG12">
    <cfRule type="cellIs" priority="186" operator="greaterThan" dxfId="4">
      <formula>MaxLeave</formula>
    </cfRule>
  </conditionalFormatting>
  <conditionalFormatting sqref="GH12">
    <cfRule type="cellIs" priority="187" operator="greaterThan" dxfId="4">
      <formula>MaxLeave</formula>
    </cfRule>
  </conditionalFormatting>
  <conditionalFormatting sqref="GI12">
    <cfRule type="cellIs" priority="188" operator="greaterThan" dxfId="4">
      <formula>MaxLeave</formula>
    </cfRule>
  </conditionalFormatting>
  <conditionalFormatting sqref="GJ12">
    <cfRule type="cellIs" priority="189" operator="greaterThan" dxfId="4">
      <formula>MaxLeave</formula>
    </cfRule>
  </conditionalFormatting>
  <conditionalFormatting sqref="GK12">
    <cfRule type="cellIs" priority="190" operator="greaterThan" dxfId="4">
      <formula>MaxLeave</formula>
    </cfRule>
  </conditionalFormatting>
  <conditionalFormatting sqref="GL12">
    <cfRule type="cellIs" priority="191" operator="greaterThan" dxfId="4">
      <formula>MaxLeave</formula>
    </cfRule>
  </conditionalFormatting>
  <conditionalFormatting sqref="GM12">
    <cfRule type="cellIs" priority="192" operator="greaterThan" dxfId="4">
      <formula>MaxLeave</formula>
    </cfRule>
  </conditionalFormatting>
  <conditionalFormatting sqref="GN12">
    <cfRule type="cellIs" priority="193" operator="greaterThan" dxfId="4">
      <formula>MaxLeave</formula>
    </cfRule>
  </conditionalFormatting>
  <conditionalFormatting sqref="GO12">
    <cfRule type="cellIs" priority="194" operator="greaterThan" dxfId="4">
      <formula>MaxLeave</formula>
    </cfRule>
  </conditionalFormatting>
  <conditionalFormatting sqref="GP12">
    <cfRule type="cellIs" priority="195" operator="greaterThan" dxfId="4">
      <formula>MaxLeave</formula>
    </cfRule>
  </conditionalFormatting>
  <conditionalFormatting sqref="GQ12">
    <cfRule type="cellIs" priority="196" operator="greaterThan" dxfId="4">
      <formula>MaxLeave</formula>
    </cfRule>
  </conditionalFormatting>
  <conditionalFormatting sqref="GR12">
    <cfRule type="cellIs" priority="197" operator="greaterThan" dxfId="4">
      <formula>MaxLeave</formula>
    </cfRule>
  </conditionalFormatting>
  <conditionalFormatting sqref="GS12">
    <cfRule type="cellIs" priority="198" operator="greaterThan" dxfId="4">
      <formula>MaxLeave</formula>
    </cfRule>
  </conditionalFormatting>
  <conditionalFormatting sqref="GT12">
    <cfRule type="cellIs" priority="199" operator="greaterThan" dxfId="4">
      <formula>MaxLeave</formula>
    </cfRule>
  </conditionalFormatting>
  <conditionalFormatting sqref="GU12">
    <cfRule type="cellIs" priority="200" operator="greaterThan" dxfId="4">
      <formula>MaxLeave</formula>
    </cfRule>
  </conditionalFormatting>
  <conditionalFormatting sqref="GV12">
    <cfRule type="cellIs" priority="201" operator="greaterThan" dxfId="4">
      <formula>MaxLeave</formula>
    </cfRule>
  </conditionalFormatting>
  <conditionalFormatting sqref="GW12">
    <cfRule type="cellIs" priority="202" operator="greaterThan" dxfId="4">
      <formula>MaxLeave</formula>
    </cfRule>
  </conditionalFormatting>
  <conditionalFormatting sqref="GX12">
    <cfRule type="cellIs" priority="203" operator="greaterThan" dxfId="4">
      <formula>MaxLeave</formula>
    </cfRule>
  </conditionalFormatting>
  <conditionalFormatting sqref="GY12">
    <cfRule type="cellIs" priority="204" operator="greaterThan" dxfId="4">
      <formula>MaxLeave</formula>
    </cfRule>
  </conditionalFormatting>
  <conditionalFormatting sqref="GZ12">
    <cfRule type="cellIs" priority="205" operator="greaterThan" dxfId="4">
      <formula>MaxLeave</formula>
    </cfRule>
  </conditionalFormatting>
  <conditionalFormatting sqref="HA12">
    <cfRule type="cellIs" priority="206" operator="greaterThan" dxfId="4">
      <formula>MaxLeave</formula>
    </cfRule>
  </conditionalFormatting>
  <conditionalFormatting sqref="HB12">
    <cfRule type="cellIs" priority="207" operator="greaterThan" dxfId="4">
      <formula>MaxLeave</formula>
    </cfRule>
  </conditionalFormatting>
  <conditionalFormatting sqref="HC12">
    <cfRule type="cellIs" priority="208" operator="greaterThan" dxfId="4">
      <formula>MaxLeave</formula>
    </cfRule>
  </conditionalFormatting>
  <conditionalFormatting sqref="HD12">
    <cfRule type="cellIs" priority="209" operator="greaterThan" dxfId="4">
      <formula>MaxLeave</formula>
    </cfRule>
  </conditionalFormatting>
  <conditionalFormatting sqref="HE12">
    <cfRule type="cellIs" priority="210" operator="greaterThan" dxfId="4">
      <formula>MaxLeave</formula>
    </cfRule>
  </conditionalFormatting>
  <conditionalFormatting sqref="HF12">
    <cfRule type="cellIs" priority="211" operator="greaterThan" dxfId="4">
      <formula>MaxLeave</formula>
    </cfRule>
  </conditionalFormatting>
  <conditionalFormatting sqref="HG12">
    <cfRule type="cellIs" priority="212" operator="greaterThan" dxfId="4">
      <formula>MaxLeave</formula>
    </cfRule>
  </conditionalFormatting>
  <conditionalFormatting sqref="HH12">
    <cfRule type="cellIs" priority="213" operator="greaterThan" dxfId="4">
      <formula>MaxLeave</formula>
    </cfRule>
  </conditionalFormatting>
  <conditionalFormatting sqref="HI12">
    <cfRule type="cellIs" priority="214" operator="greaterThan" dxfId="4">
      <formula>MaxLeave</formula>
    </cfRule>
  </conditionalFormatting>
  <conditionalFormatting sqref="HJ12">
    <cfRule type="cellIs" priority="215" operator="greaterThan" dxfId="4">
      <formula>MaxLeave</formula>
    </cfRule>
  </conditionalFormatting>
  <conditionalFormatting sqref="HK12">
    <cfRule type="cellIs" priority="216" operator="greaterThan" dxfId="4">
      <formula>MaxLeave</formula>
    </cfRule>
  </conditionalFormatting>
  <conditionalFormatting sqref="HL12">
    <cfRule type="cellIs" priority="217" operator="greaterThan" dxfId="4">
      <formula>MaxLeave</formula>
    </cfRule>
  </conditionalFormatting>
  <conditionalFormatting sqref="HM12">
    <cfRule type="cellIs" priority="218" operator="greaterThan" dxfId="4">
      <formula>MaxLeave</formula>
    </cfRule>
  </conditionalFormatting>
  <conditionalFormatting sqref="HN12">
    <cfRule type="cellIs" priority="219" operator="greaterThan" dxfId="4">
      <formula>MaxLeave</formula>
    </cfRule>
  </conditionalFormatting>
  <conditionalFormatting sqref="HO12">
    <cfRule type="cellIs" priority="220" operator="greaterThan" dxfId="4">
      <formula>MaxLeave</formula>
    </cfRule>
  </conditionalFormatting>
  <conditionalFormatting sqref="HP12">
    <cfRule type="cellIs" priority="221" operator="greaterThan" dxfId="4">
      <formula>MaxLeave</formula>
    </cfRule>
  </conditionalFormatting>
  <conditionalFormatting sqref="HQ12">
    <cfRule type="cellIs" priority="222" operator="greaterThan" dxfId="4">
      <formula>MaxLeave</formula>
    </cfRule>
  </conditionalFormatting>
  <conditionalFormatting sqref="HR12">
    <cfRule type="cellIs" priority="223" operator="greaterThan" dxfId="4">
      <formula>MaxLeave</formula>
    </cfRule>
  </conditionalFormatting>
  <conditionalFormatting sqref="HS12">
    <cfRule type="cellIs" priority="224" operator="greaterThan" dxfId="4">
      <formula>MaxLeave</formula>
    </cfRule>
  </conditionalFormatting>
  <conditionalFormatting sqref="HT12">
    <cfRule type="cellIs" priority="225" operator="greaterThan" dxfId="4">
      <formula>MaxLeave</formula>
    </cfRule>
  </conditionalFormatting>
  <conditionalFormatting sqref="HU12">
    <cfRule type="cellIs" priority="226" operator="greaterThan" dxfId="4">
      <formula>MaxLeave</formula>
    </cfRule>
  </conditionalFormatting>
  <conditionalFormatting sqref="HV12">
    <cfRule type="cellIs" priority="227" operator="greaterThan" dxfId="4">
      <formula>MaxLeave</formula>
    </cfRule>
  </conditionalFormatting>
  <conditionalFormatting sqref="HW12">
    <cfRule type="cellIs" priority="228" operator="greaterThan" dxfId="4">
      <formula>MaxLeave</formula>
    </cfRule>
  </conditionalFormatting>
  <conditionalFormatting sqref="HX12">
    <cfRule type="cellIs" priority="229" operator="greaterThan" dxfId="4">
      <formula>MaxLeave</formula>
    </cfRule>
  </conditionalFormatting>
  <conditionalFormatting sqref="HY12">
    <cfRule type="cellIs" priority="230" operator="greaterThan" dxfId="4">
      <formula>MaxLeave</formula>
    </cfRule>
  </conditionalFormatting>
  <conditionalFormatting sqref="HZ12">
    <cfRule type="cellIs" priority="231" operator="greaterThan" dxfId="4">
      <formula>MaxLeave</formula>
    </cfRule>
  </conditionalFormatting>
  <conditionalFormatting sqref="IA12">
    <cfRule type="cellIs" priority="232" operator="greaterThan" dxfId="4">
      <formula>MaxLeave</formula>
    </cfRule>
  </conditionalFormatting>
  <conditionalFormatting sqref="IB12">
    <cfRule type="cellIs" priority="233" operator="greaterThan" dxfId="4">
      <formula>MaxLeave</formula>
    </cfRule>
  </conditionalFormatting>
  <conditionalFormatting sqref="IC12">
    <cfRule type="cellIs" priority="234" operator="greaterThan" dxfId="4">
      <formula>MaxLeave</formula>
    </cfRule>
  </conditionalFormatting>
  <conditionalFormatting sqref="ID12">
    <cfRule type="cellIs" priority="235" operator="greaterThan" dxfId="4">
      <formula>MaxLeave</formula>
    </cfRule>
  </conditionalFormatting>
  <conditionalFormatting sqref="IE12">
    <cfRule type="cellIs" priority="236" operator="greaterThan" dxfId="4">
      <formula>MaxLeave</formula>
    </cfRule>
  </conditionalFormatting>
  <conditionalFormatting sqref="IF12">
    <cfRule type="cellIs" priority="237" operator="greaterThan" dxfId="4">
      <formula>MaxLeave</formula>
    </cfRule>
  </conditionalFormatting>
  <conditionalFormatting sqref="IG12">
    <cfRule type="cellIs" priority="238" operator="greaterThan" dxfId="4">
      <formula>MaxLeave</formula>
    </cfRule>
  </conditionalFormatting>
  <conditionalFormatting sqref="IH12">
    <cfRule type="cellIs" priority="239" operator="greaterThan" dxfId="4">
      <formula>MaxLeave</formula>
    </cfRule>
  </conditionalFormatting>
  <conditionalFormatting sqref="II12">
    <cfRule type="cellIs" priority="240" operator="greaterThan" dxfId="4">
      <formula>MaxLeave</formula>
    </cfRule>
  </conditionalFormatting>
  <conditionalFormatting sqref="IJ12">
    <cfRule type="cellIs" priority="241" operator="greaterThan" dxfId="4">
      <formula>MaxLeave</formula>
    </cfRule>
  </conditionalFormatting>
  <conditionalFormatting sqref="IK12">
    <cfRule type="cellIs" priority="242" operator="greaterThan" dxfId="4">
      <formula>MaxLeave</formula>
    </cfRule>
  </conditionalFormatting>
  <conditionalFormatting sqref="IL12">
    <cfRule type="cellIs" priority="243" operator="greaterThan" dxfId="4">
      <formula>MaxLeave</formula>
    </cfRule>
  </conditionalFormatting>
  <conditionalFormatting sqref="IM12">
    <cfRule type="cellIs" priority="244" operator="greaterThan" dxfId="4">
      <formula>MaxLeave</formula>
    </cfRule>
  </conditionalFormatting>
  <conditionalFormatting sqref="IN12">
    <cfRule type="cellIs" priority="245" operator="greaterThan" dxfId="4">
      <formula>MaxLeave</formula>
    </cfRule>
  </conditionalFormatting>
  <conditionalFormatting sqref="IO12">
    <cfRule type="cellIs" priority="246" operator="greaterThan" dxfId="4">
      <formula>MaxLeave</formula>
    </cfRule>
  </conditionalFormatting>
  <conditionalFormatting sqref="IP12">
    <cfRule type="cellIs" priority="247" operator="greaterThan" dxfId="4">
      <formula>MaxLeave</formula>
    </cfRule>
  </conditionalFormatting>
  <conditionalFormatting sqref="IQ12">
    <cfRule type="cellIs" priority="248" operator="greaterThan" dxfId="4">
      <formula>MaxLeave</formula>
    </cfRule>
  </conditionalFormatting>
  <conditionalFormatting sqref="IR12">
    <cfRule type="cellIs" priority="249" operator="greaterThan" dxfId="4">
      <formula>MaxLeave</formula>
    </cfRule>
  </conditionalFormatting>
  <conditionalFormatting sqref="IS12">
    <cfRule type="cellIs" priority="250" operator="greaterThan" dxfId="4">
      <formula>MaxLeave</formula>
    </cfRule>
  </conditionalFormatting>
  <conditionalFormatting sqref="IT12">
    <cfRule type="cellIs" priority="251" operator="greaterThan" dxfId="4">
      <formula>MaxLeave</formula>
    </cfRule>
  </conditionalFormatting>
  <conditionalFormatting sqref="IU12">
    <cfRule type="cellIs" priority="252" operator="greaterThan" dxfId="4">
      <formula>MaxLeave</formula>
    </cfRule>
  </conditionalFormatting>
  <conditionalFormatting sqref="IV12">
    <cfRule type="cellIs" priority="253" operator="greaterThan" dxfId="4">
      <formula>MaxLeave</formula>
    </cfRule>
  </conditionalFormatting>
  <conditionalFormatting sqref="IW12">
    <cfRule type="cellIs" priority="254" operator="greaterThan" dxfId="4">
      <formula>MaxLeave</formula>
    </cfRule>
  </conditionalFormatting>
  <conditionalFormatting sqref="IX12">
    <cfRule type="cellIs" priority="255" operator="greaterThan" dxfId="4">
      <formula>MaxLeave</formula>
    </cfRule>
  </conditionalFormatting>
  <conditionalFormatting sqref="IY12">
    <cfRule type="cellIs" priority="256" operator="greaterThan" dxfId="4">
      <formula>MaxLeave</formula>
    </cfRule>
  </conditionalFormatting>
  <conditionalFormatting sqref="IZ12">
    <cfRule type="cellIs" priority="257" operator="greaterThan" dxfId="4">
      <formula>MaxLeave</formula>
    </cfRule>
  </conditionalFormatting>
  <conditionalFormatting sqref="JA12">
    <cfRule type="cellIs" priority="258" operator="greaterThan" dxfId="4">
      <formula>MaxLeave</formula>
    </cfRule>
  </conditionalFormatting>
  <conditionalFormatting sqref="JB12">
    <cfRule type="cellIs" priority="259" operator="greaterThan" dxfId="4">
      <formula>MaxLeave</formula>
    </cfRule>
  </conditionalFormatting>
  <conditionalFormatting sqref="JC12">
    <cfRule type="cellIs" priority="260" operator="greaterThan" dxfId="4">
      <formula>MaxLeave</formula>
    </cfRule>
  </conditionalFormatting>
  <conditionalFormatting sqref="JD12">
    <cfRule type="cellIs" priority="261" operator="greaterThan" dxfId="4">
      <formula>MaxLeave</formula>
    </cfRule>
  </conditionalFormatting>
  <conditionalFormatting sqref="JE12">
    <cfRule type="cellIs" priority="262" operator="greaterThan" dxfId="4">
      <formula>MaxLeave</formula>
    </cfRule>
  </conditionalFormatting>
  <conditionalFormatting sqref="JF12">
    <cfRule type="cellIs" priority="263" operator="greaterThan" dxfId="4">
      <formula>MaxLeave</formula>
    </cfRule>
  </conditionalFormatting>
  <conditionalFormatting sqref="JG12">
    <cfRule type="cellIs" priority="264" operator="greaterThan" dxfId="4">
      <formula>MaxLeave</formula>
    </cfRule>
  </conditionalFormatting>
  <conditionalFormatting sqref="JH12">
    <cfRule type="cellIs" priority="265" operator="greaterThan" dxfId="4">
      <formula>MaxLeave</formula>
    </cfRule>
  </conditionalFormatting>
  <conditionalFormatting sqref="JI12">
    <cfRule type="cellIs" priority="266" operator="greaterThan" dxfId="4">
      <formula>MaxLeave</formula>
    </cfRule>
  </conditionalFormatting>
  <conditionalFormatting sqref="JJ12">
    <cfRule type="cellIs" priority="267" operator="greaterThan" dxfId="4">
      <formula>MaxLeave</formula>
    </cfRule>
  </conditionalFormatting>
  <conditionalFormatting sqref="JK12">
    <cfRule type="cellIs" priority="268" operator="greaterThan" dxfId="4">
      <formula>MaxLeave</formula>
    </cfRule>
  </conditionalFormatting>
  <conditionalFormatting sqref="JL12">
    <cfRule type="cellIs" priority="269" operator="greaterThan" dxfId="4">
      <formula>MaxLeave</formula>
    </cfRule>
  </conditionalFormatting>
  <conditionalFormatting sqref="JM12">
    <cfRule type="cellIs" priority="270" operator="greaterThan" dxfId="4">
      <formula>MaxLeave</formula>
    </cfRule>
  </conditionalFormatting>
  <conditionalFormatting sqref="JN12">
    <cfRule type="cellIs" priority="271" operator="greaterThan" dxfId="4">
      <formula>MaxLeave</formula>
    </cfRule>
  </conditionalFormatting>
  <conditionalFormatting sqref="JO12">
    <cfRule type="cellIs" priority="272" operator="greaterThan" dxfId="4">
      <formula>MaxLeave</formula>
    </cfRule>
  </conditionalFormatting>
  <conditionalFormatting sqref="JP12">
    <cfRule type="cellIs" priority="273" operator="greaterThan" dxfId="4">
      <formula>MaxLeave</formula>
    </cfRule>
  </conditionalFormatting>
  <conditionalFormatting sqref="JQ12">
    <cfRule type="cellIs" priority="274" operator="greaterThan" dxfId="4">
      <formula>MaxLeave</formula>
    </cfRule>
  </conditionalFormatting>
  <conditionalFormatting sqref="JR12">
    <cfRule type="cellIs" priority="275" operator="greaterThan" dxfId="4">
      <formula>MaxLeave</formula>
    </cfRule>
  </conditionalFormatting>
  <conditionalFormatting sqref="JS12">
    <cfRule type="cellIs" priority="276" operator="greaterThan" dxfId="4">
      <formula>MaxLeave</formula>
    </cfRule>
  </conditionalFormatting>
  <conditionalFormatting sqref="JT12">
    <cfRule type="cellIs" priority="277" operator="greaterThan" dxfId="4">
      <formula>MaxLeave</formula>
    </cfRule>
  </conditionalFormatting>
  <conditionalFormatting sqref="JU12">
    <cfRule type="cellIs" priority="278" operator="greaterThan" dxfId="4">
      <formula>MaxLeave</formula>
    </cfRule>
  </conditionalFormatting>
  <conditionalFormatting sqref="JV12">
    <cfRule type="cellIs" priority="279" operator="greaterThan" dxfId="4">
      <formula>MaxLeave</formula>
    </cfRule>
  </conditionalFormatting>
  <conditionalFormatting sqref="JW12">
    <cfRule type="cellIs" priority="280" operator="greaterThan" dxfId="4">
      <formula>MaxLeave</formula>
    </cfRule>
  </conditionalFormatting>
  <conditionalFormatting sqref="JX12">
    <cfRule type="cellIs" priority="281" operator="greaterThan" dxfId="4">
      <formula>MaxLeave</formula>
    </cfRule>
  </conditionalFormatting>
  <conditionalFormatting sqref="JY12">
    <cfRule type="cellIs" priority="282" operator="greaterThan" dxfId="4">
      <formula>MaxLeave</formula>
    </cfRule>
  </conditionalFormatting>
  <conditionalFormatting sqref="JZ12">
    <cfRule type="cellIs" priority="283" operator="greaterThan" dxfId="4">
      <formula>MaxLeave</formula>
    </cfRule>
  </conditionalFormatting>
  <conditionalFormatting sqref="KA12">
    <cfRule type="cellIs" priority="284" operator="greaterThan" dxfId="4">
      <formula>MaxLeave</formula>
    </cfRule>
  </conditionalFormatting>
  <conditionalFormatting sqref="KB12">
    <cfRule type="cellIs" priority="285" operator="greaterThan" dxfId="4">
      <formula>MaxLeave</formula>
    </cfRule>
  </conditionalFormatting>
  <conditionalFormatting sqref="KC12">
    <cfRule type="cellIs" priority="286" operator="greaterThan" dxfId="4">
      <formula>MaxLeave</formula>
    </cfRule>
  </conditionalFormatting>
  <conditionalFormatting sqref="KD12">
    <cfRule type="cellIs" priority="287" operator="greaterThan" dxfId="4">
      <formula>MaxLeave</formula>
    </cfRule>
  </conditionalFormatting>
  <conditionalFormatting sqref="KE12">
    <cfRule type="cellIs" priority="288" operator="greaterThan" dxfId="4">
      <formula>MaxLeave</formula>
    </cfRule>
  </conditionalFormatting>
  <conditionalFormatting sqref="KF12">
    <cfRule type="cellIs" priority="289" operator="greaterThan" dxfId="4">
      <formula>MaxLeave</formula>
    </cfRule>
  </conditionalFormatting>
  <conditionalFormatting sqref="KG12">
    <cfRule type="cellIs" priority="290" operator="greaterThan" dxfId="4">
      <formula>MaxLeave</formula>
    </cfRule>
  </conditionalFormatting>
  <conditionalFormatting sqref="KH12">
    <cfRule type="cellIs" priority="291" operator="greaterThan" dxfId="4">
      <formula>MaxLeave</formula>
    </cfRule>
  </conditionalFormatting>
  <conditionalFormatting sqref="KI12">
    <cfRule type="cellIs" priority="292" operator="greaterThan" dxfId="4">
      <formula>MaxLeave</formula>
    </cfRule>
  </conditionalFormatting>
  <conditionalFormatting sqref="KJ12">
    <cfRule type="cellIs" priority="293" operator="greaterThan" dxfId="4">
      <formula>MaxLeave</formula>
    </cfRule>
  </conditionalFormatting>
  <conditionalFormatting sqref="KK12">
    <cfRule type="cellIs" priority="294" operator="greaterThan" dxfId="4">
      <formula>MaxLeave</formula>
    </cfRule>
  </conditionalFormatting>
  <conditionalFormatting sqref="KL12">
    <cfRule type="cellIs" priority="295" operator="greaterThan" dxfId="4">
      <formula>MaxLeave</formula>
    </cfRule>
  </conditionalFormatting>
  <conditionalFormatting sqref="KM12">
    <cfRule type="cellIs" priority="296" operator="greaterThan" dxfId="4">
      <formula>MaxLeave</formula>
    </cfRule>
  </conditionalFormatting>
  <conditionalFormatting sqref="KN12">
    <cfRule type="cellIs" priority="297" operator="greaterThan" dxfId="4">
      <formula>MaxLeave</formula>
    </cfRule>
  </conditionalFormatting>
  <conditionalFormatting sqref="KO12">
    <cfRule type="cellIs" priority="298" operator="greaterThan" dxfId="4">
      <formula>MaxLeave</formula>
    </cfRule>
  </conditionalFormatting>
  <conditionalFormatting sqref="KP12">
    <cfRule type="cellIs" priority="299" operator="greaterThan" dxfId="4">
      <formula>MaxLeave</formula>
    </cfRule>
  </conditionalFormatting>
  <conditionalFormatting sqref="KQ12">
    <cfRule type="cellIs" priority="300" operator="greaterThan" dxfId="4">
      <formula>MaxLeave</formula>
    </cfRule>
  </conditionalFormatting>
  <conditionalFormatting sqref="KR12">
    <cfRule type="cellIs" priority="301" operator="greaterThan" dxfId="4">
      <formula>MaxLeave</formula>
    </cfRule>
  </conditionalFormatting>
  <conditionalFormatting sqref="KS12">
    <cfRule type="cellIs" priority="302" operator="greaterThan" dxfId="4">
      <formula>MaxLeave</formula>
    </cfRule>
  </conditionalFormatting>
  <conditionalFormatting sqref="KT12">
    <cfRule type="cellIs" priority="303" operator="greaterThan" dxfId="4">
      <formula>MaxLeave</formula>
    </cfRule>
  </conditionalFormatting>
  <conditionalFormatting sqref="KU12">
    <cfRule type="cellIs" priority="304" operator="greaterThan" dxfId="4">
      <formula>MaxLeave</formula>
    </cfRule>
  </conditionalFormatting>
  <conditionalFormatting sqref="KV12">
    <cfRule type="cellIs" priority="305" operator="greaterThan" dxfId="4">
      <formula>MaxLeave</formula>
    </cfRule>
  </conditionalFormatting>
  <conditionalFormatting sqref="KW12">
    <cfRule type="cellIs" priority="306" operator="greaterThan" dxfId="4">
      <formula>MaxLeave</formula>
    </cfRule>
  </conditionalFormatting>
  <conditionalFormatting sqref="KX12">
    <cfRule type="cellIs" priority="307" operator="greaterThan" dxfId="4">
      <formula>MaxLeave</formula>
    </cfRule>
  </conditionalFormatting>
  <conditionalFormatting sqref="KY12">
    <cfRule type="cellIs" priority="308" operator="greaterThan" dxfId="4">
      <formula>MaxLeave</formula>
    </cfRule>
  </conditionalFormatting>
  <conditionalFormatting sqref="KZ12">
    <cfRule type="cellIs" priority="309" operator="greaterThan" dxfId="4">
      <formula>MaxLeave</formula>
    </cfRule>
  </conditionalFormatting>
  <conditionalFormatting sqref="LA12">
    <cfRule type="cellIs" priority="310" operator="greaterThan" dxfId="4">
      <formula>MaxLeave</formula>
    </cfRule>
  </conditionalFormatting>
  <conditionalFormatting sqref="LB12">
    <cfRule type="cellIs" priority="311" operator="greaterThan" dxfId="4">
      <formula>MaxLeave</formula>
    </cfRule>
  </conditionalFormatting>
  <conditionalFormatting sqref="LC12">
    <cfRule type="cellIs" priority="312" operator="greaterThan" dxfId="4">
      <formula>MaxLeave</formula>
    </cfRule>
  </conditionalFormatting>
  <conditionalFormatting sqref="LD12">
    <cfRule type="cellIs" priority="313" operator="greaterThan" dxfId="4">
      <formula>MaxLeave</formula>
    </cfRule>
  </conditionalFormatting>
  <conditionalFormatting sqref="LE12">
    <cfRule type="cellIs" priority="314" operator="greaterThan" dxfId="4">
      <formula>MaxLeave</formula>
    </cfRule>
  </conditionalFormatting>
  <conditionalFormatting sqref="LF12">
    <cfRule type="cellIs" priority="315" operator="greaterThan" dxfId="4">
      <formula>MaxLeave</formula>
    </cfRule>
  </conditionalFormatting>
  <conditionalFormatting sqref="LG12">
    <cfRule type="cellIs" priority="316" operator="greaterThan" dxfId="4">
      <formula>MaxLeave</formula>
    </cfRule>
  </conditionalFormatting>
  <conditionalFormatting sqref="LH12">
    <cfRule type="cellIs" priority="317" operator="greaterThan" dxfId="4">
      <formula>MaxLeave</formula>
    </cfRule>
  </conditionalFormatting>
  <conditionalFormatting sqref="LI12">
    <cfRule type="cellIs" priority="318" operator="greaterThan" dxfId="4">
      <formula>MaxLeave</formula>
    </cfRule>
  </conditionalFormatting>
  <conditionalFormatting sqref="LJ12">
    <cfRule type="cellIs" priority="319" operator="greaterThan" dxfId="4">
      <formula>MaxLeave</formula>
    </cfRule>
  </conditionalFormatting>
  <conditionalFormatting sqref="LK12">
    <cfRule type="cellIs" priority="320" operator="greaterThan" dxfId="4">
      <formula>MaxLeave</formula>
    </cfRule>
  </conditionalFormatting>
  <conditionalFormatting sqref="LL12">
    <cfRule type="cellIs" priority="321" operator="greaterThan" dxfId="4">
      <formula>MaxLeave</formula>
    </cfRule>
  </conditionalFormatting>
  <conditionalFormatting sqref="LM12">
    <cfRule type="cellIs" priority="322" operator="greaterThan" dxfId="4">
      <formula>MaxLeave</formula>
    </cfRule>
  </conditionalFormatting>
  <conditionalFormatting sqref="LN12">
    <cfRule type="cellIs" priority="323" operator="greaterThan" dxfId="4">
      <formula>MaxLeave</formula>
    </cfRule>
  </conditionalFormatting>
  <conditionalFormatting sqref="LO12">
    <cfRule type="cellIs" priority="324" operator="greaterThan" dxfId="4">
      <formula>MaxLeave</formula>
    </cfRule>
  </conditionalFormatting>
  <conditionalFormatting sqref="LP12">
    <cfRule type="cellIs" priority="325" operator="greaterThan" dxfId="4">
      <formula>MaxLeave</formula>
    </cfRule>
  </conditionalFormatting>
  <conditionalFormatting sqref="LQ12">
    <cfRule type="cellIs" priority="326" operator="greaterThan" dxfId="4">
      <formula>MaxLeave</formula>
    </cfRule>
  </conditionalFormatting>
  <conditionalFormatting sqref="LR12">
    <cfRule type="cellIs" priority="327" operator="greaterThan" dxfId="4">
      <formula>MaxLeave</formula>
    </cfRule>
  </conditionalFormatting>
  <conditionalFormatting sqref="LS12">
    <cfRule type="cellIs" priority="328" operator="greaterThan" dxfId="4">
      <formula>MaxLeave</formula>
    </cfRule>
  </conditionalFormatting>
  <conditionalFormatting sqref="LT12">
    <cfRule type="cellIs" priority="329" operator="greaterThan" dxfId="4">
      <formula>MaxLeave</formula>
    </cfRule>
  </conditionalFormatting>
  <conditionalFormatting sqref="LU12">
    <cfRule type="cellIs" priority="330" operator="greaterThan" dxfId="4">
      <formula>MaxLeave</formula>
    </cfRule>
  </conditionalFormatting>
  <conditionalFormatting sqref="LV12">
    <cfRule type="cellIs" priority="331" operator="greaterThan" dxfId="4">
      <formula>MaxLeave</formula>
    </cfRule>
  </conditionalFormatting>
  <conditionalFormatting sqref="LW12">
    <cfRule type="cellIs" priority="332" operator="greaterThan" dxfId="4">
      <formula>MaxLeave</formula>
    </cfRule>
  </conditionalFormatting>
  <conditionalFormatting sqref="LX12">
    <cfRule type="cellIs" priority="333" operator="greaterThan" dxfId="4">
      <formula>MaxLeave</formula>
    </cfRule>
  </conditionalFormatting>
  <conditionalFormatting sqref="LY12">
    <cfRule type="cellIs" priority="334" operator="greaterThan" dxfId="4">
      <formula>MaxLeave</formula>
    </cfRule>
  </conditionalFormatting>
  <conditionalFormatting sqref="LZ12">
    <cfRule type="cellIs" priority="335" operator="greaterThan" dxfId="4">
      <formula>MaxLeave</formula>
    </cfRule>
  </conditionalFormatting>
  <conditionalFormatting sqref="MA12">
    <cfRule type="cellIs" priority="336" operator="greaterThan" dxfId="4">
      <formula>MaxLeave</formula>
    </cfRule>
  </conditionalFormatting>
  <conditionalFormatting sqref="MB12">
    <cfRule type="cellIs" priority="337" operator="greaterThan" dxfId="4">
      <formula>MaxLeave</formula>
    </cfRule>
  </conditionalFormatting>
  <conditionalFormatting sqref="MC12">
    <cfRule type="cellIs" priority="338" operator="greaterThan" dxfId="4">
      <formula>MaxLeave</formula>
    </cfRule>
  </conditionalFormatting>
  <conditionalFormatting sqref="MD12">
    <cfRule type="cellIs" priority="339" operator="greaterThan" dxfId="4">
      <formula>MaxLeave</formula>
    </cfRule>
  </conditionalFormatting>
  <conditionalFormatting sqref="ME12">
    <cfRule type="cellIs" priority="340" operator="greaterThan" dxfId="4">
      <formula>MaxLeave</formula>
    </cfRule>
  </conditionalFormatting>
  <conditionalFormatting sqref="MF12">
    <cfRule type="cellIs" priority="341" operator="greaterThan" dxfId="4">
      <formula>MaxLeave</formula>
    </cfRule>
  </conditionalFormatting>
  <conditionalFormatting sqref="MG12">
    <cfRule type="cellIs" priority="342" operator="greaterThan" dxfId="4">
      <formula>MaxLeave</formula>
    </cfRule>
  </conditionalFormatting>
  <conditionalFormatting sqref="MH12">
    <cfRule type="cellIs" priority="343" operator="greaterThan" dxfId="4">
      <formula>MaxLeave</formula>
    </cfRule>
  </conditionalFormatting>
  <conditionalFormatting sqref="MI12">
    <cfRule type="cellIs" priority="344" operator="greaterThan" dxfId="4">
      <formula>MaxLeave</formula>
    </cfRule>
  </conditionalFormatting>
  <conditionalFormatting sqref="MJ12">
    <cfRule type="cellIs" priority="345" operator="greaterThan" dxfId="4">
      <formula>MaxLeave</formula>
    </cfRule>
  </conditionalFormatting>
  <conditionalFormatting sqref="MK12">
    <cfRule type="cellIs" priority="346" operator="greaterThan" dxfId="4">
      <formula>MaxLeave</formula>
    </cfRule>
  </conditionalFormatting>
  <conditionalFormatting sqref="ML12">
    <cfRule type="cellIs" priority="347" operator="greaterThan" dxfId="4">
      <formula>MaxLeave</formula>
    </cfRule>
  </conditionalFormatting>
  <conditionalFormatting sqref="MM12">
    <cfRule type="cellIs" priority="348" operator="greaterThan" dxfId="4">
      <formula>MaxLeave</formula>
    </cfRule>
  </conditionalFormatting>
  <conditionalFormatting sqref="MN12">
    <cfRule type="cellIs" priority="349" operator="greaterThan" dxfId="4">
      <formula>MaxLeave</formula>
    </cfRule>
  </conditionalFormatting>
  <conditionalFormatting sqref="MO12">
    <cfRule type="cellIs" priority="350" operator="greaterThan" dxfId="4">
      <formula>MaxLeave</formula>
    </cfRule>
  </conditionalFormatting>
  <conditionalFormatting sqref="MP12">
    <cfRule type="cellIs" priority="351" operator="greaterThan" dxfId="4">
      <formula>MaxLeave</formula>
    </cfRule>
  </conditionalFormatting>
  <conditionalFormatting sqref="MQ12">
    <cfRule type="cellIs" priority="352" operator="greaterThan" dxfId="4">
      <formula>MaxLeave</formula>
    </cfRule>
  </conditionalFormatting>
  <conditionalFormatting sqref="MR12">
    <cfRule type="cellIs" priority="353" operator="greaterThan" dxfId="4">
      <formula>MaxLeave</formula>
    </cfRule>
  </conditionalFormatting>
  <conditionalFormatting sqref="MS12">
    <cfRule type="cellIs" priority="354" operator="greaterThan" dxfId="4">
      <formula>MaxLeave</formula>
    </cfRule>
  </conditionalFormatting>
  <conditionalFormatting sqref="MT12">
    <cfRule type="cellIs" priority="355" operator="greaterThan" dxfId="4">
      <formula>MaxLeave</formula>
    </cfRule>
  </conditionalFormatting>
  <conditionalFormatting sqref="MU12">
    <cfRule type="cellIs" priority="356" operator="greaterThan" dxfId="4">
      <formula>MaxLeave</formula>
    </cfRule>
  </conditionalFormatting>
  <conditionalFormatting sqref="MV12">
    <cfRule type="cellIs" priority="357" operator="greaterThan" dxfId="4">
      <formula>MaxLeave</formula>
    </cfRule>
  </conditionalFormatting>
  <conditionalFormatting sqref="MW12">
    <cfRule type="cellIs" priority="358" operator="greaterThan" dxfId="4">
      <formula>MaxLeave</formula>
    </cfRule>
  </conditionalFormatting>
  <conditionalFormatting sqref="MX12">
    <cfRule type="cellIs" priority="359" operator="greaterThan" dxfId="4">
      <formula>MaxLeave</formula>
    </cfRule>
  </conditionalFormatting>
  <conditionalFormatting sqref="MY12">
    <cfRule type="cellIs" priority="360" operator="greaterThan" dxfId="4">
      <formula>MaxLeave</formula>
    </cfRule>
  </conditionalFormatting>
  <conditionalFormatting sqref="MZ12">
    <cfRule type="cellIs" priority="361" operator="greaterThan" dxfId="4">
      <formula>MaxLeave</formula>
    </cfRule>
  </conditionalFormatting>
  <conditionalFormatting sqref="NA12">
    <cfRule type="cellIs" priority="362" operator="greaterThan" dxfId="4">
      <formula>MaxLeave</formula>
    </cfRule>
  </conditionalFormatting>
  <conditionalFormatting sqref="NB12">
    <cfRule type="cellIs" priority="363" operator="greaterThan" dxfId="4">
      <formula>MaxLeave</formula>
    </cfRule>
  </conditionalFormatting>
  <conditionalFormatting sqref="NC12">
    <cfRule type="cellIs" priority="364" operator="greaterThan" dxfId="4">
      <formula>MaxLeave</formula>
    </cfRule>
  </conditionalFormatting>
  <conditionalFormatting sqref="ND12">
    <cfRule type="cellIs" priority="365" operator="greaterThan" dxfId="4">
      <formula>MaxLeave</formula>
    </cfRule>
  </conditionalFormatting>
  <conditionalFormatting sqref="D4:ND11">
    <cfRule type="cellIs" priority="366" operator="equal" dxfId="7">
      <formula>"سنوية"</formula>
    </cfRule>
    <cfRule type="cellIs" priority="367" operator="equal" dxfId="8">
      <formula>"عارض"</formula>
    </cfRule>
    <cfRule type="cellIs" priority="368" operator="equal" dxfId="9">
      <formula>"دورية"</formula>
    </cfRule>
    <cfRule type="cellIs" priority="369" operator="equal" dxfId="10">
      <formula>"مرضية"</formula>
    </cfRule>
    <cfRule type="cellIs" priority="370" operator="equal" dxfId="11">
      <formula>"مرافق مريض"</formula>
    </cfRule>
    <cfRule type="cellIs" priority="371" operator="equal" dxfId="12">
      <formula>"أخرى"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rightToLeft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6" customWidth="1" min="4" max="4"/>
    <col width="18" customWidth="1" min="5" max="5"/>
    <col width="18" customWidth="1" min="6" max="6"/>
  </cols>
  <sheetData>
    <row r="1" ht="24" customHeight="1">
      <c r="A1" s="75" t="inlineStr">
        <is>
          <t>كشف الوردية اليومي — قسم العمليات الجمركية</t>
        </is>
      </c>
    </row>
    <row r="2">
      <c r="B2" s="76" t="inlineStr">
        <is>
          <t>📅 التاريخ:</t>
        </is>
      </c>
      <c r="C2" s="77">
        <f>TODAY()</f>
        <v/>
      </c>
    </row>
    <row r="3">
      <c r="B3" s="78" t="inlineStr">
        <is>
          <t>اليوم:</t>
        </is>
      </c>
      <c r="C3" s="79">
        <f>CHOOSE(WEEKDAY($C$2,2),"الإثنين","الثلاثاء","الأربعاء","الخميس","الجمعة","السبت","الأحد")</f>
        <v/>
      </c>
    </row>
    <row r="4">
      <c r="B4" s="80" t="inlineStr">
        <is>
          <t>💡 غيّر التاريخ في الخانة الصفراء ليتحدّث الكشف، ثم اطبع.</t>
        </is>
      </c>
    </row>
    <row r="5">
      <c r="A5" s="14" t="inlineStr">
        <is>
          <t>م</t>
        </is>
      </c>
      <c r="B5" s="14" t="inlineStr">
        <is>
          <t>الاسم</t>
        </is>
      </c>
      <c r="C5" s="14" t="inlineStr">
        <is>
          <t>الرقم الوظيفي</t>
        </is>
      </c>
      <c r="D5" s="14" t="inlineStr">
        <is>
          <t>الوردية/الحالة</t>
        </is>
      </c>
      <c r="E5" s="14" t="inlineStr">
        <is>
          <t>توقيع الحضور</t>
        </is>
      </c>
      <c r="F5" s="14" t="inlineStr">
        <is>
          <t>توقيع الانصراف</t>
        </is>
      </c>
    </row>
    <row r="6">
      <c r="A6" s="33" t="n">
        <v>1</v>
      </c>
      <c r="B6" s="35">
        <f>'الموظفون'!B2</f>
        <v/>
      </c>
      <c r="C6" s="33">
        <f>'الموظفون'!C2</f>
        <v/>
      </c>
      <c r="D6" s="81">
        <f>IF(SUMPRODUCT(('حجز الإجازات'!$B$5:$B$104='الموظفون'!$B$2)*('حجز الإجازات'!$D$5:$D$104&lt;=$C$2)*(('حجز الإجازات'!$E$5:$E$104)&gt;=$C$2)*('حجز الإجازات'!$G$5:$G$104="معتمد")*ROW('حجز الإجازات'!$B$5:$B$104))=0,IF($C$2&lt;'الموظفون'!$D$2,"",IF(ISNUMBER(MATCH($C$2,Holidays,0)),"عطلة",IF(MOD($C$2-'الموظفون'!$D$2,CycleWork+CycleRest)&lt;CycleWork,INDEX('الإعدادات والقوائم'!$H$2:$H$4,MOD(INT(MOD($C$2-'الموظفون'!$D$2,CycleWork+CycleRest)*3/CycleWork)+MATCH(StartShift,'الإعدادات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الإجازات'!$D$5:$D$104&lt;=$C$2)*(('حجز الإجازات'!$E$5:$E$104)&gt;=$C$2)*('حجز الإجازات'!$G$5:$G$104="معتمد")*ROW('حجز الإجازات'!$B$5:$B$104)))-5+1))</f>
        <v/>
      </c>
      <c r="E6" s="82" t="n"/>
      <c r="F6" s="82" t="n"/>
    </row>
    <row r="7">
      <c r="A7" s="33" t="n">
        <v>2</v>
      </c>
      <c r="B7" s="35">
        <f>'الموظفون'!B3</f>
        <v/>
      </c>
      <c r="C7" s="33">
        <f>'الموظفون'!C3</f>
        <v/>
      </c>
      <c r="D7" s="81">
        <f>IF(SUMPRODUCT(('حجز الإجازات'!$B$5:$B$104='الموظفون'!$B$3)*('حجز الإجازات'!$D$5:$D$104&lt;=$C$2)*(('حجز الإجازات'!$E$5:$E$104)&gt;=$C$2)*('حجز الإجازات'!$G$5:$G$104="معتمد")*ROW('حجز الإجازات'!$B$5:$B$104))=0,IF($C$2&lt;'الموظفون'!$D$3,"",IF(ISNUMBER(MATCH($C$2,Holidays,0)),"عطلة",IF(MOD($C$2-'الموظفون'!$D$3,CycleWork+CycleRest)&lt;CycleWork,INDEX('الإعدادات والقوائم'!$H$2:$H$4,MOD(INT(MOD($C$2-'الموظفون'!$D$3,CycleWork+CycleRest)*3/CycleWork)+MATCH(StartShift,'الإعدادات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الإجازات'!$D$5:$D$104&lt;=$C$2)*(('حجز الإجازات'!$E$5:$E$104)&gt;=$C$2)*('حجز الإجازات'!$G$5:$G$104="معتمد")*ROW('حجز الإجازات'!$B$5:$B$104)))-5+1))</f>
        <v/>
      </c>
      <c r="E7" s="82" t="n"/>
      <c r="F7" s="82" t="n"/>
    </row>
    <row r="8">
      <c r="A8" s="33" t="n">
        <v>3</v>
      </c>
      <c r="B8" s="35">
        <f>'الموظفون'!B4</f>
        <v/>
      </c>
      <c r="C8" s="33">
        <f>'الموظفون'!C4</f>
        <v/>
      </c>
      <c r="D8" s="81">
        <f>IF(SUMPRODUCT(('حجز الإجازات'!$B$5:$B$104='الموظفون'!$B$4)*('حجز الإجازات'!$D$5:$D$104&lt;=$C$2)*(('حجز الإجازات'!$E$5:$E$104)&gt;=$C$2)*('حجز الإجازات'!$G$5:$G$104="معتمد")*ROW('حجز الإجازات'!$B$5:$B$104))=0,IF($C$2&lt;'الموظفون'!$D$4,"",IF(ISNUMBER(MATCH($C$2,Holidays,0)),"عطلة",IF(MOD($C$2-'الموظفون'!$D$4,CycleWork+CycleRest)&lt;CycleWork,INDEX('الإعدادات والقوائم'!$H$2:$H$4,MOD(INT(MOD($C$2-'الموظفون'!$D$4,CycleWork+CycleRest)*3/CycleWork)+MATCH(StartShift,'الإعدادات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الإجازات'!$D$5:$D$104&lt;=$C$2)*(('حجز الإجازات'!$E$5:$E$104)&gt;=$C$2)*('حجز الإجازات'!$G$5:$G$104="معتمد")*ROW('حجز الإجازات'!$B$5:$B$104)))-5+1))</f>
        <v/>
      </c>
      <c r="E8" s="82" t="n"/>
      <c r="F8" s="82" t="n"/>
    </row>
    <row r="9">
      <c r="A9" s="33" t="n">
        <v>4</v>
      </c>
      <c r="B9" s="35">
        <f>'الموظفون'!B5</f>
        <v/>
      </c>
      <c r="C9" s="33">
        <f>'الموظفون'!C5</f>
        <v/>
      </c>
      <c r="D9" s="81">
        <f>IF(SUMPRODUCT(('حجز الإجازات'!$B$5:$B$104='الموظفون'!$B$5)*('حجز الإجازات'!$D$5:$D$104&lt;=$C$2)*(('حجز الإجازات'!$E$5:$E$104)&gt;=$C$2)*('حجز الإجازات'!$G$5:$G$104="معتمد")*ROW('حجز الإجازات'!$B$5:$B$104))=0,IF($C$2&lt;'الموظفون'!$D$5,"",IF(ISNUMBER(MATCH($C$2,Holidays,0)),"عطلة",IF(MOD($C$2-'الموظفون'!$D$5,CycleWork+CycleRest)&lt;CycleWork,INDEX('الإعدادات والقوائم'!$H$2:$H$4,MOD(INT(MOD($C$2-'الموظفون'!$D$5,CycleWork+CycleRest)*3/CycleWork)+MATCH(StartShift,'الإعدادات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الإجازات'!$D$5:$D$104&lt;=$C$2)*(('حجز الإجازات'!$E$5:$E$104)&gt;=$C$2)*('حجز الإجازات'!$G$5:$G$104="معتمد")*ROW('حجز الإجازات'!$B$5:$B$104)))-5+1))</f>
        <v/>
      </c>
      <c r="E9" s="82" t="n"/>
      <c r="F9" s="82" t="n"/>
    </row>
    <row r="10">
      <c r="A10" s="33" t="n">
        <v>5</v>
      </c>
      <c r="B10" s="35">
        <f>'الموظفون'!B6</f>
        <v/>
      </c>
      <c r="C10" s="33">
        <f>'الموظفون'!C6</f>
        <v/>
      </c>
      <c r="D10" s="81">
        <f>IF(SUMPRODUCT(('حجز الإجازات'!$B$5:$B$104='الموظفون'!$B$6)*('حجز الإجازات'!$D$5:$D$104&lt;=$C$2)*(('حجز الإجازات'!$E$5:$E$104)&gt;=$C$2)*('حجز الإجازات'!$G$5:$G$104="معتمد")*ROW('حجز الإجازات'!$B$5:$B$104))=0,IF($C$2&lt;'الموظفون'!$D$6,"",IF(ISNUMBER(MATCH($C$2,Holidays,0)),"عطلة",IF(MOD($C$2-'الموظفون'!$D$6,CycleWork+CycleRest)&lt;CycleWork,INDEX('الإعدادات والقوائم'!$H$2:$H$4,MOD(INT(MOD($C$2-'الموظفون'!$D$6,CycleWork+CycleRest)*3/CycleWork)+MATCH(StartShift,'الإعدادات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الإجازات'!$D$5:$D$104&lt;=$C$2)*(('حجز الإجازات'!$E$5:$E$104)&gt;=$C$2)*('حجز الإجازات'!$G$5:$G$104="معتمد")*ROW('حجز الإجازات'!$B$5:$B$104)))-5+1))</f>
        <v/>
      </c>
      <c r="E10" s="82" t="n"/>
      <c r="F10" s="82" t="n"/>
    </row>
    <row r="11">
      <c r="A11" s="33" t="n">
        <v>6</v>
      </c>
      <c r="B11" s="35">
        <f>'الموظفون'!B7</f>
        <v/>
      </c>
      <c r="C11" s="33">
        <f>'الموظفون'!C7</f>
        <v/>
      </c>
      <c r="D11" s="81">
        <f>IF(SUMPRODUCT(('حجز الإجازات'!$B$5:$B$104='الموظفون'!$B$7)*('حجز الإجازات'!$D$5:$D$104&lt;=$C$2)*(('حجز الإجازات'!$E$5:$E$104)&gt;=$C$2)*('حجز الإجازات'!$G$5:$G$104="معتمد")*ROW('حجز الإجازات'!$B$5:$B$104))=0,IF($C$2&lt;'الموظفون'!$D$7,"",IF(ISNUMBER(MATCH($C$2,Holidays,0)),"عطلة",IF(MOD($C$2-'الموظفون'!$D$7,CycleWork+CycleRest)&lt;CycleWork,INDEX('الإعدادات والقوائم'!$H$2:$H$4,MOD(INT(MOD($C$2-'الموظفون'!$D$7,CycleWork+CycleRest)*3/CycleWork)+MATCH(StartShift,'الإعدادات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الإجازات'!$D$5:$D$104&lt;=$C$2)*(('حجز الإجازات'!$E$5:$E$104)&gt;=$C$2)*('حجز الإجازات'!$G$5:$G$104="معتمد")*ROW('حجز الإجازات'!$B$5:$B$104)))-5+1))</f>
        <v/>
      </c>
      <c r="E11" s="82" t="n"/>
      <c r="F11" s="82" t="n"/>
    </row>
    <row r="12">
      <c r="A12" s="33" t="n">
        <v>7</v>
      </c>
      <c r="B12" s="35">
        <f>'الموظفون'!B8</f>
        <v/>
      </c>
      <c r="C12" s="33">
        <f>'الموظفون'!C8</f>
        <v/>
      </c>
      <c r="D12" s="81">
        <f>IF(SUMPRODUCT(('حجز الإجازات'!$B$5:$B$104='الموظفون'!$B$8)*('حجز الإجازات'!$D$5:$D$104&lt;=$C$2)*(('حجز الإجازات'!$E$5:$E$104)&gt;=$C$2)*('حجز الإجازات'!$G$5:$G$104="معتمد")*ROW('حجز الإجازات'!$B$5:$B$104))=0,IF($C$2&lt;'الموظفون'!$D$8,"",IF(ISNUMBER(MATCH($C$2,Holidays,0)),"عطلة",IF(MOD($C$2-'الموظفون'!$D$8,CycleWork+CycleRest)&lt;CycleWork,INDEX('الإعدادات والقوائم'!$H$2:$H$4,MOD(INT(MOD($C$2-'الموظفون'!$D$8,CycleWork+CycleRest)*3/CycleWork)+MATCH(StartShift,'الإعدادات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الإجازات'!$D$5:$D$104&lt;=$C$2)*(('حجز الإجازات'!$E$5:$E$104)&gt;=$C$2)*('حجز الإجازات'!$G$5:$G$104="معتمد")*ROW('حجز الإجازات'!$B$5:$B$104)))-5+1))</f>
        <v/>
      </c>
      <c r="E12" s="82" t="n"/>
      <c r="F12" s="82" t="n"/>
    </row>
    <row r="13">
      <c r="A13" s="33" t="n">
        <v>8</v>
      </c>
      <c r="B13" s="35">
        <f>'الموظفون'!B9</f>
        <v/>
      </c>
      <c r="C13" s="33">
        <f>'الموظفون'!C9</f>
        <v/>
      </c>
      <c r="D13" s="81">
        <f>IF(SUMPRODUCT(('حجز الإجازات'!$B$5:$B$104='الموظفون'!$B$9)*('حجز الإجازات'!$D$5:$D$104&lt;=$C$2)*(('حجز الإجازات'!$E$5:$E$104)&gt;=$C$2)*('حجز الإجازات'!$G$5:$G$104="معتمد")*ROW('حجز الإجازات'!$B$5:$B$104))=0,IF($C$2&lt;'الموظفون'!$D$9,"",IF(ISNUMBER(MATCH($C$2,Holidays,0)),"عطلة",IF(MOD($C$2-'الموظفون'!$D$9,CycleWork+CycleRest)&lt;CycleWork,INDEX('الإعدادات والقوائم'!$H$2:$H$4,MOD(INT(MOD($C$2-'الموظفون'!$D$9,CycleWork+CycleRest)*3/CycleWork)+MATCH(StartShift,'الإعدادات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الإجازات'!$D$5:$D$104&lt;=$C$2)*(('حجز الإجازات'!$E$5:$E$104)&gt;=$C$2)*('حجز الإجازات'!$G$5:$G$104="معتمد")*ROW('حجز الإجازات'!$B$5:$B$104)))-5+1))</f>
        <v/>
      </c>
      <c r="E13" s="82" t="n"/>
      <c r="F13" s="82" t="n"/>
    </row>
    <row r="15">
      <c r="B15" s="78" t="inlineStr">
        <is>
          <t>توقيع المشرف: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">
    <mergeCell ref="A1:F1"/>
  </mergeCells>
  <conditionalFormatting sqref="D6:D13">
    <cfRule type="cellIs" priority="1" operator="equal" dxfId="1">
      <formula>"صباح"</formula>
    </cfRule>
    <cfRule type="cellIs" priority="2" operator="equal" dxfId="2">
      <formula>"عصر"</formula>
    </cfRule>
    <cfRule type="cellIs" priority="3" operator="equal" dxfId="3">
      <formula>"ليل"</formula>
    </cfRule>
    <cfRule type="cellIs" priority="4" operator="equal" dxfId="13">
      <formula>"راحة"</formula>
    </cfRule>
    <cfRule type="cellIs" priority="5" operator="equal" dxfId="7">
      <formula>"سنوية"</formula>
    </cfRule>
    <cfRule type="cellIs" priority="6" operator="equal" dxfId="8">
      <formula>"عارض"</formula>
    </cfRule>
    <cfRule type="cellIs" priority="7" operator="equal" dxfId="9">
      <formula>"دورية"</formula>
    </cfRule>
    <cfRule type="cellIs" priority="8" operator="equal" dxfId="10">
      <formula>"مرضية"</formula>
    </cfRule>
    <cfRule type="cellIs" priority="9" operator="equal" dxfId="11">
      <formula>"مرافق مريض"</formula>
    </cfRule>
    <cfRule type="cellIs" priority="10" operator="equal" dxfId="12">
      <formula>"أخرى"</formula>
    </cfRule>
    <cfRule type="cellIs" priority="11" operator="equal" dxfId="14">
      <formula>"عطلة"</formula>
    </cfRule>
  </conditionalFormatting>
  <pageMargins left="0.75" right="0.75" top="1" bottom="1" header="0.5" footer="0.5"/>
  <pageSetup orientation="portrait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rightToLeft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8" customWidth="1" min="4" max="4"/>
    <col width="14" customWidth="1" min="5" max="5"/>
  </cols>
  <sheetData>
    <row r="1" ht="24" customHeight="1">
      <c r="A1" s="75" t="inlineStr">
        <is>
          <t>متابعة الإجازات — اليوم والقادمة</t>
        </is>
      </c>
    </row>
    <row r="2">
      <c r="B2" s="78" t="inlineStr">
        <is>
          <t>مُجازون اليوم:</t>
        </is>
      </c>
      <c r="C2" s="83">
        <f>SUMPRODUCT(('حجز الإجازات'!$G$5:$G$104="معتمد")*('حجز الإجازات'!$D$5:$D$104&lt;=TODAY())*('حجز الإجازات'!$E$5:$E$104&gt;=TODAY()))</f>
        <v/>
      </c>
    </row>
    <row r="3">
      <c r="B3" s="78" t="inlineStr">
        <is>
          <t>إجازات تبدأ خلال 7 أيام:</t>
        </is>
      </c>
      <c r="C3" s="83">
        <f>SUMPRODUCT(('حجز الإجازات'!$G$5:$G$104&lt;&gt;"مرفوض")*('حجز الإجازات'!$D$5:$D$104&gt;TODAY())*('حجز الإجازات'!$D$5:$D$104&lt;=TODAY()+7))</f>
        <v/>
      </c>
    </row>
    <row r="5">
      <c r="A5" s="14" t="inlineStr">
        <is>
          <t>م</t>
        </is>
      </c>
      <c r="B5" s="14" t="inlineStr">
        <is>
          <t>الاسم</t>
        </is>
      </c>
      <c r="C5" s="14" t="inlineStr">
        <is>
          <t>حالة اليوم</t>
        </is>
      </c>
      <c r="D5" s="14" t="inlineStr">
        <is>
          <t>أقرب إجازة قادمة</t>
        </is>
      </c>
      <c r="E5" s="14" t="inlineStr">
        <is>
          <t>بعد (يوم)</t>
        </is>
      </c>
    </row>
    <row r="6">
      <c r="A6" s="33" t="n">
        <v>1</v>
      </c>
      <c r="B6" s="35">
        <f>'الموظفون'!B2</f>
        <v/>
      </c>
      <c r="C6" s="81">
        <f>IF(SUMPRODUCT(('حجز الإجازات'!$B$5:$B$104='الموظفون'!$B$2)*('حجز الإجازات'!$D$5:$D$104&lt;=TODAY())*(('حجز الإجازات'!$E$5:$E$104)&gt;=TODAY())*('حجز الإجازات'!$G$5:$G$104="معتمد")*ROW('حجز الإجازات'!$B$5:$B$104))=0,IF(TODAY()&lt;'الموظفون'!$D$2,"",IF(ISNUMBER(MATCH(TODAY(),Holidays,0)),"عطلة",IF(MOD(TODAY()-'الموظفون'!$D$2,CycleWork+CycleRest)&lt;CycleWork,INDEX('الإعدادات والقوائم'!$H$2:$H$4,MOD(INT(MOD(TODAY()-'الموظفون'!$D$2,CycleWork+CycleRest)*3/CycleWork)+MATCH(StartShift,'الإعدادات والقوائم'!$H$2:$H$4,0)-1,3)+1),"راحة"))),INDEX('حجز الإجازات'!$C$5:$C$104,(SUMPRODUCT(('حجز الإجازات'!$B$5:$B$104='الموظفون'!$B$2)*('حجز الإجازات'!$D$5:$D$104&lt;=TODAY())*(('حجز الإجازات'!$E$5:$E$104)&gt;=TODAY())*('حجز الإجازات'!$G$5:$G$104="معتمد")*ROW('حجز الإجازات'!$B$5:$B$104)))-5+1))</f>
        <v/>
      </c>
      <c r="D6" s="84">
        <f>IFERROR(AGGREGATE(15,6,'حجز الإجازات'!$D$5:$D$104/(('حجز الإجازات'!$B$5:$B$104='الموظفون'!$B$2)*('حجز الإجازات'!$D$5:$D$104&gt;TODAY())*('حجز الإجازات'!$G$5:$G$104&lt;&gt;"مرفوض")),1),"")</f>
        <v/>
      </c>
      <c r="E6" s="16">
        <f>IF($D6="","",$D6-TODAY())</f>
        <v/>
      </c>
    </row>
    <row r="7">
      <c r="A7" s="33" t="n">
        <v>2</v>
      </c>
      <c r="B7" s="35">
        <f>'الموظفون'!B3</f>
        <v/>
      </c>
      <c r="C7" s="81">
        <f>IF(SUMPRODUCT(('حجز الإجازات'!$B$5:$B$104='الموظفون'!$B$3)*('حجز الإجازات'!$D$5:$D$104&lt;=TODAY())*(('حجز الإجازات'!$E$5:$E$104)&gt;=TODAY())*('حجز الإجازات'!$G$5:$G$104="معتمد")*ROW('حجز الإجازات'!$B$5:$B$104))=0,IF(TODAY()&lt;'الموظفون'!$D$3,"",IF(ISNUMBER(MATCH(TODAY(),Holidays,0)),"عطلة",IF(MOD(TODAY()-'الموظفون'!$D$3,CycleWork+CycleRest)&lt;CycleWork,INDEX('الإعدادات والقوائم'!$H$2:$H$4,MOD(INT(MOD(TODAY()-'الموظفون'!$D$3,CycleWork+CycleRest)*3/CycleWork)+MATCH(StartShift,'الإعدادات والقوائم'!$H$2:$H$4,0)-1,3)+1),"راحة"))),INDEX('حجز الإجازات'!$C$5:$C$104,(SUMPRODUCT(('حجز الإجازات'!$B$5:$B$104='الموظفون'!$B$3)*('حجز الإجازات'!$D$5:$D$104&lt;=TODAY())*(('حجز الإجازات'!$E$5:$E$104)&gt;=TODAY())*('حجز الإجازات'!$G$5:$G$104="معتمد")*ROW('حجز الإجازات'!$B$5:$B$104)))-5+1))</f>
        <v/>
      </c>
      <c r="D7" s="84">
        <f>IFERROR(AGGREGATE(15,6,'حجز الإجازات'!$D$5:$D$104/(('حجز الإجازات'!$B$5:$B$104='الموظفون'!$B$3)*('حجز الإجازات'!$D$5:$D$104&gt;TODAY())*('حجز الإجازات'!$G$5:$G$104&lt;&gt;"مرفوض")),1),"")</f>
        <v/>
      </c>
      <c r="E7" s="16">
        <f>IF($D7="","",$D7-TODAY())</f>
        <v/>
      </c>
    </row>
    <row r="8">
      <c r="A8" s="33" t="n">
        <v>3</v>
      </c>
      <c r="B8" s="35">
        <f>'الموظفون'!B4</f>
        <v/>
      </c>
      <c r="C8" s="81">
        <f>IF(SUMPRODUCT(('حجز الإجازات'!$B$5:$B$104='الموظفون'!$B$4)*('حجز الإجازات'!$D$5:$D$104&lt;=TODAY())*(('حجز الإجازات'!$E$5:$E$104)&gt;=TODAY())*('حجز الإجازات'!$G$5:$G$104="معتمد")*ROW('حجز الإجازات'!$B$5:$B$104))=0,IF(TODAY()&lt;'الموظفون'!$D$4,"",IF(ISNUMBER(MATCH(TODAY(),Holidays,0)),"عطلة",IF(MOD(TODAY()-'الموظفون'!$D$4,CycleWork+CycleRest)&lt;CycleWork,INDEX('الإعدادات والقوائم'!$H$2:$H$4,MOD(INT(MOD(TODAY()-'الموظفون'!$D$4,CycleWork+CycleRest)*3/CycleWork)+MATCH(StartShift,'الإعدادات والقوائم'!$H$2:$H$4,0)-1,3)+1),"راحة"))),INDEX('حجز الإجازات'!$C$5:$C$104,(SUMPRODUCT(('حجز الإجازات'!$B$5:$B$104='الموظفون'!$B$4)*('حجز الإجازات'!$D$5:$D$104&lt;=TODAY())*(('حجز الإجازات'!$E$5:$E$104)&gt;=TODAY())*('حجز الإجازات'!$G$5:$G$104="معتمد")*ROW('حجز الإجازات'!$B$5:$B$104)))-5+1))</f>
        <v/>
      </c>
      <c r="D8" s="84">
        <f>IFERROR(AGGREGATE(15,6,'حجز الإجازات'!$D$5:$D$104/(('حجز الإجازات'!$B$5:$B$104='الموظفون'!$B$4)*('حجز الإجازات'!$D$5:$D$104&gt;TODAY())*('حجز الإجازات'!$G$5:$G$104&lt;&gt;"مرفوض")),1),"")</f>
        <v/>
      </c>
      <c r="E8" s="16">
        <f>IF($D8="","",$D8-TODAY())</f>
        <v/>
      </c>
    </row>
    <row r="9">
      <c r="A9" s="33" t="n">
        <v>4</v>
      </c>
      <c r="B9" s="35">
        <f>'الموظفون'!B5</f>
        <v/>
      </c>
      <c r="C9" s="81">
        <f>IF(SUMPRODUCT(('حجز الإجازات'!$B$5:$B$104='الموظفون'!$B$5)*('حجز الإجازات'!$D$5:$D$104&lt;=TODAY())*(('حجز الإجازات'!$E$5:$E$104)&gt;=TODAY())*('حجز الإجازات'!$G$5:$G$104="معتمد")*ROW('حجز الإجازات'!$B$5:$B$104))=0,IF(TODAY()&lt;'الموظفون'!$D$5,"",IF(ISNUMBER(MATCH(TODAY(),Holidays,0)),"عطلة",IF(MOD(TODAY()-'الموظفون'!$D$5,CycleWork+CycleRest)&lt;CycleWork,INDEX('الإعدادات والقوائم'!$H$2:$H$4,MOD(INT(MOD(TODAY()-'الموظفون'!$D$5,CycleWork+CycleRest)*3/CycleWork)+MATCH(StartShift,'الإعدادات والقوائم'!$H$2:$H$4,0)-1,3)+1),"راحة"))),INDEX('حجز الإجازات'!$C$5:$C$104,(SUMPRODUCT(('حجز الإجازات'!$B$5:$B$104='الموظفون'!$B$5)*('حجز الإجازات'!$D$5:$D$104&lt;=TODAY())*(('حجز الإجازات'!$E$5:$E$104)&gt;=TODAY())*('حجز الإجازات'!$G$5:$G$104="معتمد")*ROW('حجز الإجازات'!$B$5:$B$104)))-5+1))</f>
        <v/>
      </c>
      <c r="D9" s="84">
        <f>IFERROR(AGGREGATE(15,6,'حجز الإجازات'!$D$5:$D$104/(('حجز الإجازات'!$B$5:$B$104='الموظفون'!$B$5)*('حجز الإجازات'!$D$5:$D$104&gt;TODAY())*('حجز الإجازات'!$G$5:$G$104&lt;&gt;"مرفوض")),1),"")</f>
        <v/>
      </c>
      <c r="E9" s="16">
        <f>IF($D9="","",$D9-TODAY())</f>
        <v/>
      </c>
    </row>
    <row r="10">
      <c r="A10" s="33" t="n">
        <v>5</v>
      </c>
      <c r="B10" s="35">
        <f>'الموظفون'!B6</f>
        <v/>
      </c>
      <c r="C10" s="81">
        <f>IF(SUMPRODUCT(('حجز الإجازات'!$B$5:$B$104='الموظفون'!$B$6)*('حجز الإجازات'!$D$5:$D$104&lt;=TODAY())*(('حجز الإجازات'!$E$5:$E$104)&gt;=TODAY())*('حجز الإجازات'!$G$5:$G$104="معتمد")*ROW('حجز الإجازات'!$B$5:$B$104))=0,IF(TODAY()&lt;'الموظفون'!$D$6,"",IF(ISNUMBER(MATCH(TODAY(),Holidays,0)),"عطلة",IF(MOD(TODAY()-'الموظفون'!$D$6,CycleWork+CycleRest)&lt;CycleWork,INDEX('الإعدادات والقوائم'!$H$2:$H$4,MOD(INT(MOD(TODAY()-'الموظفون'!$D$6,CycleWork+CycleRest)*3/CycleWork)+MATCH(StartShift,'الإعدادات والقوائم'!$H$2:$H$4,0)-1,3)+1),"راحة"))),INDEX('حجز الإجازات'!$C$5:$C$104,(SUMPRODUCT(('حجز الإجازات'!$B$5:$B$104='الموظفون'!$B$6)*('حجز الإجازات'!$D$5:$D$104&lt;=TODAY())*(('حجز الإجازات'!$E$5:$E$104)&gt;=TODAY())*('حجز الإجازات'!$G$5:$G$104="معتمد")*ROW('حجز الإجازات'!$B$5:$B$104)))-5+1))</f>
        <v/>
      </c>
      <c r="D10" s="84">
        <f>IFERROR(AGGREGATE(15,6,'حجز الإجازات'!$D$5:$D$104/(('حجز الإجازات'!$B$5:$B$104='الموظفون'!$B$6)*('حجز الإجازات'!$D$5:$D$104&gt;TODAY())*('حجز الإجازات'!$G$5:$G$104&lt;&gt;"مرفوض")),1),"")</f>
        <v/>
      </c>
      <c r="E10" s="16">
        <f>IF($D10="","",$D10-TODAY())</f>
        <v/>
      </c>
    </row>
    <row r="11">
      <c r="A11" s="33" t="n">
        <v>6</v>
      </c>
      <c r="B11" s="35">
        <f>'الموظفون'!B7</f>
        <v/>
      </c>
      <c r="C11" s="81">
        <f>IF(SUMPRODUCT(('حجز الإجازات'!$B$5:$B$104='الموظفون'!$B$7)*('حجز الإجازات'!$D$5:$D$104&lt;=TODAY())*(('حجز الإجازات'!$E$5:$E$104)&gt;=TODAY())*('حجز الإجازات'!$G$5:$G$104="معتمد")*ROW('حجز الإجازات'!$B$5:$B$104))=0,IF(TODAY()&lt;'الموظفون'!$D$7,"",IF(ISNUMBER(MATCH(TODAY(),Holidays,0)),"عطلة",IF(MOD(TODAY()-'الموظفون'!$D$7,CycleWork+CycleRest)&lt;CycleWork,INDEX('الإعدادات والقوائم'!$H$2:$H$4,MOD(INT(MOD(TODAY()-'الموظفون'!$D$7,CycleWork+CycleRest)*3/CycleWork)+MATCH(StartShift,'الإعدادات والقوائم'!$H$2:$H$4,0)-1,3)+1),"راحة"))),INDEX('حجز الإجازات'!$C$5:$C$104,(SUMPRODUCT(('حجز الإجازات'!$B$5:$B$104='الموظفون'!$B$7)*('حجز الإجازات'!$D$5:$D$104&lt;=TODAY())*(('حجز الإجازات'!$E$5:$E$104)&gt;=TODAY())*('حجز الإجازات'!$G$5:$G$104="معتمد")*ROW('حجز الإجازات'!$B$5:$B$104)))-5+1))</f>
        <v/>
      </c>
      <c r="D11" s="84">
        <f>IFERROR(AGGREGATE(15,6,'حجز الإجازات'!$D$5:$D$104/(('حجز الإجازات'!$B$5:$B$104='الموظفون'!$B$7)*('حجز الإجازات'!$D$5:$D$104&gt;TODAY())*('حجز الإجازات'!$G$5:$G$104&lt;&gt;"مرفوض")),1),"")</f>
        <v/>
      </c>
      <c r="E11" s="16">
        <f>IF($D11="","",$D11-TODAY())</f>
        <v/>
      </c>
    </row>
    <row r="12">
      <c r="A12" s="33" t="n">
        <v>7</v>
      </c>
      <c r="B12" s="35">
        <f>'الموظفون'!B8</f>
        <v/>
      </c>
      <c r="C12" s="81">
        <f>IF(SUMPRODUCT(('حجز الإجازات'!$B$5:$B$104='الموظفون'!$B$8)*('حجز الإجازات'!$D$5:$D$104&lt;=TODAY())*(('حجز الإجازات'!$E$5:$E$104)&gt;=TODAY())*('حجز الإجازات'!$G$5:$G$104="معتمد")*ROW('حجز الإجازات'!$B$5:$B$104))=0,IF(TODAY()&lt;'الموظفون'!$D$8,"",IF(ISNUMBER(MATCH(TODAY(),Holidays,0)),"عطلة",IF(MOD(TODAY()-'الموظفون'!$D$8,CycleWork+CycleRest)&lt;CycleWork,INDEX('الإعدادات والقوائم'!$H$2:$H$4,MOD(INT(MOD(TODAY()-'الموظفون'!$D$8,CycleWork+CycleRest)*3/CycleWork)+MATCH(StartShift,'الإعدادات والقوائم'!$H$2:$H$4,0)-1,3)+1),"راحة"))),INDEX('حجز الإجازات'!$C$5:$C$104,(SUMPRODUCT(('حجز الإجازات'!$B$5:$B$104='الموظفون'!$B$8)*('حجز الإجازات'!$D$5:$D$104&lt;=TODAY())*(('حجز الإجازات'!$E$5:$E$104)&gt;=TODAY())*('حجز الإجازات'!$G$5:$G$104="معتمد")*ROW('حجز الإجازات'!$B$5:$B$104)))-5+1))</f>
        <v/>
      </c>
      <c r="D12" s="84">
        <f>IFERROR(AGGREGATE(15,6,'حجز الإجازات'!$D$5:$D$104/(('حجز الإجازات'!$B$5:$B$104='الموظفون'!$B$8)*('حجز الإجازات'!$D$5:$D$104&gt;TODAY())*('حجز الإجازات'!$G$5:$G$104&lt;&gt;"مرفوض")),1),"")</f>
        <v/>
      </c>
      <c r="E12" s="16">
        <f>IF($D12="","",$D12-TODAY())</f>
        <v/>
      </c>
    </row>
    <row r="13">
      <c r="A13" s="33" t="n">
        <v>8</v>
      </c>
      <c r="B13" s="35">
        <f>'الموظفون'!B9</f>
        <v/>
      </c>
      <c r="C13" s="81">
        <f>IF(SUMPRODUCT(('حجز الإجازات'!$B$5:$B$104='الموظفون'!$B$9)*('حجز الإجازات'!$D$5:$D$104&lt;=TODAY())*(('حجز الإجازات'!$E$5:$E$104)&gt;=TODAY())*('حجز الإجازات'!$G$5:$G$104="معتمد")*ROW('حجز الإجازات'!$B$5:$B$104))=0,IF(TODAY()&lt;'الموظفون'!$D$9,"",IF(ISNUMBER(MATCH(TODAY(),Holidays,0)),"عطلة",IF(MOD(TODAY()-'الموظفون'!$D$9,CycleWork+CycleRest)&lt;CycleWork,INDEX('الإعدادات والقوائم'!$H$2:$H$4,MOD(INT(MOD(TODAY()-'الموظفون'!$D$9,CycleWork+CycleRest)*3/CycleWork)+MATCH(StartShift,'الإعدادات والقوائم'!$H$2:$H$4,0)-1,3)+1),"راحة"))),INDEX('حجز الإجازات'!$C$5:$C$104,(SUMPRODUCT(('حجز الإجازات'!$B$5:$B$104='الموظفون'!$B$9)*('حجز الإجازات'!$D$5:$D$104&lt;=TODAY())*(('حجز الإجازات'!$E$5:$E$104)&gt;=TODAY())*('حجز الإجازات'!$G$5:$G$104="معتمد")*ROW('حجز الإجازات'!$B$5:$B$104)))-5+1))</f>
        <v/>
      </c>
      <c r="D13" s="84">
        <f>IFERROR(AGGREGATE(15,6,'حجز الإجازات'!$D$5:$D$104/(('حجز الإجازات'!$B$5:$B$104='الموظفون'!$B$9)*('حجز الإجازات'!$D$5:$D$104&gt;TODAY())*('حجز الإجازات'!$G$5:$G$104&lt;&gt;"مرفوض")),1),"")</f>
        <v/>
      </c>
      <c r="E13" s="16">
        <f>IF($D13="","",$D13-TODAY())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">
    <mergeCell ref="A1:E1"/>
  </mergeCells>
  <conditionalFormatting sqref="C6:C13">
    <cfRule type="cellIs" priority="1" operator="equal" dxfId="1">
      <formula>"صباح"</formula>
    </cfRule>
    <cfRule type="cellIs" priority="2" operator="equal" dxfId="2">
      <formula>"عصر"</formula>
    </cfRule>
    <cfRule type="cellIs" priority="3" operator="equal" dxfId="3">
      <formula>"ليل"</formula>
    </cfRule>
    <cfRule type="cellIs" priority="4" operator="equal" dxfId="13">
      <formula>"راحة"</formula>
    </cfRule>
    <cfRule type="cellIs" priority="5" operator="equal" dxfId="7">
      <formula>"سنوية"</formula>
    </cfRule>
    <cfRule type="cellIs" priority="6" operator="equal" dxfId="8">
      <formula>"عارض"</formula>
    </cfRule>
    <cfRule type="cellIs" priority="7" operator="equal" dxfId="9">
      <formula>"دورية"</formula>
    </cfRule>
    <cfRule type="cellIs" priority="8" operator="equal" dxfId="10">
      <formula>"مرضية"</formula>
    </cfRule>
    <cfRule type="cellIs" priority="9" operator="equal" dxfId="11">
      <formula>"مرافق مريض"</formula>
    </cfRule>
    <cfRule type="cellIs" priority="10" operator="equal" dxfId="12">
      <formula>"أخرى"</formula>
    </cfRule>
    <cfRule type="cellIs" priority="11" operator="equal" dxfId="14">
      <formula>"عطلة"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H15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3" customWidth="1" min="4" max="4"/>
    <col width="16" customWidth="1" min="5" max="5"/>
    <col width="9" customWidth="1" min="6" max="6"/>
    <col width="16" customWidth="1" min="7" max="7"/>
    <col width="20" customWidth="1" min="8" max="8"/>
  </cols>
  <sheetData>
    <row r="1" ht="24" customHeight="1">
      <c r="B1" s="75" t="inlineStr">
        <is>
          <t>التوزيع العادل للإجازات بين الفريق</t>
        </is>
      </c>
    </row>
    <row r="3">
      <c r="B3" s="85" t="inlineStr">
        <is>
          <t>متوسط أيام الإجازة للفريق</t>
        </is>
      </c>
      <c r="D3" s="86">
        <f>ROUND(AVERAGE($E$8:$E$15),1)</f>
        <v/>
      </c>
    </row>
    <row r="4">
      <c r="B4" s="85" t="inlineStr">
        <is>
          <t>الأكثر أخذاً</t>
        </is>
      </c>
      <c r="D4" s="86">
        <f>INDEX($C$8:$C$15,MATCH(MAX($E$8:$E$15),$E$8:$E$15,0))</f>
        <v/>
      </c>
    </row>
    <row r="5">
      <c r="B5" s="85" t="inlineStr">
        <is>
          <t>الأقل أخذاً</t>
        </is>
      </c>
      <c r="D5" s="86">
        <f>INDEX($C$8:$C$15,MATCH(MIN($E$8:$E$15),$E$8:$E$15,0))</f>
        <v/>
      </c>
    </row>
    <row r="7">
      <c r="B7" s="14" t="inlineStr">
        <is>
          <t>م</t>
        </is>
      </c>
      <c r="C7" s="14" t="inlineStr">
        <is>
          <t>الموظف</t>
        </is>
      </c>
      <c r="D7" s="14" t="inlineStr">
        <is>
          <t>عدد الطلبات</t>
        </is>
      </c>
      <c r="E7" s="14" t="inlineStr">
        <is>
          <t>إجمالي أيام الإجازة</t>
        </is>
      </c>
      <c r="F7" s="14" t="inlineStr">
        <is>
          <t>الترتيب</t>
        </is>
      </c>
      <c r="G7" s="14" t="inlineStr">
        <is>
          <t>الفرق عن المتوسط</t>
        </is>
      </c>
      <c r="H7" s="14" t="inlineStr">
        <is>
          <t>التقييم</t>
        </is>
      </c>
    </row>
    <row r="8">
      <c r="B8" s="33" t="n">
        <v>1</v>
      </c>
      <c r="C8" s="35">
        <f>'الموظفون'!B2</f>
        <v/>
      </c>
      <c r="D8" s="33">
        <f>COUNTIFS('حجز الإجازات'!$B$5:$B$104,'الموظفون'!$B$2,'حجز الإجازات'!$G$5:$G$104,"معتمد")</f>
        <v/>
      </c>
      <c r="E8" s="33">
        <f>SUMIFS('حجز الإجازات'!$F$5:$F$104,'حجز الإجازات'!$B$5:$B$104,'الموظفون'!$B$2,'حجز الإجازات'!$G$5:$G$104,"معتمد")</f>
        <v/>
      </c>
      <c r="F8" s="33">
        <f>RANK($E8,$E$8:$E$15,0)</f>
        <v/>
      </c>
      <c r="G8" s="33">
        <f>$E8-$D$3</f>
        <v/>
      </c>
      <c r="H8" s="33">
        <f>IF($E8&gt;$D$3,"أعلى من المتوسط ⬆",IF($E8&lt;$D$3,"أقل من المتوسط ⬇","ضمن المتوسط"))</f>
        <v/>
      </c>
    </row>
    <row r="9">
      <c r="B9" s="33" t="n">
        <v>2</v>
      </c>
      <c r="C9" s="35">
        <f>'الموظفون'!B3</f>
        <v/>
      </c>
      <c r="D9" s="33">
        <f>COUNTIFS('حجز الإجازات'!$B$5:$B$104,'الموظفون'!$B$3,'حجز الإجازات'!$G$5:$G$104,"معتمد")</f>
        <v/>
      </c>
      <c r="E9" s="33">
        <f>SUMIFS('حجز الإجازات'!$F$5:$F$104,'حجز الإجازات'!$B$5:$B$104,'الموظفون'!$B$3,'حجز الإجازات'!$G$5:$G$104,"معتمد")</f>
        <v/>
      </c>
      <c r="F9" s="33">
        <f>RANK($E9,$E$8:$E$15,0)</f>
        <v/>
      </c>
      <c r="G9" s="33">
        <f>$E9-$D$3</f>
        <v/>
      </c>
      <c r="H9" s="33">
        <f>IF($E9&gt;$D$3,"أعلى من المتوسط ⬆",IF($E9&lt;$D$3,"أقل من المتوسط ⬇","ضمن المتوسط"))</f>
        <v/>
      </c>
    </row>
    <row r="10">
      <c r="B10" s="33" t="n">
        <v>3</v>
      </c>
      <c r="C10" s="35">
        <f>'الموظفون'!B4</f>
        <v/>
      </c>
      <c r="D10" s="33">
        <f>COUNTIFS('حجز الإجازات'!$B$5:$B$104,'الموظفون'!$B$4,'حجز الإجازات'!$G$5:$G$104,"معتمد")</f>
        <v/>
      </c>
      <c r="E10" s="33">
        <f>SUMIFS('حجز الإجازات'!$F$5:$F$104,'حجز الإجازات'!$B$5:$B$104,'الموظفون'!$B$4,'حجز الإجازات'!$G$5:$G$104,"معتمد")</f>
        <v/>
      </c>
      <c r="F10" s="33">
        <f>RANK($E10,$E$8:$E$15,0)</f>
        <v/>
      </c>
      <c r="G10" s="33">
        <f>$E10-$D$3</f>
        <v/>
      </c>
      <c r="H10" s="33">
        <f>IF($E10&gt;$D$3,"أعلى من المتوسط ⬆",IF($E10&lt;$D$3,"أقل من المتوسط ⬇","ضمن المتوسط"))</f>
        <v/>
      </c>
    </row>
    <row r="11">
      <c r="B11" s="33" t="n">
        <v>4</v>
      </c>
      <c r="C11" s="35">
        <f>'الموظفون'!B5</f>
        <v/>
      </c>
      <c r="D11" s="33">
        <f>COUNTIFS('حجز الإجازات'!$B$5:$B$104,'الموظفون'!$B$5,'حجز الإجازات'!$G$5:$G$104,"معتمد")</f>
        <v/>
      </c>
      <c r="E11" s="33">
        <f>SUMIFS('حجز الإجازات'!$F$5:$F$104,'حجز الإجازات'!$B$5:$B$104,'الموظفون'!$B$5,'حجز الإجازات'!$G$5:$G$104,"معتمد")</f>
        <v/>
      </c>
      <c r="F11" s="33">
        <f>RANK($E11,$E$8:$E$15,0)</f>
        <v/>
      </c>
      <c r="G11" s="33">
        <f>$E11-$D$3</f>
        <v/>
      </c>
      <c r="H11" s="33">
        <f>IF($E11&gt;$D$3,"أعلى من المتوسط ⬆",IF($E11&lt;$D$3,"أقل من المتوسط ⬇","ضمن المتوسط"))</f>
        <v/>
      </c>
    </row>
    <row r="12">
      <c r="B12" s="33" t="n">
        <v>5</v>
      </c>
      <c r="C12" s="35">
        <f>'الموظفون'!B6</f>
        <v/>
      </c>
      <c r="D12" s="33">
        <f>COUNTIFS('حجز الإجازات'!$B$5:$B$104,'الموظفون'!$B$6,'حجز الإجازات'!$G$5:$G$104,"معتمد")</f>
        <v/>
      </c>
      <c r="E12" s="33">
        <f>SUMIFS('حجز الإجازات'!$F$5:$F$104,'حجز الإجازات'!$B$5:$B$104,'الموظفون'!$B$6,'حجز الإجازات'!$G$5:$G$104,"معتمد")</f>
        <v/>
      </c>
      <c r="F12" s="33">
        <f>RANK($E12,$E$8:$E$15,0)</f>
        <v/>
      </c>
      <c r="G12" s="33">
        <f>$E12-$D$3</f>
        <v/>
      </c>
      <c r="H12" s="33">
        <f>IF($E12&gt;$D$3,"أعلى من المتوسط ⬆",IF($E12&lt;$D$3,"أقل من المتوسط ⬇","ضمن المتوسط"))</f>
        <v/>
      </c>
    </row>
    <row r="13">
      <c r="B13" s="33" t="n">
        <v>6</v>
      </c>
      <c r="C13" s="35">
        <f>'الموظفون'!B7</f>
        <v/>
      </c>
      <c r="D13" s="33">
        <f>COUNTIFS('حجز الإجازات'!$B$5:$B$104,'الموظفون'!$B$7,'حجز الإجازات'!$G$5:$G$104,"معتمد")</f>
        <v/>
      </c>
      <c r="E13" s="33">
        <f>SUMIFS('حجز الإجازات'!$F$5:$F$104,'حجز الإجازات'!$B$5:$B$104,'الموظفون'!$B$7,'حجز الإجازات'!$G$5:$G$104,"معتمد")</f>
        <v/>
      </c>
      <c r="F13" s="33">
        <f>RANK($E13,$E$8:$E$15,0)</f>
        <v/>
      </c>
      <c r="G13" s="33">
        <f>$E13-$D$3</f>
        <v/>
      </c>
      <c r="H13" s="33">
        <f>IF($E13&gt;$D$3,"أعلى من المتوسط ⬆",IF($E13&lt;$D$3,"أقل من المتوسط ⬇","ضمن المتوسط"))</f>
        <v/>
      </c>
    </row>
    <row r="14">
      <c r="B14" s="33" t="n">
        <v>7</v>
      </c>
      <c r="C14" s="35">
        <f>'الموظفون'!B8</f>
        <v/>
      </c>
      <c r="D14" s="33">
        <f>COUNTIFS('حجز الإجازات'!$B$5:$B$104,'الموظفون'!$B$8,'حجز الإجازات'!$G$5:$G$104,"معتمد")</f>
        <v/>
      </c>
      <c r="E14" s="33">
        <f>SUMIFS('حجز الإجازات'!$F$5:$F$104,'حجز الإجازات'!$B$5:$B$104,'الموظفون'!$B$8,'حجز الإجازات'!$G$5:$G$104,"معتمد")</f>
        <v/>
      </c>
      <c r="F14" s="33">
        <f>RANK($E14,$E$8:$E$15,0)</f>
        <v/>
      </c>
      <c r="G14" s="33">
        <f>$E14-$D$3</f>
        <v/>
      </c>
      <c r="H14" s="33">
        <f>IF($E14&gt;$D$3,"أعلى من المتوسط ⬆",IF($E14&lt;$D$3,"أقل من المتوسط ⬇","ضمن المتوسط"))</f>
        <v/>
      </c>
    </row>
    <row r="15">
      <c r="B15" s="33" t="n">
        <v>8</v>
      </c>
      <c r="C15" s="35">
        <f>'الموظفون'!B9</f>
        <v/>
      </c>
      <c r="D15" s="33">
        <f>COUNTIFS('حجز الإجازات'!$B$5:$B$104,'الموظفون'!$B$9,'حجز الإجازات'!$G$5:$G$104,"معتمد")</f>
        <v/>
      </c>
      <c r="E15" s="33">
        <f>SUMIFS('حجز الإجازات'!$F$5:$F$104,'حجز الإجازات'!$B$5:$B$104,'الموظفون'!$B$9,'حجز الإجازات'!$G$5:$G$104,"معتمد")</f>
        <v/>
      </c>
      <c r="F15" s="33">
        <f>RANK($E15,$E$8:$E$15,0)</f>
        <v/>
      </c>
      <c r="G15" s="33">
        <f>$E15-$D$3</f>
        <v/>
      </c>
      <c r="H15" s="33">
        <f>IF($E15&gt;$D$3,"أعلى من المتوسط ⬆",IF($E15&lt;$D$3,"أقل من المتوسط ⬇","ضمن المتوسط"))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B1:H1"/>
    <mergeCell ref="B3:C3"/>
    <mergeCell ref="B5:C5"/>
    <mergeCell ref="D5:E5"/>
    <mergeCell ref="D4:E4"/>
    <mergeCell ref="D3:E3"/>
    <mergeCell ref="B4:C4"/>
  </mergeCells>
  <conditionalFormatting sqref="E8:E15">
    <cfRule type="colorScale" priority="1">
      <colorScale>
        <cfvo type="min"/>
        <cfvo type="percentile" val="50"/>
        <cfvo type="max"/>
        <color rgb="00C6EFCE"/>
        <color rgb="00FFEB9C"/>
        <color rgb="00F8696B"/>
      </colorScale>
    </cfRule>
  </conditionalFormatting>
  <conditionalFormatting sqref="H8:H15">
    <cfRule type="expression" priority="2" dxfId="12">
      <formula>LEFT($H8,5)="أعلى"</formula>
    </cfRule>
    <cfRule type="expression" priority="3" dxfId="15">
      <formula>LEFT($H8,4)="أقل"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2026-06-17T14:14:19Z</dcterms:created>
  <dcterms:modified xsi:type="dcterms:W3CDTF">2026-06-17T14:14:20Z</dcterms:modified>
</cp:coreProperties>
</file>